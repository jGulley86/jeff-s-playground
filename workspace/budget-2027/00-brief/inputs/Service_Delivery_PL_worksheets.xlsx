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ploySum" sheetId="1" r:id="rId5"/>
    <sheet state="visible" name="FO" sheetId="2" r:id="rId6"/>
    <sheet state="visible" name="FE" sheetId="3" r:id="rId7"/>
    <sheet state="visible" name="Fld Ops Payroll" sheetId="4" r:id="rId8"/>
    <sheet state="hidden" name="Prod Payroll" sheetId="5" r:id="rId9"/>
    <sheet state="visible" name="Fld Maint Budget" sheetId="6" r:id="rId10"/>
    <sheet state="visible" name="Fld Eng Budget" sheetId="7" r:id="rId11"/>
    <sheet state="visible" name="Logistics&amp;WH Payroll" sheetId="8" r:id="rId12"/>
    <sheet state="hidden" name="Old Draft" sheetId="9" r:id="rId13"/>
    <sheet state="hidden" name="Fld Maint T&amp;E Data" sheetId="10" r:id="rId14"/>
  </sheets>
  <definedNames>
    <definedName hidden="1" localSheetId="9" name="_xlnm._FilterDatabase">'Fld Maint T&amp;E Data'!$A$4:$M$379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tc={7501af88-5903-4d72-9f3b-a405acaf2d5e}</author>
  </authors>
  <commentList>
    <comment authorId="0" xr:uid="{7501af88-5903-4d72-9f3b-a405acaf2d5e}" ref="A1">
      <text>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tc={05665018-4c13-4105-8ea5-b425e4a92c71}</author>
    <author>tc={92f10bff-8908-4592-9c27-e1c903973396}</author>
    <author>tc={93d94389-8cdf-4e25-ad89-84e4437e069e}</author>
    <author>tc={ad222afb-ca36-48d1-9cb8-5a151159e739}</author>
    <author>tc={d8165e6f-1992-4f20-88d0-975a6e7b8ebe}</author>
    <author>tc={ec6321eb-c3a5-42e3-9fa5-dbd4f296bb3c}</author>
  </authors>
  <commentList>
    <comment authorId="0" xr:uid="{05665018-4c13-4105-8ea5-b425e4a92c71}" ref="M11">
      <text>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text>
    </comment>
    <comment authorId="1" xr:uid="{92f10bff-8908-4592-9c27-e1c903973396}" ref="B10">
      <text>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text>
    </comment>
    <comment authorId="2" xr:uid="{93d94389-8cdf-4e25-ad89-84e4437e069e}" ref="B12">
      <text>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text>
    </comment>
    <comment authorId="3" xr:uid="{ad222afb-ca36-48d1-9cb8-5a151159e739}" ref="M14">
      <text>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text>
    </comment>
    <comment authorId="4" xr:uid="{d8165e6f-1992-4f20-88d0-975a6e7b8ebe}" ref="B16">
      <text>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text>
    </comment>
    <comment authorId="5" xr:uid="{ec6321eb-c3a5-42e3-9fa5-dbd4f296bb3c}" ref="B15">
      <text>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tc={4ea38e9c-7af2-464a-ab15-51d4aff50f8a}</author>
    <author>tc={63b97fc3-5795-42db-b0a7-f45f4dfa4676}</author>
    <author>tc={aa4286fb-c7b7-4efd-8669-ffaf74fe6537}</author>
    <author>tc={d1c8f3f4-84c4-4e61-9a98-d1c8f1d5159a}</author>
    <author>tc={ed6f38bd-1abb-44a1-b229-efb3daa2bcf1}</author>
  </authors>
  <commentList>
    <comment authorId="0" xr:uid="{4ea38e9c-7af2-464a-ab15-51d4aff50f8a}" ref="B16">
      <text>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text>
    </comment>
    <comment authorId="1" xr:uid="{63b97fc3-5795-42db-b0a7-f45f4dfa4676}" ref="M7">
      <text>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text>
    </comment>
    <comment authorId="2" xr:uid="{aa4286fb-c7b7-4efd-8669-ffaf74fe6537}" ref="M9">
      <text>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text>
    </comment>
    <comment authorId="3" xr:uid="{d1c8f3f4-84c4-4e61-9a98-d1c8f1d5159a}" ref="B9">
      <text>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text>
    </comment>
    <comment authorId="4" xr:uid="{ed6f38bd-1abb-44a1-b229-efb3daa2bcf1}" ref="A33">
      <text>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tc={244b32e6-3956-4911-a9ec-ea7f460b1e0c}</author>
    <author>tc={35159615-5796-4de2-a0d2-ed894291766e}</author>
  </authors>
  <commentList>
    <comment authorId="0" xr:uid="{244b32e6-3956-4911-a9ec-ea7f460b1e0c}" ref="B30">
      <text>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text>
    </comment>
    <comment authorId="1" xr:uid="{35159615-5796-4de2-a0d2-ed894291766e}" ref="B12">
      <text>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5">
      <text>
        <t xml:space="preserve">Linked to the FE tab: column N (2026 actual + forecast) and column AG (FY2027).</t>
      </text>
    </comment>
    <comment authorId="0" ref="B28">
      <text>
        <t xml:space="preserve">Linked to the FE tab in this workbook (rows 30, 31, 74, 75, 49, 50; columns B:J). Sep-26 is forecast.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7">
      <text>
        <t xml:space="preserve">Source: Warehouse Team 2027 Pay Budget, Headcount 2027 tab, MH-02 to MH-06 hourly rate, read Oct 7, 2026.</t>
      </text>
    </comment>
    <comment authorId="0" ref="B56">
      <text>
        <t xml:space="preserve">Source: Warehouse Team 2027 Pay Budget, Headcount 2027 tab, MH-05 2027 base pay (10 months at $22/hr), read Oct 7, 2026.</t>
      </text>
    </comment>
    <comment authorId="0" ref="B55">
      <text>
        <t xml:space="preserve">Source: Warehouse Team 2027 Pay Budget, Headcount 2027 tab, LOG-02 2027 base pay, read Oct 7, 2026.</t>
      </text>
    </comment>
    <comment authorId="0" ref="B54">
      <text>
        <t xml:space="preserve">Source: Warehouse Team 2027 Pay Budget, Headcount 2027 tab, cell M13 (2027 base pay total), read Oct 7, 2026. https://docs.google.com/spreadsheets/d/1it7-4qkjEMHpZxHgKe43erQYtZns8sw7pHEkIi_-S1w/edit</t>
      </text>
    </comment>
  </commentList>
</comments>
</file>

<file path=xl/sharedStrings.xml><?xml version="1.0" encoding="utf-8"?>
<sst xmlns="http://schemas.openxmlformats.org/spreadsheetml/2006/main" count="5089" uniqueCount="1349">
  <si>
    <t>2027 Production &amp; Deployment Plan — Summary for COO</t>
  </si>
  <si>
    <t>Bookings, deployments and production by month (base case). Dollars in $000s. Sep–Dec 26 = remaining 2026 (existing + forecast contracts); FY2027 = Jan–Dec 27.</t>
  </si>
  <si>
    <t>FY2027</t>
  </si>
  <si>
    <t>BOOKINGS</t>
  </si>
  <si>
    <t>New logos – deals booked (#)</t>
  </si>
  <si>
    <t>New logos – bookings ($000s)</t>
  </si>
  <si>
    <t>Expansion – deals booked (#)</t>
  </si>
  <si>
    <t>Expansion – bookings ($000s)</t>
  </si>
  <si>
    <t>Existing &amp; forecast contracts – booked (#)</t>
  </si>
  <si>
    <t>Existing &amp; forecast contracts – bookings ($000s)</t>
  </si>
  <si>
    <t>Total bookings (#)</t>
  </si>
  <si>
    <t>Total bookings ($000s)</t>
  </si>
  <si>
    <t>DEPLOYMENTS (deals going live)</t>
  </si>
  <si>
    <t>SlipLift deployments (#)</t>
  </si>
  <si>
    <t>SlipBot deployments (#)</t>
  </si>
  <si>
    <t>Total deployments (#)</t>
  </si>
  <si>
    <t>SlipLifts going live (units)</t>
  </si>
  <si>
    <t>SlipTrays going live (units)</t>
  </si>
  <si>
    <t>SlipBots going live (units)</t>
  </si>
  <si>
    <t>PRODUCTION (units to build, by production month)</t>
  </si>
  <si>
    <t>SlipLifts to build</t>
  </si>
  <si>
    <t>SlipTrays to build</t>
  </si>
  <si>
    <t>SlipBots to build</t>
  </si>
  <si>
    <t>SlipLifts – avg per week (units ÷ weeks in month)</t>
  </si>
  <si>
    <t>SlipTrays – avg per week (units ÷ weeks in month)</t>
  </si>
  <si>
    <t>Production CapEx ($000s)</t>
  </si>
  <si>
    <t>Deployment freight – expensed ($000s)</t>
  </si>
  <si>
    <t>OF WHICH (already included in the production lines above): builds in Nov/Dec-27 for Q1-28 go-lives from Q4-27 bookings</t>
  </si>
  <si>
    <t>SlipLifts built for 2028 go-lives</t>
  </si>
  <si>
    <t>SlipTrays built for 2028 go-lives</t>
  </si>
  <si>
    <t>CapEx for 2028 go-lives – estimate ($000s)</t>
  </si>
  <si>
    <t>OTHER CONTEXT</t>
  </si>
  <si>
    <t>CARR – end of period ($000s)</t>
  </si>
  <si>
    <t>ARR – end of period ($000s)</t>
  </si>
  <si>
    <t>Recognized revenue ($000s)</t>
  </si>
  <si>
    <t>Billings ($000s)</t>
  </si>
  <si>
    <t>Deferred revenue – end of period ($000s)</t>
  </si>
  <si>
    <t>KEY ASSUMPTIONS &amp; NOTES</t>
  </si>
  <si>
    <t xml:space="preserve">6. Production includes Nov/Dec-27 builds for Jan–Feb 28 go-lives from Q4-27 bookings (the 'of which' lines). </t>
  </si>
  <si>
    <t>DEPLOYMENT SPLIT – NEW LOGOS vs EXPANSION (deals going live, by go-live month)</t>
  </si>
  <si>
    <t>Month</t>
  </si>
  <si>
    <t>New logos – deployments (#) (incl. 2026 Exist New 'New Logo' rows)</t>
  </si>
  <si>
    <t xml:space="preserve">   SlipLifts going live (units)</t>
  </si>
  <si>
    <t xml:space="preserve">   SlipTrays going live (units)</t>
  </si>
  <si>
    <t>Expansion – deployments (#)</t>
  </si>
  <si>
    <t>Existing &amp; forecast contracts – deployments (#) (excl. 'New Logo' rows)</t>
  </si>
  <si>
    <t xml:space="preserve">   SlipBots going live (units)</t>
  </si>
  <si>
    <t>New logos – % of deployments</t>
  </si>
  <si>
    <t>Expansion – % of deployments</t>
  </si>
  <si>
    <t>Tie-out to Total deployments (row 18): OK</t>
  </si>
  <si>
    <t>Field Operations</t>
  </si>
  <si>
    <t>2026 Actuals/Forecast &amp; 2027 Budget</t>
  </si>
  <si>
    <t>Actual</t>
  </si>
  <si>
    <t>Forecast</t>
  </si>
  <si>
    <t>Annual Input</t>
  </si>
  <si>
    <t>YOY</t>
  </si>
  <si>
    <t>Budget</t>
  </si>
  <si>
    <t> </t>
  </si>
  <si>
    <t>Jan</t>
  </si>
  <si>
    <t>Feb</t>
  </si>
  <si>
    <t>Mar</t>
  </si>
  <si>
    <t>Apr</t>
  </si>
  <si>
    <t>May</t>
  </si>
  <si>
    <t>Jun</t>
  </si>
  <si>
    <t>Jul</t>
  </si>
  <si>
    <t>Aug</t>
  </si>
  <si>
    <t>Sep</t>
  </si>
  <si>
    <t>Oct</t>
  </si>
  <si>
    <t>Nov</t>
  </si>
  <si>
    <t>Dec</t>
  </si>
  <si>
    <t>% Total Rev</t>
  </si>
  <si>
    <t>Input Method</t>
  </si>
  <si>
    <t>"Even" spread</t>
  </si>
  <si>
    <t>Growth %</t>
  </si>
  <si>
    <t>2027</t>
  </si>
  <si>
    <t>Fav / (Unfav)</t>
  </si>
  <si>
    <t>Ordinary Income/Expense</t>
  </si>
  <si>
    <t>Income</t>
  </si>
  <si>
    <t>4000 - Sales</t>
  </si>
  <si>
    <t>4100 - Subscription/Platform Fees</t>
  </si>
  <si>
    <t>Even</t>
  </si>
  <si>
    <t>4500 - Implementation Fees</t>
  </si>
  <si>
    <t>Total - 4000 - Sales</t>
  </si>
  <si>
    <t>4900 - One-Time Revenue</t>
  </si>
  <si>
    <t>Total - Income</t>
  </si>
  <si>
    <t>Cost Of Sales</t>
  </si>
  <si>
    <t>5000 - Robot Production and Deployment</t>
  </si>
  <si>
    <t>5010 - SlipBot Depreciation</t>
  </si>
  <si>
    <t>5011 - SlipLift Depreciation</t>
  </si>
  <si>
    <t>5012 - SlipCarrier Depreciation</t>
  </si>
  <si>
    <t>5020 - Robot Peripherals Depreciation</t>
  </si>
  <si>
    <t>5025 - Freight and Delivery - Production (Summary)</t>
  </si>
  <si>
    <t>5026 - Freight and Delivery - Production - Expedited</t>
  </si>
  <si>
    <t>5027 - Freight and Delivery - Production - Standard</t>
  </si>
  <si>
    <t>Total - 5025 - Freight and Delivery - Production (Summary)</t>
  </si>
  <si>
    <t>5030 - Production Tools and Supplies</t>
  </si>
  <si>
    <t>5040 - Freight &amp; Delivery - Deployment</t>
  </si>
  <si>
    <t>Manual</t>
  </si>
  <si>
    <t>5050 - Travel - Deployment</t>
  </si>
  <si>
    <t>5060 - Meals - Deployment</t>
  </si>
  <si>
    <t>5100 - Labor Expense - Production</t>
  </si>
  <si>
    <t>5110 - Salaries and Wages - Production</t>
  </si>
  <si>
    <t>5130 - Payroll Taxes - Production</t>
  </si>
  <si>
    <t>5140 - Benefits - Production</t>
  </si>
  <si>
    <t>Total - 5100 - Labor Expense - Production</t>
  </si>
  <si>
    <t>Total - 5000 - Robot Production and Deployment</t>
  </si>
  <si>
    <t>5015 - Supplies and Materials</t>
  </si>
  <si>
    <t>5028 - Duties &amp; Tariffs - Production</t>
  </si>
  <si>
    <t>5029 - Processing Fee - Production</t>
  </si>
  <si>
    <t>5070 - Scrap</t>
  </si>
  <si>
    <t>5201 - Inventory Adjustments</t>
  </si>
  <si>
    <t>5300 - Maintenance</t>
  </si>
  <si>
    <t>5310 - Contractors - Field</t>
  </si>
  <si>
    <t>5320 - Freight &amp; Delivery - Maintenance</t>
  </si>
  <si>
    <t>5330 - Maintenance Tools and Supplies</t>
  </si>
  <si>
    <t>5340 - Spare Parts</t>
  </si>
  <si>
    <t>5350 - Warehouse</t>
  </si>
  <si>
    <t>5360 - Travel - Maintenance</t>
  </si>
  <si>
    <t>5370 - Meals - Maintenance</t>
  </si>
  <si>
    <t>5500 - Labor Expense - Field Operations</t>
  </si>
  <si>
    <t>5510 - :Salaries and Wages - Field Operations</t>
  </si>
  <si>
    <t>5530 - :Payroll Taxes - Field Operations</t>
  </si>
  <si>
    <t>5540 - :Benefits - Field Operations</t>
  </si>
  <si>
    <t>Total - 5500 - Labor Expense - Field Operations</t>
  </si>
  <si>
    <t>Total - 5300 - Maintenance</t>
  </si>
  <si>
    <t>5900 - Other COGS</t>
  </si>
  <si>
    <t>5920 - Software - COGS</t>
  </si>
  <si>
    <t>5950 - Certification Expense</t>
  </si>
  <si>
    <t>5980 - Employee Meals</t>
  </si>
  <si>
    <t>Total - 5900 - Other COGS</t>
  </si>
  <si>
    <t>5990 - Purchase Discounts</t>
  </si>
  <si>
    <t>Total - Cost Of Sales</t>
  </si>
  <si>
    <t>Gross Profit</t>
  </si>
  <si>
    <t>Expense</t>
  </si>
  <si>
    <t>6000 - Labor Expense - SG&amp;A</t>
  </si>
  <si>
    <t>6610 - Salaries and Wages - SG&amp;A</t>
  </si>
  <si>
    <t>6630 - Payroll Taxes - SG&amp;A</t>
  </si>
  <si>
    <t>6640 - Benefits - SG&amp;A</t>
  </si>
  <si>
    <t>6650 - Commissions - SG&amp;A</t>
  </si>
  <si>
    <t>6660 - Recruiting</t>
  </si>
  <si>
    <t>6670 - Stock Compensation Expense</t>
  </si>
  <si>
    <t>Total - 6000 - Labor Expense - SG&amp;A</t>
  </si>
  <si>
    <t>6100 - Travel</t>
  </si>
  <si>
    <t>6110 - Travel Meals</t>
  </si>
  <si>
    <t>6120 - Meals and Entertainment</t>
  </si>
  <si>
    <t>6200 - Advertising</t>
  </si>
  <si>
    <t>6210 - Marketing Expense</t>
  </si>
  <si>
    <t>6220 - Trade Shows</t>
  </si>
  <si>
    <t>6400 - Memberships and Subscriptions</t>
  </si>
  <si>
    <t>6500 - Demos</t>
  </si>
  <si>
    <t>6510 - Storage Facilities - Demos</t>
  </si>
  <si>
    <t>6520 - Truck Rental - Demos</t>
  </si>
  <si>
    <t>6530 - Other Demo Expense</t>
  </si>
  <si>
    <t>6540 - Travel - Demos</t>
  </si>
  <si>
    <t>6550 - Meals - Demos</t>
  </si>
  <si>
    <t>Total - 6500 - Demos</t>
  </si>
  <si>
    <t>7000 - Professional Fees</t>
  </si>
  <si>
    <t>7050 - Education</t>
  </si>
  <si>
    <t>7100 - Legal Expense</t>
  </si>
  <si>
    <t>7200 - Contractors</t>
  </si>
  <si>
    <t>7300 - R&amp;D Expense</t>
  </si>
  <si>
    <t>7500 - Facility Expenses</t>
  </si>
  <si>
    <t>7510 - Custodial</t>
  </si>
  <si>
    <t>7550 - Tools and Equipment</t>
  </si>
  <si>
    <t>7600 - Freight &amp; Delivery</t>
  </si>
  <si>
    <t>7610 - Duties &amp; Tariffs - Other</t>
  </si>
  <si>
    <t>7700 - Inventory Obsolescence-old</t>
  </si>
  <si>
    <t>8100 - Technology</t>
  </si>
  <si>
    <t>8200 - Building Rent or Lease</t>
  </si>
  <si>
    <t>8250 - Equipment/Vehicle Rentals</t>
  </si>
  <si>
    <t>8300 - Office Expenses</t>
  </si>
  <si>
    <t>8400 - Office Equipment and Small Furniture</t>
  </si>
  <si>
    <t>8450 - Postage &amp; Shipping</t>
  </si>
  <si>
    <t>8500 - Commercial Insurance</t>
  </si>
  <si>
    <t>8600 - Repairs and Maintenance</t>
  </si>
  <si>
    <t>8700 - Utilities and Telecom Expense</t>
  </si>
  <si>
    <t>8800 - Bank Charges</t>
  </si>
  <si>
    <t>8810 - Processing Fee - Other</t>
  </si>
  <si>
    <t>8900 - Payroll Fees</t>
  </si>
  <si>
    <t>8950 - Financing Taxes</t>
  </si>
  <si>
    <t>8955 - Other Taxes and Licenses</t>
  </si>
  <si>
    <t>8960 - Bad Debts</t>
  </si>
  <si>
    <t>8995 - Miscellaneous Expense</t>
  </si>
  <si>
    <t>9999 - Uncategorized Expenses</t>
  </si>
  <si>
    <t>Total - Expense</t>
  </si>
  <si>
    <t>Net Ordinary Income</t>
  </si>
  <si>
    <t>Other Income and Expenses</t>
  </si>
  <si>
    <t>Other Income</t>
  </si>
  <si>
    <t>9100 - Interest Earned</t>
  </si>
  <si>
    <t>9150 - Other Income</t>
  </si>
  <si>
    <t>Total - Other Income</t>
  </si>
  <si>
    <t>Other Expense</t>
  </si>
  <si>
    <t>9200 - Cash Sweep Fees</t>
  </si>
  <si>
    <t>9300 - Interest Expense</t>
  </si>
  <si>
    <t>9401 - Depreciation Expenses</t>
  </si>
  <si>
    <t>9450 - Loss on Disposal of Fixed Assets</t>
  </si>
  <si>
    <t>9600 - Income Tax Expense</t>
  </si>
  <si>
    <t>9710 - Rounding Gain/Loss</t>
  </si>
  <si>
    <t>Total - Other Expense</t>
  </si>
  <si>
    <t>Net Other Income</t>
  </si>
  <si>
    <t>Net Income</t>
  </si>
  <si>
    <t>Salaries and Wages</t>
  </si>
  <si>
    <t>Commissions</t>
  </si>
  <si>
    <t>Payroll Taxes</t>
  </si>
  <si>
    <t>Benefits</t>
  </si>
  <si>
    <t>Taxes and Benefits % of Salaries, Wages &amp; Commissions</t>
  </si>
  <si>
    <t>Field Engineering</t>
  </si>
  <si>
    <t>Field Maintenance Payroll Model – Total Field Payroll</t>
  </si>
  <si>
    <t>Total field payroll: current staff on payroll (Sep-26) + incremental techs for new-logo go-lives (DeploySum row 54) and expansions at new locations (row 57 × %), plus floaters, supervisors, and named Field Ops management/coordination roles (Isaiah, Rebecca). Placeholder inputs in yellow.</t>
  </si>
  <si>
    <t>FIELD TECH ASSUMPTIONS</t>
  </si>
  <si>
    <t>Tech</t>
  </si>
  <si>
    <t>FIELD SUPERVISOR ASSUMPTIONS</t>
  </si>
  <si>
    <t>RAISE ASSUMPTIONS</t>
  </si>
  <si>
    <t>Techs per deployment needing a tech (FTE)</t>
  </si>
  <si>
    <t>Avg annual salary per supervisor ($)</t>
  </si>
  <si>
    <t>Annual raise (% of salary)</t>
  </si>
  <si>
    <t>Avg annual salary per tech ($)</t>
  </si>
  <si>
    <t>Payroll taxes (% of salary)</t>
  </si>
  <si>
    <t>Raise effective month</t>
  </si>
  <si>
    <t>Benefits (% of salary)</t>
  </si>
  <si>
    <t>Raise eligibility – min months employed</t>
  </si>
  <si>
    <t>Techs per supervisor (add 1 per X)</t>
  </si>
  <si>
    <t>Raise links to Prod Payroll (green) – overwrite to set separately.</t>
  </si>
  <si>
    <t>New-hire cost per tech ($)</t>
  </si>
  <si>
    <t>Minimum # of supervisors</t>
  </si>
  <si>
    <t>Hire lead time (months before go-live)</t>
  </si>
  <si>
    <t>New-hire cost per supervisor ($)</t>
  </si>
  <si>
    <t>FLOATER TECH ASSUMPTIONS</t>
  </si>
  <si>
    <t>Current site techs on payroll (Sep-26) - Domestic Only</t>
  </si>
  <si>
    <t>Current supervisors counted toward ratio (Sep-26) – Isaiah</t>
  </si>
  <si>
    <t>Site techs per floater</t>
  </si>
  <si>
    <t>Expansion go-lives at NEW locations (% needing a tech)</t>
  </si>
  <si>
    <t>Ratio = domestic techs only. MeLi contract supervisor budgeted in Fld Maint Budget B11.</t>
  </si>
  <si>
    <t>Minimum # of floaters</t>
  </si>
  <si>
    <t>Total = current staff (Sep-26) + incremental: each new-logo go-live and each expansion at a new location adds a dedicated tech. Lead time = months hired before go-live.</t>
  </si>
  <si>
    <t>Current floaters (Sep-26)</t>
  </si>
  <si>
    <t>DEC-27 HIRING LOOK-AHEAD (Jan-28 go-lives)</t>
  </si>
  <si>
    <t>Per month</t>
  </si>
  <si>
    <t>NAMED ROLE ASSUMPTIONS</t>
  </si>
  <si>
    <t>Use floater pool? (Yes/No)</t>
  </si>
  <si>
    <t>No</t>
  </si>
  <si>
    <t>New-logo go-lives beyond Dec-27 (#/month)</t>
  </si>
  <si>
    <t>Rebecca – Operations Coordinator base annual salary ($)</t>
  </si>
  <si>
    <t>Expansion go-lives beyond Dec-27 (#/month)</t>
  </si>
  <si>
    <t>Isaiah – Manager base annual salary ($)</t>
  </si>
  <si>
    <t>CURRENT FIELD TECHNICIANS – ON PAYROLL OCT-26 ($)</t>
  </si>
  <si>
    <t>Sep–Dec 2026</t>
  </si>
  <si>
    <t>Current site techs (#)</t>
  </si>
  <si>
    <t>Base salaries</t>
  </si>
  <si>
    <t>Payroll taxes</t>
  </si>
  <si>
    <t>Total current tech payroll</t>
  </si>
  <si>
    <t>NEW LOGO FIELD TECHNICIANS ($)</t>
  </si>
  <si>
    <t>Month # (helper)</t>
  </si>
  <si>
    <t>New-logo deployments going live (#)</t>
  </si>
  <si>
    <t>New techs hired (#) – lead time applied</t>
  </si>
  <si>
    <t>Incremental new-logo tech headcount (cumulative)</t>
  </si>
  <si>
    <t>New-hire cost</t>
  </si>
  <si>
    <t>Total new-logo tech payroll</t>
  </si>
  <si>
    <t>EXPANSION FIELD TECHNICIANS ($)</t>
  </si>
  <si>
    <t>Expansion deployments going live (#)</t>
  </si>
  <si>
    <t>Expansion go-lives – lead time applied (#)</t>
  </si>
  <si>
    <t>Cumulative new-location sites needing a tech (end of period)</t>
  </si>
  <si>
    <t>Incremental expansion tech headcount (cumulative)</t>
  </si>
  <si>
    <t>New techs hired (#)</t>
  </si>
  <si>
    <t>Total expansion tech payroll</t>
  </si>
  <si>
    <t>FLOATER FIELD TECHNICIANS ($)</t>
  </si>
  <si>
    <t>Total site tech headcount (current + new logo + expansion)</t>
  </si>
  <si>
    <t>Required floaters (no step-down)</t>
  </si>
  <si>
    <t>Current floaters on payroll (Sep-26)</t>
  </si>
  <si>
    <t>Incremental floaters needed</t>
  </si>
  <si>
    <t>Total floater headcount</t>
  </si>
  <si>
    <t>New floater hires (#)</t>
  </si>
  <si>
    <t>Total floater tech payroll</t>
  </si>
  <si>
    <t>FIELD SUPERVISORS – ALL FIELD TECHS ($)</t>
  </si>
  <si>
    <t>Total domestic tech headcount (site techs + floaters)</t>
  </si>
  <si>
    <t>Required supervisors (no step-down)</t>
  </si>
  <si>
    <t>Current supervisors counted toward ratio (Isaiah – costed in rows 75-80)</t>
  </si>
  <si>
    <t>Incremental supervisors needed (costed below)</t>
  </si>
  <si>
    <t>Total supervisor headcount (incl. Isaiah)</t>
  </si>
  <si>
    <t>New supervisor hires (#)</t>
  </si>
  <si>
    <t>Total field supervisor payroll</t>
  </si>
  <si>
    <t>FIELD OPS MANAGEMENT &amp; COORDINATION ($)</t>
  </si>
  <si>
    <t>Rebecca – Operations Coordinator (base salary)</t>
  </si>
  <si>
    <t>Isaiah – Manager (base salary; counts toward supervisor ratio)</t>
  </si>
  <si>
    <t>Total management &amp; coordination payroll</t>
  </si>
  <si>
    <t>TOTAL FIELD PAYROLL</t>
  </si>
  <si>
    <t>Production Payroll Model – SlipLifts &amp; SlipTrays</t>
  </si>
  <si>
    <t>rojas</t>
  </si>
  <si>
    <t>Total production payroll: current staff on payroll (Sep-26) + incremental hires required by the build schedule (DeploySum). Sep–Dec 2026 forecast &amp; FY2027 budget.</t>
  </si>
  <si>
    <t>PRODUCTION STAFF ASSUMPTIONS</t>
  </si>
  <si>
    <t>Lift</t>
  </si>
  <si>
    <t>Tray</t>
  </si>
  <si>
    <t>SUPERVISOR ASSUMPTIONS</t>
  </si>
  <si>
    <t>RAISE &amp; NEW-HIRE ASSUMPTIONS</t>
  </si>
  <si>
    <t>Employee Productivity Tiers</t>
  </si>
  <si>
    <t>% Employees</t>
  </si>
  <si>
    <t>Hourly Pay</t>
  </si>
  <si>
    <t>Salary</t>
  </si>
  <si>
    <t>Avg annual salary per employee ($)</t>
  </si>
  <si>
    <t>Tier 1</t>
  </si>
  <si>
    <t>Tier 2</t>
  </si>
  <si>
    <t>New-hire cost – production ($)</t>
  </si>
  <si>
    <t>Tier 3</t>
  </si>
  <si>
    <t>Minimum staffing tier (units/wk) – applies in low/zero months</t>
  </si>
  <si>
    <t>Employees per supervisor (add 1 per X)</t>
  </si>
  <si>
    <t>New-hire cost – supervisor ($)</t>
  </si>
  <si>
    <t>Current staff on payroll (Sep-26)</t>
  </si>
  <si>
    <t>Raise eligibility – min mths employed</t>
  </si>
  <si>
    <t>Total Average Salary</t>
  </si>
  <si>
    <t>Partial weeks round UP to next tier (e.g., 4.2/wk → 5/wk crew)</t>
  </si>
  <si>
    <t>Current supervisors on payroll (Sep-26)</t>
  </si>
  <si>
    <t>OT premium (× regular hourly rate)</t>
  </si>
  <si>
    <t>Supervisors = combined lift + tray headcount ÷ X, rounded up (e.g., 11 employees ÷ 10 → 2)</t>
  </si>
  <si>
    <t>LIFT STAFFING GRID</t>
  </si>
  <si>
    <t>Lifts / week</t>
  </si>
  <si>
    <t>Incremental employees</t>
  </si>
  <si>
    <t>← B13 = current employees at 2/wk; C13:O13 = added at each tier</t>
  </si>
  <si>
    <t>Total employees</t>
  </si>
  <si>
    <t>TRAY STAFFING GRID</t>
  </si>
  <si>
    <t>Trays / week</t>
  </si>
  <si>
    <t>← B19 = current employees at 10 trays/wk; C19:O19 = added at each tier. Tier values in row 18 are editable.</t>
  </si>
  <si>
    <t>LIFT MONTHLY PAYROLL ($)</t>
  </si>
  <si>
    <t>SlipLifts to build (units)</t>
  </si>
  <si>
    <t>Avg lifts built per week</t>
  </si>
  <si>
    <t>← totals = avg rate</t>
  </si>
  <si>
    <t>Staffing tier used (lifts/wk)</t>
  </si>
  <si>
    <t>Required headcount – lift (no step-down)</t>
  </si>
  <si>
    <t>Incremental headcount needed</t>
  </si>
  <si>
    <t>Total lift headcount</t>
  </si>
  <si>
    <t>← totals = avg headcount</t>
  </si>
  <si>
    <t>Absence coverage factor (vac/sick/etc, % of base)</t>
  </si>
  <si>
    <t>← totals = effective avg %</t>
  </si>
  <si>
    <t>Absence coverage cost</t>
  </si>
  <si>
    <t>Overtime hours (% of regular hours)</t>
  </si>
  <si>
    <t>Overtime cost</t>
  </si>
  <si>
    <t>New lift hires</t>
  </si>
  <si>
    <t>Total lift payroll</t>
  </si>
  <si>
    <t>Capacity check (rate vs. max tier)</t>
  </si>
  <si>
    <t>TRAY MONTHLY PAYROLL ($)</t>
  </si>
  <si>
    <t>SlipTrays to build (units)</t>
  </si>
  <si>
    <t>Avg trays built per week</t>
  </si>
  <si>
    <t>Staffing tier used (trays/wk)</t>
  </si>
  <si>
    <t>Required headcount – tray (no step-down)</t>
  </si>
  <si>
    <t>Total tray headcount</t>
  </si>
  <si>
    <t>New tray hires</t>
  </si>
  <si>
    <t>Total tray payroll</t>
  </si>
  <si>
    <t>SUPERVISOR MONTHLY PAYROLL ($)</t>
  </si>
  <si>
    <t>Total production headcount (lifts + trays)</t>
  </si>
  <si>
    <t>Total supervisor headcount</t>
  </si>
  <si>
    <t>← totals = avg supervisors</t>
  </si>
  <si>
    <t>New supervisor hires</t>
  </si>
  <si>
    <t>Total supervisor payroll</t>
  </si>
  <si>
    <t>TOTAL PRODUCTION PAYROLL (lifts + trays + supervisors)</t>
  </si>
  <si>
    <t>Field Maintenance Budget v2 – FY2027 (Jan–Dec)</t>
  </si>
  <si>
    <t>About this tab</t>
  </si>
  <si>
    <t>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</si>
  <si>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INPUTS</t>
  </si>
  <si>
    <t>Value</t>
  </si>
  <si>
    <t>Unit</t>
  </si>
  <si>
    <t>Basis / source</t>
  </si>
  <si>
    <t>Tech deployment travel per trip</t>
  </si>
  <si>
    <t>$ / trip</t>
  </si>
  <si>
    <t>2026 tech-only deployment travel, blended (Topicz, Southwire, Corning, MeLi go-live, MeLi Monterrey: $12,667 ÷ 5). JLG PA excluded</t>
  </si>
  <si>
    <t>New sites needing tech travel</t>
  </si>
  <si>
    <t>%</t>
  </si>
  <si>
    <t>FE travels every deployment (FE sheet); techs supplement where FE is short</t>
  </si>
  <si>
    <t>Recurring field travel</t>
  </si>
  <si>
    <t>$ / month</t>
  </si>
  <si>
    <t>2026 run rate: coverage $1,331 + special projects $1,445 + manager visits $1,216</t>
  </si>
  <si>
    <t>Site setup kit</t>
  </si>
  <si>
    <t>$ / new site</t>
  </si>
  <si>
    <t>PLACEHOLDER – update when the kit list is priced (Spare Parts, Tool Kits, 5S for Deployment)</t>
  </si>
  <si>
    <t>Tools &amp; consumables</t>
  </si>
  <si>
    <t>$ / domestic tech-month</t>
  </si>
  <si>
    <t>2026 tools $4,005 + ticket consumables $1,323 ÷ 193 tech-months</t>
  </si>
  <si>
    <t>MeLi tech rate (CXC EOR)</t>
  </si>
  <si>
    <t>$ / head / month</t>
  </si>
  <si>
    <t>cxc_model Site &amp; Phase Rollup: Phase 1 tech-only average</t>
  </si>
  <si>
    <t>MeLi supervisor rate (CXC EOR)</t>
  </si>
  <si>
    <t>cxc_model Site &amp; Phase Rollup</t>
  </si>
  <si>
    <t>MeLi contractor supervisors</t>
  </si>
  <si>
    <t>#</t>
  </si>
  <si>
    <t>In role</t>
  </si>
  <si>
    <t>Merida techs</t>
  </si>
  <si>
    <t>Contractors, aligned with Merida expansion</t>
  </si>
  <si>
    <t>Merida start month</t>
  </si>
  <si>
    <t>month</t>
  </si>
  <si>
    <t>Domestic techs removed for Merida</t>
  </si>
  <si>
    <t>Merida is an international expansion, handled as a one-off: removes the domestic techs the standard expansion logic would add. 3 Merida contractor techs are costed in 5310 instead</t>
  </si>
  <si>
    <t>Existing-fleet spare parts run rate</t>
  </si>
  <si>
    <t>FO tab 5340 actuals, Jan–Jul 26 average ($147,799 ÷ 7)</t>
  </si>
  <si>
    <t>Aging-fleet repair uplift</t>
  </si>
  <si>
    <t>Assumption: more frequent repairs as the existing fleet ages; brings the starting rate to $31,000</t>
  </si>
  <si>
    <t>Spare parts starting run rate (Dec-26)</t>
  </si>
  <si>
    <t>Calculated: existing-fleet run rate × (1 + aging uplift)</t>
  </si>
  <si>
    <t>SlipLifts in field at Dec-26</t>
  </si>
  <si>
    <t>units</t>
  </si>
  <si>
    <t>Spare parts stay flat at the starting rate until this is entered</t>
  </si>
  <si>
    <t>Spare parts freight</t>
  </si>
  <si>
    <t>% of spares</t>
  </si>
  <si>
    <t>2026 parts &amp; parcel freight $1,644/mo ÷ $31,000</t>
  </si>
  <si>
    <t>Equipment moves &amp; returns</t>
  </si>
  <si>
    <t>2026 run rate</t>
  </si>
  <si>
    <t>Freight cost per truck</t>
  </si>
  <si>
    <t>$ / truck</t>
  </si>
  <si>
    <t>FTL average</t>
  </si>
  <si>
    <t>SlipLifts per truck</t>
  </si>
  <si>
    <t>Shipping Configurations deck</t>
  </si>
  <si>
    <t>Heavy trays per truck</t>
  </si>
  <si>
    <t>Minimum trucks per deployment</t>
  </si>
  <si>
    <t>Every planned deployment ships at least one truck</t>
  </si>
  <si>
    <t>Warehouse</t>
  </si>
  <si>
    <t>FO tab Sep–Dec 26 forecast; Jan–Aug 26 actual avg $2,370</t>
  </si>
  <si>
    <t>ASSUMPTIONS CARRIED FROM FLD OPS PAYROLL</t>
  </si>
  <si>
    <t>Source</t>
  </si>
  <si>
    <t>Current field techs, all-in (domestic + MeLi contractor techs)</t>
  </si>
  <si>
    <t>Fld Ops Payroll B11 – all-in total of 21 (Q2/Q3 split not used)</t>
  </si>
  <si>
    <t>of which MeLi contractor techs</t>
  </si>
  <si>
    <t>Guadalajara 2, Monterrey 2, Mexico City 3. Mapped to 5310 Contractors only (CXC EOR)</t>
  </si>
  <si>
    <t>Techs per deployment needing a tech</t>
  </si>
  <si>
    <t>FTE</t>
  </si>
  <si>
    <t>Fld Ops Payroll B5</t>
  </si>
  <si>
    <t>Expansions at new customer locations</t>
  </si>
  <si>
    <t>Fld Ops Payroll B12 – share of expansions (DeploySum row 57) at new locations needing a dedicated tech</t>
  </si>
  <si>
    <t>Hire lead time</t>
  </si>
  <si>
    <t>months before go-live</t>
  </si>
  <si>
    <t>Fld Ops Payroll B10</t>
  </si>
  <si>
    <t>Techs per supervisor</t>
  </si>
  <si>
    <t>Fld Ops Payroll H8</t>
  </si>
  <si>
    <t>Fld Ops Payroll M11</t>
  </si>
  <si>
    <t>New-hire cost per tech (covers onboarding)</t>
  </si>
  <si>
    <t>$ / hire</t>
  </si>
  <si>
    <t>Fld Ops Payroll B9 – onboarding is budgeted in payroll, not here</t>
  </si>
  <si>
    <t>Domestic technicians today</t>
  </si>
  <si>
    <t>Calculated: all-in total less MeLi contractor techs</t>
  </si>
  <si>
    <t>DRIVERS (#)</t>
  </si>
  <si>
    <t>New-logo go-lives</t>
  </si>
  <si>
    <t>Existing &amp; forecast contract go-lives</t>
  </si>
  <si>
    <t>Expansion go-lives</t>
  </si>
  <si>
    <t>Total deployments</t>
  </si>
  <si>
    <t>New sites (new logos + existing contracts + new-location expansions)</t>
  </si>
  <si>
    <t>Tech deployment trips</t>
  </si>
  <si>
    <t>SlipLifts going live – new logos</t>
  </si>
  <si>
    <t>SlipLifts going live – expansions</t>
  </si>
  <si>
    <t>SlipLifts going live – existing contracts</t>
  </si>
  <si>
    <t>SlipLifts going live – total</t>
  </si>
  <si>
    <t>SlipTrays going live – new logos</t>
  </si>
  <si>
    <t>SlipTrays going live – expansions</t>
  </si>
  <si>
    <t>SlipTrays going live – existing contracts</t>
  </si>
  <si>
    <t>SlipTrays going live – total</t>
  </si>
  <si>
    <t>Trucks – new logos (per deployment, rounded up)</t>
  </si>
  <si>
    <t>Trucks – expansions (per deployment, rounded up)</t>
  </si>
  <si>
    <t>Trucks – existing contracts (per deployment, rounded up)</t>
  </si>
  <si>
    <t>Truck shipments – total</t>
  </si>
  <si>
    <t>SlipLifts in field (end of month)</t>
  </si>
  <si>
    <t>SlipLift fleet growth vs Dec-26 (%)</t>
  </si>
  <si>
    <t>HEADCOUNT (#)</t>
  </si>
  <si>
    <t>FY2027 avg</t>
  </si>
  <si>
    <t>Domestic techs – current</t>
  </si>
  <si>
    <t>Incremental site techs – new logos (Fld Ops Payroll)</t>
  </si>
  <si>
    <t>Incremental site techs – expansions (Fld Ops Payroll)</t>
  </si>
  <si>
    <t>Floaters (Fld Ops Payroll)</t>
  </si>
  <si>
    <t>Merida one-off: remove domestic techs (international expansion)</t>
  </si>
  <si>
    <t>Total domestic techs</t>
  </si>
  <si>
    <t>Field supervisors (Fld Ops Payroll; budgeted in payroll)</t>
  </si>
  <si>
    <t>MeLi contractor techs (in role)</t>
  </si>
  <si>
    <t>Merida contractor techs (international one-off, from start month)</t>
  </si>
  <si>
    <t>MeLi contractor supervisor</t>
  </si>
  <si>
    <t>Total MeLi contractors (5310 only)</t>
  </si>
  <si>
    <t>BUDGET BY LINE ($)</t>
  </si>
  <si>
    <t>GL</t>
  </si>
  <si>
    <t>Notes</t>
  </si>
  <si>
    <t>Tech deployment travel</t>
  </si>
  <si>
    <t>Recurring field travel (coverage, special projects, manager visits)</t>
  </si>
  <si>
    <t>Site setup kits</t>
  </si>
  <si>
    <t>Deployment-driven: cost scales with deployments (new logos/expansions). Booked to 5330 by design.</t>
  </si>
  <si>
    <t>Tools &amp; consumables (domestic techs)</t>
  </si>
  <si>
    <t>Spare parts</t>
  </si>
  <si>
    <t>Deployment freight</t>
  </si>
  <si>
    <t>MeLi contractors (CXC EOR)</t>
  </si>
  <si>
    <t>Total Field Maintenance</t>
  </si>
  <si>
    <t>FO ROLL-UP BY GL ($)</t>
  </si>
  <si>
    <t>Total by GL</t>
  </si>
  <si>
    <t>Check: GL total less line total (should be 0)</t>
  </si>
  <si>
    <t>Not budgeted here: 6100 Travel and 7550 Tools ($0 by design – field travel books to 5050/5360, field tools to 5330); new-hire onboarding (covered by the $2K new-hire cost in Fld Ops Payroll B9). Out of scope: 5920, 7200, 8600.</t>
  </si>
  <si>
    <t>2026 → 2027 BRIDGE BY GL</t>
  </si>
  <si>
    <t>2026 FO forecast ($)</t>
  </si>
  <si>
    <t>FY2027 budget ($)</t>
  </si>
  <si>
    <t>Change ($)</t>
  </si>
  <si>
    <t>What drives the change</t>
  </si>
  <si>
    <t>Trucks rounded up per deployment (new logos, expansions, existing contracts) from DeploySum lift and tray volumes, × $/truck</t>
  </si>
  <si>
    <t>Tech travel on 30% of new sites; FE travels every deployment (FE sheet). 2026 deployment travel sat mostly in FE</t>
  </si>
  <si>
    <t>MeLi 7 techs + 1 supervisor all year; +3 Merida techs from Mar-27 (CXC EOR). 2026 is a partial year</t>
  </si>
  <si>
    <t>Spare parts freight tracks spares (5.3%) + fixed equipment moves</t>
  </si>
  <si>
    <t>Site setup kits ($4,500 placeholder × new sites) + tools &amp; consumables per domestic tech-month</t>
  </si>
  <si>
    <t>Existing-fleet run rate ($21.1K) + aging uplift = $31K start; grows with % change in SlipLifts in field</t>
  </si>
  <si>
    <t>Fixed monthly warehouse cost</t>
  </si>
  <si>
    <t>Recurring field travel only; onboarding sits in Fld Ops Payroll</t>
  </si>
  <si>
    <t>Total</t>
  </si>
  <si>
    <t>2026 forecast also includes 6100 $26.9K and 7550 $11.7K that move into 5050/5360/5330 in 2027.</t>
  </si>
  <si>
    <t>CALCULATION LOGIC</t>
  </si>
  <si>
    <t>Deployments and volumes: DeploySum deployment split (rows 54–62) – new logos (54–56), expansions (57–59), existing &amp; forecast contracts (60–62); deployment counts, SlipLifts and SlipTrays going live by month.</t>
  </si>
  <si>
    <t>New sites = new-logo go-lives + existing-contract go-lives + expansions × 'expansions at new customer locations' (Fld Ops Payroll B12). Expansions at existing locations use the site's current tech and kit: no tech travel, no kit.</t>
  </si>
  <si>
    <t>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</si>
  <si>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</si>
  <si>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Tech deployment travel (5050) = new sites × 30% × blended travel per trip. Site setup kits (5330) = new sites × kit price.</t>
  </si>
  <si>
    <t>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</si>
  <si>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MeLi contractors (5310) = (MeLi techs in role + Merida techs from the start month) × tech rate + supervisor × supervisor rate. Merida is an international expansion modeled as a one-off, outside the standard expansion logic.</t>
  </si>
  <si>
    <t>NOTES &amp; CONFIRMATIONS</t>
  </si>
  <si>
    <t>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</si>
  <si>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2. Timing: kits and freight land in the deployment (go-live) month. Fld Ops Payroll hires 1 month ahead (B10) to cover training and onboarding lead time – reference assumption only.</t>
  </si>
  <si>
    <t>3. FO tab labor (5510–5540) now links to Fld Ops Payroll: $3.96M for 2027 (5510 wages incl. new-hire cost $3.24M, 5530 taxes $0.21M, 5540 benefits $0.51M). MeLi contractors stay in 5310 only.</t>
  </si>
  <si>
    <t>4. Spare parts: the existing-fleet base ($21.1K/month, incl. SlipBot sites) plus aging uplift sets the starting rate; incremental growth is driven by SlipLifts – confirmed.</t>
  </si>
  <si>
    <t>OPEN ITEMS</t>
  </si>
  <si>
    <t>1. MeLi rates are CXC quotes pending the MSA; MXN-based, so FX-sensitive. Entity formation out of scope.</t>
  </si>
  <si>
    <t>FOR LATER REVIEW</t>
  </si>
  <si>
    <t>Payroll correction: if MeLi contractors map to 5310 only (note 1), Fld Ops Payroll B11 should carry the 14 domestic techs rather than 21, to avoid counting MeLi in both 5510 and 5310.</t>
  </si>
  <si>
    <t>Field Engineering Budget – FY2027 (Jan–Dec)</t>
  </si>
  <si>
    <t>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</si>
  <si>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Field Engineers (headcount)</t>
  </si>
  <si>
    <t>Source: user-provided. Current Field Engineers: Hogan Welch, James Mead, James Murphy, Liz (see Payroll Inputs)</t>
  </si>
  <si>
    <t>Share of deployment travel booked to FE</t>
  </si>
  <si>
    <t>Source: user-provided. 100% stays on the FE tab until a decision on moving deployment travel to Applications Engineering; lower this if AE takes it on</t>
  </si>
  <si>
    <t>Linked: Fld Ops Payroll B12. Costed as a full deployment</t>
  </si>
  <si>
    <t>Equipment-add expansion weight</t>
  </si>
  <si>
    <t>% of a full deployment</t>
  </si>
  <si>
    <t>Source: user-provided expansion rule (adding equipment at an existing site costs 30% of a deployment)</t>
  </si>
  <si>
    <t>Non-deployment travel buffer</t>
  </si>
  <si>
    <t>% above 2026 run rate</t>
  </si>
  <si>
    <t>Assumption: headroom for special projects, escalations and RCA visits as the fleet grows. Adjust as needed</t>
  </si>
  <si>
    <t>2026 deployments in rate window</t>
  </si>
  <si>
    <t xml:space="preserve">Source: user-provided. Rivian, Mercado Libre, Home Depot Perth Amboy, Home Depot Swedesboro, Southwire, Meta, GE, JLG PA, Corning. </t>
  </si>
  <si>
    <t>PAYROLL INPUTS</t>
  </si>
  <si>
    <t>Annual salary</t>
  </si>
  <si>
    <t>Start month</t>
  </si>
  <si>
    <t>Field Engineer – Hogan Welch</t>
  </si>
  <si>
    <t>Source: user-provided. Current employee</t>
  </si>
  <si>
    <t>Field Engineer – James Mead</t>
  </si>
  <si>
    <t>Field Engineer – James Murphy</t>
  </si>
  <si>
    <t>Field Engineer – Elizabeth Ferry</t>
  </si>
  <si>
    <t>Customer Support Manager – Seng</t>
  </si>
  <si>
    <t>Customer Support Specialist – Jessica</t>
  </si>
  <si>
    <t>Customer Support Specialist – New hire</t>
  </si>
  <si>
    <t>Source: user-provided. New hire starting Aug-27 at Jessica's rate (links to B18)</t>
  </si>
  <si>
    <t>Field Engineering Manager</t>
  </si>
  <si>
    <t>Source: user-provided. Start month set to Jan-27 – update if the role starts later</t>
  </si>
  <si>
    <t>Head of Service Delivery – Rasheen Henry</t>
  </si>
  <si>
    <t>Source: user-provided. Current employee, in seat now. Enter annual salary in B21</t>
  </si>
  <si>
    <t>Linked: Fld Ops Payroll B7</t>
  </si>
  <si>
    <t>Linked: Fld Ops Payroll B8</t>
  </si>
  <si>
    <t>Linked: Fld Ops Payroll M5 (Prod Payroll)</t>
  </si>
  <si>
    <t>Linked: Fld Ops Payroll M6 (Prod Payroll)</t>
  </si>
  <si>
    <t>2026 FE TAB ACTUALS ($)</t>
  </si>
  <si>
    <t>Jan–Sep 26</t>
  </si>
  <si>
    <t>5050 Travel - Deployment</t>
  </si>
  <si>
    <t>5060 Meals - Deployment</t>
  </si>
  <si>
    <t>6100 Travel</t>
  </si>
  <si>
    <t>6110 Travel Meals</t>
  </si>
  <si>
    <t>5360 Travel - Maintenance</t>
  </si>
  <si>
    <t>5370 Meals - Maintenance</t>
  </si>
  <si>
    <t>Sep-26 is the FE tab forecast, not an actual. 6540/6550 demo travel excluded (demo budget).</t>
  </si>
  <si>
    <t>RATE DERIVATION</t>
  </si>
  <si>
    <t>Calculation</t>
  </si>
  <si>
    <t>Deployment travel, Jan–Sep 26 (5050 + 5060)</t>
  </si>
  <si>
    <t>$</t>
  </si>
  <si>
    <t>Window includes Sep forecast because Corning SAT and JLG PA travel fell Aug–Sep</t>
  </si>
  <si>
    <t>Mercado Libre month (May-26)</t>
  </si>
  <si>
    <t>Multi-week travel and coverage rotation</t>
  </si>
  <si>
    <t>Typical month, Jan–Aug excl. May</t>
  </si>
  <si>
    <t>Average of the other 7 actual months</t>
  </si>
  <si>
    <t>Mercado Libre rotation excess removed</t>
  </si>
  <si>
    <t>May less a typical month; treated as a one-off</t>
  </si>
  <si>
    <t>Normalized deployment travel</t>
  </si>
  <si>
    <t>FE deployment travel per deployment</t>
  </si>
  <si>
    <t>$ / deployment</t>
  </si>
  <si>
    <t>Normalized travel ÷ 2026 deployments in window</t>
  </si>
  <si>
    <t>Meals share of deployment travel (5060)</t>
  </si>
  <si>
    <t>Splits the rate between 5050 and 5060</t>
  </si>
  <si>
    <t>Non-deployment travel run rate, Jan–Aug 26</t>
  </si>
  <si>
    <t>6100, 6110, 5360, 5370 actuals ÷ 8 months</t>
  </si>
  <si>
    <t>Meals share of non-deployment travel</t>
  </si>
  <si>
    <t>6110 + 5370 ÷ total; splits 6100 / 6110</t>
  </si>
  <si>
    <t>Non-deployment travel budget</t>
  </si>
  <si>
    <t>Run rate plus buffer, flat across 2027</t>
  </si>
  <si>
    <t xml:space="preserve">   Expansions at new customer locations</t>
  </si>
  <si>
    <t xml:space="preserve">   Equipment-add expansions</t>
  </si>
  <si>
    <t>Weighted FE deployments</t>
  </si>
  <si>
    <t>Deployments per Field Engineer</t>
  </si>
  <si>
    <t>PAYROLL ($)</t>
  </si>
  <si>
    <t>Total salaries</t>
  </si>
  <si>
    <t>Total payroll</t>
  </si>
  <si>
    <t>BUDGET BY GL ($)</t>
  </si>
  <si>
    <t>6100 Travel (non-deployment)</t>
  </si>
  <si>
    <t>6110 Travel Meals (non-deployment)</t>
  </si>
  <si>
    <t>6610 Salaries and Wages - SG&amp;A</t>
  </si>
  <si>
    <t>6630 Payroll Taxes - SG&amp;A</t>
  </si>
  <si>
    <t>6640 Benefits - SG&amp;A</t>
  </si>
  <si>
    <t>Total Field Engineering</t>
  </si>
  <si>
    <t xml:space="preserve">   of which travel</t>
  </si>
  <si>
    <t>FE TAB ROLL-UP</t>
  </si>
  <si>
    <t>FE tab row</t>
  </si>
  <si>
    <t>Direction</t>
  </si>
  <si>
    <t>FY2027 budget</t>
  </si>
  <si>
    <t>2026 FE tab (act + fcst)</t>
  </si>
  <si>
    <t>Change vs 2026</t>
  </si>
  <si>
    <t>FE tab FY2027</t>
  </si>
  <si>
    <t>To FE tab</t>
  </si>
  <si>
    <t>Travel rows feed FE tab U:AF (Input Method set to Manual). Payroll rows are built from the Payroll Inputs table (rows 12–25) and feed FE tab rows 67–69, so payroll changes are made on this tab. Column G should equal column D; a gap means a link is broken.</t>
  </si>
  <si>
    <t>NOTES AND OPEN ITEMS</t>
  </si>
  <si>
    <t>1. Source: 2026 actuals (Jan–Aug) and forecast (Sep–Dec) link to the FE tab in this workbook, copied from COO Dept P&amp;Ls 2027 Budget. The FE department is not in the Field Ops NetSuite transaction detail, so line-level FE spend could not be checked.</t>
  </si>
  <si>
    <t>2. Deployment rate: Jan–Sep 26 deployment travel, less the Mercado Libre rotation excess in May, divided by the 9 named 2026 deployments. Each deployment ran at least two weeks. Each $1,000 change in the rate moves FY27 by $1,000 times the weighted deployments in row 40.</t>
  </si>
  <si>
    <t>2. Deployment rate: Jan–Sep 26 deployment travel, less the Mercado Libre rotation excess in May, divided by the 9 named 2026 deployments. Each deployment ran at least two weeks. Each $1,000 change in the rate moves FY27 by $1,000 times the weighted deployments in row 53.</t>
  </si>
  <si>
    <t>4. 6100 is treated as non-deployment travel. FE's small 5360/5370 spend is folded into the non-deployment run rate and budgeted in 6100/6110.</t>
  </si>
  <si>
    <t>5. Applications Engineering: FE may scale back deployment travel if AE takes it on. B6 keeps 100% on the FE tab until that is decided; moving the remainder to AE only needs that one input changed.</t>
  </si>
  <si>
    <t>6. Payroll: rows 48–50 pull from FE tab rows 67–69 (2027 budget columns U:AF). The FE tab is the source for payroll; change it there.</t>
  </si>
  <si>
    <t>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</si>
  <si>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7. Capacity: row 54 shows deployments per Field Engineer, peaking at 2.5 per engineer in Nov–Dec 27. Technician deployment travel on Fld Maint Budget (30% of new sites) is the coverage for those peaks.</t>
  </si>
  <si>
    <t>Logistics &amp; Warehouse Payroll – Production Ops (Sep-26 to Dec-27)</t>
  </si>
  <si>
    <t>Warehouse and logistics team payroll that rolls up to Production Operations, sized from the Warehouse Team 2027 Pay Budget and the end-of-2027 warehouse org chart. Burden links to Fld Ops Payroll; raise and new-hire cost link to Prod Payroll. Yellow cells are inputs, green text links to other tabs. Assumptions are listed under Notes and Assumptions.</t>
  </si>
  <si>
    <t>Fld Ops Payroll B7</t>
  </si>
  <si>
    <t>Fld Ops Payroll B8</t>
  </si>
  <si>
    <t>Prod Payroll M5</t>
  </si>
  <si>
    <t>Prod Payroll M6</t>
  </si>
  <si>
    <t>Prod Payroll M9</t>
  </si>
  <si>
    <t>New-hire cost ($ / hire)</t>
  </si>
  <si>
    <t>Prod Payroll M7 (production new-hire cost)</t>
  </si>
  <si>
    <t>Paid hours per year, hourly roles</t>
  </si>
  <si>
    <t>Warehouse Team 2027 Pay Budget, Assumptions tab</t>
  </si>
  <si>
    <t>HEADCOUNT BY SEAT (#)</t>
  </si>
  <si>
    <t>Team</t>
  </si>
  <si>
    <t>Pay type</t>
  </si>
  <si>
    <t>Rate ($/hr or $/yr)</t>
  </si>
  <si>
    <t>Annualized base ($)</t>
  </si>
  <si>
    <t>Raise-eligible</t>
  </si>
  <si>
    <t>LOG-01 Logistics Manager (William Welser)</t>
  </si>
  <si>
    <t>Central Operations</t>
  </si>
  <si>
    <t>INV-01 Inventory Control Specialist</t>
  </si>
  <si>
    <t>Inventory control</t>
  </si>
  <si>
    <t>TL-01 Material Handling Team Lead</t>
  </si>
  <si>
    <t>Receiving &amp; putaway</t>
  </si>
  <si>
    <t>Hourly</t>
  </si>
  <si>
    <t>TL-02 Material Handling Team Lead</t>
  </si>
  <si>
    <t>Kitting &amp; line replenishment</t>
  </si>
  <si>
    <t>MH-01 Material Handler (Austin Steed)</t>
  </si>
  <si>
    <t>MH-02 Material Handler (backfill for Servando Flores)</t>
  </si>
  <si>
    <t>MH-06 Material Handler</t>
  </si>
  <si>
    <t>MH-03 Material Handler</t>
  </si>
  <si>
    <t>MH-04 Material Handler</t>
  </si>
  <si>
    <t>Total headcount</t>
  </si>
  <si>
    <t>New hires (#)</t>
  </si>
  <si>
    <t>HEADCOUNT BY TEAM (#)</t>
  </si>
  <si>
    <t>PAYROLL BY SEAT ($)</t>
  </si>
  <si>
    <t>Total logistics &amp; warehouse payroll</t>
  </si>
  <si>
    <t>ROLL-UP TO PRODUCTION OPS</t>
  </si>
  <si>
    <t>Headcount (end of period)</t>
  </si>
  <si>
    <t>Logistics &amp; warehouse payroll ($)</t>
  </si>
  <si>
    <t>CHECKS</t>
  </si>
  <si>
    <t>FY2027 base pay, all 11 seats, per Warehouse Team 2027 Pay Budget</t>
  </si>
  <si>
    <t>Less: LOG-02 Rebecca Tien (budgeted in Fld Ops Payroll)</t>
  </si>
  <si>
    <t>Less: MH-05 Material Handler, logistics support (counted on the FO tab)</t>
  </si>
  <si>
    <t>Material Handler rate in warehouse budget ($ / hour)</t>
  </si>
  <si>
    <t>Add: Material Handler rate aligned to Austin (MH-02, MH-03, MH-04, MH-06)</t>
  </si>
  <si>
    <t>FY2027 base pay on this tab, before raise</t>
  </si>
  <si>
    <t>Difference (should be 0)</t>
  </si>
  <si>
    <t>NOTES AND ASSUMPTIONS</t>
  </si>
  <si>
    <t>Sources and classification</t>
  </si>
  <si>
    <t>1. Sources: Warehouse Team 2027 Pay Budget (Headcount 2027 tab) and the Warehouse Team Org Chart (end-of-2027 view), both read Oct 7, 2026. Seat inputs (team, start month, pay type, rate) sit in columns T to Y of the headcount table.</t>
  </si>
  <si>
    <t>2. William Welser (LOG-01, Logistics Manager) is classified as Central Operations.</t>
  </si>
  <si>
    <t>3. Rebecca Tien (Logistics Coordinator) moves under the Logistics Manager per the org chart but stays budgeted in Fld Ops Payroll (rows 76–80), so she is not on this tab. MH-05 (Material Handler, logistics support for Rebecca, Mar-27) is counted on the FO tab and is not on this tab.</t>
  </si>
  <si>
    <t>4. Pay: MH-02, MH-03, MH-04 and MH-06 are set to Austin Steed's rate (MH-01, W18), so a change to his rate flows through. Burden uses Fld Ops Payroll rates (6.8% taxes, 16.4% benefits); the warehouse budget had none. Raise (3% from Oct-27 for staff employed 6+ months) and new-hire cost ($1,000) link to Prod Payroll. Seats with no start month are on payroll for the whole period.</t>
  </si>
  <si>
    <t>Staffing model (org chart)</t>
  </si>
  <si>
    <t>5. Single shift. Handler need is sized in two lanes. Receiving and putaway: projected POs per week ÷ 50 POs per handler a week. Kitting and line replenishment: SlipLift build subassemblies per week ÷ subassemblies one handler kits a week (400, placeholder); Team Lead time on the floor (80%) counts toward this lane.</t>
  </si>
  <si>
    <t>6. Receiving baseline: 46.4 POs and 56.1 receipts a week from about 25 vendors (NetSuite item receipts, average of Aug 10 to Oct 4, 2026), supporting 6 SlipLifts a month. The 2027 projection scales POs by SlipLifts going live over the next three months at 30% of SlipLift growth, on the view that most growth goes into larger orders from the same vendors.</t>
  </si>
  <si>
    <t>7. Kitting forecast: every SlipLift MBOM item (108350-R01, NetSuite report Sep 16, 2026) with supply type Build at the Production Warehouse, nested subassemblies included: 75 Build lines, 67 part numbers. Units = subassemblies per SlipLift × SlipLifts going live. Not counted: 32 phantom mounting kits and SlipTrays (not in the MBOM). Kitting starts when MH-03 joins in Mar-27; MH-01 and MH-02 cover it until then.</t>
  </si>
  <si>
    <t>8. Volume: FY2027 forecast of 67 deployments, 250 SlipLifts (4.8 a week) and 1,036 SlipTrays (19.9 a week); Q4 2026 of 4 deployments, 18 SlipLifts and 67 SlipTrays (deployment split from Will Welser, Oct 2026; 4.33 weeks per month). March 2027 has no go-lives and April ramps from 0 to 5 deployments a month.</t>
  </si>
  <si>
    <t>9. Leadership ratios: one Team Lead per four handlers, and a Warehouse Supervisor (SUP-01) at three or more leads, so no Supervisor is budgeted in 2027. TL-01 reports to the Logistics Manager until a Supervisor is hired. INV-01 reports to the Logistics Manager outside the floor chain so counts stay independent of the people moving stock.</t>
  </si>
  <si>
    <t>10. Hiring sequence: MH-02 backfill (Oct-26, replaces Servando Flores); TL-01 (Dec-26); INV-01 (Feb-27, priority hire for cycle counts, NetSuite inventory accuracy and quarantine); MH-03 (Mar-27, trained in the March pause before April go-lives); MH-04 (Jun-27, as go-lives reach 6 a month); TL-02 and MH-06 (Jul-27 in the pay budget; the org chart ties both to volume). Hire-by month is the month before the seat is needed, plus recruiting lead time.</t>
  </si>
  <si>
    <t>11. Cross-training: every Material Handler is cross-trained on all floor functions and cycle counts and keeps a primary area, so one shift can cover absences.</t>
  </si>
  <si>
    <t>12. Timing: TL-01 (Dec-26) and the MH-02 backfill (Oct-26) also land in the Sep–Dec 2026 forecast.</t>
  </si>
  <si>
    <t>Field Maintenance Budget: T&amp;E, Spares, Freight and Contractors</t>
  </si>
  <si>
    <t>Monthly Field Maintenance budget by GL: T&amp;E (5050/5060/5330/5360/5370), spare parts (5340), maintenance and spare parts freight (5320), deployment freight (5040) and MeLi contractor labor (5310). T&amp;E unit costs come from NetSuite Field Ops detail and Slip Expense card ••7721 (Jan 1 – Oct 6 2026, deduplicated) on the Fld Maint T&amp;E Data tab; drivers come from Fld Ops Payroll and DeploySum; account-driven lines use the inputs under Other assumptions. Yellow cells are inputs; green text links to other tabs. Assumptions and notes are at the bottom.</t>
  </si>
  <si>
    <t>UNIT COST BY TRIGGER</t>
  </si>
  <si>
    <t>Direct spend ($)</t>
  </si>
  <si>
    <t>Units (#)</t>
  </si>
  <si>
    <t>Direct cost per unit ($)</t>
  </si>
  <si>
    <t>Loaded cost per unit ($)</t>
  </si>
  <si>
    <t>Budget adjustment (%)</t>
  </si>
  <si>
    <t>Budget cost per unit ($)</t>
  </si>
  <si>
    <t>Budget driver</t>
  </si>
  <si>
    <t>Deployment – domestic</t>
  </si>
  <si>
    <t>go-live</t>
  </si>
  <si>
    <t>Go-lives + expansion equivalents × 90% domestic share (B33)</t>
  </si>
  <si>
    <t>Deployment – international</t>
  </si>
  <si>
    <t>Go-lives × 10% international share</t>
  </si>
  <si>
    <t>Expansion – international</t>
  </si>
  <si>
    <t>expansion</t>
  </si>
  <si>
    <t>Expansions × 10% international share</t>
  </si>
  <si>
    <t>New hire onboarding</t>
  </si>
  <si>
    <t>new hire</t>
  </si>
  <si>
    <t>New hires: techs, floaters, supervisors (Fld Ops Payroll)</t>
  </si>
  <si>
    <t>Site coverage</t>
  </si>
  <si>
    <t>tech trip</t>
  </si>
  <si>
    <t>Coverage trips per go-live × go-lives</t>
  </si>
  <si>
    <t>Special project support</t>
  </si>
  <si>
    <t>trip</t>
  </si>
  <si>
    <t>Fixed trips per month</t>
  </si>
  <si>
    <t>Manager site visits</t>
  </si>
  <si>
    <t>visit</t>
  </si>
  <si>
    <t>Fixed visits per month</t>
  </si>
  <si>
    <t>new site</t>
  </si>
  <si>
    <t>New sites going live</t>
  </si>
  <si>
    <t>Tools &amp; equipment – techs</t>
  </si>
  <si>
    <t>tech-month</t>
  </si>
  <si>
    <t>Tech headcount (Fld Ops Payroll)</t>
  </si>
  <si>
    <t>Ticket consumables</t>
  </si>
  <si>
    <t>site-month</t>
  </si>
  <si>
    <t>Live customer sites</t>
  </si>
  <si>
    <t>Maintenance freight – parts &amp; parcels</t>
  </si>
  <si>
    <t>Converted to % of spares (B37); budget line 5320 Spare parts freight</t>
  </si>
  <si>
    <t>Fixed monthly rate</t>
  </si>
  <si>
    <t>Reference only (2026 Parts Send Out log); budget uses 5340 run rate (B34:B36)</t>
  </si>
  <si>
    <t>Excluded from rates (see Data tab)</t>
  </si>
  <si>
    <t>JLG PA, Gusto reimbursements, Mar–Apr 6100/6120 with no memo, demo / trade show / FE, tray and deployment freight, deployment supplies, accounting journals</t>
  </si>
  <si>
    <t>Total T&amp;E in sample, Jan 1 – Oct 6 2026</t>
  </si>
  <si>
    <t>Ties to Data tab total; excludes spare parts (separate source)</t>
  </si>
  <si>
    <t>Load factor for unattributed T&amp;E</t>
  </si>
  <si>
    <t>OTHER ASSUMPTIONS</t>
  </si>
  <si>
    <t>Basis</t>
  </si>
  <si>
    <t>Sample window (months)</t>
  </si>
  <si>
    <t>Jan 1 – Oct 6 2026</t>
  </si>
  <si>
    <t>Go-lives in sample window (#)</t>
  </si>
  <si>
    <t>Topicz, Rivian, MeLi Mexico, Southwire, Corning, JLG PA; Event log on Data tab</t>
  </si>
  <si>
    <t>Site coverage trips per go-live (#)</t>
  </si>
  <si>
    <t>Coverage trips ÷ go-lives in window; run rate follows new-logo volume</t>
  </si>
  <si>
    <t>Special project trips per month (#)</t>
  </si>
  <si>
    <t>Trips ÷ months; fixed monthly allowance</t>
  </si>
  <si>
    <t>Manager site visits per month (#)</t>
  </si>
  <si>
    <t>Fixed: one manager visit per month</t>
  </si>
  <si>
    <t>Tech headcount behind the sample (#)</t>
  </si>
  <si>
    <t>Fld Ops Payroll B11; used for tools per tech-month</t>
  </si>
  <si>
    <t>Expansions at a new location (%)</t>
  </si>
  <si>
    <t>Fld Ops Payroll B12; costed as a full go-live and a new site</t>
  </si>
  <si>
    <t>Equipment-add expansion cost (% of a go-live)</t>
  </si>
  <si>
    <t>Adding equipment at an existing site; minimal travel</t>
  </si>
  <si>
    <t>Deployment equivalents per expansion (#)</t>
  </si>
  <si>
    <t>New-location share at 100% plus equipment-add share at the factor above</t>
  </si>
  <si>
    <t>Live customer sites today (Sep-26) (#)</t>
  </si>
  <si>
    <t>Sites on the spare parts list (Data tab); drives ticket consumables</t>
  </si>
  <si>
    <t>Domestic share of deployment travel (%)</t>
  </si>
  <si>
    <t>Assumed 90% domestic / 10% international; actual split unknown</t>
  </si>
  <si>
    <t>Spare parts (5340) run rate, Sep-26 ($/month)</t>
  </si>
  <si>
    <t>Starting monthly run rate for active accounts</t>
  </si>
  <si>
    <t>Spare parts growth per step (% of starting rate)</t>
  </si>
  <si>
    <t>Straight line: each step adds 3% of the starting rate</t>
  </si>
  <si>
    <t>Spare parts growth step ("Month" or "Deployment")</t>
  </si>
  <si>
    <t>Month = +3% each month; Deployment = +3% per deployment going live</t>
  </si>
  <si>
    <t>Spare parts freight (5320) as % of spares</t>
  </si>
  <si>
    <t>2026 parts and parcel freight per month (row 15) ÷ starting spares run rate; freight tracks spares</t>
  </si>
  <si>
    <t>Cost per truck shipment, deployment freight (5040) ($)</t>
  </si>
  <si>
    <t>Per truck</t>
  </si>
  <si>
    <t>SlipLifts per truck (#)</t>
  </si>
  <si>
    <t>Heavy trays per truck (#)</t>
  </si>
  <si>
    <t>Shipping Configurations deck; trucks = larger of lift or tray count</t>
  </si>
  <si>
    <t>MeLi contractors (5310), Phase 1 ($/month)</t>
  </si>
  <si>
    <t>cxc_model, Site &amp; Phase Rollup: XEM2, GD1, Monterrey; 13 heads (Sep-26 – Mar-27)</t>
  </si>
  <si>
    <t>MeLi contractors (5310), Phase 2 ($/month)</t>
  </si>
  <si>
    <t>cxc_model, Site &amp; Phase Rollup: Phase 1 + Merida; 17 heads</t>
  </si>
  <si>
    <t>Phase 2 start month</t>
  </si>
  <si>
    <t>cxc_model: Merida added post-Mar 2027</t>
  </si>
  <si>
    <t>Payroll new-hire cost placeholder per tech ($)</t>
  </si>
  <si>
    <t>Fld Ops Payroll B9; meant to include travel</t>
  </si>
  <si>
    <t>Onboarding T&amp;E per new hire, actual ($)</t>
  </si>
  <si>
    <t>Budget cost per unit for New hire onboarding above</t>
  </si>
  <si>
    <t>DEPLOYMENT COST BREAKDOWN BY CATEGORY</t>
  </si>
  <si>
    <t>Topicz ($)</t>
  </si>
  <si>
    <t>Southwire SAT ($)</t>
  </si>
  <si>
    <t>Corning SAT / deployment ($)</t>
  </si>
  <si>
    <t>Domestic avg per go-live ($)</t>
  </si>
  <si>
    <t>MeLi Mexico go-live, intl ($)</t>
  </si>
  <si>
    <t>MeLi Monterrey expansion, intl ($)</t>
  </si>
  <si>
    <t>JLG PA, excluded ($)</t>
  </si>
  <si>
    <t>Airfare</t>
  </si>
  <si>
    <t>Lodging</t>
  </si>
  <si>
    <t>Rental car</t>
  </si>
  <si>
    <t>Ground &amp; fuel</t>
  </si>
  <si>
    <t>Meals</t>
  </si>
  <si>
    <t>Tools &amp; supplies</t>
  </si>
  <si>
    <t>Freight</t>
  </si>
  <si>
    <t>Other</t>
  </si>
  <si>
    <t>Status</t>
  </si>
  <si>
    <t>Complete (Feb – Mar)</t>
  </si>
  <si>
    <t>Complete (Jun 27 – Jul 9)</t>
  </si>
  <si>
    <t>Posted to date; confirm final actuals (est. $4,000)</t>
  </si>
  <si>
    <t>Domestic unit cost</t>
  </si>
  <si>
    <t>Deployment travel in May</t>
  </si>
  <si>
    <t>Oct 1–3 trip</t>
  </si>
  <si>
    <t>Excluded from rates</t>
  </si>
  <si>
    <t>ACTUALS BY BOOKED ACCOUNT (INCLUDED T&amp;E, JAN 1 – OCT 6)</t>
  </si>
  <si>
    <t>Total ($)</t>
  </si>
  <si>
    <t>Monthly avg ($)</t>
  </si>
  <si>
    <t>Share (%)</t>
  </si>
  <si>
    <t>Lines (#)</t>
  </si>
  <si>
    <t>5320 Freight &amp; Delivery - Maintenance</t>
  </si>
  <si>
    <t>5330 Maintenance Tools and Supplies</t>
  </si>
  <si>
    <t>5025 Freight and Delivery - Production</t>
  </si>
  <si>
    <t>7550 Tools and Equipment</t>
  </si>
  <si>
    <t>8300 Office Expenses</t>
  </si>
  <si>
    <t>GL MIX BY T&amp;E LINE (% of direct spend, budget GL)</t>
  </si>
  <si>
    <t>New-logo go-lives (plan)</t>
  </si>
  <si>
    <t>Go-lives: new logo + existing contracts</t>
  </si>
  <si>
    <t>New hires: techs, floaters, supervisors</t>
  </si>
  <si>
    <t>Site coverage trips</t>
  </si>
  <si>
    <t>Special project trips</t>
  </si>
  <si>
    <t>Live customer sites (end of month)</t>
  </si>
  <si>
    <t>Total tech headcount (Fld Ops Payroll)</t>
  </si>
  <si>
    <t>SlipLifts going live (DeploySum)</t>
  </si>
  <si>
    <t>Heavy trays going live (DeploySum)</t>
  </si>
  <si>
    <t>Truck shipments (larger of lifts ÷ 3, trays ÷ 12)</t>
  </si>
  <si>
    <t>Spare parts growth steps (cumulative)</t>
  </si>
  <si>
    <t>MeLi contractors run rate ($)</t>
  </si>
  <si>
    <t>Months</t>
  </si>
  <si>
    <t>Deployment travel – domestic (90%)</t>
  </si>
  <si>
    <t>Deployment travel – international (10%)</t>
  </si>
  <si>
    <t>Subtotal Field Maintenance T&amp;E</t>
  </si>
  <si>
    <t>5340 Spare parts</t>
  </si>
  <si>
    <t>5320 Spare parts freight</t>
  </si>
  <si>
    <t>5040 Deployment freight</t>
  </si>
  <si>
    <t>5310 Contractors – MeLi (CXC)</t>
  </si>
  <si>
    <t>Subtotal account-driven</t>
  </si>
  <si>
    <t>5340 Spare Parts</t>
  </si>
  <si>
    <t>5040 Freight - Deployment</t>
  </si>
  <si>
    <t>5310 Contractors</t>
  </si>
  <si>
    <t>ASSUMPTIONS &amp; NOTES</t>
  </si>
  <si>
    <t>1. T&amp;E sources: NetSuite Field Ops transaction detail (pulled Sep 8 2026, Jan 1 – Sep 1) and Slip Expense card ••7721 (Jul 8 – Oct 6), deduplicated (same amount within 4 days). Isaiah's Confluence "Expense Report Summary 2026" tags and describes transactions only and is not counted as spend; 3 Confluence-only lines that never posted ($1,556) are not counted.</t>
  </si>
  <si>
    <t>2. Scope: Field Maintenance T&amp;E (5050, 5060, 5330, 5360, 5370, plus 6100/6110/6120 and 7550 lines remapped), maintenance freight (5320), spare parts (5340), deployment freight (5040) and MeLi contractor labor (5310). Field Engineering (James Mead) and demos are excluded.</t>
  </si>
  <si>
    <t>3. Excluded from T&amp;E rates (kept on the Data tab): Gusto reimbursements and payroll journals; Mar–Apr 6100/6120 with no memo; demo, trade show and FE lines; JLG PA; metal tray freight ($17.7K, not maintenance freight); Southwire hardware freight booked to 7550 ($5.6K); ULINE deployment supplies on TO306 ($2.3K); accrual cleanup journals.</t>
  </si>
  <si>
    <t>4. GL mapping: 6100 field travel remapped to 5050 (deployment) or 5360 (other Field Maintenance travel). 7550 is an SG&amp;A account; field tools belong in 5330 (COGS), so included 7550 lines map to 5330. Lines booked elsewhere are flagged "Yes" in the Reclass needed column of the Data tab.</t>
  </si>
  <si>
    <t>5. Deployment travel: every go-live and expansion is split 90% domestic / 10% international (B33) because the actual mix is unknown. Domestic = average of Topicz, Southwire SAT and Corning; international go-live = MeLi Mexico (May); international expansion = MeLi Monterrey Oct 1–3 trip. Domestic expansions: share at a new location (B29) costed as a full go-live, equipment-add expansions at 30%.</t>
  </si>
  <si>
    <t>6. OPEN ITEM: Corning shows $2,669 posted to date vs a $4,000 Confluence estimate; confirm final Corning actuals and update.</t>
  </si>
  <si>
    <t>7. Onboarding: 10 new hires Jan – Sep. The $2,000 Fld Ops Payroll placeholder (B9) overlaps this line; replace it with the actual cost here or remove one before rolling totals together.</t>
  </si>
  <si>
    <t>8. Run rates: coverage trips scale with go-lives (new logo + existing contracts); special projects are a fixed monthly allowance (MeLi Monterrey retrofit Sep 15–24 included); one manager visit per month. Supplies are split: site setup kits per new site, tools per tech-month, ticket consumables per live site-month.</t>
  </si>
  <si>
    <t>9. 5340 Spare parts: $31,000 per month for active accounts in Sep-26, growing straight-line by 3% of the starting rate each month (B36 = "Month"). Set B36 to "Deployment" to grow 3% per deployment going live instead. The 2026 Parts Send Out log ($1,729 per site-month incl. campaigns, row 17) is shown for reference only.</t>
  </si>
  <si>
    <t>10. 5320 Spare parts freight tracks the spares line at a fixed ratio: 2026 parts and parcel freight ($/month, row 15) ÷ the $31,000 starting spares rate. Equipment moves and bot returns stay a fixed monthly rate in 5320.</t>
  </si>
  <si>
    <t>11. 5040 Deployment freight: $5,000 per truck. Trucks per month = the larger of SlipLifts going live ÷ 3 and heavy trays going live ÷ 12, each rounded up (Shipping Configurations deck), using DeploySum go-live units for new logos, expansions and existing contracts. DeploySum also carries a deployment freight line (row 29); use one or the other in the roll-up.</t>
  </si>
  <si>
    <t>12. 5310 Contractors: MeLi tech labor through CXC (EOR), from cxc_model Site &amp; Phase Rollup: $58,263 per month Sep-26 – Mar-27 (XEM2, GD1, Monterrey), $74,913 per month from Apr-27 with Merida. The model's Staffing Ramp (Updated) tab shows a lower $36,430 per month at a flat $3,920 per tech; confirm once the CXC MSA is signed. If MeLi techs also sit in Fld Ops Payroll, remove them there.</t>
  </si>
  <si>
    <t>13. Sample limits: unit costs rest on small event counts (3 domestic go-lives, 1 international go-live, 1 expansion, 10 hires, 6 coverage trips). Use the Budget adjustment column to override a unit cost. Sep-26 is a closed month, kept for alignment with the payroll tabs.</t>
  </si>
  <si>
    <t>Field Maintenance T&amp;E transactions, Jan 1 – Oct 6 2026 (NetSuite and Slip Expense card; deduplicated)</t>
  </si>
  <si>
    <t>Sources: NetSuite Field Ops transaction detail (Field_Ops_Transaction_Detail.xlsx, Detail tab, pulled Sep 8 2026) and Slip Expense card ••7721 (pulled Oct 6 2026). NetSuite lines matching a card line (same amount within 4 days) were not re-added. Isaiah's Confluence "Expense Report Summary 2026" adds context only (tags and notes on matched transactions; see Tag basis column) and is not counted as spend. Excluded rows are kept for the record. Spare parts site list (O34) comes from the Parts Send Out log.</t>
  </si>
  <si>
    <t>Date</t>
  </si>
  <si>
    <t>Vendor</t>
  </si>
  <si>
    <t>Amount ($)</t>
  </si>
  <si>
    <t>Booked GL</t>
  </si>
  <si>
    <t>Budget GL</t>
  </si>
  <si>
    <t>Trigger</t>
  </si>
  <si>
    <t>Event</t>
  </si>
  <si>
    <t>Cost category</t>
  </si>
  <si>
    <t>Traveler / destination / memo</t>
  </si>
  <si>
    <t>Tag basis</t>
  </si>
  <si>
    <t>Status / document</t>
  </si>
  <si>
    <t>Reclass needed</t>
  </si>
  <si>
    <t>EVENT LOG</t>
  </si>
  <si>
    <t>Hertz</t>
  </si>
  <si>
    <t>MeLi Monterrey expansion (Sep–Oct)</t>
  </si>
  <si>
    <t>Assumed Monterrey trip (same week as Alamo MTY rental)</t>
  </si>
  <si>
    <t>Assumed</t>
  </si>
  <si>
    <t>AI suggested</t>
  </si>
  <si>
    <t>Slip Expense card</t>
  </si>
  <si>
    <t>MeLi Mexico deployment (Apr–May)</t>
  </si>
  <si>
    <t>Mexico deployment travel booked in May</t>
  </si>
  <si>
    <t>TRAVEL RESERVATION</t>
  </si>
  <si>
    <t>No receipt; assumed MeLi return trip</t>
  </si>
  <si>
    <t>Southwire SAT (deployment)</t>
  </si>
  <si>
    <t>Viva Aerobus</t>
  </si>
  <si>
    <t>Mexico domestic flight</t>
  </si>
  <si>
    <t>Corning SAT / on-site deployment</t>
  </si>
  <si>
    <t>Posted to date; confirm final actuals (Confluence estimate $4,000)</t>
  </si>
  <si>
    <t>Alamo Aero Mty</t>
  </si>
  <si>
    <t>Rental car, Monterrey airport</t>
  </si>
  <si>
    <t>Receipt</t>
  </si>
  <si>
    <t>Yes</t>
  </si>
  <si>
    <t>Topicz deployment (Feb–Mar)</t>
  </si>
  <si>
    <t>Delta Air Lines</t>
  </si>
  <si>
    <t>JLG PA stand-up (excluded from rates)</t>
  </si>
  <si>
    <t>Excluded – JLG PA</t>
  </si>
  <si>
    <t>go-live (run-rate count only)</t>
  </si>
  <si>
    <t>Not representative of a deployment</t>
  </si>
  <si>
    <t>Lucky Cab</t>
  </si>
  <si>
    <t>No itinerary; assumed MeLi return trip</t>
  </si>
  <si>
    <t>Approved</t>
  </si>
  <si>
    <t>Rivian deployment (Mar)</t>
  </si>
  <si>
    <t>Go-live count only</t>
  </si>
  <si>
    <t>No T&amp;E on this account</t>
  </si>
  <si>
    <t>Charles Joe Byers, Baltimore trip (JLG PA)</t>
  </si>
  <si>
    <t>n/a</t>
  </si>
  <si>
    <t>Newark / Des Moines coverage</t>
  </si>
  <si>
    <t>Michael Yunker, Newark trip</t>
  </si>
  <si>
    <t>Tesla Mega new tech onboarding (Jan)</t>
  </si>
  <si>
    <t>Charles Joe Byers, BWI to Chambersburg PA</t>
  </si>
  <si>
    <t>Feb onboarding cohort (Jerry Carter, Shanndon, Victor)</t>
  </si>
  <si>
    <t>new hires</t>
  </si>
  <si>
    <t>Nathan onboarding (Jul)</t>
  </si>
  <si>
    <t>Manager site visits (Meta / Temple TX, Sep TX)</t>
  </si>
  <si>
    <t>Refund of Calhoun GA rental</t>
  </si>
  <si>
    <t>Rodolfo / Rohail onboarding incl. Logan support (Aug)</t>
  </si>
  <si>
    <t>United Airlines</t>
  </si>
  <si>
    <t>Juan Rodriguez, Des Moines trip</t>
  </si>
  <si>
    <t>Sep HQ onboarding cohort</t>
  </si>
  <si>
    <t>new hires (Yunker, Arevalo)</t>
  </si>
  <si>
    <t>Arnoldo Martinez training (Mexico City)</t>
  </si>
  <si>
    <t>Home Depot NJ coverage (May–Jul)</t>
  </si>
  <si>
    <t>tech trips</t>
  </si>
  <si>
    <t>Shanndon (May, Jun), Bernadette (May)</t>
  </si>
  <si>
    <t>Rental, Baltimore MD</t>
  </si>
  <si>
    <t>Guadalajara support (Eduardo)</t>
  </si>
  <si>
    <t>Rental returned Temple TX</t>
  </si>
  <si>
    <t>Yunker, Rodriguez</t>
  </si>
  <si>
    <t>Rental, Calhoun GA</t>
  </si>
  <si>
    <t>Adam Trostle special projects (Lucid, GE V3 retrofit, HQ support)</t>
  </si>
  <si>
    <t>trips</t>
  </si>
  <si>
    <t>MeLi Monterrey retrofit (Sep)</t>
  </si>
  <si>
    <t>Chad Seyfried ATL/JAX support</t>
  </si>
  <si>
    <t>James Murphy, Louisville to Baltimore (JLG PA)</t>
  </si>
  <si>
    <t>Sep 15–24 trip</t>
  </si>
  <si>
    <t>Uber</t>
  </si>
  <si>
    <t>Atlanta airport ride</t>
  </si>
  <si>
    <t>visits</t>
  </si>
  <si>
    <t>Four Points Linda Vista</t>
  </si>
  <si>
    <t>Hotel, Monterrey</t>
  </si>
  <si>
    <t>Site setup kits (5S, LOTO, fixtures)</t>
  </si>
  <si>
    <t>new sites (go-lives in window)</t>
  </si>
  <si>
    <t>Equals go-lives above</t>
  </si>
  <si>
    <t>The Home Depot</t>
  </si>
  <si>
    <t>Home Depot Mexico, Garza Garcia NL</t>
  </si>
  <si>
    <t>Tech tools &amp; equipment</t>
  </si>
  <si>
    <t>tech-months</t>
  </si>
  <si>
    <t>Sample techs × window months (Budget tab)</t>
  </si>
  <si>
    <t>Plato Express</t>
  </si>
  <si>
    <t>Meal, Monterrey</t>
  </si>
  <si>
    <t>Ticket-driven consumables</t>
  </si>
  <si>
    <t>live site-months (Jan–Sep)</t>
  </si>
  <si>
    <t>From spare parts site list below</t>
  </si>
  <si>
    <t>Southwest</t>
  </si>
  <si>
    <t>James Murphy, Chambersburg PA</t>
  </si>
  <si>
    <t>Parts &amp; parcel shipping</t>
  </si>
  <si>
    <t>months (Jan–Aug, NetSuite)</t>
  </si>
  <si>
    <t>Monthly rate converted to % of spares on Budget tab (B37)</t>
  </si>
  <si>
    <t>Nathan Copas, McAllen hotel (Corning)</t>
  </si>
  <si>
    <t>Equipment moves &amp; bot returns</t>
  </si>
  <si>
    <t>Spare parts (Parts Send Out log)</t>
  </si>
  <si>
    <t>Home Depot Mexico, site tools</t>
  </si>
  <si>
    <t>No itinerary</t>
  </si>
  <si>
    <t>Unattributed</t>
  </si>
  <si>
    <t>allocated pro-rata</t>
  </si>
  <si>
    <t>Ride, Monterrey</t>
  </si>
  <si>
    <t>SPARE PARTS SENT TO CUSTOMER SITES, JAN–SEP 2026</t>
  </si>
  <si>
    <t>Live from (input)</t>
  </si>
  <si>
    <t>Active months Jan–Sep (#)</t>
  </si>
  <si>
    <t>Parts value incl. campaigns ($)</t>
  </si>
  <si>
    <t>of which upgrade campaigns ($)</t>
  </si>
  <si>
    <t>San Pedro</t>
  </si>
  <si>
    <t>JLG TN</t>
  </si>
  <si>
    <t>Amazon</t>
  </si>
  <si>
    <t>Shipped to Lindenwold NJ</t>
  </si>
  <si>
    <t>Kubota</t>
  </si>
  <si>
    <t>Tesla (Mega / Lathrop)</t>
  </si>
  <si>
    <t>Shipped to Somerset NJ</t>
  </si>
  <si>
    <t>Four Hands</t>
  </si>
  <si>
    <t>Lucid</t>
  </si>
  <si>
    <t>Shipped to Denton TX</t>
  </si>
  <si>
    <t>Nissan</t>
  </si>
  <si>
    <t>GE</t>
  </si>
  <si>
    <t>Valeo</t>
  </si>
  <si>
    <t>John Deere</t>
  </si>
  <si>
    <t>Rivian</t>
  </si>
  <si>
    <t>Shipped to Norcross GA</t>
  </si>
  <si>
    <t>Topicz</t>
  </si>
  <si>
    <t>Michael Yunker, Atlanta onboarding 9/13-9/18</t>
  </si>
  <si>
    <t>Home Depot (unspecified)</t>
  </si>
  <si>
    <t>I Love Pizza</t>
  </si>
  <si>
    <t>Hagie</t>
  </si>
  <si>
    <t>Fayzel Arevalo, Atlanta onboarding</t>
  </si>
  <si>
    <t>Southwire</t>
  </si>
  <si>
    <t>Meta</t>
  </si>
  <si>
    <t>Home Depot Perth</t>
  </si>
  <si>
    <t>Home Depot Philly</t>
  </si>
  <si>
    <t>Corning</t>
  </si>
  <si>
    <t>JLG PA</t>
  </si>
  <si>
    <t>Total, customer sites</t>
  </si>
  <si>
    <t>Source: Parts Send Out log (Rebecca), Parcel tabs Jan–Sep 2026. Excludes rows reassigned to deployment (Mercedes, Gray Matter kits), marketing, R/D, engineering and production, and demo / internal destinations. Live from = known go-live or first shipment; Jan if live before 2026. P54 = live customer sites.</t>
  </si>
  <si>
    <t>Juan Carlos Rodriguez, SFO to BWI (JLG PA)</t>
  </si>
  <si>
    <t>JLG PA trip</t>
  </si>
  <si>
    <t>Isaiah Swallow, ATL to MTY</t>
  </si>
  <si>
    <t>Juan Rodriguez, McAllen rental (Corning)</t>
  </si>
  <si>
    <t>Arnoldo Martinez, Mexico flight (training)</t>
  </si>
  <si>
    <t>Confluence summary</t>
  </si>
  <si>
    <t>Arnoldo Martinez, Tlalnepantla hotel (training)</t>
  </si>
  <si>
    <t>Atlanta trip 9/13-9/18</t>
  </si>
  <si>
    <t>Michael Yunker, Tacoma to Atlanta</t>
  </si>
  <si>
    <t>American Airlines</t>
  </si>
  <si>
    <t>Chambersburg PA flight (booked to meals)</t>
  </si>
  <si>
    <t>Chad Seyfried, Jacksonville to Atlanta</t>
  </si>
  <si>
    <t>Adam Trostle, HQ support</t>
  </si>
  <si>
    <t>Chad Seyfried, Atlanta to Jacksonville</t>
  </si>
  <si>
    <t>Corning SAT flight</t>
  </si>
  <si>
    <t>Juan Rodriguez, SFO to McAllen (Corning)</t>
  </si>
  <si>
    <t>Logan rental, supporting Rohail onboarding</t>
  </si>
  <si>
    <t>Gavin Grizzle, McAllen hotel (Corning SAT)</t>
  </si>
  <si>
    <t>Closed</t>
  </si>
  <si>
    <t>advance transportation systems inc.</t>
  </si>
  <si>
    <t>Excluded – tray freight (confirm GL)</t>
  </si>
  <si>
    <t>Metal tray freight (Jul–Aug)</t>
  </si>
  <si>
    <t>powder metal trays</t>
  </si>
  <si>
    <t>NetSuite memo</t>
  </si>
  <si>
    <t>NetSuite VendBill 130929682</t>
  </si>
  <si>
    <t>NetSuite Field Ops</t>
  </si>
  <si>
    <t>Rodolfo, McAllen hotel (Corning SAT)</t>
  </si>
  <si>
    <t>Gusto</t>
  </si>
  <si>
    <t>Excluded – Gusto reimbursements</t>
  </si>
  <si>
    <t>Gusto / payroll reimbursements and journals</t>
  </si>
  <si>
    <t>NetSuite Check 264</t>
  </si>
  <si>
    <t>metal trays</t>
  </si>
  <si>
    <t>NetSuite VendBill 131120991</t>
  </si>
  <si>
    <t>Rodolfo Montalvo Martinez, Atlanta rental</t>
  </si>
  <si>
    <t>NetSuite VendBill 130905530</t>
  </si>
  <si>
    <t>Adam rental, HQ support</t>
  </si>
  <si>
    <t>Rental, Aug onboarding week</t>
  </si>
  <si>
    <t>Parking, Meta site visit</t>
  </si>
  <si>
    <t>James Murphy trip cancelled (refund)</t>
  </si>
  <si>
    <t>James (JLG) return refunded</t>
  </si>
  <si>
    <t>NetSuite Check 248</t>
  </si>
  <si>
    <t>Rodolfo, car rental (onboarding)</t>
  </si>
  <si>
    <t>Logan, Des Moines to Newark, supporting Rohail onboarding</t>
  </si>
  <si>
    <t>James (JLG) flight</t>
  </si>
  <si>
    <t>James (JLG) flight (booked to meals)</t>
  </si>
  <si>
    <t>Rohail hotel, Home Depot NJ (onboarding)</t>
  </si>
  <si>
    <t>Hotel, Aug onboarding (offset by refund)</t>
  </si>
  <si>
    <t>ULINE</t>
  </si>
  <si>
    <t>Excluded – deployment supplies (TO306)</t>
  </si>
  <si>
    <t>ULINE deployment supplies (TO306)</t>
  </si>
  <si>
    <t>TO306Deploy</t>
  </si>
  <si>
    <t>NetSuite VendBill 211881847</t>
  </si>
  <si>
    <t>NetSuite VendBill 129364470</t>
  </si>
  <si>
    <t>NetSuite VendBill 129199522</t>
  </si>
  <si>
    <t>NetSuite VendBill 130785526</t>
  </si>
  <si>
    <t>Adam, HQ support during Aug onboarding</t>
  </si>
  <si>
    <t>Ride share, Meta site visit</t>
  </si>
  <si>
    <t>Adam, airfare (HQ support)</t>
  </si>
  <si>
    <t>Adam rental, Rivian equipment recovery</t>
  </si>
  <si>
    <t>Isaiah rental, Austin TX (Meta site visit)</t>
  </si>
  <si>
    <t>Rodolfo Montalvo Martinez, McAllen to Atlanta</t>
  </si>
  <si>
    <t>Smokey Mo's BBQ</t>
  </si>
  <si>
    <t>Meal, Gavin &amp; Robert Pang (Meta site visit)</t>
  </si>
  <si>
    <t>Shell</t>
  </si>
  <si>
    <t>Fuel, Meta site visit</t>
  </si>
  <si>
    <t>Residence Inn by Marriott</t>
  </si>
  <si>
    <t>Residence Inn Temple TX (Meta site visit)</t>
  </si>
  <si>
    <t>NetSuite Check 242</t>
  </si>
  <si>
    <t>Rohail Ayyub, Newark to Atlanta</t>
  </si>
  <si>
    <t>FedEx</t>
  </si>
  <si>
    <t>Shipping</t>
  </si>
  <si>
    <t>FedEx, Rivian equipment recovery</t>
  </si>
  <si>
    <t>Rohail, airfare (onboarding)</t>
  </si>
  <si>
    <t>Harbor Freight Tools</t>
  </si>
  <si>
    <t>Harbor Freight, Rivian equipment recovery</t>
  </si>
  <si>
    <t>Sol De Jalisco</t>
  </si>
  <si>
    <t>Meal, Meta site visit</t>
  </si>
  <si>
    <t>Tools and supplies</t>
  </si>
  <si>
    <t>Adam, GE V3 retrofit hotel</t>
  </si>
  <si>
    <t>PIRATE SHIP * POSTAGE</t>
  </si>
  <si>
    <t>4186 - PIRATE SHIP * POSTAGE 8444455854 WY</t>
  </si>
  <si>
    <t>NetSuite CardChrg</t>
  </si>
  <si>
    <t>NetSuite Check 233</t>
  </si>
  <si>
    <t>NetSuite Check 235</t>
  </si>
  <si>
    <t>NetSuite VendBill 130213708</t>
  </si>
  <si>
    <t>Rebecca Tien Ebulent Battery via USPS</t>
  </si>
  <si>
    <t>4186 - AMAZON MKTPL*8Q0RG5CC3 SEATTLE WA</t>
  </si>
  <si>
    <t>WORLDWIDE EXPRESS</t>
  </si>
  <si>
    <t>4186 - WORLDWIDE EXPRESS DALLAS TX</t>
  </si>
  <si>
    <t>4186 - AMAZON MKTPL*OB2292AF3 SEATTLE WA</t>
  </si>
  <si>
    <t>Meta site visit airfare</t>
  </si>
  <si>
    <t>NetSuite VendBill 130226282</t>
  </si>
  <si>
    <t>shipping the replace Ebulent battery charge station and batteries to Home Depot</t>
  </si>
  <si>
    <t>NetSuite VendBill 130490161</t>
  </si>
  <si>
    <t>Adam, GE V3 retrofit at HQ</t>
  </si>
  <si>
    <t>Adam, airfare (GE V3 retrofit)</t>
  </si>
  <si>
    <t>HARBOR FREIGHT TOOLS</t>
  </si>
  <si>
    <t>4186 - HARBOR FREIGHT TOOLS CALABASAS CA</t>
  </si>
  <si>
    <t>4186 - HARBOR FREIGHT TOOLS 1 LILBURN GA</t>
  </si>
  <si>
    <t>NetSuite Check 224</t>
  </si>
  <si>
    <t>4186 - AMAZON MKTPL*I69BJ6NO3 SEATTLE WA</t>
  </si>
  <si>
    <t>4186 - AMAZON.COM*WA19X1BF3 SEATTLE WA</t>
  </si>
  <si>
    <t>4186 - AMAZON MKTPL*KP8US5M33 SEATTLE WA</t>
  </si>
  <si>
    <t>HOMEDEPOT.COM</t>
  </si>
  <si>
    <t>4186 - HOMEDEPOT.COM 800-430-3376 GA</t>
  </si>
  <si>
    <t>Parking &amp; Tolls</t>
  </si>
  <si>
    <t>5261 - HERTZNYCFEE 592232012 877-977-5771 NJ | Confluence: Shanndon, NJ Home Depot parking</t>
  </si>
  <si>
    <t>NetSuite memo + Confluence context</t>
  </si>
  <si>
    <t>Home Depot</t>
  </si>
  <si>
    <t>4186 - THE HOME DEPOT #0940 W. BERLIN NJ</t>
  </si>
  <si>
    <t>AMAZON MKTPL*F91TO2ZR3</t>
  </si>
  <si>
    <t>Rebecca Tien Deployment LOTO locks</t>
  </si>
  <si>
    <t>AMAZON MKTPL*AL89X4S93</t>
  </si>
  <si>
    <t>Rebecca Tien TFI-13315</t>
  </si>
  <si>
    <t>AMAZON MKTPL*IT6X467S3</t>
  </si>
  <si>
    <t>Rebecca Tien TFI-12084, etc</t>
  </si>
  <si>
    <t>NetSuite Check 220</t>
  </si>
  <si>
    <t>NetSuite VendBill 210693820</t>
  </si>
  <si>
    <t>NetSuite VendBill 130156210</t>
  </si>
  <si>
    <t>AMAZON MKTPL*DN93V8FK3</t>
  </si>
  <si>
    <t>Rebecca Tien tfi-13315</t>
  </si>
  <si>
    <t>AVIS CAR RENTAL REBATE</t>
  </si>
  <si>
    <t>Isaiah Swallow Nathan Onboarding | Confluence: Nathan rental rebate</t>
  </si>
  <si>
    <t>NetSuite CardRfnd</t>
  </si>
  <si>
    <t>Avis</t>
  </si>
  <si>
    <t>Nathan rental (onboarding)</t>
  </si>
  <si>
    <t>Rebecca Tien Parcel shipping</t>
  </si>
  <si>
    <t>Car Rentals</t>
  </si>
  <si>
    <t>5261 - HERTZ #0216011 PHOENIX AZ | Confluence: Adam, Lucid support rental</t>
  </si>
  <si>
    <t>Rebecca Tien Parcel Shipping</t>
  </si>
  <si>
    <t>Excluded – deployment freight (5040)</t>
  </si>
  <si>
    <t>Southwire hardware freight</t>
  </si>
  <si>
    <t>HW to Southwire</t>
  </si>
  <si>
    <t>NetSuite VendBill 129492170</t>
  </si>
  <si>
    <t>Nathan, Southwire support</t>
  </si>
  <si>
    <t>Isaiah Swallow Nathan Onboarding | Confluence: Nathan, onboarding airfare</t>
  </si>
  <si>
    <t>Airlines</t>
  </si>
  <si>
    <t>Isaiah Swallow Adam Support of Lucid | Confluence: Adam, Lucid support airfare</t>
  </si>
  <si>
    <t>Isaiah Swallow Adam Support of Lucid | Confluence: Adam, airfare (untagged, Lucid trip)</t>
  </si>
  <si>
    <t>Rebecca Tien parcel shipping</t>
  </si>
  <si>
    <t>1605 - Hotel Accommodations</t>
  </si>
  <si>
    <t>Isaiah Swallow Adam Support of Lucid | Confluence: Adam, Lucid support hotel</t>
  </si>
  <si>
    <t>5261 - HERTZ #0160211 DALLAS TX | Confluence: Southwire SAT rental</t>
  </si>
  <si>
    <t>THE HOME DEPOT #6840</t>
  </si>
  <si>
    <t>Isaiah Swallow Southwire site testing | Confluence: Southwire SAT supplies</t>
  </si>
  <si>
    <t>CIRCLEK#2741880        EULESS        USA</t>
  </si>
  <si>
    <t>Isaiah Swallow Southwire site testing | Confluence: Southwire SAT fuel</t>
  </si>
  <si>
    <t>THE HOME DEPOT #0587</t>
  </si>
  <si>
    <t>Isaiah Swallow Southwire site testing | Confluence: Southwire SAT return</t>
  </si>
  <si>
    <t>5261 - HERTZTOLL 592232012 877-411-4300 NJ | Confluence: Shanndon, NJ Home Depot parking</t>
  </si>
  <si>
    <t>Hotels - Accommodations</t>
  </si>
  <si>
    <t>7721 - COURTYARD BY MARRIOTT DENTON TX | Confluence: Southwire SAT hotel</t>
  </si>
  <si>
    <t>Journal</t>
  </si>
  <si>
    <t>NetSuite Journal JE449</t>
  </si>
  <si>
    <t>Excluded – accounting journals</t>
  </si>
  <si>
    <t>T&amp;E accrual cleanup journals</t>
  </si>
  <si>
    <t>Entry to clean up Accrued Purchases account for T&amp;E</t>
  </si>
  <si>
    <t>NetSuite Journal JE461</t>
  </si>
  <si>
    <t>NEWSEXPRESSST2680</t>
  </si>
  <si>
    <t>Darien Westtravel</t>
  </si>
  <si>
    <t>MCMASTER-C ELMHURST USA</t>
  </si>
  <si>
    <t>4186 - MCMASTER-CARR 630-834-9600 IL</t>
  </si>
  <si>
    <t>GE to HQ</t>
  </si>
  <si>
    <t>NetSuite VendBill 129492204</t>
  </si>
  <si>
    <t>NetSuite VendBill 129492237</t>
  </si>
  <si>
    <t>Isaiah Swallow Southwire site testing | Confluence: Southwire SAT airfare</t>
  </si>
  <si>
    <t>Harbor Freight</t>
  </si>
  <si>
    <t>Rebecca Tien Southwire tools</t>
  </si>
  <si>
    <t>AMAZON MKTPL*508841VW0</t>
  </si>
  <si>
    <t>Rebecca Tien TFI-13221</t>
  </si>
  <si>
    <t>NetSuite VendBill 129946924</t>
  </si>
  <si>
    <t>NetSuite Check 198</t>
  </si>
  <si>
    <t>Staples</t>
  </si>
  <si>
    <t>Rebecca Tien Print BOL for GE APX bot return</t>
  </si>
  <si>
    <t>Rebecca Tien Print BOL for GE KLC bot return</t>
  </si>
  <si>
    <t>5261 - HERTZ CAR RENTAL OKLAHOMA CITY OK | Confluence: Guadalajara support rental</t>
  </si>
  <si>
    <t>Excluded – demo / trade show / FE</t>
  </si>
  <si>
    <t>Demo, trade show or Field Engineering</t>
  </si>
  <si>
    <t>Rebecca Tien Automate (Trade Show) overnight parcel shipping</t>
  </si>
  <si>
    <t>Isaiah SwallowGuadalajara support Hotel for Eduardo | Confluence: Eduardo, Guadalajara hotel</t>
  </si>
  <si>
    <t>5261 - HERTZ #0190211 NEWARK NJ</t>
  </si>
  <si>
    <t>Isaiah SwallowGuadalajara support flight for Eduardo | Confluence: Eduardo, Guadalajara support</t>
  </si>
  <si>
    <t>AMAZON MKTPL*1K5IH6ZZ3</t>
  </si>
  <si>
    <t>Rebecca Tien TFI-13077</t>
  </si>
  <si>
    <t>Isaiah SwallowNJ HD support | Confluence: Shanndon, NJ Home Depot hotel</t>
  </si>
  <si>
    <t>1605 - Hotels Accommodations</t>
  </si>
  <si>
    <t>Seng Goo Home Depot Support for Shanndon</t>
  </si>
  <si>
    <t>NetSuite Check 185</t>
  </si>
  <si>
    <t>NetSuite Check 183</t>
  </si>
  <si>
    <t>Rebecca Tien Seng Goo Request for Nissan</t>
  </si>
  <si>
    <t>Rebecca Tien Seng Goo Request for Home Depot</t>
  </si>
  <si>
    <t>Rebecca Tien MELI Spanish Documents (User Manuals and laminated sheets)</t>
  </si>
  <si>
    <t>4186 - AMAZON.COM*LN17335L3 SEATTLE WA</t>
  </si>
  <si>
    <t>NetSuite Check 169</t>
  </si>
  <si>
    <t>NICOLE PHILLIPS Prebook luggage for hardware taken for work travel to mexico</t>
  </si>
  <si>
    <t>Ride Share</t>
  </si>
  <si>
    <t>NICOLE PHILLIPS Taxi to the airport from the hotel</t>
  </si>
  <si>
    <t>NetSuite Check 162</t>
  </si>
  <si>
    <t>Rebecca Tien NEEDS SPLITTING ($30 is FWH Supplies 5330) / remaining is MELI repa</t>
  </si>
  <si>
    <t>SUPERCENTER P CUAUTIT</t>
  </si>
  <si>
    <t>NICOLE PHILLIPS Printer for MeLi team onsite to print out SHE paperwork</t>
  </si>
  <si>
    <t>1605 Hotels - Accomodations</t>
  </si>
  <si>
    <t>NICOLE PHILLIPS Hotel for work travel in Mexico</t>
  </si>
  <si>
    <t>NICOLE PHILLIPS Taxi to hotel from airport in Mexico</t>
  </si>
  <si>
    <t>NICOLE PHILLIPS Travel to train &amp; cover maintenance at MeLi</t>
  </si>
  <si>
    <t>NICOLE PHILLIPS Check bag for hardware taken to mexico</t>
  </si>
  <si>
    <t>DELTA</t>
  </si>
  <si>
    <t>NICOLE PHILLIPS 2nd luggage bag for hardware taken to Mexico during work travel</t>
  </si>
  <si>
    <t>Restaurants</t>
  </si>
  <si>
    <t>NICOLE PHILLIPS Food in airport for Mexico work travel</t>
  </si>
  <si>
    <t>NICOLE PHILLIPS Check bag for hardware taken to Mexico</t>
  </si>
  <si>
    <t>Atlanta Fork Lifts Inc - DBA Toyota Mate</t>
  </si>
  <si>
    <t>NICOLE PHILLIPS-9399-ATLANTA PASSPORT ATLANTA GA</t>
  </si>
  <si>
    <t>NICOLE PHILLIPS-7011-SMARTPY*HOTCITYCETPO MEXICO MEX MX</t>
  </si>
  <si>
    <t>NICOLE PHILLIPS-3690-COURTYARD EDISON WOODB EDISON NJ</t>
  </si>
  <si>
    <t>Rebecca Tien FWH Stock and Supplies</t>
  </si>
  <si>
    <t>NICOLE PHILLIPS-3509-CITY EXPRESS ATLANTA D DULUTH GA</t>
  </si>
  <si>
    <t>NICOLE PHILLIPS Change of flight for Shanndon at HD</t>
  </si>
  <si>
    <t>Car Rental</t>
  </si>
  <si>
    <t>NICOLE PHILLIPS Car rental for Home Depot Tech Bernadette</t>
  </si>
  <si>
    <t>AMTRAV 2623436989</t>
  </si>
  <si>
    <t>Alexander Allen-Tunsil Seat Selection</t>
  </si>
  <si>
    <t>Rebecca Tien TFI-12431</t>
  </si>
  <si>
    <t>NetSuite Check 157</t>
  </si>
  <si>
    <t>Rebecca Tien FE tool request for technician</t>
  </si>
  <si>
    <t>Rebecca Tien TFI-12578</t>
  </si>
  <si>
    <t>Rebecca Tien TFI-12580</t>
  </si>
  <si>
    <t>Rebecca Tien 28.66</t>
  </si>
  <si>
    <t>NICOLE PHILLIPS Airfare for HD tech Bernadette</t>
  </si>
  <si>
    <t>THE HOME DEPOT #2107</t>
  </si>
  <si>
    <t>Rebecca Tien John Deere Bot Return - blocking tools and lumber</t>
  </si>
  <si>
    <t>Truck Rental</t>
  </si>
  <si>
    <t>Rebecca Tien John Deere LSC bot returns (rebooked)</t>
  </si>
  <si>
    <t>Rebecca Tien John Deere BOL</t>
  </si>
  <si>
    <t>Penske Truck Rental</t>
  </si>
  <si>
    <t>Rebecca Tien John Deere Bot return (penske to move between FWH and Altoona) - le</t>
  </si>
  <si>
    <t>AMTRAV</t>
  </si>
  <si>
    <t>JAMES MEAD-9311-ANAM AICM T2 SALA P CIUDAD DE ME CM</t>
  </si>
  <si>
    <t>FLOCK FREIGHT XN6-24MF</t>
  </si>
  <si>
    <t>Rebecca Tien John Deere LSC bot returns (changed the date of pickup, therefore r</t>
  </si>
  <si>
    <t>NICOLE PHILLIPS Shanndon's airfare for HD coverage</t>
  </si>
  <si>
    <t>VIASAT, INC.</t>
  </si>
  <si>
    <t>DAVID POLK-4816-VIASAT, INC. 8669453258 CA</t>
  </si>
  <si>
    <t>Rebecca Tien John Deere LSC bot returns</t>
  </si>
  <si>
    <t>NetSuite Journal JE410</t>
  </si>
  <si>
    <t>HERTZ USD MERIDA YUC MX</t>
  </si>
  <si>
    <t>SMARTPY*HOTCITYCETPO</t>
  </si>
  <si>
    <t>NICOLE PHILLIPS James Murphy traveled to Mercado Libre to assist in maintenance</t>
  </si>
  <si>
    <t>SMARTPY*HOTCITYCETPO MEXICO MEX MX | 2604 2407.20 484 0.057863908</t>
  </si>
  <si>
    <t>Nolan Transportation Group</t>
  </si>
  <si>
    <t>MARSHALLING YARD:  to HQ</t>
  </si>
  <si>
    <t>NetSuite VendBill 9302499</t>
  </si>
  <si>
    <t>LAYOVER</t>
  </si>
  <si>
    <t>Excluded – non-field (Mar–Apr 6100/6120)</t>
  </si>
  <si>
    <t>Mar–Apr ride share, meals, WeWork (no memo)</t>
  </si>
  <si>
    <t>DELTA 00624239698375 DELTA.COM CA</t>
  </si>
  <si>
    <t>AGASERVICECO MAR   TT</t>
  </si>
  <si>
    <t>NICOLE PHILLIPS I bought hot insurance for fear there would be an issue at check</t>
  </si>
  <si>
    <t>HQ to MARSHALLING YARD</t>
  </si>
  <si>
    <t>NetSuite VendBill 9307812</t>
  </si>
  <si>
    <t>DETENTION</t>
  </si>
  <si>
    <t>Uber Trip PQX7VTDN</t>
  </si>
  <si>
    <t>Flock Freight Inc.</t>
  </si>
  <si>
    <t>FLOCK FREIGHT JD5-7H45 ENCINITAS CA</t>
  </si>
  <si>
    <t>0009P - PARKINGCOM CHICAGO IL</t>
  </si>
  <si>
    <t>Uber Trip KIQS242E</t>
  </si>
  <si>
    <t>VOID</t>
  </si>
  <si>
    <t>NetSuite Check 63</t>
  </si>
  <si>
    <t>RUTHS CHRIS STEAK HOUS</t>
  </si>
  <si>
    <t>UBER EATS</t>
  </si>
  <si>
    <t>WORLDWIDE EXPRESS DALLAS TX</t>
  </si>
  <si>
    <t>Uber Trip C3LB6QXH</t>
  </si>
  <si>
    <t>AMAZON MARK* BC10C8B90 SEATTLE WA</t>
  </si>
  <si>
    <t>Uber Trip 7JNV5RRI</t>
  </si>
  <si>
    <t>TST* DANIELS BROILER - D</t>
  </si>
  <si>
    <t>Uber Trip MJMG4QEO</t>
  </si>
  <si>
    <t>AMAZON MKTPL*B72FV8Q52 SEATTLE WA</t>
  </si>
  <si>
    <t>AMAZON MKTPL*BG3SR9UJ0 SEATTLE WA</t>
  </si>
  <si>
    <t>AMAZON MKTPL*B712H8XC2 SEATTLE WA</t>
  </si>
  <si>
    <t>AMAZON MKTPL*B71OO50D2 SEATTLE WA</t>
  </si>
  <si>
    <t>AMAZON MKTPL*B73388PG2 SEATTLE WA</t>
  </si>
  <si>
    <t>AMAZON MKTPL*BG6W909E1 SEATTLE WA</t>
  </si>
  <si>
    <t>AMAZON MKTPL*BG0KU5RV1 SEATTLE WA</t>
  </si>
  <si>
    <t>Uber Trip WXQAC4XG</t>
  </si>
  <si>
    <t>MAGGIE MILEYS</t>
  </si>
  <si>
    <t>AMAZON MKTPL*BG0ZY2NC0 SEATTLE WA</t>
  </si>
  <si>
    <t>Rebecca Tien TFI-12203</t>
  </si>
  <si>
    <t>Rebecca TienRMA rollers from Valeo</t>
  </si>
  <si>
    <t>DELTA 00624184057991 ATLANTA GA</t>
  </si>
  <si>
    <t>ULINE  *SHIP SUPPLIES</t>
  </si>
  <si>
    <t>Rebecca Tien Packing material for FWH</t>
  </si>
  <si>
    <t>AMAZON MKTPL*B56ON4N61</t>
  </si>
  <si>
    <t>Rebecca Tien Topicz 5S Spill Kit and Shelving</t>
  </si>
  <si>
    <t>THE HOME DEPOT #3832</t>
  </si>
  <si>
    <t>Rebecca Tien 5S at Rivian</t>
  </si>
  <si>
    <t>AMAZON MKTPL*B584Z4I72</t>
  </si>
  <si>
    <t>Rebecca Tien 5S at Topicz</t>
  </si>
  <si>
    <t>THE HOME DEPOT #1978</t>
  </si>
  <si>
    <t>AMAZON MKTPL*BD8NE26N1</t>
  </si>
  <si>
    <t>AMAZON MKTPLACE PMTS   SEATTLE       USA</t>
  </si>
  <si>
    <t>UBER EATS IFNVTYW3</t>
  </si>
  <si>
    <t>Uber Trip 24R2RXHQ</t>
  </si>
  <si>
    <t>AMAZON MKTPL*BD6IV8T02</t>
  </si>
  <si>
    <t>Rebecca Tien Rivian Deployment extra TV Stand</t>
  </si>
  <si>
    <t>Uber Trip E64XIHQO</t>
  </si>
  <si>
    <t>Uber Trip UYAZRXOK</t>
  </si>
  <si>
    <t>Uber Trip Y2CHTDSV</t>
  </si>
  <si>
    <t>We Work</t>
  </si>
  <si>
    <t>YWW*WEWORK 2EMBARCADEROC</t>
  </si>
  <si>
    <t>FISH &amp; FARM</t>
  </si>
  <si>
    <t>Uber Trip 5H33LXAA</t>
  </si>
  <si>
    <t>PRAIRIE MARKET ST2293 (Newsstand)</t>
  </si>
  <si>
    <t>AMAZON MKTPL*BE6V65J40</t>
  </si>
  <si>
    <t>Rebecca Tien Lucid 5S - Spill Kit Isopropyl Alcohol</t>
  </si>
  <si>
    <t>AMAZON MKTPL*BE7SE5S71</t>
  </si>
  <si>
    <t>Rebecca Tien Lucid 5S - Spill Kit</t>
  </si>
  <si>
    <t>Reimbursement</t>
  </si>
  <si>
    <t>NetSuite Journal JE212</t>
  </si>
  <si>
    <t>Uber Trip 5G3FSS4B</t>
  </si>
  <si>
    <t>AMAZON MKTPL*BP86B4VX2</t>
  </si>
  <si>
    <t>Rebecca Tien Lucid 5S - cabinet</t>
  </si>
  <si>
    <t>Rebecca Tien 5S at Lucid</t>
  </si>
  <si>
    <t>Uber Trip HW5LOBIV</t>
  </si>
  <si>
    <t>4030 VILLA OFFICE TAVE</t>
  </si>
  <si>
    <t>Mexico - Adam</t>
  </si>
  <si>
    <t>Toll ticket from Shanddon Rivian tech training.</t>
  </si>
  <si>
    <t>FAIRFIELD INN &amp; SUITES</t>
  </si>
  <si>
    <t>Hotel room for Victor to attend early Mercado Libre training</t>
  </si>
  <si>
    <t>Rebecca Tien Topicz Deployment - tools</t>
  </si>
  <si>
    <t>TITAN FITTINGS         DENVER        USA</t>
  </si>
  <si>
    <t>MSC</t>
  </si>
  <si>
    <t>TV for the onsite dock monitors at Mercedes</t>
  </si>
  <si>
    <t>Penske</t>
  </si>
  <si>
    <t>Shanndon Rivian Tech car rental</t>
  </si>
  <si>
    <t>Hotel stay for Jerry Carter Mercedes Tech</t>
  </si>
  <si>
    <t>New techs and training staff lunch</t>
  </si>
  <si>
    <t>Lenovo</t>
  </si>
  <si>
    <t>Laptop for 1/2 new techs Rivian/Mercedes</t>
  </si>
  <si>
    <t>ULINE  *SHIP SUPPLIES  PLEASANT PRAI USA</t>
  </si>
  <si>
    <t>Rebecca Tien TFI-11312</t>
  </si>
  <si>
    <t>NetSuite Journal JE119</t>
  </si>
  <si>
    <t>parcel shipping</t>
  </si>
  <si>
    <t>NetSuite CardChrg lo4m56qsnuow7j2fcjaj8fd1l2z4kc5yz982tdc5</t>
  </si>
  <si>
    <t>Misc Suppliers</t>
  </si>
  <si>
    <t>FMM laptop replacement.</t>
  </si>
  <si>
    <t>NetSuite CardChrg 2bgdpkztx5oaq34o2xsx8dzehnvd5xe14ugjnfj5</t>
  </si>
  <si>
    <t>NetSuite VendBill 9080454</t>
  </si>
  <si>
    <t>Rebecca Tien Parcel ship and package pickup</t>
  </si>
  <si>
    <t>Rebecca Tien Parcel ship</t>
  </si>
  <si>
    <t>Payroll</t>
  </si>
  <si>
    <t>NetSuite Journal JE88</t>
  </si>
  <si>
    <t>Parcel shipping</t>
  </si>
  <si>
    <t>Rental car for Mega tech</t>
  </si>
  <si>
    <t>New tech and FE trainers lunch &amp; learn</t>
  </si>
  <si>
    <t>New Mega Tech Laptop</t>
  </si>
  <si>
    <t>Gas Stations</t>
  </si>
  <si>
    <t>Hotels stay for Tesla Mega tech</t>
  </si>
  <si>
    <t>Tesla Mega new tech flight</t>
  </si>
  <si>
    <t>Total, all rows</t>
  </si>
  <si>
    <t>Total excluding Excluded rows</t>
  </si>
</sst>
</file>

<file path=xl/styles.xml><?xml version="1.0" encoding="utf-8"?>
<styleSheet xmlns="http://schemas.openxmlformats.org/spreadsheetml/2006/main" xmlns:x14ac="http://schemas.microsoft.com/office/spreadsheetml/2009/9/ac" xmlns:mc="http://schemas.openxmlformats.org/markup-compatibility/2006">
  <numFmts count="29">
    <numFmt numFmtId="164" formatCode="#,##0;\(#,##0\);\-"/>
    <numFmt numFmtId="165" formatCode="&quot;$&quot;#,##0,;\(&quot;$&quot;#,##0,\);\-"/>
    <numFmt numFmtId="166" formatCode="#,##0.0;\(#,##0.0\);\-"/>
    <numFmt numFmtId="167" formatCode="0.0%;\(0.0%\);\-"/>
    <numFmt numFmtId="168" formatCode="0.0%"/>
    <numFmt numFmtId="169" formatCode="&quot;$&quot;#,##0;\(&quot;$&quot;#,##0\);&quot;-&quot;"/>
    <numFmt numFmtId="170" formatCode="#,##0.00;\(#,##0.00\);\-"/>
    <numFmt numFmtId="171" formatCode="0.0"/>
    <numFmt numFmtId="172" formatCode="&quot;$&quot;#,##0"/>
    <numFmt numFmtId="173" formatCode="#,##0;\(#,##0\);&quot;-&quot;"/>
    <numFmt numFmtId="174" formatCode="#,##0.0;\(#,##0.0\);&quot;-&quot;"/>
    <numFmt numFmtId="175" formatCode="&quot;$&quot;#,##0.00;\(&quot;$&quot;#,##0.00\);&quot;-&quot;"/>
    <numFmt numFmtId="176" formatCode="&quot;$&quot;#,##0_);\(&quot;$&quot;#,##0\)"/>
    <numFmt numFmtId="177" formatCode="&quot;$&quot;#,##0.00_);\(&quot;$&quot;#,##0.00\)"/>
    <numFmt numFmtId="178" formatCode="0.0&quot;x&quot;"/>
    <numFmt numFmtId="179" formatCode="0.0;\(0.0\);&quot;-&quot;"/>
    <numFmt numFmtId="180" formatCode="&quot;$&quot;#,##0;(&quot;$&quot;#,##0);&quot;-&quot;"/>
    <numFmt numFmtId="181" formatCode="&quot;$&quot;#,##0.00"/>
    <numFmt numFmtId="182" formatCode="mmm-yy"/>
    <numFmt numFmtId="183" formatCode="mmm-d"/>
    <numFmt numFmtId="184" formatCode="#,##0.0;(#,##0.0);&quot;-&quot;"/>
    <numFmt numFmtId="185" formatCode="#,##0;(#,##0);&quot;-&quot;"/>
    <numFmt numFmtId="186" formatCode="0.0%;(0.0%);&quot;-&quot;"/>
    <numFmt numFmtId="187" formatCode="$#,##0"/>
    <numFmt numFmtId="188" formatCode="#,##0.0"/>
    <numFmt numFmtId="189" formatCode="0.000"/>
    <numFmt numFmtId="190" formatCode="yyyy-mm-dd"/>
    <numFmt numFmtId="191" formatCode="&quot;$&quot;#,##0.00;(&quot;$&quot;#,##0.00);&quot;-&quot;"/>
    <numFmt numFmtId="192" formatCode="#,##0.#"/>
  </numFmts>
  <fonts count="53">
    <font>
      <sz val="11.0"/>
      <color theme="1"/>
      <name val="Aptos Narrow"/>
      <scheme val="minor"/>
    </font>
    <font>
      <b/>
      <sz val="16.0"/>
      <color theme="1"/>
      <name val="Calibri"/>
    </font>
    <font>
      <sz val="11.0"/>
      <color theme="1"/>
      <name val="Calibri"/>
    </font>
    <font>
      <i/>
      <sz val="11.0"/>
      <color rgb="FF595959"/>
      <name val="Calibri"/>
    </font>
    <font>
      <sz val="9.0"/>
      <color rgb="FF595959"/>
      <name val="Calibri"/>
    </font>
    <font>
      <b/>
      <sz val="11.0"/>
      <color rgb="FFFFFFFF"/>
      <name val="Calibri"/>
    </font>
    <font>
      <b/>
      <sz val="10.0"/>
      <color theme="1"/>
      <name val="Calibri"/>
    </font>
    <font>
      <b/>
      <sz val="11.0"/>
      <color theme="1"/>
      <name val="Calibri"/>
    </font>
    <font>
      <sz val="10.0"/>
      <color theme="1"/>
      <name val="Calibri"/>
    </font>
    <font>
      <i/>
      <sz val="10.0"/>
      <color theme="1"/>
      <name val="Calibri"/>
    </font>
    <font>
      <i/>
      <sz val="11.0"/>
      <color theme="1"/>
      <name val="Calibri"/>
    </font>
    <font>
      <b/>
      <sz val="10.0"/>
      <color rgb="FFC00000"/>
      <name val="Calibri"/>
    </font>
    <font>
      <b/>
      <sz val="16.0"/>
      <color rgb="FF0000CC"/>
      <name val="Calibri"/>
    </font>
    <font>
      <sz val="10.0"/>
      <color rgb="FF0000CC"/>
      <name val="Calibri"/>
    </font>
    <font>
      <b/>
      <sz val="12.0"/>
      <color theme="1"/>
      <name val="Calibri"/>
    </font>
    <font>
      <b/>
      <sz val="10.0"/>
      <color rgb="FF0000CC"/>
      <name val="Calibri"/>
    </font>
    <font>
      <b/>
      <sz val="10.0"/>
      <color rgb="FF993300"/>
      <name val="Calibri"/>
    </font>
    <font>
      <b/>
      <sz val="10.0"/>
      <color rgb="FF000000"/>
      <name val="Calibri"/>
    </font>
    <font>
      <sz val="10.0"/>
      <color rgb="FF000000"/>
      <name val="Calibri"/>
    </font>
    <font>
      <sz val="10.0"/>
      <color theme="6"/>
      <name val="Calibri"/>
    </font>
    <font>
      <sz val="10.0"/>
      <color rgb="FF007E00"/>
      <name val="Calibri"/>
    </font>
    <font>
      <sz val="10.0"/>
      <color rgb="FF060606"/>
      <name val="Calibri"/>
    </font>
    <font>
      <b/>
      <sz val="14.0"/>
      <color theme="1"/>
      <name val="Calibri"/>
    </font>
    <font>
      <sz val="11.0"/>
      <color rgb="FF0000FF"/>
      <name val="Calibri"/>
    </font>
    <font>
      <sz val="11.0"/>
      <color rgb="FF008000"/>
      <name val="Calibri"/>
    </font>
    <font>
      <i/>
      <sz val="9.0"/>
      <color rgb="FF595959"/>
      <name val="Calibri"/>
    </font>
    <font>
      <i/>
      <sz val="11.0"/>
      <color rgb="FF808080"/>
      <name val="Calibri"/>
    </font>
    <font>
      <b/>
      <sz val="14.0"/>
      <color theme="1"/>
      <name val="Aptos Narrow"/>
    </font>
    <font>
      <color theme="1"/>
      <name val="Aptos Narrow"/>
      <scheme val="minor"/>
    </font>
    <font>
      <i/>
      <sz val="11.0"/>
      <color rgb="FF595959"/>
      <name val="Aptos Narrow"/>
    </font>
    <font>
      <b/>
      <sz val="11.0"/>
      <color rgb="FFFFFFFF"/>
      <name val="Aptos Narrow"/>
    </font>
    <font>
      <b/>
      <sz val="11.0"/>
      <color theme="1"/>
      <name val="Aptos Narrow"/>
    </font>
    <font>
      <sz val="11.0"/>
      <color theme="1"/>
      <name val="Aptos Narrow"/>
    </font>
    <font>
      <sz val="11.0"/>
      <color rgb="FF0000FF"/>
      <name val="Aptos Narrow"/>
    </font>
    <font>
      <sz val="11.0"/>
      <color rgb="FF0000CC"/>
      <name val="Aptos Narrow"/>
    </font>
    <font>
      <sz val="11.0"/>
      <color rgb="FF000000"/>
      <name val="Aptos Narrow"/>
    </font>
    <font>
      <b/>
      <sz val="11.0"/>
      <color rgb="FF000000"/>
      <name val="Aptos Narrow"/>
    </font>
    <font>
      <b/>
      <sz val="11.0"/>
      <color rgb="FF0000FF"/>
      <name val="Aptos Narrow"/>
    </font>
    <font>
      <sz val="11.0"/>
      <color rgb="FF008000"/>
      <name val="Aptos Narrow"/>
    </font>
    <font>
      <i/>
      <sz val="11.0"/>
      <color theme="1"/>
      <name val="Aptos Narrow"/>
    </font>
    <font>
      <b/>
      <sz val="14.0"/>
      <color rgb="FF1F3764"/>
      <name val="Calibri"/>
    </font>
    <font>
      <b/>
      <sz val="10.0"/>
      <color rgb="FFFFFFFF"/>
      <name val="Calibri"/>
    </font>
    <font>
      <sz val="10.0"/>
      <color rgb="FF0000FF"/>
      <name val="Calibri"/>
    </font>
    <font>
      <sz val="10.0"/>
      <color rgb="FF007F00"/>
      <name val="Calibri"/>
    </font>
    <font>
      <b/>
      <sz val="14.0"/>
      <color rgb="FF1F3864"/>
      <name val="Calibri"/>
    </font>
    <font>
      <sz val="11.0"/>
      <color rgb="FF007F00"/>
      <name val="Calibri"/>
    </font>
    <font>
      <sz val="11.0"/>
      <color rgb="FF000000"/>
      <name val="Calibri"/>
    </font>
    <font>
      <b/>
      <i/>
      <sz val="11.0"/>
      <color theme="1"/>
      <name val="Calibri"/>
    </font>
    <font>
      <i/>
      <sz val="10.0"/>
      <color rgb="FF666666"/>
      <name val="Calibri"/>
    </font>
    <font>
      <b/>
      <i/>
      <sz val="10.0"/>
      <color rgb="FF666666"/>
      <name val="Calibri"/>
    </font>
    <font>
      <b/>
      <sz val="10.0"/>
      <color rgb="FF1F3764"/>
      <name val="Calibri"/>
    </font>
    <font>
      <i/>
      <sz val="10.0"/>
      <color rgb="FF585858"/>
      <name val="Calibri"/>
    </font>
    <font>
      <u/>
      <sz val="10.0"/>
      <color rgb="FF0000FF"/>
      <name val="Calibri"/>
    </font>
  </fonts>
  <fills count="19">
    <fill>
      <patternFill patternType="none"/>
    </fill>
    <fill>
      <patternFill patternType="lightGray"/>
    </fill>
    <fill>
      <patternFill patternType="solid">
        <fgColor rgb="FF1F3864"/>
        <bgColor rgb="FF1F3864"/>
      </patternFill>
    </fill>
    <fill>
      <patternFill patternType="solid">
        <fgColor rgb="FFBDD7EE"/>
        <bgColor rgb="FFBDD7EE"/>
      </patternFill>
    </fill>
    <fill>
      <patternFill patternType="solid">
        <fgColor rgb="FFF2F2F2"/>
        <bgColor rgb="FFF2F2F2"/>
      </patternFill>
    </fill>
    <fill>
      <patternFill patternType="solid">
        <fgColor rgb="FFC6E0B4"/>
        <bgColor rgb="FFC6E0B4"/>
      </patternFill>
    </fill>
    <fill>
      <patternFill patternType="solid">
        <fgColor rgb="FFF8CBAD"/>
        <bgColor rgb="FFF8CBAD"/>
      </patternFill>
    </fill>
    <fill>
      <patternFill patternType="solid">
        <fgColor rgb="FFFFE699"/>
        <bgColor rgb="FFFFE699"/>
      </patternFill>
    </fill>
    <fill>
      <patternFill patternType="solid">
        <fgColor rgb="FFD9D9D9"/>
        <bgColor rgb="FFD9D9D9"/>
      </patternFill>
    </fill>
    <fill>
      <patternFill patternType="solid">
        <fgColor rgb="FFD0D0D0"/>
        <bgColor rgb="FFD0D0D0"/>
      </patternFill>
    </fill>
    <fill>
      <patternFill patternType="solid">
        <fgColor rgb="FFDBE9F7"/>
        <bgColor rgb="FFDBE9F7"/>
      </patternFill>
    </fill>
    <fill>
      <patternFill patternType="solid">
        <fgColor rgb="FFD9F2D0"/>
        <bgColor rgb="FFD9F2D0"/>
      </patternFill>
    </fill>
    <fill>
      <patternFill patternType="solid">
        <fgColor rgb="FFFAE2D5"/>
        <bgColor rgb="FFFAE2D5"/>
      </patternFill>
    </fill>
    <fill>
      <patternFill patternType="solid">
        <fgColor rgb="FFFFFFCC"/>
        <bgColor rgb="FFFFFFCC"/>
      </patternFill>
    </fill>
    <fill>
      <patternFill patternType="solid">
        <fgColor rgb="FFD8D8D8"/>
        <bgColor rgb="FFD8D8D8"/>
      </patternFill>
    </fill>
    <fill>
      <patternFill patternType="solid">
        <fgColor rgb="FFD9E1F2"/>
        <bgColor rgb="FFD9E1F2"/>
      </patternFill>
    </fill>
    <fill>
      <patternFill patternType="solid">
        <fgColor rgb="FF1F3764"/>
        <bgColor rgb="FF1F3764"/>
      </patternFill>
    </fill>
    <fill>
      <patternFill patternType="solid">
        <fgColor rgb="FFFFFFFF"/>
        <bgColor rgb="FFFFFFFF"/>
      </patternFill>
    </fill>
    <fill>
      <patternFill patternType="solid">
        <fgColor rgb="FFD9E0F1"/>
        <bgColor rgb="FFD9E0F1"/>
      </patternFill>
    </fill>
  </fills>
  <borders count="28">
    <border/>
    <border>
      <left/>
      <right/>
      <top/>
      <bottom/>
    </border>
    <border>
      <left/>
      <right style="thin">
        <color rgb="FF7F7F7F"/>
      </right>
      <top/>
      <bottom/>
    </border>
    <border>
      <right style="thin">
        <color rgb="FF7F7F7F"/>
      </right>
    </border>
    <border>
      <top style="thin">
        <color rgb="FF000000"/>
      </top>
    </border>
    <border>
      <right style="thin">
        <color rgb="FF7F7F7F"/>
      </right>
      <top style="thin">
        <color rgb="FF000000"/>
      </top>
    </border>
    <border>
      <left/>
      <right/>
      <top style="thin">
        <color rgb="FF000000"/>
      </top>
      <bottom/>
    </border>
    <border>
      <top style="thin">
        <color rgb="FF000000"/>
      </top>
      <bottom style="thin">
        <color rgb="FF000000"/>
      </bottom>
    </border>
    <border>
      <right style="thin">
        <color rgb="FF7F7F7F"/>
      </right>
      <top style="thin">
        <color rgb="FF000000"/>
      </top>
      <bottom style="thin">
        <color rgb="FF000000"/>
      </bottom>
    </border>
    <border>
      <left/>
      <right/>
      <top style="thin">
        <color rgb="FF000000"/>
      </top>
      <bottom style="thin">
        <color rgb="FF000000"/>
      </bottom>
    </border>
    <border>
      <bottom style="thin">
        <color rgb="FF000000"/>
      </bottom>
    </border>
    <border>
      <top style="dotted">
        <color rgb="FFC0C0C0"/>
      </top>
    </border>
    <border>
      <top style="dotted">
        <color rgb="FF969696"/>
      </top>
    </border>
    <border>
      <top style="thin">
        <color rgb="FF000000"/>
      </top>
      <bottom style="double">
        <color rgb="FF000000"/>
      </bottom>
    </border>
    <border>
      <left/>
      <right/>
      <top style="thin">
        <color rgb="FF000000"/>
      </top>
      <bottom style="double">
        <color rgb="FF000000"/>
      </bottom>
    </border>
    <border>
      <left style="thin">
        <color rgb="FFBFBFBF"/>
      </left>
      <right style="thin">
        <color rgb="FFBFBFBF"/>
      </right>
      <top style="thin">
        <color rgb="FFBFBFBF"/>
      </top>
      <bottom style="thin">
        <color rgb="FFBFBFBF"/>
      </bottom>
    </border>
    <border>
      <top style="thin">
        <color rgb="FF1F3764"/>
      </top>
    </border>
    <border>
      <top style="thin">
        <color rgb="FF1E3863"/>
      </top>
    </border>
    <border>
      <top style="thin">
        <color rgb="FF999999"/>
      </top>
    </border>
    <border>
      <left style="thin">
        <color rgb="FFBFBFBF"/>
      </left>
      <top style="thin">
        <color rgb="FFBFBFBF"/>
      </top>
      <bottom style="thin">
        <color rgb="FFD8D8D8"/>
      </bottom>
    </border>
    <border>
      <top style="thin">
        <color rgb="FFBFBFBF"/>
      </top>
      <bottom style="thin">
        <color rgb="FFD8D8D8"/>
      </bottom>
    </border>
    <border>
      <right style="thin">
        <color rgb="FFBFBFBF"/>
      </right>
      <top style="thin">
        <color rgb="FFBFBFBF"/>
      </top>
      <bottom style="thin">
        <color rgb="FFD8D8D8"/>
      </bottom>
    </border>
    <border>
      <left style="thin">
        <color rgb="FFBFBFBF"/>
      </left>
      <top style="thin">
        <color rgb="FFD8D8D8"/>
      </top>
      <bottom style="thin">
        <color rgb="FFD8D8D8"/>
      </bottom>
    </border>
    <border>
      <top style="thin">
        <color rgb="FFD8D8D8"/>
      </top>
      <bottom style="thin">
        <color rgb="FFD8D8D8"/>
      </bottom>
    </border>
    <border>
      <right style="thin">
        <color rgb="FFBFBFBF"/>
      </right>
      <top style="thin">
        <color rgb="FFD8D8D8"/>
      </top>
      <bottom style="thin">
        <color rgb="FFD8D8D8"/>
      </bottom>
    </border>
    <border>
      <left style="thin">
        <color rgb="FFBFBFBF"/>
      </left>
      <top style="thin">
        <color rgb="FFD8D8D8"/>
      </top>
      <bottom style="thin">
        <color rgb="FFBFBFBF"/>
      </bottom>
    </border>
    <border>
      <top style="thin">
        <color rgb="FFD8D8D8"/>
      </top>
      <bottom style="thin">
        <color rgb="FFBFBFBF"/>
      </bottom>
    </border>
    <border>
      <right style="thin">
        <color rgb="FFBFBFBF"/>
      </right>
      <top style="thin">
        <color rgb="FFD8D8D8"/>
      </top>
      <bottom style="thin">
        <color rgb="FFBFBFBF"/>
      </bottom>
    </border>
  </borders>
  <cellStyleXfs count="1">
    <xf borderId="0" fillId="0" fontId="0" numFmtId="0" applyAlignment="1" applyFont="1"/>
  </cellStyleXfs>
  <cellXfs count="40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center"/>
    </xf>
    <xf borderId="1" fillId="2" fontId="5" numFmtId="17" xfId="0" applyAlignment="1" applyBorder="1" applyFill="1" applyFont="1" applyNumberFormat="1">
      <alignment horizontal="center"/>
    </xf>
    <xf borderId="2" fillId="2" fontId="5" numFmtId="17" xfId="0" applyAlignment="1" applyBorder="1" applyFill="1" applyFont="1" applyNumberFormat="1">
      <alignment horizontal="center"/>
    </xf>
    <xf borderId="1" fillId="3" fontId="6" numFmtId="0" xfId="0" applyBorder="1" applyFill="1" applyFont="1"/>
    <xf borderId="1" fillId="3" fontId="7" numFmtId="0" xfId="0" applyBorder="1" applyFill="1" applyFont="1"/>
    <xf borderId="2" fillId="3" fontId="7" numFmtId="0" xfId="0" applyBorder="1" applyFill="1" applyFont="1"/>
    <xf borderId="0" fillId="0" fontId="8" numFmtId="0" xfId="0" applyFont="1"/>
    <xf borderId="0" fillId="0" fontId="2" numFmtId="164" xfId="0" applyFont="1" applyNumberFormat="1"/>
    <xf borderId="3" fillId="0" fontId="2" numFmtId="164" xfId="0" applyBorder="1" applyFont="1" applyNumberFormat="1"/>
    <xf borderId="1" fillId="4" fontId="2" numFmtId="164" xfId="0" applyBorder="1" applyFill="1" applyFont="1" applyNumberFormat="1"/>
    <xf borderId="0" fillId="0" fontId="2" numFmtId="165" xfId="0" applyFont="1" applyNumberFormat="1"/>
    <xf borderId="3" fillId="0" fontId="2" numFmtId="165" xfId="0" applyBorder="1" applyFont="1" applyNumberFormat="1"/>
    <xf borderId="1" fillId="4" fontId="2" numFmtId="165" xfId="0" applyBorder="1" applyFill="1" applyFont="1" applyNumberFormat="1"/>
    <xf borderId="4" fillId="0" fontId="6" numFmtId="0" xfId="0" applyBorder="1" applyFont="1"/>
    <xf borderId="4" fillId="0" fontId="7" numFmtId="164" xfId="0" applyBorder="1" applyFont="1" applyNumberFormat="1"/>
    <xf borderId="5" fillId="0" fontId="7" numFmtId="164" xfId="0" applyBorder="1" applyFont="1" applyNumberFormat="1"/>
    <xf borderId="6" fillId="4" fontId="7" numFmtId="164" xfId="0" applyBorder="1" applyFill="1" applyFont="1" applyNumberFormat="1"/>
    <xf borderId="7" fillId="0" fontId="6" numFmtId="0" xfId="0" applyBorder="1" applyFont="1"/>
    <xf borderId="7" fillId="0" fontId="7" numFmtId="165" xfId="0" applyBorder="1" applyFont="1" applyNumberFormat="1"/>
    <xf borderId="8" fillId="0" fontId="7" numFmtId="165" xfId="0" applyBorder="1" applyFont="1" applyNumberFormat="1"/>
    <xf borderId="9" fillId="4" fontId="7" numFmtId="165" xfId="0" applyBorder="1" applyFill="1" applyFont="1" applyNumberFormat="1"/>
    <xf borderId="3" fillId="0" fontId="2" numFmtId="0" xfId="0" applyBorder="1" applyFont="1"/>
    <xf borderId="1" fillId="4" fontId="2" numFmtId="0" xfId="0" applyBorder="1" applyFill="1" applyFont="1"/>
    <xf borderId="1" fillId="5" fontId="6" numFmtId="0" xfId="0" applyBorder="1" applyFill="1" applyFont="1"/>
    <xf borderId="1" fillId="5" fontId="7" numFmtId="0" xfId="0" applyBorder="1" applyFill="1" applyFont="1"/>
    <xf borderId="2" fillId="5" fontId="7" numFmtId="0" xfId="0" applyBorder="1" applyFill="1" applyFont="1"/>
    <xf borderId="1" fillId="6" fontId="6" numFmtId="0" xfId="0" applyBorder="1" applyFill="1" applyFont="1"/>
    <xf borderId="1" fillId="6" fontId="7" numFmtId="0" xfId="0" applyBorder="1" applyFill="1" applyFont="1"/>
    <xf borderId="2" fillId="6" fontId="7" numFmtId="0" xfId="0" applyBorder="1" applyFill="1" applyFont="1"/>
    <xf borderId="0" fillId="0" fontId="9" numFmtId="0" xfId="0" applyFont="1"/>
    <xf borderId="0" fillId="0" fontId="10" numFmtId="166" xfId="0" applyFont="1" applyNumberFormat="1"/>
    <xf borderId="3" fillId="0" fontId="10" numFmtId="166" xfId="0" applyBorder="1" applyFont="1" applyNumberFormat="1"/>
    <xf borderId="1" fillId="4" fontId="10" numFmtId="166" xfId="0" applyBorder="1" applyFill="1" applyFont="1" applyNumberFormat="1"/>
    <xf borderId="4" fillId="0" fontId="8" numFmtId="0" xfId="0" applyBorder="1" applyFont="1"/>
    <xf borderId="4" fillId="0" fontId="2" numFmtId="165" xfId="0" applyBorder="1" applyFont="1" applyNumberFormat="1"/>
    <xf borderId="5" fillId="0" fontId="2" numFmtId="165" xfId="0" applyBorder="1" applyFont="1" applyNumberFormat="1"/>
    <xf borderId="6" fillId="4" fontId="2" numFmtId="165" xfId="0" applyBorder="1" applyFill="1" applyFont="1" applyNumberFormat="1"/>
    <xf borderId="1" fillId="7" fontId="11" numFmtId="0" xfId="0" applyBorder="1" applyFill="1" applyFont="1"/>
    <xf borderId="1" fillId="7" fontId="7" numFmtId="0" xfId="0" applyBorder="1" applyFill="1" applyFont="1"/>
    <xf borderId="2" fillId="7" fontId="7" numFmtId="0" xfId="0" applyBorder="1" applyFill="1" applyFont="1"/>
    <xf borderId="0" fillId="0" fontId="10" numFmtId="164" xfId="0" applyFont="1" applyNumberFormat="1"/>
    <xf borderId="3" fillId="0" fontId="10" numFmtId="164" xfId="0" applyBorder="1" applyFont="1" applyNumberFormat="1"/>
    <xf borderId="1" fillId="4" fontId="10" numFmtId="164" xfId="0" applyBorder="1" applyFill="1" applyFont="1" applyNumberFormat="1"/>
    <xf borderId="0" fillId="0" fontId="10" numFmtId="165" xfId="0" applyFont="1" applyNumberFormat="1"/>
    <xf borderId="3" fillId="0" fontId="10" numFmtId="165" xfId="0" applyBorder="1" applyFont="1" applyNumberFormat="1"/>
    <xf borderId="1" fillId="4" fontId="10" numFmtId="165" xfId="0" applyBorder="1" applyFill="1" applyFont="1" applyNumberFormat="1"/>
    <xf borderId="1" fillId="8" fontId="6" numFmtId="0" xfId="0" applyBorder="1" applyFill="1" applyFont="1"/>
    <xf borderId="1" fillId="8" fontId="7" numFmtId="0" xfId="0" applyBorder="1" applyFill="1" applyFont="1"/>
    <xf borderId="2" fillId="8" fontId="7" numFmtId="0" xfId="0" applyBorder="1" applyFill="1" applyFont="1"/>
    <xf borderId="0" fillId="0" fontId="8" numFmtId="0" xfId="0" applyAlignment="1" applyFont="1">
      <alignment shrinkToFit="0" vertical="top" wrapText="1"/>
    </xf>
    <xf borderId="0" fillId="0" fontId="6" numFmtId="0" xfId="0" applyFont="1"/>
    <xf borderId="0" fillId="0" fontId="7" numFmtId="164" xfId="0" applyFont="1" applyNumberFormat="1"/>
    <xf borderId="3" fillId="0" fontId="7" numFmtId="164" xfId="0" applyBorder="1" applyFont="1" applyNumberFormat="1"/>
    <xf borderId="1" fillId="4" fontId="7" numFmtId="164" xfId="0" applyBorder="1" applyFill="1" applyFont="1" applyNumberFormat="1"/>
    <xf borderId="7" fillId="0" fontId="7" numFmtId="164" xfId="0" applyBorder="1" applyFont="1" applyNumberFormat="1"/>
    <xf borderId="8" fillId="0" fontId="7" numFmtId="164" xfId="0" applyBorder="1" applyFont="1" applyNumberFormat="1"/>
    <xf borderId="9" fillId="4" fontId="7" numFmtId="164" xfId="0" applyBorder="1" applyFill="1" applyFont="1" applyNumberFormat="1"/>
    <xf borderId="0" fillId="0" fontId="10" numFmtId="167" xfId="0" applyFont="1" applyNumberFormat="1"/>
    <xf borderId="3" fillId="0" fontId="10" numFmtId="167" xfId="0" applyBorder="1" applyFont="1" applyNumberFormat="1"/>
    <xf borderId="1" fillId="4" fontId="10" numFmtId="167" xfId="0" applyBorder="1" applyFill="1" applyFont="1" applyNumberFormat="1"/>
    <xf borderId="1" fillId="9" fontId="12" numFmtId="0" xfId="0" applyAlignment="1" applyBorder="1" applyFill="1" applyFont="1">
      <alignment horizontal="left"/>
    </xf>
    <xf borderId="0" fillId="0" fontId="13" numFmtId="9" xfId="0" applyAlignment="1" applyFont="1" applyNumberFormat="1">
      <alignment horizontal="center"/>
    </xf>
    <xf borderId="0" fillId="0" fontId="14" numFmtId="0" xfId="0" applyFont="1"/>
    <xf borderId="0" fillId="0" fontId="13" numFmtId="168" xfId="0" applyFont="1" applyNumberFormat="1"/>
    <xf borderId="0" fillId="0" fontId="6" numFmtId="0" xfId="0" applyAlignment="1" applyFont="1">
      <alignment horizontal="left"/>
    </xf>
    <xf borderId="1" fillId="10" fontId="6" numFmtId="0" xfId="0" applyAlignment="1" applyBorder="1" applyFill="1" applyFont="1">
      <alignment horizontal="center"/>
    </xf>
    <xf borderId="1" fillId="10" fontId="15" numFmtId="0" xfId="0" applyAlignment="1" applyBorder="1" applyFill="1" applyFont="1">
      <alignment horizontal="center"/>
    </xf>
    <xf borderId="1" fillId="11" fontId="16" numFmtId="0" xfId="0" applyBorder="1" applyFill="1" applyFont="1"/>
    <xf borderId="1" fillId="11" fontId="16" numFmtId="0" xfId="0" applyAlignment="1" applyBorder="1" applyFill="1" applyFont="1">
      <alignment horizontal="center"/>
    </xf>
    <xf borderId="1" fillId="12" fontId="15" numFmtId="0" xfId="0" applyAlignment="1" applyBorder="1" applyFill="1" applyFont="1">
      <alignment horizontal="center"/>
    </xf>
    <xf borderId="0" fillId="0" fontId="6" numFmtId="0" xfId="0" applyAlignment="1" applyFont="1">
      <alignment horizontal="center"/>
    </xf>
    <xf borderId="1" fillId="10" fontId="6" numFmtId="17" xfId="0" applyAlignment="1" applyBorder="1" applyFill="1" applyFont="1" applyNumberFormat="1">
      <alignment horizontal="center"/>
    </xf>
    <xf borderId="1" fillId="12" fontId="6" numFmtId="17" xfId="0" applyAlignment="1" applyBorder="1" applyFill="1" applyFont="1" applyNumberFormat="1">
      <alignment horizontal="center"/>
    </xf>
    <xf quotePrefix="1" borderId="1" fillId="12" fontId="6" numFmtId="17" xfId="0" applyAlignment="1" applyBorder="1" applyFill="1" applyFont="1" applyNumberFormat="1">
      <alignment horizontal="center"/>
    </xf>
    <xf borderId="10" fillId="0" fontId="6" numFmtId="0" xfId="0" applyAlignment="1" applyBorder="1" applyFont="1">
      <alignment horizontal="center"/>
    </xf>
    <xf borderId="0" fillId="0" fontId="17" numFmtId="0" xfId="0" applyAlignment="1" applyFont="1">
      <alignment horizontal="left" vertical="center"/>
    </xf>
    <xf borderId="0" fillId="0" fontId="8" numFmtId="37" xfId="0" applyFont="1" applyNumberFormat="1"/>
    <xf borderId="0" fillId="0" fontId="17" numFmtId="0" xfId="0" applyAlignment="1" applyFont="1">
      <alignment horizontal="left"/>
    </xf>
    <xf borderId="0" fillId="0" fontId="18" numFmtId="0" xfId="0" applyAlignment="1" applyFont="1">
      <alignment horizontal="left"/>
    </xf>
    <xf borderId="1" fillId="13" fontId="13" numFmtId="37" xfId="0" applyBorder="1" applyFill="1" applyFont="1" applyNumberFormat="1"/>
    <xf borderId="0" fillId="0" fontId="8" numFmtId="168" xfId="0" applyFont="1" applyNumberFormat="1"/>
    <xf borderId="1" fillId="11" fontId="13" numFmtId="0" xfId="0" applyBorder="1" applyFill="1" applyFont="1"/>
    <xf borderId="1" fillId="11" fontId="13" numFmtId="169" xfId="0" applyBorder="1" applyFill="1" applyFont="1" applyNumberFormat="1"/>
    <xf borderId="1" fillId="11" fontId="13" numFmtId="168" xfId="0" applyAlignment="1" applyBorder="1" applyFill="1" applyFont="1" applyNumberFormat="1">
      <alignment horizontal="center"/>
    </xf>
    <xf borderId="11" fillId="0" fontId="17" numFmtId="0" xfId="0" applyAlignment="1" applyBorder="1" applyFont="1">
      <alignment horizontal="left"/>
    </xf>
    <xf borderId="4" fillId="0" fontId="6" numFmtId="37" xfId="0" applyBorder="1" applyFont="1" applyNumberFormat="1"/>
    <xf borderId="4" fillId="0" fontId="6" numFmtId="168" xfId="0" applyBorder="1" applyFont="1" applyNumberFormat="1"/>
    <xf borderId="0" fillId="0" fontId="13" numFmtId="37" xfId="0" applyFont="1" applyNumberFormat="1"/>
    <xf borderId="1" fillId="13" fontId="19" numFmtId="37" xfId="0" applyBorder="1" applyFill="1" applyFont="1" applyNumberFormat="1"/>
    <xf borderId="1" fillId="11" fontId="13" numFmtId="0" xfId="0" applyAlignment="1" applyBorder="1" applyFill="1" applyFont="1">
      <alignment readingOrder="0"/>
    </xf>
    <xf borderId="1" fillId="13" fontId="20" numFmtId="37" xfId="0" applyBorder="1" applyFill="1" applyFont="1" applyNumberFormat="1"/>
    <xf borderId="1" fillId="14" fontId="13" numFmtId="37" xfId="0" applyBorder="1" applyFill="1" applyFont="1" applyNumberFormat="1"/>
    <xf borderId="1" fillId="10" fontId="13" numFmtId="37" xfId="0" applyBorder="1" applyFill="1" applyFont="1" applyNumberFormat="1"/>
    <xf borderId="0" fillId="0" fontId="6" numFmtId="37" xfId="0" applyFont="1" applyNumberFormat="1"/>
    <xf borderId="7" fillId="0" fontId="6" numFmtId="37" xfId="0" applyBorder="1" applyFont="1" applyNumberFormat="1"/>
    <xf borderId="7" fillId="0" fontId="6" numFmtId="168" xfId="0" applyBorder="1" applyFont="1" applyNumberFormat="1"/>
    <xf borderId="0" fillId="0" fontId="21" numFmtId="0" xfId="0" applyAlignment="1" applyFont="1">
      <alignment horizontal="left" vertical="center"/>
    </xf>
    <xf borderId="12" fillId="0" fontId="17" numFmtId="0" xfId="0" applyAlignment="1" applyBorder="1" applyFont="1">
      <alignment horizontal="left"/>
    </xf>
    <xf borderId="0" fillId="0" fontId="19" numFmtId="37" xfId="0" applyFont="1" applyNumberFormat="1"/>
    <xf borderId="12" fillId="0" fontId="17" numFmtId="0" xfId="0" applyAlignment="1" applyBorder="1" applyFont="1">
      <alignment horizontal="left" vertical="center"/>
    </xf>
    <xf borderId="13" fillId="0" fontId="6" numFmtId="37" xfId="0" applyBorder="1" applyFont="1" applyNumberFormat="1"/>
    <xf borderId="13" fillId="0" fontId="6" numFmtId="168" xfId="0" applyBorder="1" applyFont="1" applyNumberFormat="1"/>
    <xf borderId="0" fillId="0" fontId="8" numFmtId="170" xfId="0" applyFont="1" applyNumberFormat="1"/>
    <xf borderId="0" fillId="0" fontId="13" numFmtId="0" xfId="0" applyFont="1"/>
    <xf borderId="0" fillId="5" fontId="18" numFmtId="0" xfId="0" applyAlignment="1" applyFill="1" applyFont="1">
      <alignment horizontal="left"/>
    </xf>
    <xf borderId="1" fillId="10" fontId="19" numFmtId="37" xfId="0" applyBorder="1" applyFill="1" applyFont="1" applyNumberFormat="1"/>
    <xf borderId="0" fillId="0" fontId="2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1" fillId="2" fontId="5" numFmtId="0" xfId="0" applyAlignment="1" applyBorder="1" applyFill="1" applyFont="1">
      <alignment vertical="center"/>
    </xf>
    <xf borderId="1" fillId="2" fontId="5" numFmtId="0" xfId="0" applyAlignment="1" applyBorder="1" applyFill="1" applyFont="1">
      <alignment horizontal="right" vertical="center"/>
    </xf>
    <xf borderId="1" fillId="2" fontId="5" numFmtId="0" xfId="0" applyAlignment="1" applyBorder="1" applyFill="1" applyFont="1">
      <alignment horizontal="right" readingOrder="0" vertical="center"/>
    </xf>
    <xf borderId="1" fillId="2" fontId="5" numFmtId="0" xfId="0" applyBorder="1" applyFill="1" applyFont="1"/>
    <xf borderId="1" fillId="13" fontId="23" numFmtId="171" xfId="0" applyBorder="1" applyFill="1" applyFont="1" applyNumberFormat="1"/>
    <xf borderId="1" fillId="13" fontId="23" numFmtId="172" xfId="0" applyBorder="1" applyFill="1" applyFont="1" applyNumberFormat="1"/>
    <xf borderId="0" fillId="0" fontId="24" numFmtId="168" xfId="0" applyFont="1" applyNumberFormat="1"/>
    <xf borderId="1" fillId="13" fontId="23" numFmtId="172" xfId="0" applyAlignment="1" applyBorder="1" applyFill="1" applyFont="1" applyNumberFormat="1">
      <alignment readingOrder="0"/>
    </xf>
    <xf borderId="1" fillId="13" fontId="23" numFmtId="168" xfId="0" applyAlignment="1" applyBorder="1" applyFill="1" applyFont="1" applyNumberFormat="1">
      <alignment readingOrder="0"/>
    </xf>
    <xf borderId="0" fillId="0" fontId="24" numFmtId="17" xfId="0" applyFont="1" applyNumberFormat="1"/>
    <xf borderId="0" fillId="0" fontId="24" numFmtId="1" xfId="0" applyFont="1" applyNumberFormat="1"/>
    <xf borderId="1" fillId="13" fontId="23" numFmtId="1" xfId="0" applyBorder="1" applyFill="1" applyFont="1" applyNumberFormat="1"/>
    <xf borderId="0" fillId="0" fontId="25" numFmtId="0" xfId="0" applyFont="1"/>
    <xf borderId="1" fillId="13" fontId="23" numFmtId="4" xfId="0" applyAlignment="1" applyBorder="1" applyFill="1" applyFont="1" applyNumberFormat="1">
      <alignment readingOrder="0"/>
    </xf>
    <xf borderId="1" fillId="13" fontId="23" numFmtId="1" xfId="0" applyAlignment="1" applyBorder="1" applyFill="1" applyFont="1" applyNumberFormat="1">
      <alignment readingOrder="0"/>
    </xf>
    <xf borderId="1" fillId="13" fontId="23" numFmtId="9" xfId="0" applyBorder="1" applyFill="1" applyFont="1" applyNumberFormat="1"/>
    <xf borderId="1" fillId="0" fontId="23" numFmtId="1" xfId="0" applyBorder="1" applyFont="1" applyNumberFormat="1"/>
    <xf borderId="1" fillId="2" fontId="5" numFmtId="0" xfId="0" applyAlignment="1" applyBorder="1" applyFill="1" applyFont="1">
      <alignment readingOrder="0"/>
    </xf>
    <xf borderId="1" fillId="13" fontId="23" numFmtId="1" xfId="0" applyAlignment="1" applyBorder="1" applyFill="1" applyFont="1" applyNumberFormat="1">
      <alignment horizontal="right" readingOrder="0"/>
    </xf>
    <xf borderId="1" fillId="13" fontId="24" numFmtId="1" xfId="0" applyBorder="1" applyFill="1" applyFont="1" applyNumberFormat="1"/>
    <xf borderId="1" fillId="2" fontId="5" numFmtId="0" xfId="0" applyAlignment="1" applyBorder="1" applyFill="1" applyFont="1">
      <alignment horizontal="left"/>
    </xf>
    <xf borderId="0" fillId="0" fontId="2" numFmtId="173" xfId="0" applyAlignment="1" applyFont="1" applyNumberFormat="1">
      <alignment horizontal="right"/>
    </xf>
    <xf borderId="1" fillId="4" fontId="7" numFmtId="171" xfId="0" applyAlignment="1" applyBorder="1" applyFill="1" applyFont="1" applyNumberFormat="1">
      <alignment horizontal="right"/>
    </xf>
    <xf borderId="0" fillId="0" fontId="2" numFmtId="169" xfId="0" applyAlignment="1" applyFont="1" applyNumberFormat="1">
      <alignment horizontal="right"/>
    </xf>
    <xf borderId="1" fillId="4" fontId="7" numFmtId="169" xfId="0" applyAlignment="1" applyBorder="1" applyFill="1" applyFont="1" applyNumberFormat="1">
      <alignment horizontal="right"/>
    </xf>
    <xf borderId="13" fillId="0" fontId="7" numFmtId="0" xfId="0" applyBorder="1" applyFont="1"/>
    <xf borderId="13" fillId="0" fontId="7" numFmtId="169" xfId="0" applyAlignment="1" applyBorder="1" applyFont="1" applyNumberFormat="1">
      <alignment horizontal="right"/>
    </xf>
    <xf borderId="14" fillId="4" fontId="7" numFmtId="169" xfId="0" applyAlignment="1" applyBorder="1" applyFill="1" applyFont="1" applyNumberFormat="1">
      <alignment horizontal="right"/>
    </xf>
    <xf borderId="0" fillId="0" fontId="26" numFmtId="0" xfId="0" applyFont="1"/>
    <xf borderId="0" fillId="0" fontId="26" numFmtId="173" xfId="0" applyAlignment="1" applyFont="1" applyNumberFormat="1">
      <alignment horizontal="right"/>
    </xf>
    <xf borderId="1" fillId="4" fontId="7" numFmtId="174" xfId="0" applyAlignment="1" applyBorder="1" applyFill="1" applyFont="1" applyNumberFormat="1">
      <alignment horizontal="right"/>
    </xf>
    <xf borderId="0" fillId="0" fontId="24" numFmtId="173" xfId="0" applyAlignment="1" applyFont="1" applyNumberFormat="1">
      <alignment horizontal="right"/>
    </xf>
    <xf borderId="1" fillId="4" fontId="7" numFmtId="3" xfId="0" applyAlignment="1" applyBorder="1" applyFill="1" applyFont="1" applyNumberFormat="1">
      <alignment horizontal="right"/>
    </xf>
    <xf borderId="0" fillId="0" fontId="2" numFmtId="173" xfId="0" applyAlignment="1" applyFont="1" applyNumberFormat="1">
      <alignment horizontal="right" readingOrder="0"/>
    </xf>
    <xf borderId="14" fillId="15" fontId="7" numFmtId="0" xfId="0" applyBorder="1" applyFill="1" applyFont="1"/>
    <xf borderId="14" fillId="15" fontId="7" numFmtId="169" xfId="0" applyAlignment="1" applyBorder="1" applyFill="1" applyFont="1" applyNumberFormat="1">
      <alignment horizontal="right"/>
    </xf>
    <xf borderId="0" fillId="0" fontId="27" numFmtId="0" xfId="0" applyFont="1"/>
    <xf borderId="0" fillId="0" fontId="28" numFmtId="0" xfId="0" applyFont="1"/>
    <xf borderId="0" fillId="0" fontId="29" numFmtId="0" xfId="0" applyFont="1"/>
    <xf borderId="1" fillId="2" fontId="30" numFmtId="0" xfId="0" applyAlignment="1" applyBorder="1" applyFill="1" applyFont="1">
      <alignment vertical="center"/>
    </xf>
    <xf borderId="1" fillId="2" fontId="30" numFmtId="0" xfId="0" applyAlignment="1" applyBorder="1" applyFill="1" applyFont="1">
      <alignment horizontal="right" vertical="center"/>
    </xf>
    <xf borderId="1" fillId="2" fontId="30" numFmtId="0" xfId="0" applyBorder="1" applyFill="1" applyFont="1"/>
    <xf borderId="0" fillId="0" fontId="31" numFmtId="0" xfId="0" applyFont="1"/>
    <xf borderId="10" fillId="0" fontId="31" numFmtId="0" xfId="0" applyAlignment="1" applyBorder="1" applyFont="1">
      <alignment horizontal="center"/>
    </xf>
    <xf borderId="0" fillId="0" fontId="32" numFmtId="172" xfId="0" applyFont="1" applyNumberFormat="1"/>
    <xf borderId="1" fillId="13" fontId="33" numFmtId="172" xfId="0" applyBorder="1" applyFill="1" applyFont="1" applyNumberFormat="1"/>
    <xf borderId="1" fillId="13" fontId="33" numFmtId="168" xfId="0" applyBorder="1" applyFill="1" applyFont="1" applyNumberFormat="1"/>
    <xf borderId="1" fillId="13" fontId="33" numFmtId="168" xfId="0" applyAlignment="1" applyBorder="1" applyFill="1" applyFont="1" applyNumberFormat="1">
      <alignment horizontal="center"/>
    </xf>
    <xf borderId="1" fillId="13" fontId="34" numFmtId="175" xfId="0" applyAlignment="1" applyBorder="1" applyFill="1" applyFont="1" applyNumberFormat="1">
      <alignment horizontal="center"/>
    </xf>
    <xf borderId="0" fillId="0" fontId="32" numFmtId="176" xfId="0" applyFont="1" applyNumberFormat="1"/>
    <xf borderId="1" fillId="13" fontId="33" numFmtId="17" xfId="0" applyBorder="1" applyFill="1" applyFont="1" applyNumberFormat="1"/>
    <xf borderId="0" fillId="0" fontId="32" numFmtId="168" xfId="0" applyAlignment="1" applyFont="1" applyNumberFormat="1">
      <alignment horizontal="center"/>
    </xf>
    <xf borderId="1" fillId="13" fontId="33" numFmtId="1" xfId="0" applyBorder="1" applyFill="1" applyFont="1" applyNumberFormat="1"/>
    <xf borderId="0" fillId="0" fontId="32" numFmtId="0" xfId="0" applyAlignment="1" applyFont="1">
      <alignment horizontal="center"/>
    </xf>
    <xf borderId="0" fillId="0" fontId="31" numFmtId="168" xfId="0" applyAlignment="1" applyFont="1" applyNumberFormat="1">
      <alignment horizontal="center"/>
    </xf>
    <xf borderId="0" fillId="0" fontId="31" numFmtId="177" xfId="0" applyAlignment="1" applyFont="1" applyNumberFormat="1">
      <alignment horizontal="center"/>
    </xf>
    <xf borderId="0" fillId="0" fontId="31" numFmtId="176" xfId="0" applyFont="1" applyNumberFormat="1"/>
    <xf borderId="0" fillId="0" fontId="35" numFmtId="0" xfId="0" applyFont="1"/>
    <xf borderId="1" fillId="13" fontId="33" numFmtId="178" xfId="0" applyBorder="1" applyFill="1" applyFont="1" applyNumberFormat="1"/>
    <xf borderId="15" fillId="15" fontId="36" numFmtId="0" xfId="0" applyBorder="1" applyFill="1" applyFont="1"/>
    <xf borderId="15" fillId="15" fontId="36" numFmtId="1" xfId="0" applyAlignment="1" applyBorder="1" applyFill="1" applyFont="1" applyNumberFormat="1">
      <alignment horizontal="center"/>
    </xf>
    <xf borderId="15" fillId="0" fontId="32" numFmtId="0" xfId="0" applyBorder="1" applyFont="1"/>
    <xf borderId="15" fillId="13" fontId="33" numFmtId="173" xfId="0" applyAlignment="1" applyBorder="1" applyFill="1" applyFont="1" applyNumberFormat="1">
      <alignment horizontal="center"/>
    </xf>
    <xf borderId="15" fillId="0" fontId="31" numFmtId="0" xfId="0" applyBorder="1" applyFont="1"/>
    <xf borderId="15" fillId="0" fontId="36" numFmtId="173" xfId="0" applyAlignment="1" applyBorder="1" applyFont="1" applyNumberFormat="1">
      <alignment horizontal="center"/>
    </xf>
    <xf borderId="15" fillId="15" fontId="37" numFmtId="1" xfId="0" applyAlignment="1" applyBorder="1" applyFill="1" applyFont="1" applyNumberFormat="1">
      <alignment horizontal="center"/>
    </xf>
    <xf borderId="1" fillId="2" fontId="30" numFmtId="0" xfId="0" applyAlignment="1" applyBorder="1" applyFill="1" applyFont="1">
      <alignment horizontal="left"/>
    </xf>
    <xf borderId="1" fillId="2" fontId="30" numFmtId="17" xfId="0" applyAlignment="1" applyBorder="1" applyFill="1" applyFont="1" applyNumberFormat="1">
      <alignment horizontal="center"/>
    </xf>
    <xf borderId="1" fillId="2" fontId="30" numFmtId="0" xfId="0" applyAlignment="1" applyBorder="1" applyFill="1" applyFont="1">
      <alignment horizontal="center"/>
    </xf>
    <xf borderId="0" fillId="0" fontId="38" numFmtId="173" xfId="0" applyFont="1" applyNumberFormat="1"/>
    <xf borderId="1" fillId="4" fontId="31" numFmtId="173" xfId="0" applyBorder="1" applyFill="1" applyFont="1" applyNumberFormat="1"/>
    <xf borderId="0" fillId="0" fontId="38" numFmtId="179" xfId="0" applyFont="1" applyNumberFormat="1"/>
    <xf borderId="1" fillId="4" fontId="31" numFmtId="179" xfId="0" applyBorder="1" applyFill="1" applyFont="1" applyNumberFormat="1"/>
    <xf borderId="0" fillId="0" fontId="32" numFmtId="1" xfId="0" applyAlignment="1" applyFont="1" applyNumberFormat="1">
      <alignment horizontal="right"/>
    </xf>
    <xf borderId="1" fillId="4" fontId="31" numFmtId="0" xfId="0" applyAlignment="1" applyBorder="1" applyFill="1" applyFont="1">
      <alignment horizontal="right"/>
    </xf>
    <xf borderId="0" fillId="0" fontId="32" numFmtId="173" xfId="0" applyAlignment="1" applyFont="1" applyNumberFormat="1">
      <alignment horizontal="right"/>
    </xf>
    <xf borderId="1" fillId="4" fontId="31" numFmtId="174" xfId="0" applyAlignment="1" applyBorder="1" applyFill="1" applyFont="1" applyNumberFormat="1">
      <alignment horizontal="right"/>
    </xf>
    <xf borderId="0" fillId="0" fontId="32" numFmtId="169" xfId="0" applyAlignment="1" applyFont="1" applyNumberFormat="1">
      <alignment horizontal="right"/>
    </xf>
    <xf borderId="1" fillId="4" fontId="31" numFmtId="169" xfId="0" applyAlignment="1" applyBorder="1" applyFill="1" applyFont="1" applyNumberFormat="1">
      <alignment horizontal="right"/>
    </xf>
    <xf borderId="1" fillId="13" fontId="33" numFmtId="168" xfId="0" applyAlignment="1" applyBorder="1" applyFill="1" applyFont="1" applyNumberFormat="1">
      <alignment horizontal="right"/>
    </xf>
    <xf borderId="1" fillId="4" fontId="31" numFmtId="168" xfId="0" applyAlignment="1" applyBorder="1" applyFill="1" applyFont="1" applyNumberFormat="1">
      <alignment horizontal="right"/>
    </xf>
    <xf borderId="13" fillId="0" fontId="31" numFmtId="0" xfId="0" applyBorder="1" applyFont="1"/>
    <xf borderId="13" fillId="0" fontId="31" numFmtId="169" xfId="0" applyAlignment="1" applyBorder="1" applyFont="1" applyNumberFormat="1">
      <alignment horizontal="right"/>
    </xf>
    <xf borderId="14" fillId="4" fontId="31" numFmtId="169" xfId="0" applyAlignment="1" applyBorder="1" applyFill="1" applyFont="1" applyNumberFormat="1">
      <alignment horizontal="right"/>
    </xf>
    <xf borderId="0" fillId="0" fontId="32" numFmtId="0" xfId="0" applyAlignment="1" applyFont="1">
      <alignment horizontal="right"/>
    </xf>
    <xf borderId="0" fillId="0" fontId="39" numFmtId="0" xfId="0" applyFont="1"/>
    <xf borderId="14" fillId="15" fontId="31" numFmtId="0" xfId="0" applyBorder="1" applyFill="1" applyFont="1"/>
    <xf borderId="14" fillId="15" fontId="31" numFmtId="169" xfId="0" applyAlignment="1" applyBorder="1" applyFill="1" applyFont="1" applyNumberFormat="1">
      <alignment horizontal="right"/>
    </xf>
    <xf borderId="0" fillId="0" fontId="40" numFmtId="0" xfId="0" applyAlignment="1" applyFont="1">
      <alignment readingOrder="0" vertical="center"/>
    </xf>
    <xf borderId="0" fillId="0" fontId="8" numFmtId="0" xfId="0" applyAlignment="1" applyFont="1">
      <alignment vertical="center"/>
    </xf>
    <xf borderId="0" fillId="0" fontId="6" numFmtId="0" xfId="0" applyAlignment="1" applyFont="1">
      <alignment readingOrder="0" vertical="top"/>
    </xf>
    <xf borderId="0" fillId="0" fontId="9" numFmtId="0" xfId="0" applyAlignment="1" applyFont="1">
      <alignment readingOrder="0" shrinkToFit="0" vertical="top" wrapText="1"/>
    </xf>
    <xf borderId="0" fillId="16" fontId="41" numFmtId="0" xfId="0" applyAlignment="1" applyFill="1" applyFont="1">
      <alignment readingOrder="0" shrinkToFit="0" vertical="center" wrapText="1"/>
    </xf>
    <xf borderId="0" fillId="16" fontId="41" numFmtId="0" xfId="0" applyAlignment="1" applyFill="1" applyFont="1">
      <alignment shrinkToFit="0" vertical="center" wrapText="1"/>
    </xf>
    <xf borderId="0" fillId="0" fontId="8" numFmtId="0" xfId="0" applyAlignment="1" applyFont="1">
      <alignment readingOrder="0" vertical="center"/>
    </xf>
    <xf borderId="0" fillId="13" fontId="42" numFmtId="180" xfId="0" applyAlignment="1" applyFill="1" applyFont="1" applyNumberFormat="1">
      <alignment horizontal="right" readingOrder="0" vertical="center"/>
    </xf>
    <xf borderId="0" fillId="13" fontId="42" numFmtId="9" xfId="0" applyAlignment="1" applyFill="1" applyFont="1" applyNumberFormat="1">
      <alignment horizontal="right" readingOrder="0" vertical="center"/>
    </xf>
    <xf borderId="0" fillId="13" fontId="42" numFmtId="181" xfId="0" applyAlignment="1" applyFill="1" applyFont="1" applyNumberFormat="1">
      <alignment horizontal="right" readingOrder="0" vertical="center"/>
    </xf>
    <xf borderId="0" fillId="13" fontId="42" numFmtId="3" xfId="0" applyAlignment="1" applyFill="1" applyFont="1" applyNumberFormat="1">
      <alignment horizontal="right" readingOrder="0" vertical="center"/>
    </xf>
    <xf borderId="0" fillId="13" fontId="42" numFmtId="182" xfId="0" applyAlignment="1" applyFill="1" applyFont="1" applyNumberFormat="1">
      <alignment horizontal="right" vertical="center"/>
    </xf>
    <xf borderId="0" fillId="0" fontId="8" numFmtId="183" xfId="0" applyAlignment="1" applyFont="1" applyNumberFormat="1">
      <alignment readingOrder="0" vertical="center"/>
    </xf>
    <xf borderId="0" fillId="13" fontId="42" numFmtId="168" xfId="0" applyAlignment="1" applyFill="1" applyFont="1" applyNumberFormat="1">
      <alignment horizontal="right" readingOrder="0" vertical="center"/>
    </xf>
    <xf borderId="0" fillId="17" fontId="6" numFmtId="180" xfId="0" applyAlignment="1" applyFill="1" applyFont="1" applyNumberFormat="1">
      <alignment horizontal="right" vertical="center"/>
    </xf>
    <xf borderId="0" fillId="13" fontId="42" numFmtId="3" xfId="0" applyAlignment="1" applyFill="1" applyFont="1" applyNumberFormat="1">
      <alignment horizontal="right" vertical="center"/>
    </xf>
    <xf borderId="0" fillId="0" fontId="18" numFmtId="0" xfId="0" applyAlignment="1" applyFont="1">
      <alignment readingOrder="0" vertical="center"/>
    </xf>
    <xf borderId="0" fillId="0" fontId="18" numFmtId="0" xfId="0" applyAlignment="1" applyFont="1">
      <alignment readingOrder="0" vertical="center"/>
    </xf>
    <xf borderId="0" fillId="0" fontId="18" numFmtId="3" xfId="0" applyAlignment="1" applyFont="1" applyNumberFormat="1">
      <alignment horizontal="right" readingOrder="0" vertical="center"/>
    </xf>
    <xf borderId="0" fillId="0" fontId="43" numFmtId="171" xfId="0" applyAlignment="1" applyFont="1" applyNumberFormat="1">
      <alignment horizontal="right" vertical="center"/>
    </xf>
    <xf borderId="0" fillId="0" fontId="43" numFmtId="9" xfId="0" applyAlignment="1" applyFont="1" applyNumberFormat="1">
      <alignment horizontal="right" vertical="center"/>
    </xf>
    <xf borderId="0" fillId="0" fontId="43" numFmtId="3" xfId="0" applyAlignment="1" applyFont="1" applyNumberFormat="1">
      <alignment horizontal="right" vertical="center"/>
    </xf>
    <xf borderId="0" fillId="0" fontId="43" numFmtId="180" xfId="0" applyAlignment="1" applyFont="1" applyNumberFormat="1">
      <alignment horizontal="right" vertical="center"/>
    </xf>
    <xf borderId="0" fillId="0" fontId="6" numFmtId="3" xfId="0" applyAlignment="1" applyFont="1" applyNumberFormat="1">
      <alignment horizontal="right" readingOrder="0" vertical="center"/>
    </xf>
    <xf borderId="0" fillId="16" fontId="41" numFmtId="182" xfId="0" applyAlignment="1" applyFill="1" applyFont="1" applyNumberFormat="1">
      <alignment horizontal="right" shrinkToFit="0" vertical="center" wrapText="1"/>
    </xf>
    <xf borderId="0" fillId="16" fontId="41" numFmtId="0" xfId="0" applyAlignment="1" applyFill="1" applyFont="1">
      <alignment horizontal="right" readingOrder="0" shrinkToFit="0" vertical="center" wrapText="1"/>
    </xf>
    <xf borderId="0" fillId="16" fontId="41" numFmtId="0" xfId="0" applyAlignment="1" applyFill="1" applyFont="1">
      <alignment horizontal="right" shrinkToFit="0" vertical="center" wrapText="1"/>
    </xf>
    <xf borderId="0" fillId="0" fontId="43" numFmtId="184" xfId="0" applyAlignment="1" applyFont="1" applyNumberFormat="1">
      <alignment vertical="center"/>
    </xf>
    <xf borderId="0" fillId="0" fontId="8" numFmtId="184" xfId="0" applyAlignment="1" applyFont="1" applyNumberFormat="1">
      <alignment vertical="center"/>
    </xf>
    <xf borderId="0" fillId="0" fontId="6" numFmtId="0" xfId="0" applyAlignment="1" applyFont="1">
      <alignment readingOrder="0" vertical="center"/>
    </xf>
    <xf borderId="0" fillId="0" fontId="6" numFmtId="184" xfId="0" applyAlignment="1" applyFont="1" applyNumberFormat="1">
      <alignment vertical="center"/>
    </xf>
    <xf borderId="0" fillId="0" fontId="8" numFmtId="185" xfId="0" applyAlignment="1" applyFont="1" applyNumberFormat="1">
      <alignment vertical="center"/>
    </xf>
    <xf borderId="0" fillId="0" fontId="8" numFmtId="186" xfId="0" applyAlignment="1" applyFont="1" applyNumberFormat="1">
      <alignment vertical="center"/>
    </xf>
    <xf borderId="0" fillId="0" fontId="28" numFmtId="0" xfId="0" applyAlignment="1" applyFont="1">
      <alignment readingOrder="0"/>
    </xf>
    <xf borderId="0" fillId="0" fontId="8" numFmtId="180" xfId="0" applyAlignment="1" applyFont="1" applyNumberFormat="1">
      <alignment vertical="center"/>
    </xf>
    <xf borderId="0" fillId="0" fontId="8" numFmtId="0" xfId="0" applyAlignment="1" applyFont="1">
      <alignment horizontal="center" readingOrder="0" vertical="center"/>
    </xf>
    <xf borderId="16" fillId="0" fontId="6" numFmtId="0" xfId="0" applyAlignment="1" applyBorder="1" applyFont="1">
      <alignment readingOrder="0" vertical="center"/>
    </xf>
    <xf borderId="16" fillId="0" fontId="6" numFmtId="180" xfId="0" applyAlignment="1" applyBorder="1" applyFont="1" applyNumberFormat="1">
      <alignment vertical="center"/>
    </xf>
    <xf borderId="0" fillId="16" fontId="41" numFmtId="180" xfId="0" applyAlignment="1" applyFill="1" applyFont="1" applyNumberFormat="1">
      <alignment horizontal="right" readingOrder="0" shrinkToFit="0" vertical="center" wrapText="1"/>
    </xf>
    <xf borderId="0" fillId="0" fontId="9" numFmtId="0" xfId="0" applyAlignment="1" applyFont="1">
      <alignment readingOrder="0" vertical="center"/>
    </xf>
    <xf borderId="0" fillId="0" fontId="8" numFmtId="180" xfId="0" applyAlignment="1" applyFont="1" applyNumberFormat="1">
      <alignment readingOrder="0" vertical="center"/>
    </xf>
    <xf borderId="16" fillId="0" fontId="6" numFmtId="0" xfId="0" applyAlignment="1" applyBorder="1" applyFont="1">
      <alignment vertical="center"/>
    </xf>
    <xf borderId="0" fillId="0" fontId="44" numFmtId="0" xfId="0" applyAlignment="1" applyFont="1">
      <alignment readingOrder="0" vertical="center"/>
    </xf>
    <xf borderId="0" fillId="2" fontId="41" numFmtId="0" xfId="0" applyAlignment="1" applyFill="1" applyFont="1">
      <alignment readingOrder="0" vertical="center"/>
    </xf>
    <xf borderId="0" fillId="13" fontId="42" numFmtId="186" xfId="0" applyAlignment="1" applyFill="1" applyFont="1" applyNumberFormat="1">
      <alignment horizontal="right" readingOrder="0" vertical="center"/>
    </xf>
    <xf borderId="0" fillId="0" fontId="43" numFmtId="186" xfId="0" applyAlignment="1" applyFont="1" applyNumberFormat="1">
      <alignment horizontal="right" vertical="center"/>
    </xf>
    <xf borderId="0" fillId="13" fontId="42" numFmtId="187" xfId="0" applyAlignment="1" applyFill="1" applyFont="1" applyNumberFormat="1">
      <alignment horizontal="right" readingOrder="0" vertical="center"/>
    </xf>
    <xf borderId="0" fillId="13" fontId="42" numFmtId="182" xfId="0" applyAlignment="1" applyFill="1" applyFont="1" applyNumberFormat="1">
      <alignment horizontal="right" readingOrder="0" vertical="center"/>
    </xf>
    <xf borderId="0" fillId="0" fontId="43" numFmtId="168" xfId="0" applyAlignment="1" applyFont="1" applyNumberFormat="1">
      <alignment horizontal="right" vertical="center"/>
    </xf>
    <xf borderId="0" fillId="0" fontId="43" numFmtId="182" xfId="0" applyAlignment="1" applyFont="1" applyNumberFormat="1">
      <alignment horizontal="right" vertical="center"/>
    </xf>
    <xf borderId="0" fillId="2" fontId="41" numFmtId="182" xfId="0" applyAlignment="1" applyFill="1" applyFont="1" applyNumberFormat="1">
      <alignment horizontal="right" vertical="center"/>
    </xf>
    <xf borderId="0" fillId="2" fontId="41" numFmtId="182" xfId="0" applyAlignment="1" applyFill="1" applyFont="1" applyNumberFormat="1">
      <alignment horizontal="right" readingOrder="0" vertical="center"/>
    </xf>
    <xf borderId="0" fillId="0" fontId="20" numFmtId="180" xfId="0" applyAlignment="1" applyFont="1" applyNumberFormat="1">
      <alignment readingOrder="0" vertical="center"/>
    </xf>
    <xf borderId="0" fillId="0" fontId="8" numFmtId="180" xfId="0" applyAlignment="1" applyFont="1" applyNumberFormat="1">
      <alignment vertical="center"/>
    </xf>
    <xf borderId="0" fillId="0" fontId="6" numFmtId="180" xfId="0" applyAlignment="1" applyFont="1" applyNumberFormat="1">
      <alignment vertical="center"/>
    </xf>
    <xf borderId="0" fillId="0" fontId="8" numFmtId="186" xfId="0" applyAlignment="1" applyFont="1" applyNumberFormat="1">
      <alignment vertical="center"/>
    </xf>
    <xf borderId="17" fillId="0" fontId="8" numFmtId="0" xfId="0" applyAlignment="1" applyBorder="1" applyFont="1">
      <alignment readingOrder="0" vertical="center"/>
    </xf>
    <xf borderId="17" fillId="0" fontId="8" numFmtId="184" xfId="0" applyAlignment="1" applyBorder="1" applyFont="1" applyNumberFormat="1">
      <alignment vertical="center"/>
    </xf>
    <xf borderId="17" fillId="0" fontId="6" numFmtId="0" xfId="0" applyAlignment="1" applyBorder="1" applyFont="1">
      <alignment readingOrder="0" vertical="center"/>
    </xf>
    <xf borderId="17" fillId="0" fontId="6" numFmtId="180" xfId="0" applyAlignment="1" applyBorder="1" applyFont="1" applyNumberFormat="1">
      <alignment vertical="center"/>
    </xf>
    <xf borderId="0" fillId="17" fontId="20" numFmtId="180" xfId="0" applyAlignment="1" applyFill="1" applyFont="1" applyNumberFormat="1">
      <alignment vertical="center"/>
    </xf>
    <xf borderId="0" fillId="2" fontId="41" numFmtId="0" xfId="0" applyAlignment="1" applyFill="1" applyFont="1">
      <alignment readingOrder="0" shrinkToFit="0" vertical="center" wrapText="1"/>
    </xf>
    <xf borderId="0" fillId="2" fontId="41" numFmtId="0" xfId="0" applyAlignment="1" applyFill="1" applyFont="1">
      <alignment horizontal="right" readingOrder="0" shrinkToFit="0" vertical="center" wrapText="1"/>
    </xf>
    <xf borderId="0" fillId="0" fontId="8" numFmtId="1" xfId="0" applyAlignment="1" applyFont="1" applyNumberFormat="1">
      <alignment horizontal="right" readingOrder="0" vertical="center"/>
    </xf>
    <xf borderId="0" fillId="0" fontId="8" numFmtId="0" xfId="0" applyAlignment="1" applyFont="1">
      <alignment horizontal="right" readingOrder="0" vertical="center"/>
    </xf>
    <xf borderId="17" fillId="0" fontId="6" numFmtId="0" xfId="0" applyAlignment="1" applyBorder="1" applyFont="1">
      <alignment vertical="center"/>
    </xf>
    <xf borderId="0" fillId="2" fontId="41" numFmtId="0" xfId="0" applyAlignment="1" applyFill="1" applyFont="1">
      <alignment vertical="center"/>
    </xf>
    <xf borderId="0" fillId="0" fontId="8" numFmtId="0" xfId="0" applyAlignment="1" applyFont="1">
      <alignment readingOrder="0" shrinkToFit="0" vertical="top" wrapText="1"/>
    </xf>
    <xf borderId="0" fillId="0" fontId="22" numFmtId="0" xfId="0" applyAlignment="1" applyFont="1">
      <alignment readingOrder="0" vertical="center"/>
    </xf>
    <xf borderId="0" fillId="0" fontId="2" numFmtId="0" xfId="0" applyAlignment="1" applyFont="1">
      <alignment vertical="center"/>
    </xf>
    <xf borderId="0" fillId="2" fontId="5" numFmtId="0" xfId="0" applyAlignment="1" applyFill="1" applyFont="1">
      <alignment readingOrder="0" vertical="center"/>
    </xf>
    <xf borderId="0" fillId="0" fontId="2" numFmtId="0" xfId="0" applyAlignment="1" applyFont="1">
      <alignment readingOrder="0" vertical="center"/>
    </xf>
    <xf borderId="0" fillId="0" fontId="45" numFmtId="168" xfId="0" applyAlignment="1" applyFont="1" applyNumberFormat="1">
      <alignment horizontal="right" vertical="center"/>
    </xf>
    <xf borderId="0" fillId="0" fontId="45" numFmtId="17" xfId="0" applyAlignment="1" applyFont="1" applyNumberFormat="1">
      <alignment horizontal="right" vertical="center"/>
    </xf>
    <xf borderId="0" fillId="0" fontId="45" numFmtId="1" xfId="0" applyAlignment="1" applyFont="1" applyNumberFormat="1">
      <alignment horizontal="right" vertical="center"/>
    </xf>
    <xf borderId="0" fillId="0" fontId="45" numFmtId="169" xfId="0" applyAlignment="1" applyFont="1" applyNumberFormat="1">
      <alignment horizontal="right" vertical="center"/>
    </xf>
    <xf borderId="0" fillId="13" fontId="23" numFmtId="173" xfId="0" applyAlignment="1" applyFill="1" applyFont="1" applyNumberFormat="1">
      <alignment horizontal="right" readingOrder="0" vertical="center"/>
    </xf>
    <xf borderId="0" fillId="2" fontId="5" numFmtId="17" xfId="0" applyAlignment="1" applyFill="1" applyFont="1" applyNumberFormat="1">
      <alignment horizontal="right" vertical="center"/>
    </xf>
    <xf borderId="0" fillId="2" fontId="5" numFmtId="0" xfId="0" applyAlignment="1" applyFill="1" applyFont="1">
      <alignment horizontal="right" readingOrder="0" vertical="center"/>
    </xf>
    <xf borderId="0" fillId="2" fontId="5" numFmtId="0" xfId="0" applyAlignment="1" applyFill="1" applyFont="1">
      <alignment horizontal="center" readingOrder="0" shrinkToFit="0" vertical="center" wrapText="1"/>
    </xf>
    <xf quotePrefix="1" borderId="0" fillId="0" fontId="2" numFmtId="0" xfId="0" applyAlignment="1" applyFont="1">
      <alignment readingOrder="0" vertical="center"/>
    </xf>
    <xf borderId="0" fillId="0" fontId="2" numFmtId="173" xfId="0" applyAlignment="1" applyFont="1" applyNumberFormat="1">
      <alignment vertical="center"/>
    </xf>
    <xf borderId="0" fillId="4" fontId="7" numFmtId="171" xfId="0" applyAlignment="1" applyFill="1" applyFont="1" applyNumberFormat="1">
      <alignment vertical="center"/>
    </xf>
    <xf borderId="0" fillId="13" fontId="23" numFmtId="171" xfId="0" applyAlignment="1" applyFill="1" applyFont="1" applyNumberFormat="1">
      <alignment readingOrder="0" vertical="center"/>
    </xf>
    <xf borderId="0" fillId="13" fontId="23" numFmtId="17" xfId="0" applyAlignment="1" applyFill="1" applyFont="1" applyNumberFormat="1">
      <alignment horizontal="center" vertical="center"/>
    </xf>
    <xf borderId="0" fillId="13" fontId="23" numFmtId="171" xfId="0" applyAlignment="1" applyFill="1" applyFont="1" applyNumberFormat="1">
      <alignment horizontal="center" readingOrder="0" vertical="center"/>
    </xf>
    <xf borderId="0" fillId="13" fontId="23" numFmtId="169" xfId="0" applyAlignment="1" applyFill="1" applyFont="1" applyNumberFormat="1">
      <alignment readingOrder="0" vertical="center"/>
    </xf>
    <xf borderId="0" fillId="17" fontId="46" numFmtId="169" xfId="0" applyAlignment="1" applyFill="1" applyFont="1" applyNumberFormat="1">
      <alignment vertical="center"/>
    </xf>
    <xf borderId="0" fillId="17" fontId="46" numFmtId="1" xfId="0" applyAlignment="1" applyFill="1" applyFont="1" applyNumberFormat="1">
      <alignment horizontal="center" vertical="center"/>
    </xf>
    <xf borderId="0" fillId="13" fontId="23" numFmtId="17" xfId="0" applyAlignment="1" applyFill="1" applyFont="1" applyNumberFormat="1">
      <alignment horizontal="center" readingOrder="0" vertical="center"/>
    </xf>
    <xf borderId="0" fillId="13" fontId="23" numFmtId="181" xfId="0" applyAlignment="1" applyFill="1" applyFont="1" applyNumberFormat="1">
      <alignment readingOrder="0" vertical="center"/>
    </xf>
    <xf borderId="0" fillId="17" fontId="46" numFmtId="181" xfId="0" applyAlignment="1" applyFill="1" applyFont="1" applyNumberFormat="1">
      <alignment vertical="center"/>
    </xf>
    <xf borderId="4" fillId="0" fontId="7" numFmtId="0" xfId="0" applyAlignment="1" applyBorder="1" applyFont="1">
      <alignment readingOrder="0" vertical="center"/>
    </xf>
    <xf borderId="4" fillId="0" fontId="7" numFmtId="173" xfId="0" applyAlignment="1" applyBorder="1" applyFont="1" applyNumberFormat="1">
      <alignment vertical="center"/>
    </xf>
    <xf borderId="4" fillId="4" fontId="7" numFmtId="171" xfId="0" applyAlignment="1" applyBorder="1" applyFill="1" applyFont="1" applyNumberFormat="1">
      <alignment vertical="center"/>
    </xf>
    <xf borderId="0" fillId="4" fontId="7" numFmtId="173" xfId="0" applyAlignment="1" applyFill="1" applyFont="1" applyNumberFormat="1">
      <alignment vertical="center"/>
    </xf>
    <xf borderId="0" fillId="0" fontId="2" numFmtId="169" xfId="0" applyAlignment="1" applyFont="1" applyNumberFormat="1">
      <alignment vertical="center"/>
    </xf>
    <xf borderId="0" fillId="4" fontId="7" numFmtId="169" xfId="0" applyAlignment="1" applyFill="1" applyFont="1" applyNumberFormat="1">
      <alignment vertical="center"/>
    </xf>
    <xf borderId="18" fillId="0" fontId="2" numFmtId="0" xfId="0" applyAlignment="1" applyBorder="1" applyFont="1">
      <alignment readingOrder="0" vertical="center"/>
    </xf>
    <xf borderId="18" fillId="0" fontId="2" numFmtId="169" xfId="0" applyAlignment="1" applyBorder="1" applyFont="1" applyNumberFormat="1">
      <alignment vertical="center"/>
    </xf>
    <xf borderId="18" fillId="4" fontId="7" numFmtId="169" xfId="0" applyAlignment="1" applyBorder="1" applyFill="1" applyFont="1" applyNumberFormat="1">
      <alignment vertical="center"/>
    </xf>
    <xf borderId="4" fillId="0" fontId="7" numFmtId="169" xfId="0" applyAlignment="1" applyBorder="1" applyFont="1" applyNumberFormat="1">
      <alignment vertical="center"/>
    </xf>
    <xf borderId="4" fillId="4" fontId="7" numFmtId="169" xfId="0" applyAlignment="1" applyBorder="1" applyFill="1" applyFont="1" applyNumberFormat="1">
      <alignment vertical="center"/>
    </xf>
    <xf borderId="0" fillId="17" fontId="2" numFmtId="0" xfId="0" applyAlignment="1" applyFill="1" applyFont="1">
      <alignment readingOrder="0" vertical="center"/>
    </xf>
    <xf borderId="0" fillId="17" fontId="2" numFmtId="173" xfId="0" applyAlignment="1" applyFill="1" applyFont="1" applyNumberFormat="1">
      <alignment vertical="center"/>
    </xf>
    <xf borderId="0" fillId="17" fontId="7" numFmtId="0" xfId="0" applyAlignment="1" applyFill="1" applyFont="1">
      <alignment readingOrder="0" vertical="center"/>
    </xf>
    <xf borderId="0" fillId="17" fontId="7" numFmtId="169" xfId="0" applyAlignment="1" applyFill="1" applyFont="1" applyNumberFormat="1">
      <alignment vertical="center"/>
    </xf>
    <xf borderId="0" fillId="13" fontId="23" numFmtId="169" xfId="0" applyAlignment="1" applyFill="1" applyFont="1" applyNumberFormat="1">
      <alignment horizontal="right" readingOrder="0" vertical="center"/>
    </xf>
    <xf borderId="0" fillId="13" fontId="23" numFmtId="181" xfId="0" applyAlignment="1" applyFill="1" applyFont="1" applyNumberFormat="1">
      <alignment horizontal="right" readingOrder="0" vertical="center"/>
    </xf>
    <xf borderId="0" fillId="0" fontId="2" numFmtId="169" xfId="0" applyAlignment="1" applyFont="1" applyNumberFormat="1">
      <alignment horizontal="right" vertical="center"/>
    </xf>
    <xf borderId="4" fillId="0" fontId="7" numFmtId="169" xfId="0" applyAlignment="1" applyBorder="1" applyFont="1" applyNumberFormat="1">
      <alignment horizontal="right" vertical="center"/>
    </xf>
    <xf borderId="0" fillId="2" fontId="5" numFmtId="0" xfId="0" applyAlignment="1" applyFill="1" applyFont="1">
      <alignment vertical="center"/>
    </xf>
    <xf borderId="0" fillId="0" fontId="47" numFmtId="0" xfId="0" applyAlignment="1" applyFont="1">
      <alignment readingOrder="0" vertical="center"/>
    </xf>
    <xf borderId="0" fillId="0" fontId="2" numFmtId="0" xfId="0" applyAlignment="1" applyFont="1">
      <alignment readingOrder="0" shrinkToFit="0" vertical="top" wrapText="1"/>
    </xf>
    <xf borderId="0" fillId="0" fontId="47" numFmtId="0" xfId="0" applyAlignment="1" applyFont="1">
      <alignment readingOrder="0" shrinkToFit="0" vertical="top" wrapText="1"/>
    </xf>
    <xf borderId="0" fillId="0" fontId="2" numFmtId="0" xfId="0" applyAlignment="1" applyFont="1">
      <alignment shrinkToFit="0" vertical="top" wrapText="1"/>
    </xf>
    <xf borderId="0" fillId="0" fontId="8" numFmtId="188" xfId="0" applyAlignment="1" applyFont="1" applyNumberFormat="1">
      <alignment vertical="center"/>
    </xf>
    <xf borderId="0" fillId="13" fontId="42" numFmtId="9" xfId="0" applyAlignment="1" applyFill="1" applyFont="1" applyNumberFormat="1">
      <alignment readingOrder="0" vertical="center"/>
    </xf>
    <xf borderId="0" fillId="0" fontId="6" numFmtId="180" xfId="0" applyAlignment="1" applyFont="1" applyNumberFormat="1">
      <alignment vertical="center"/>
    </xf>
    <xf borderId="0" fillId="13" fontId="42" numFmtId="9" xfId="0" applyAlignment="1" applyFill="1" applyFont="1" applyNumberFormat="1">
      <alignment vertical="center"/>
    </xf>
    <xf borderId="0" fillId="0" fontId="48" numFmtId="0" xfId="0" applyAlignment="1" applyFont="1">
      <alignment readingOrder="0" vertical="center"/>
    </xf>
    <xf borderId="0" fillId="0" fontId="48" numFmtId="180" xfId="0" applyAlignment="1" applyFont="1" applyNumberFormat="1">
      <alignment vertical="center"/>
    </xf>
    <xf borderId="0" fillId="0" fontId="48" numFmtId="0" xfId="0" applyAlignment="1" applyFont="1">
      <alignment vertical="center"/>
    </xf>
    <xf borderId="4" fillId="0" fontId="6" numFmtId="0" xfId="0" applyAlignment="1" applyBorder="1" applyFont="1">
      <alignment readingOrder="0" vertical="center"/>
    </xf>
    <xf borderId="4" fillId="0" fontId="6" numFmtId="180" xfId="0" applyAlignment="1" applyBorder="1" applyFont="1" applyNumberFormat="1">
      <alignment vertical="center"/>
    </xf>
    <xf borderId="4" fillId="0" fontId="6" numFmtId="0" xfId="0" applyAlignment="1" applyBorder="1" applyFont="1">
      <alignment vertical="center"/>
    </xf>
    <xf borderId="0" fillId="0" fontId="8" numFmtId="189" xfId="0" applyAlignment="1" applyFont="1" applyNumberFormat="1">
      <alignment vertical="center"/>
    </xf>
    <xf borderId="0" fillId="13" fontId="42" numFmtId="171" xfId="0" applyAlignment="1" applyFill="1" applyFont="1" applyNumberFormat="1">
      <alignment horizontal="right" readingOrder="0" vertical="center"/>
    </xf>
    <xf borderId="0" fillId="0" fontId="8" numFmtId="3" xfId="0" applyAlignment="1" applyFont="1" applyNumberFormat="1">
      <alignment horizontal="right" vertical="center"/>
    </xf>
    <xf borderId="0" fillId="0" fontId="8" numFmtId="2" xfId="0" applyAlignment="1" applyFont="1" applyNumberFormat="1">
      <alignment horizontal="right" vertical="center"/>
    </xf>
    <xf borderId="0" fillId="0" fontId="8" numFmtId="9" xfId="0" applyAlignment="1" applyFont="1" applyNumberFormat="1">
      <alignment horizontal="right" vertical="center"/>
    </xf>
    <xf borderId="0" fillId="13" fontId="42" numFmtId="0" xfId="0" applyAlignment="1" applyFill="1" applyFont="1">
      <alignment horizontal="right" readingOrder="0" vertical="center"/>
    </xf>
    <xf borderId="0" fillId="0" fontId="8" numFmtId="168" xfId="0" applyAlignment="1" applyFont="1" applyNumberFormat="1">
      <alignment horizontal="right" vertical="center"/>
    </xf>
    <xf borderId="0" fillId="0" fontId="8" numFmtId="180" xfId="0" applyAlignment="1" applyFont="1" applyNumberFormat="1">
      <alignment horizontal="right" vertical="center"/>
    </xf>
    <xf borderId="0" fillId="0" fontId="9" numFmtId="0" xfId="0" applyAlignment="1" applyFont="1">
      <alignment readingOrder="0" shrinkToFit="0" vertical="center" wrapText="1"/>
    </xf>
    <xf borderId="0" fillId="0" fontId="8" numFmtId="168" xfId="0" applyAlignment="1" applyFont="1" applyNumberFormat="1">
      <alignment vertical="center"/>
    </xf>
    <xf borderId="0" fillId="0" fontId="8" numFmtId="3" xfId="0" applyAlignment="1" applyFont="1" applyNumberFormat="1">
      <alignment vertical="center"/>
    </xf>
    <xf borderId="4" fillId="0" fontId="6" numFmtId="168" xfId="0" applyAlignment="1" applyBorder="1" applyFont="1" applyNumberFormat="1">
      <alignment vertical="center"/>
    </xf>
    <xf borderId="4" fillId="0" fontId="6" numFmtId="3" xfId="0" applyAlignment="1" applyBorder="1" applyFont="1" applyNumberFormat="1">
      <alignment vertical="center"/>
    </xf>
    <xf borderId="4" fillId="0" fontId="6" numFmtId="186" xfId="0" applyAlignment="1" applyBorder="1" applyFont="1" applyNumberFormat="1">
      <alignment vertical="center"/>
    </xf>
    <xf borderId="0" fillId="0" fontId="43" numFmtId="185" xfId="0" applyAlignment="1" applyFont="1" applyNumberFormat="1">
      <alignment vertical="center"/>
    </xf>
    <xf borderId="0" fillId="0" fontId="6" numFmtId="185" xfId="0" applyAlignment="1" applyFont="1" applyNumberFormat="1">
      <alignment vertical="center"/>
    </xf>
    <xf borderId="0" fillId="0" fontId="8" numFmtId="184" xfId="0" applyAlignment="1" applyFont="1" applyNumberFormat="1">
      <alignment readingOrder="0" vertical="center"/>
    </xf>
    <xf borderId="0" fillId="0" fontId="6" numFmtId="0" xfId="0" applyAlignment="1" applyFont="1">
      <alignment vertical="center"/>
    </xf>
    <xf borderId="4" fillId="18" fontId="6" numFmtId="0" xfId="0" applyAlignment="1" applyBorder="1" applyFill="1" applyFont="1">
      <alignment readingOrder="0" vertical="center"/>
    </xf>
    <xf borderId="4" fillId="18" fontId="6" numFmtId="180" xfId="0" applyAlignment="1" applyBorder="1" applyFill="1" applyFont="1" applyNumberFormat="1">
      <alignment vertical="center"/>
    </xf>
    <xf borderId="7" fillId="18" fontId="6" numFmtId="0" xfId="0" applyAlignment="1" applyBorder="1" applyFill="1" applyFont="1">
      <alignment readingOrder="0" vertical="center"/>
    </xf>
    <xf borderId="7" fillId="18" fontId="6" numFmtId="180" xfId="0" applyAlignment="1" applyBorder="1" applyFill="1" applyFont="1" applyNumberFormat="1">
      <alignment vertical="center"/>
    </xf>
    <xf borderId="0" fillId="0" fontId="49" numFmtId="180" xfId="0" applyAlignment="1" applyFont="1" applyNumberFormat="1">
      <alignment vertical="center"/>
    </xf>
    <xf borderId="0" fillId="0" fontId="50" numFmtId="0" xfId="0" applyAlignment="1" applyFont="1">
      <alignment readingOrder="0" vertical="center"/>
    </xf>
    <xf borderId="0" fillId="0" fontId="51" numFmtId="0" xfId="0" applyAlignment="1" applyFont="1">
      <alignment readingOrder="0" shrinkToFit="0" vertical="center" wrapText="0"/>
    </xf>
    <xf borderId="19" fillId="16" fontId="41" numFmtId="0" xfId="0" applyAlignment="1" applyBorder="1" applyFill="1" applyFont="1">
      <alignment readingOrder="0" shrinkToFit="0" vertical="center" wrapText="1"/>
    </xf>
    <xf borderId="20" fillId="16" fontId="41" numFmtId="0" xfId="0" applyAlignment="1" applyBorder="1" applyFill="1" applyFont="1">
      <alignment readingOrder="0" shrinkToFit="0" vertical="center" wrapText="1"/>
    </xf>
    <xf borderId="21" fillId="16" fontId="41" numFmtId="0" xfId="0" applyAlignment="1" applyBorder="1" applyFill="1" applyFont="1">
      <alignment readingOrder="0" shrinkToFit="0" vertical="center" wrapText="1"/>
    </xf>
    <xf borderId="0" fillId="0" fontId="8" numFmtId="190" xfId="0" applyAlignment="1" applyFont="1" applyNumberFormat="1">
      <alignment horizontal="left" readingOrder="0" shrinkToFit="0" vertical="center" wrapText="0"/>
    </xf>
    <xf borderId="0" fillId="0" fontId="8" numFmtId="0" xfId="0" applyAlignment="1" applyFont="1">
      <alignment readingOrder="0" shrinkToFit="0" vertical="center" wrapText="0"/>
    </xf>
    <xf borderId="0" fillId="0" fontId="8" numFmtId="191" xfId="0" applyAlignment="1" applyFont="1" applyNumberFormat="1">
      <alignment readingOrder="0" shrinkToFit="0" vertical="center" wrapText="0"/>
    </xf>
    <xf borderId="0" fillId="0" fontId="8" numFmtId="0" xfId="0" applyAlignment="1" applyFont="1">
      <alignment horizontal="center" readingOrder="0" shrinkToFit="0" vertical="center" wrapText="0"/>
    </xf>
    <xf borderId="0" fillId="0" fontId="8" numFmtId="0" xfId="0" applyAlignment="1" applyFont="1">
      <alignment horizontal="center" shrinkToFit="0" vertical="center" wrapText="0"/>
    </xf>
    <xf borderId="22" fillId="0" fontId="8" numFmtId="0" xfId="0" applyAlignment="1" applyBorder="1" applyFont="1">
      <alignment readingOrder="0" vertical="center"/>
    </xf>
    <xf borderId="23" fillId="0" fontId="8" numFmtId="0" xfId="0" applyAlignment="1" applyBorder="1" applyFont="1">
      <alignment readingOrder="0" vertical="center"/>
    </xf>
    <xf borderId="23" fillId="13" fontId="42" numFmtId="192" xfId="0" applyAlignment="1" applyBorder="1" applyFill="1" applyFont="1" applyNumberFormat="1">
      <alignment horizontal="center" readingOrder="0" vertical="center"/>
    </xf>
    <xf borderId="24" fillId="0" fontId="8" numFmtId="0" xfId="0" applyAlignment="1" applyBorder="1" applyFont="1">
      <alignment readingOrder="0" shrinkToFit="0" vertical="center" wrapText="1"/>
    </xf>
    <xf borderId="24" fillId="0" fontId="8" numFmtId="0" xfId="0" applyAlignment="1" applyBorder="1" applyFont="1">
      <alignment shrinkToFit="0" vertical="center" wrapText="1"/>
    </xf>
    <xf borderId="23" fillId="17" fontId="18" numFmtId="192" xfId="0" applyAlignment="1" applyBorder="1" applyFill="1" applyFont="1" applyNumberFormat="1">
      <alignment horizontal="center" vertical="center"/>
    </xf>
    <xf borderId="23" fillId="17" fontId="43" numFmtId="192" xfId="0" applyAlignment="1" applyBorder="1" applyFill="1" applyFont="1" applyNumberFormat="1">
      <alignment horizontal="center" vertical="center"/>
    </xf>
    <xf borderId="23" fillId="17" fontId="43" numFmtId="192" xfId="0" applyAlignment="1" applyBorder="1" applyFill="1" applyFont="1" applyNumberFormat="1">
      <alignment horizontal="center" readingOrder="0" vertical="center"/>
    </xf>
    <xf borderId="25" fillId="0" fontId="8" numFmtId="0" xfId="0" applyAlignment="1" applyBorder="1" applyFont="1">
      <alignment readingOrder="0" vertical="center"/>
    </xf>
    <xf borderId="26" fillId="0" fontId="8" numFmtId="0" xfId="0" applyAlignment="1" applyBorder="1" applyFont="1">
      <alignment readingOrder="0" vertical="center"/>
    </xf>
    <xf borderId="26" fillId="13" fontId="42" numFmtId="192" xfId="0" applyAlignment="1" applyBorder="1" applyFill="1" applyFont="1" applyNumberFormat="1">
      <alignment horizontal="center" readingOrder="0" vertical="center"/>
    </xf>
    <xf borderId="27" fillId="0" fontId="8" numFmtId="0" xfId="0" applyAlignment="1" applyBorder="1" applyFont="1">
      <alignment shrinkToFit="0" vertical="center" wrapText="1"/>
    </xf>
    <xf borderId="23" fillId="13" fontId="42" numFmtId="182" xfId="0" applyAlignment="1" applyBorder="1" applyFill="1" applyFont="1" applyNumberFormat="1">
      <alignment readingOrder="0" vertical="center"/>
    </xf>
    <xf borderId="23" fillId="0" fontId="8" numFmtId="3" xfId="0" applyAlignment="1" applyBorder="1" applyFont="1" applyNumberFormat="1">
      <alignment vertical="center"/>
    </xf>
    <xf borderId="23" fillId="0" fontId="8" numFmtId="180" xfId="0" applyAlignment="1" applyBorder="1" applyFont="1" applyNumberFormat="1">
      <alignment readingOrder="0" vertical="center"/>
    </xf>
    <xf borderId="24" fillId="0" fontId="8" numFmtId="180" xfId="0" applyAlignment="1" applyBorder="1" applyFont="1" applyNumberFormat="1">
      <alignment readingOrder="0" vertical="center"/>
    </xf>
    <xf borderId="25" fillId="18" fontId="6" numFmtId="0" xfId="0" applyAlignment="1" applyBorder="1" applyFill="1" applyFont="1">
      <alignment readingOrder="0" vertical="center"/>
    </xf>
    <xf borderId="26" fillId="18" fontId="6" numFmtId="3" xfId="0" applyAlignment="1" applyBorder="1" applyFill="1" applyFont="1" applyNumberFormat="1">
      <alignment vertical="center"/>
    </xf>
    <xf borderId="26" fillId="18" fontId="6" numFmtId="180" xfId="0" applyAlignment="1" applyBorder="1" applyFill="1" applyFont="1" applyNumberFormat="1">
      <alignment vertical="center"/>
    </xf>
    <xf borderId="27" fillId="18" fontId="6" numFmtId="180" xfId="0" applyAlignment="1" applyBorder="1" applyFill="1" applyFont="1" applyNumberFormat="1">
      <alignment vertical="center"/>
    </xf>
    <xf borderId="0" fillId="0" fontId="8" numFmtId="0" xfId="0" applyAlignment="1" applyFont="1">
      <alignment horizontal="center" readingOrder="0" shrinkToFit="0" vertical="center" wrapText="0"/>
    </xf>
    <xf borderId="0" fillId="0" fontId="52" numFmtId="0" xfId="0" applyAlignment="1" applyFont="1">
      <alignment readingOrder="0" shrinkToFit="0" vertical="center" wrapText="0"/>
    </xf>
    <xf borderId="0" fillId="0" fontId="8" numFmtId="0" xfId="0" applyAlignment="1" applyFont="1">
      <alignment shrinkToFit="0" vertical="center" wrapText="0"/>
    </xf>
    <xf borderId="4" fillId="18" fontId="6" numFmtId="0" xfId="0" applyAlignment="1" applyBorder="1" applyFill="1" applyFont="1">
      <alignment horizontal="left" readingOrder="0" shrinkToFit="0" vertical="center" wrapText="0"/>
    </xf>
    <xf borderId="4" fillId="18" fontId="6" numFmtId="0" xfId="0" applyAlignment="1" applyBorder="1" applyFill="1" applyFont="1">
      <alignment readingOrder="0" shrinkToFit="0" vertical="center" wrapText="0"/>
    </xf>
    <xf borderId="4" fillId="18" fontId="6" numFmtId="191" xfId="0" applyAlignment="1" applyBorder="1" applyFill="1" applyFont="1" applyNumberFormat="1">
      <alignment readingOrder="0" shrinkToFit="0" vertical="center" wrapText="0"/>
    </xf>
    <xf borderId="4" fillId="18" fontId="6" numFmtId="0" xfId="0" applyAlignment="1" applyBorder="1" applyFill="1" applyFont="1">
      <alignment horizontal="center" readingOrder="0" shrinkToFit="0" vertical="center" wrapText="0"/>
    </xf>
    <xf borderId="4" fillId="18" fontId="6" numFmtId="0" xfId="0" applyAlignment="1" applyBorder="1" applyFill="1" applyFont="1">
      <alignment horizontal="center" shrinkToFit="0" vertical="center" wrapText="0"/>
    </xf>
    <xf borderId="0" fillId="18" fontId="6" numFmtId="0" xfId="0" applyAlignment="1" applyFill="1" applyFont="1">
      <alignment horizontal="left" readingOrder="0" shrinkToFit="0" vertical="center" wrapText="0"/>
    </xf>
    <xf borderId="0" fillId="18" fontId="6" numFmtId="0" xfId="0" applyAlignment="1" applyFill="1" applyFont="1">
      <alignment readingOrder="0" shrinkToFit="0" vertical="center" wrapText="0"/>
    </xf>
    <xf borderId="0" fillId="18" fontId="6" numFmtId="191" xfId="0" applyAlignment="1" applyFill="1" applyFont="1" applyNumberFormat="1">
      <alignment readingOrder="0" shrinkToFit="0" vertical="center" wrapText="0"/>
    </xf>
    <xf borderId="0" fillId="18" fontId="6" numFmtId="0" xfId="0" applyAlignment="1" applyFill="1" applyFont="1">
      <alignment horizontal="center" readingOrder="0" shrinkToFit="0" vertical="center" wrapText="0"/>
    </xf>
    <xf borderId="0" fillId="18" fontId="6" numFmtId="0" xfId="0" applyAlignment="1" applyFill="1" applyFont="1">
      <alignment horizontal="center" shrinkToFit="0" vertical="center" wrapText="0"/>
    </xf>
    <xf borderId="0" fillId="0" fontId="8" numFmtId="191" xfId="0" applyAlignment="1" applyFont="1" applyNumberFormat="1">
      <alignment vertical="center"/>
    </xf>
    <xf borderId="4" fillId="18" fontId="6" numFmtId="0" xfId="0" applyAlignment="1" applyBorder="1" applyFill="1" applyFont="1">
      <alignment vertical="center"/>
    </xf>
    <xf borderId="4" fillId="18" fontId="6" numFmtId="191" xfId="0" applyAlignment="1" applyBorder="1" applyFill="1" applyFont="1" applyNumberFormat="1">
      <alignment vertical="center"/>
    </xf>
    <xf borderId="0" fillId="18" fontId="6" numFmtId="0" xfId="0" applyAlignment="1" applyFill="1" applyFont="1">
      <alignment readingOrder="0" vertical="center"/>
    </xf>
    <xf borderId="0" fillId="18" fontId="6" numFmtId="0" xfId="0" applyAlignment="1" applyFill="1" applyFont="1">
      <alignment vertical="center"/>
    </xf>
    <xf borderId="0" fillId="18" fontId="6" numFmtId="191" xfId="0" applyAlignment="1" applyFill="1" applyFont="1" applyNumberFormat="1">
      <alignment vertical="center"/>
    </xf>
  </cellXfs>
  <cellStyles count="1">
    <cellStyle xfId="0" name="Normal" builtinId="0"/>
  </cellStyles>
  <dxfs count="2">
    <dxf>
      <font>
        <color rgb="FF0000FF"/>
      </font>
      <fill>
        <patternFill patternType="none"/>
      </fill>
      <border/>
    </dxf>
    <dxf>
      <font>
        <color rgb="FFC00000"/>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sheen Henry" id="{d6d1c917-cffc-4e1f-990b-2b09133ab70b}" providerId="google-sheets"/>
  <x18tc:person displayName="Kent Turner" id="{4016e13d-d47a-4342-8156-c1314142a15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10-06T14:21:20.00" personId="{d6d1c917-cffc-4e1f-990b-2b09133ab70b}" id="{7501af88-5903-4d72-9f3b-a405acaf2d5e}" done="0">
    <x18tc:text xml:space="preserve">Min is 1 based out of HQ. We already have 1 in MX (contractor). Need to confirm how to classify in outlook. I am reflecting this as active HC=2</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6-10-06T12:14:00.00" personId="{4016e13d-d47a-4342-8156-c1314142a15f}" id="{ec6321eb-c3a5-42e3-9fa5-dbd4f296bb3c}" done="0">
    <x18tc:text xml:space="preserve">Default = Oct–Dec 2027 average new-logo go-lives (DeploySum row 54), rounded. Used for hires needed after the DeploySum horizon (Dec-27 hires for Jan-28 go-lives with a 1-month lead time). Overwrite with a number if you have a 2028 forecast.</x18tc:text>
  </x18tc:threadedComment>
  <x18tc:threadedComment ref="B12" dT="2026-10-06T12:14:00.00" personId="{4016e13d-d47a-4342-8156-c1314142a15f}" id="{93d94389-8cdf-4e25-ad89-84e4437e069e}" done="0">
    <x18tc:text xml:space="preserve">Placeholder. Share of expansion deployments (DeploySum row 57) that are new customer locations needing a dedicated tech. Expansions at existing locations use the site's current tech.</x18tc:text>
  </x18tc:threadedComment>
  <x18tc:threadedComment ref="B16" dT="2026-10-06T12:14:00.00" personId="{4016e13d-d47a-4342-8156-c1314142a15f}" id="{d8165e6f-1992-4f20-88d0-975a6e7b8ebe}" done="0">
    <x18tc:text xml:space="preserve">Default = Oct–Dec 2027 average expansion go-lives (DeploySum row 57), rounded. The new-location % (B12) is still applied. Overwrite with a number if you have a 2028 forecast.</x18tc:text>
  </x18tc:threadedComment>
  <x18tc:threadedComment ref="B10" dT="2026-10-06T12:14:00.00" personId="{4016e13d-d47a-4342-8156-c1314142a15f}" id="{92f10bff-8908-4592-9c27-e1c903973396}" done="0">
    <x18tc:text xml:space="preserve">Lead time looks forward on DeploySum row 54 (Sep-26–Dec-27 only). Dec-27 hires for Jan-28 go-lives aren't captured unless the horizon is extended.</x18tc:text>
  </x18tc:threadedComment>
  <x18tc:threadedComment ref="M11" dT="2026-10-06T12:14:00.00" personId="{4016e13d-d47a-4342-8156-c1314142a15f}" id="{05665018-4c13-4105-8ea5-b425e4a92c71}" done="0">
    <x18tc:text xml:space="preserve">Placeholder. Floater techs cover site techs' vacation, sick days and turnover gaps. Typical range 1 per 8–12 site techs. Floaters use the tech salary, taxes, benefits and new-hire cost (B6:B9).</x18tc:text>
  </x18tc:threadedComment>
  <x18tc:threadedComment ref="M11" dT="2026-10-06T14:09:51.00" personId="{d6d1c917-cffc-4e1f-990b-2b09133ab70b}" id="{1e2322f8-be26-4863-9102-e2767cb8dfae}" parentId="{05665018-4c13-4105-8ea5-b425e4a92c71}">
    <x18tc:text xml:space="preserve">Travel (Regional/Master) Tech - based out of HQ. Flex for training, onboarding, demo support, temp coverage.</x18tc:text>
  </x18tc:threadedComment>
  <x18tc:threadedComment ref="M14" dT="2026-10-06T12:14:00.00" personId="{4016e13d-d47a-4342-8156-c1314142a15f}" id="{ad222afb-ca36-48d1-9cb8-5a151159e739}" done="0">
    <x18tc:text xml:space="preserve">Yes = staff floaters at 1 per L11 site techs (min L12). No = zero floaters (incl. current floaters in L13) – no field absence coverage is costed.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9" dT="2026-10-06T12:14:00.00" personId="{4016e13d-d47a-4342-8156-c1314142a15f}" id="{aa4286fb-c7b7-4efd-8669-ffaf74fe6537}" done="0">
    <x18tc:text xml:space="preserve">Employees hired in the N months before the raise month don't get the raise (e.g., 6 = Apr–Sep 2027 hires excluded from the Oct-27 raise). Eligible headcount = headcount as of the month before that window.</x18tc:text>
  </x18tc:threadedComment>
  <x18tc:threadedComment ref="B16" dT="2026-10-06T12:14:00.00" personId="{4016e13d-d47a-4342-8156-c1314142a15f}" id="{4ea38e9c-7af2-464a-ab15-51d4aff50f8a}" done="0">
    <x18tc:text xml:space="preserve">Base crew needed at the 2/wk minimum tier (input). Independent of current staff (B9) – current staff only reduces hiring. Each step up adds C16:O16.</x18tc:text>
  </x18tc:threadedComment>
  <x18tc:threadedComment ref="M7" dT="2026-10-06T12:14:00.00" personId="{4016e13d-d47a-4342-8156-c1314142a15f}" id="{63b97fc3-5795-42db-b0a7-f45f4dfa4676}" done="0">
    <x18tc:text xml:space="preserve">Placeholder. Covers recruiting, onboarding, training, PPE &amp; ramp-up productivity loss; typical manufacturing ~$3–5K/hire. Charged on headcount increases only.</x18tc:text>
  </x18tc:threadedComment>
  <x18tc:threadedComment ref="B9" dT="2026-10-06T12:14:00.00" personId="{4016e13d-d47a-4342-8156-c1314142a15f}" id="{d1c8f3f4-84c4-4e61-9a98-d1c8f1d5159a}" done="0">
    <x18tc:text xml:space="preserve">Placeholder – set to Sep-26 required crew so Sep shows no hiring. Replace with actual current headcount. Hires = increases above this level.</x18tc:text>
  </x18tc:threadedComment>
  <x18tc:threadedComment ref="A33" dT="2026-10-06T12:14:00.00" personId="{4016e13d-d47a-4342-8156-c1314142a15f}" id="{ed6f38bd-1abb-44a1-b229-efb3daa2bcf1}" done="0">
    <x18tc:text xml:space="preserve">Placeholder seasonal factors (5–8%). Benchmark: BLS 2023 private-sector absence rate 3.0% (1.6% of hours lost) for unplanned absence, plus ~4–6% for planned vacation/PTO. Source: BLS CPS Table 47, https://www.bls.gov/cps/data/aa2023/cpsaat47.pdf</x18tc:text>
    <x18tc:extLst>
      <ext uri="{F7C98A9C-CBB3-438F-8F68-D28B6AF4A901}">
        <xltc2:checksum/>
        <xltc2:hyperlink startIndex="197" length="48" url="https://www.bls.gov/cps/data/aa2023/cpsaat47.pdf"/>
      </ext>
    </x18tc:extLs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 dT="2026-10-07T03:26:59.00" personId="{d6d1c917-cffc-4e1f-990b-2b09133ab70b}" id="{35159615-5796-4de2-a0d2-ed894291766e}" done="0">
    <x18tc:text xml:space="preserve">CONFIRM: how should the MeLi contract supervisor be handled? Currently costed in 5310 at the CXC supervisor rate ($8,704/month) and excluded from the 21 all-in techs. Fld Ops Payroll shows 0 current supervisors.</x18tc:text>
  </x18tc:threadedComment>
  <x18tc:threadedComment ref="B30" dT="2026-10-07T03:26:59.00" personId="{d6d1c917-cffc-4e1f-990b-2b09133ab70b}" id="{244b32e6-3956-4911-a9ec-ea7f460b1e0c}" done="0">
    <x18tc:text xml:space="preserve">CONFIRM: where should the MeLi contractors map? This tab costs them in 5310 (CXC EOR); Fld Ops Payroll includes them in the 21 all-in techs costed as employees (5510).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homedepot.com" TargetMode="External"/><Relationship Id="rId2" Type="http://schemas.openxmlformats.org/officeDocument/2006/relationships/hyperlink" Target="http://homedepot.com"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873"/>
    <pageSetUpPr fitToPage="1"/>
  </sheetPr>
  <sheetViews>
    <sheetView showGridLines="0" workbookViewId="0"/>
  </sheetViews>
  <sheetFormatPr customHeight="1" defaultColWidth="12.63" defaultRowHeight="15.0" outlineLevelRow="1"/>
  <cols>
    <col customWidth="1" min="1" max="1" width="49.63"/>
    <col customWidth="1" min="2" max="17" width="9.25"/>
    <col customWidth="1" min="18" max="18" width="11.5"/>
    <col customWidth="1" min="19" max="26" width="8.63"/>
  </cols>
  <sheetData>
    <row r="1" ht="14.25" customHeight="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3" t="s">
        <v>1</v>
      </c>
      <c r="B2" s="2"/>
      <c r="C2" s="2"/>
      <c r="D2" s="2"/>
      <c r="E2" s="2"/>
      <c r="F2" s="2"/>
      <c r="G2" s="2"/>
      <c r="H2" s="2"/>
      <c r="I2" s="2"/>
      <c r="J2" s="2"/>
      <c r="K2" s="2"/>
      <c r="L2" s="2"/>
      <c r="M2" s="2"/>
      <c r="N2" s="2"/>
      <c r="O2" s="2"/>
      <c r="P2" s="2"/>
      <c r="Q2" s="2"/>
      <c r="R2" s="2"/>
      <c r="S2" s="2"/>
      <c r="T2" s="2"/>
      <c r="U2" s="2"/>
      <c r="V2" s="2"/>
      <c r="W2" s="2"/>
      <c r="X2" s="2"/>
      <c r="Y2" s="2"/>
      <c r="Z2" s="2"/>
    </row>
    <row r="3" ht="14.25" customHeight="1">
      <c r="A3" s="4" t="str">
        <f t="array" ref="A3">"Tie-out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f>
        <v>#ERROR!</v>
      </c>
      <c r="B3" s="2"/>
      <c r="C3" s="2"/>
      <c r="D3" s="2"/>
      <c r="E3" s="2"/>
      <c r="F3" s="2"/>
      <c r="G3" s="2"/>
      <c r="H3" s="2"/>
      <c r="I3" s="2"/>
      <c r="J3" s="2"/>
      <c r="K3" s="2"/>
      <c r="L3" s="2"/>
      <c r="M3" s="2"/>
      <c r="N3" s="2"/>
      <c r="O3" s="2"/>
      <c r="P3" s="2"/>
      <c r="Q3" s="2"/>
      <c r="R3" s="2"/>
      <c r="S3" s="2"/>
      <c r="T3" s="2"/>
      <c r="U3" s="2"/>
      <c r="V3" s="2"/>
      <c r="W3" s="2"/>
      <c r="X3" s="2"/>
      <c r="Y3" s="2"/>
      <c r="Z3" s="2"/>
    </row>
    <row r="4" ht="14.25" customHeight="1">
      <c r="A4" s="5"/>
      <c r="B4" s="6" t="str">
        <f t="shared" ref="B4:Q4" si="1">'[1]Revenue Roll-up'!D17</f>
        <v>#REF!</v>
      </c>
      <c r="C4" s="6" t="str">
        <f t="shared" si="1"/>
        <v>#REF!</v>
      </c>
      <c r="D4" s="6" t="str">
        <f t="shared" si="1"/>
        <v>#REF!</v>
      </c>
      <c r="E4" s="7" t="str">
        <f t="shared" si="1"/>
        <v>#REF!</v>
      </c>
      <c r="F4" s="6" t="str">
        <f t="shared" si="1"/>
        <v>#REF!</v>
      </c>
      <c r="G4" s="6" t="str">
        <f t="shared" si="1"/>
        <v>#REF!</v>
      </c>
      <c r="H4" s="6" t="str">
        <f t="shared" si="1"/>
        <v>#REF!</v>
      </c>
      <c r="I4" s="6" t="str">
        <f t="shared" si="1"/>
        <v>#REF!</v>
      </c>
      <c r="J4" s="6" t="str">
        <f t="shared" si="1"/>
        <v>#REF!</v>
      </c>
      <c r="K4" s="6" t="str">
        <f t="shared" si="1"/>
        <v>#REF!</v>
      </c>
      <c r="L4" s="6" t="str">
        <f t="shared" si="1"/>
        <v>#REF!</v>
      </c>
      <c r="M4" s="6" t="str">
        <f t="shared" si="1"/>
        <v>#REF!</v>
      </c>
      <c r="N4" s="6" t="str">
        <f t="shared" si="1"/>
        <v>#REF!</v>
      </c>
      <c r="O4" s="6" t="str">
        <f t="shared" si="1"/>
        <v>#REF!</v>
      </c>
      <c r="P4" s="6" t="str">
        <f t="shared" si="1"/>
        <v>#REF!</v>
      </c>
      <c r="Q4" s="6" t="str">
        <f t="shared" si="1"/>
        <v>#REF!</v>
      </c>
      <c r="R4" s="5" t="s">
        <v>2</v>
      </c>
      <c r="S4" s="2"/>
      <c r="T4" s="2"/>
      <c r="U4" s="2"/>
      <c r="V4" s="2"/>
      <c r="W4" s="2"/>
      <c r="X4" s="2"/>
      <c r="Y4" s="2"/>
      <c r="Z4" s="2"/>
    </row>
    <row r="5" ht="14.25" customHeight="1">
      <c r="A5" s="8" t="s">
        <v>3</v>
      </c>
      <c r="B5" s="9"/>
      <c r="C5" s="9"/>
      <c r="D5" s="9"/>
      <c r="E5" s="10"/>
      <c r="F5" s="9"/>
      <c r="G5" s="9"/>
      <c r="H5" s="9"/>
      <c r="I5" s="9"/>
      <c r="J5" s="9"/>
      <c r="K5" s="9"/>
      <c r="L5" s="9"/>
      <c r="M5" s="9"/>
      <c r="N5" s="9"/>
      <c r="O5" s="9"/>
      <c r="P5" s="9"/>
      <c r="Q5" s="9"/>
      <c r="R5" s="9"/>
      <c r="S5" s="2"/>
      <c r="T5" s="2"/>
      <c r="U5" s="2"/>
      <c r="V5" s="2"/>
      <c r="W5" s="2"/>
      <c r="X5" s="2"/>
      <c r="Y5" s="2"/>
      <c r="Z5" s="2"/>
    </row>
    <row r="6" ht="14.25" customHeight="1">
      <c r="A6" s="11" t="s">
        <v>4</v>
      </c>
      <c r="B6" s="12" t="str">
        <f t="shared" ref="B6:Q6" si="2">'[1]Revenue Roll-up'!D51</f>
        <v>#REF!</v>
      </c>
      <c r="C6" s="12" t="str">
        <f t="shared" si="2"/>
        <v>#REF!</v>
      </c>
      <c r="D6" s="12" t="str">
        <f t="shared" si="2"/>
        <v>#REF!</v>
      </c>
      <c r="E6" s="13" t="str">
        <f t="shared" si="2"/>
        <v>#REF!</v>
      </c>
      <c r="F6" s="12" t="str">
        <f t="shared" si="2"/>
        <v>#REF!</v>
      </c>
      <c r="G6" s="12" t="str">
        <f t="shared" si="2"/>
        <v>#REF!</v>
      </c>
      <c r="H6" s="12" t="str">
        <f t="shared" si="2"/>
        <v>#REF!</v>
      </c>
      <c r="I6" s="12" t="str">
        <f t="shared" si="2"/>
        <v>#REF!</v>
      </c>
      <c r="J6" s="12" t="str">
        <f t="shared" si="2"/>
        <v>#REF!</v>
      </c>
      <c r="K6" s="12" t="str">
        <f t="shared" si="2"/>
        <v>#REF!</v>
      </c>
      <c r="L6" s="12" t="str">
        <f t="shared" si="2"/>
        <v>#REF!</v>
      </c>
      <c r="M6" s="12" t="str">
        <f t="shared" si="2"/>
        <v>#REF!</v>
      </c>
      <c r="N6" s="12" t="str">
        <f t="shared" si="2"/>
        <v>#REF!</v>
      </c>
      <c r="O6" s="12" t="str">
        <f t="shared" si="2"/>
        <v>#REF!</v>
      </c>
      <c r="P6" s="12" t="str">
        <f t="shared" si="2"/>
        <v>#REF!</v>
      </c>
      <c r="Q6" s="12" t="str">
        <f t="shared" si="2"/>
        <v>#REF!</v>
      </c>
      <c r="R6" s="14" t="str">
        <f>'[1]Revenue Roll-up'!U51</f>
        <v>#REF!</v>
      </c>
      <c r="S6" s="2"/>
      <c r="T6" s="2"/>
      <c r="U6" s="2"/>
      <c r="V6" s="2"/>
      <c r="W6" s="2"/>
      <c r="X6" s="2"/>
      <c r="Y6" s="2"/>
      <c r="Z6" s="2"/>
    </row>
    <row r="7" ht="14.25" customHeight="1">
      <c r="A7" s="11" t="s">
        <v>5</v>
      </c>
      <c r="B7" s="15" t="str">
        <f t="shared" ref="B7:Q7" si="3">'[1]Revenue Roll-up'!D50</f>
        <v>#REF!</v>
      </c>
      <c r="C7" s="15" t="str">
        <f t="shared" si="3"/>
        <v>#REF!</v>
      </c>
      <c r="D7" s="15" t="str">
        <f t="shared" si="3"/>
        <v>#REF!</v>
      </c>
      <c r="E7" s="16" t="str">
        <f t="shared" si="3"/>
        <v>#REF!</v>
      </c>
      <c r="F7" s="15" t="str">
        <f t="shared" si="3"/>
        <v>#REF!</v>
      </c>
      <c r="G7" s="15" t="str">
        <f t="shared" si="3"/>
        <v>#REF!</v>
      </c>
      <c r="H7" s="15" t="str">
        <f t="shared" si="3"/>
        <v>#REF!</v>
      </c>
      <c r="I7" s="15" t="str">
        <f t="shared" si="3"/>
        <v>#REF!</v>
      </c>
      <c r="J7" s="15" t="str">
        <f t="shared" si="3"/>
        <v>#REF!</v>
      </c>
      <c r="K7" s="15" t="str">
        <f t="shared" si="3"/>
        <v>#REF!</v>
      </c>
      <c r="L7" s="15" t="str">
        <f t="shared" si="3"/>
        <v>#REF!</v>
      </c>
      <c r="M7" s="15" t="str">
        <f t="shared" si="3"/>
        <v>#REF!</v>
      </c>
      <c r="N7" s="15" t="str">
        <f t="shared" si="3"/>
        <v>#REF!</v>
      </c>
      <c r="O7" s="15" t="str">
        <f t="shared" si="3"/>
        <v>#REF!</v>
      </c>
      <c r="P7" s="15" t="str">
        <f t="shared" si="3"/>
        <v>#REF!</v>
      </c>
      <c r="Q7" s="15" t="str">
        <f t="shared" si="3"/>
        <v>#REF!</v>
      </c>
      <c r="R7" s="17" t="str">
        <f>'[1]Revenue Roll-up'!U50</f>
        <v>#REF!</v>
      </c>
      <c r="S7" s="2"/>
      <c r="T7" s="2"/>
      <c r="U7" s="2"/>
      <c r="V7" s="2"/>
      <c r="W7" s="2"/>
      <c r="X7" s="2"/>
      <c r="Y7" s="2"/>
      <c r="Z7" s="2"/>
    </row>
    <row r="8" ht="14.25" customHeight="1">
      <c r="A8" s="11" t="s">
        <v>6</v>
      </c>
      <c r="B8" s="12" t="str">
        <f t="shared" ref="B8:Q8" si="4">'[1]Revenue Roll-up'!D65</f>
        <v>#REF!</v>
      </c>
      <c r="C8" s="12" t="str">
        <f t="shared" si="4"/>
        <v>#REF!</v>
      </c>
      <c r="D8" s="12" t="str">
        <f t="shared" si="4"/>
        <v>#REF!</v>
      </c>
      <c r="E8" s="13" t="str">
        <f t="shared" si="4"/>
        <v>#REF!</v>
      </c>
      <c r="F8" s="12" t="str">
        <f t="shared" si="4"/>
        <v>#REF!</v>
      </c>
      <c r="G8" s="12" t="str">
        <f t="shared" si="4"/>
        <v>#REF!</v>
      </c>
      <c r="H8" s="12" t="str">
        <f t="shared" si="4"/>
        <v>#REF!</v>
      </c>
      <c r="I8" s="12" t="str">
        <f t="shared" si="4"/>
        <v>#REF!</v>
      </c>
      <c r="J8" s="12" t="str">
        <f t="shared" si="4"/>
        <v>#REF!</v>
      </c>
      <c r="K8" s="12" t="str">
        <f t="shared" si="4"/>
        <v>#REF!</v>
      </c>
      <c r="L8" s="12" t="str">
        <f t="shared" si="4"/>
        <v>#REF!</v>
      </c>
      <c r="M8" s="12" t="str">
        <f t="shared" si="4"/>
        <v>#REF!</v>
      </c>
      <c r="N8" s="12" t="str">
        <f t="shared" si="4"/>
        <v>#REF!</v>
      </c>
      <c r="O8" s="12" t="str">
        <f t="shared" si="4"/>
        <v>#REF!</v>
      </c>
      <c r="P8" s="12" t="str">
        <f t="shared" si="4"/>
        <v>#REF!</v>
      </c>
      <c r="Q8" s="12" t="str">
        <f t="shared" si="4"/>
        <v>#REF!</v>
      </c>
      <c r="R8" s="14" t="str">
        <f>'[1]Revenue Roll-up'!U65</f>
        <v>#REF!</v>
      </c>
      <c r="S8" s="2"/>
      <c r="T8" s="2"/>
      <c r="U8" s="2"/>
      <c r="V8" s="2"/>
      <c r="W8" s="2"/>
      <c r="X8" s="2"/>
      <c r="Y8" s="2"/>
      <c r="Z8" s="2"/>
    </row>
    <row r="9" ht="14.25" customHeight="1">
      <c r="A9" s="11" t="s">
        <v>7</v>
      </c>
      <c r="B9" s="15" t="str">
        <f t="shared" ref="B9:Q9" si="5">'[1]Revenue Roll-up'!D64</f>
        <v>#REF!</v>
      </c>
      <c r="C9" s="15" t="str">
        <f t="shared" si="5"/>
        <v>#REF!</v>
      </c>
      <c r="D9" s="15" t="str">
        <f t="shared" si="5"/>
        <v>#REF!</v>
      </c>
      <c r="E9" s="16" t="str">
        <f t="shared" si="5"/>
        <v>#REF!</v>
      </c>
      <c r="F9" s="15" t="str">
        <f t="shared" si="5"/>
        <v>#REF!</v>
      </c>
      <c r="G9" s="15" t="str">
        <f t="shared" si="5"/>
        <v>#REF!</v>
      </c>
      <c r="H9" s="15" t="str">
        <f t="shared" si="5"/>
        <v>#REF!</v>
      </c>
      <c r="I9" s="15" t="str">
        <f t="shared" si="5"/>
        <v>#REF!</v>
      </c>
      <c r="J9" s="15" t="str">
        <f t="shared" si="5"/>
        <v>#REF!</v>
      </c>
      <c r="K9" s="15" t="str">
        <f t="shared" si="5"/>
        <v>#REF!</v>
      </c>
      <c r="L9" s="15" t="str">
        <f t="shared" si="5"/>
        <v>#REF!</v>
      </c>
      <c r="M9" s="15" t="str">
        <f t="shared" si="5"/>
        <v>#REF!</v>
      </c>
      <c r="N9" s="15" t="str">
        <f t="shared" si="5"/>
        <v>#REF!</v>
      </c>
      <c r="O9" s="15" t="str">
        <f t="shared" si="5"/>
        <v>#REF!</v>
      </c>
      <c r="P9" s="15" t="str">
        <f t="shared" si="5"/>
        <v>#REF!</v>
      </c>
      <c r="Q9" s="15" t="str">
        <f t="shared" si="5"/>
        <v>#REF!</v>
      </c>
      <c r="R9" s="17" t="str">
        <f>'[1]Revenue Roll-up'!U64</f>
        <v>#REF!</v>
      </c>
      <c r="S9" s="2"/>
      <c r="T9" s="2"/>
      <c r="U9" s="2"/>
      <c r="V9" s="2"/>
      <c r="W9" s="2"/>
      <c r="X9" s="2"/>
      <c r="Y9" s="2"/>
      <c r="Z9" s="2"/>
    </row>
    <row r="10" ht="14.25" customHeight="1">
      <c r="A10" s="11" t="s">
        <v>8</v>
      </c>
      <c r="B10" s="12" t="str">
        <f t="shared" ref="B10:Q10" si="6">COUNTIF('[1]Deploy Detail'!K21:K62,"&gt;0")</f>
        <v>#REF!</v>
      </c>
      <c r="C10" s="12" t="str">
        <f t="shared" si="6"/>
        <v>#REF!</v>
      </c>
      <c r="D10" s="12" t="str">
        <f t="shared" si="6"/>
        <v>#REF!</v>
      </c>
      <c r="E10" s="13" t="str">
        <f t="shared" si="6"/>
        <v>#REF!</v>
      </c>
      <c r="F10" s="12" t="str">
        <f t="shared" si="6"/>
        <v>#REF!</v>
      </c>
      <c r="G10" s="12" t="str">
        <f t="shared" si="6"/>
        <v>#REF!</v>
      </c>
      <c r="H10" s="12" t="str">
        <f t="shared" si="6"/>
        <v>#REF!</v>
      </c>
      <c r="I10" s="12" t="str">
        <f t="shared" si="6"/>
        <v>#REF!</v>
      </c>
      <c r="J10" s="12" t="str">
        <f t="shared" si="6"/>
        <v>#REF!</v>
      </c>
      <c r="K10" s="12" t="str">
        <f t="shared" si="6"/>
        <v>#REF!</v>
      </c>
      <c r="L10" s="12" t="str">
        <f t="shared" si="6"/>
        <v>#REF!</v>
      </c>
      <c r="M10" s="12" t="str">
        <f t="shared" si="6"/>
        <v>#REF!</v>
      </c>
      <c r="N10" s="12" t="str">
        <f t="shared" si="6"/>
        <v>#REF!</v>
      </c>
      <c r="O10" s="12" t="str">
        <f t="shared" si="6"/>
        <v>#REF!</v>
      </c>
      <c r="P10" s="12" t="str">
        <f t="shared" si="6"/>
        <v>#REF!</v>
      </c>
      <c r="Q10" s="12" t="str">
        <f t="shared" si="6"/>
        <v>#REF!</v>
      </c>
      <c r="R10" s="14" t="str">
        <f>SUM(F10:Q10)</f>
        <v>#REF!</v>
      </c>
      <c r="S10" s="2"/>
      <c r="T10" s="2"/>
      <c r="U10" s="2"/>
      <c r="V10" s="2"/>
      <c r="W10" s="2"/>
      <c r="X10" s="2"/>
      <c r="Y10" s="2"/>
      <c r="Z10" s="2"/>
    </row>
    <row r="11" ht="14.25" customHeight="1">
      <c r="A11" s="11" t="s">
        <v>9</v>
      </c>
      <c r="B11" s="15" t="str">
        <f t="shared" ref="B11:Q11" si="7">'[1]Deploy Detail'!K63</f>
        <v>#REF!</v>
      </c>
      <c r="C11" s="15" t="str">
        <f t="shared" si="7"/>
        <v>#REF!</v>
      </c>
      <c r="D11" s="15" t="str">
        <f t="shared" si="7"/>
        <v>#REF!</v>
      </c>
      <c r="E11" s="16" t="str">
        <f t="shared" si="7"/>
        <v>#REF!</v>
      </c>
      <c r="F11" s="15" t="str">
        <f t="shared" si="7"/>
        <v>#REF!</v>
      </c>
      <c r="G11" s="15" t="str">
        <f t="shared" si="7"/>
        <v>#REF!</v>
      </c>
      <c r="H11" s="15" t="str">
        <f t="shared" si="7"/>
        <v>#REF!</v>
      </c>
      <c r="I11" s="15" t="str">
        <f t="shared" si="7"/>
        <v>#REF!</v>
      </c>
      <c r="J11" s="15" t="str">
        <f t="shared" si="7"/>
        <v>#REF!</v>
      </c>
      <c r="K11" s="15" t="str">
        <f t="shared" si="7"/>
        <v>#REF!</v>
      </c>
      <c r="L11" s="15" t="str">
        <f t="shared" si="7"/>
        <v>#REF!</v>
      </c>
      <c r="M11" s="15" t="str">
        <f t="shared" si="7"/>
        <v>#REF!</v>
      </c>
      <c r="N11" s="15" t="str">
        <f t="shared" si="7"/>
        <v>#REF!</v>
      </c>
      <c r="O11" s="15" t="str">
        <f t="shared" si="7"/>
        <v>#REF!</v>
      </c>
      <c r="P11" s="15" t="str">
        <f t="shared" si="7"/>
        <v>#REF!</v>
      </c>
      <c r="Q11" s="15" t="str">
        <f t="shared" si="7"/>
        <v>#REF!</v>
      </c>
      <c r="R11" s="17" t="str">
        <f>'[1]Deploy Detail'!AB63</f>
        <v>#REF!</v>
      </c>
      <c r="S11" s="2"/>
      <c r="T11" s="2"/>
      <c r="U11" s="2"/>
      <c r="V11" s="2"/>
      <c r="W11" s="2"/>
      <c r="X11" s="2"/>
      <c r="Y11" s="2"/>
      <c r="Z11" s="2"/>
    </row>
    <row r="12" ht="14.25" customHeight="1">
      <c r="A12" s="18" t="s">
        <v>10</v>
      </c>
      <c r="B12" s="19" t="str">
        <f t="shared" ref="B12:R12" si="8">B6+B8+B10</f>
        <v>#REF!</v>
      </c>
      <c r="C12" s="19" t="str">
        <f t="shared" si="8"/>
        <v>#REF!</v>
      </c>
      <c r="D12" s="19" t="str">
        <f t="shared" si="8"/>
        <v>#REF!</v>
      </c>
      <c r="E12" s="20" t="str">
        <f t="shared" si="8"/>
        <v>#REF!</v>
      </c>
      <c r="F12" s="19" t="str">
        <f t="shared" si="8"/>
        <v>#REF!</v>
      </c>
      <c r="G12" s="19" t="str">
        <f t="shared" si="8"/>
        <v>#REF!</v>
      </c>
      <c r="H12" s="19" t="str">
        <f t="shared" si="8"/>
        <v>#REF!</v>
      </c>
      <c r="I12" s="19" t="str">
        <f t="shared" si="8"/>
        <v>#REF!</v>
      </c>
      <c r="J12" s="19" t="str">
        <f t="shared" si="8"/>
        <v>#REF!</v>
      </c>
      <c r="K12" s="19" t="str">
        <f t="shared" si="8"/>
        <v>#REF!</v>
      </c>
      <c r="L12" s="19" t="str">
        <f t="shared" si="8"/>
        <v>#REF!</v>
      </c>
      <c r="M12" s="19" t="str">
        <f t="shared" si="8"/>
        <v>#REF!</v>
      </c>
      <c r="N12" s="19" t="str">
        <f t="shared" si="8"/>
        <v>#REF!</v>
      </c>
      <c r="O12" s="19" t="str">
        <f t="shared" si="8"/>
        <v>#REF!</v>
      </c>
      <c r="P12" s="19" t="str">
        <f t="shared" si="8"/>
        <v>#REF!</v>
      </c>
      <c r="Q12" s="19" t="str">
        <f t="shared" si="8"/>
        <v>#REF!</v>
      </c>
      <c r="R12" s="21" t="str">
        <f t="shared" si="8"/>
        <v>#REF!</v>
      </c>
      <c r="S12" s="2"/>
      <c r="T12" s="2"/>
      <c r="U12" s="2"/>
      <c r="V12" s="2"/>
      <c r="W12" s="2"/>
      <c r="X12" s="2"/>
      <c r="Y12" s="2"/>
      <c r="Z12" s="2"/>
    </row>
    <row r="13" ht="14.25" customHeight="1">
      <c r="A13" s="22" t="s">
        <v>11</v>
      </c>
      <c r="B13" s="23" t="str">
        <f t="shared" ref="B13:R13" si="9">B7+B9+B11</f>
        <v>#REF!</v>
      </c>
      <c r="C13" s="23" t="str">
        <f t="shared" si="9"/>
        <v>#REF!</v>
      </c>
      <c r="D13" s="23" t="str">
        <f t="shared" si="9"/>
        <v>#REF!</v>
      </c>
      <c r="E13" s="24" t="str">
        <f t="shared" si="9"/>
        <v>#REF!</v>
      </c>
      <c r="F13" s="23" t="str">
        <f t="shared" si="9"/>
        <v>#REF!</v>
      </c>
      <c r="G13" s="23" t="str">
        <f t="shared" si="9"/>
        <v>#REF!</v>
      </c>
      <c r="H13" s="23" t="str">
        <f t="shared" si="9"/>
        <v>#REF!</v>
      </c>
      <c r="I13" s="23" t="str">
        <f t="shared" si="9"/>
        <v>#REF!</v>
      </c>
      <c r="J13" s="23" t="str">
        <f t="shared" si="9"/>
        <v>#REF!</v>
      </c>
      <c r="K13" s="23" t="str">
        <f t="shared" si="9"/>
        <v>#REF!</v>
      </c>
      <c r="L13" s="23" t="str">
        <f t="shared" si="9"/>
        <v>#REF!</v>
      </c>
      <c r="M13" s="23" t="str">
        <f t="shared" si="9"/>
        <v>#REF!</v>
      </c>
      <c r="N13" s="23" t="str">
        <f t="shared" si="9"/>
        <v>#REF!</v>
      </c>
      <c r="O13" s="23" t="str">
        <f t="shared" si="9"/>
        <v>#REF!</v>
      </c>
      <c r="P13" s="23" t="str">
        <f t="shared" si="9"/>
        <v>#REF!</v>
      </c>
      <c r="Q13" s="23" t="str">
        <f t="shared" si="9"/>
        <v>#REF!</v>
      </c>
      <c r="R13" s="25" t="str">
        <f t="shared" si="9"/>
        <v>#REF!</v>
      </c>
      <c r="S13" s="2"/>
      <c r="T13" s="2"/>
      <c r="U13" s="2"/>
      <c r="V13" s="2"/>
      <c r="W13" s="2"/>
      <c r="X13" s="2"/>
      <c r="Y13" s="2"/>
      <c r="Z13" s="2"/>
    </row>
    <row r="14" ht="14.25" customHeight="1">
      <c r="A14" s="11"/>
      <c r="B14" s="2"/>
      <c r="C14" s="2"/>
      <c r="D14" s="2"/>
      <c r="E14" s="26"/>
      <c r="F14" s="2"/>
      <c r="G14" s="2"/>
      <c r="H14" s="2"/>
      <c r="I14" s="2"/>
      <c r="J14" s="2"/>
      <c r="K14" s="2"/>
      <c r="L14" s="2"/>
      <c r="M14" s="2"/>
      <c r="N14" s="2"/>
      <c r="O14" s="2"/>
      <c r="P14" s="2"/>
      <c r="Q14" s="2"/>
      <c r="R14" s="27"/>
      <c r="S14" s="2"/>
      <c r="T14" s="2"/>
      <c r="U14" s="2"/>
      <c r="V14" s="2"/>
      <c r="W14" s="2"/>
      <c r="X14" s="2"/>
      <c r="Y14" s="2"/>
      <c r="Z14" s="2"/>
    </row>
    <row r="15" ht="14.25" customHeight="1">
      <c r="A15" s="28" t="s">
        <v>12</v>
      </c>
      <c r="B15" s="29"/>
      <c r="C15" s="29"/>
      <c r="D15" s="29"/>
      <c r="E15" s="30"/>
      <c r="F15" s="29"/>
      <c r="G15" s="29"/>
      <c r="H15" s="29"/>
      <c r="I15" s="29"/>
      <c r="J15" s="29"/>
      <c r="K15" s="29"/>
      <c r="L15" s="29"/>
      <c r="M15" s="29"/>
      <c r="N15" s="29"/>
      <c r="O15" s="29"/>
      <c r="P15" s="29"/>
      <c r="Q15" s="29"/>
      <c r="R15" s="29"/>
      <c r="S15" s="2"/>
      <c r="T15" s="2"/>
      <c r="U15" s="2"/>
      <c r="V15" s="2"/>
      <c r="W15" s="2"/>
      <c r="X15" s="2"/>
      <c r="Y15" s="2"/>
      <c r="Z15" s="2"/>
    </row>
    <row r="16" ht="14.25" customHeight="1">
      <c r="A16" s="11" t="s">
        <v>13</v>
      </c>
      <c r="B16" s="12" t="str">
        <f>COUNTIFS('[1]2026 Exist New'!$U$9:$U$50,"Yes",'[1]2026 Exist New'!$E$9:$E$50,"SlipLift",'[1]2026 Exist New'!$I$9:$I$50,"&gt;"&amp;EOMONTH(B$4,-1),'[1]2026 Exist New'!$I$9:$I$50,"&lt;="&amp;B$4)+[1]Deploy!D36+[1]Deploy!D41</f>
        <v>#ERROR!</v>
      </c>
      <c r="C16" s="12" t="str">
        <f>COUNTIFS('[1]2026 Exist New'!$U$9:$U$50,"Yes",'[1]2026 Exist New'!$E$9:$E$50,"SlipLift",'[1]2026 Exist New'!$I$9:$I$50,"&gt;"&amp;EOMONTH(C$4,-1),'[1]2026 Exist New'!$I$9:$I$50,"&lt;="&amp;C$4)+[1]Deploy!E36+[1]Deploy!E41</f>
        <v>#ERROR!</v>
      </c>
      <c r="D16" s="12" t="str">
        <f>COUNTIFS('[1]2026 Exist New'!$U$9:$U$50,"Yes",'[1]2026 Exist New'!$E$9:$E$50,"SlipLift",'[1]2026 Exist New'!$I$9:$I$50,"&gt;"&amp;EOMONTH(D$4,-1),'[1]2026 Exist New'!$I$9:$I$50,"&lt;="&amp;D$4)+[1]Deploy!F36+[1]Deploy!F41</f>
        <v>#ERROR!</v>
      </c>
      <c r="E16" s="13" t="str">
        <f>COUNTIFS('[1]2026 Exist New'!$U$9:$U$50,"Yes",'[1]2026 Exist New'!$E$9:$E$50,"SlipLift",'[1]2026 Exist New'!$I$9:$I$50,"&gt;"&amp;EOMONTH(E$4,-1),'[1]2026 Exist New'!$I$9:$I$50,"&lt;="&amp;E$4)+[1]Deploy!G36+[1]Deploy!G41</f>
        <v>#ERROR!</v>
      </c>
      <c r="F16" s="12" t="str">
        <f>COUNTIFS('[1]2026 Exist New'!$U$9:$U$50,"Yes",'[1]2026 Exist New'!$E$9:$E$50,"SlipLift",'[1]2026 Exist New'!$I$9:$I$50,"&gt;"&amp;EOMONTH(F$4,-1),'[1]2026 Exist New'!$I$9:$I$50,"&lt;="&amp;F$4)+[1]Deploy!H36+[1]Deploy!H41</f>
        <v>#ERROR!</v>
      </c>
      <c r="G16" s="12" t="str">
        <f>COUNTIFS('[1]2026 Exist New'!$U$9:$U$50,"Yes",'[1]2026 Exist New'!$E$9:$E$50,"SlipLift",'[1]2026 Exist New'!$I$9:$I$50,"&gt;"&amp;EOMONTH(G$4,-1),'[1]2026 Exist New'!$I$9:$I$50,"&lt;="&amp;G$4)+[1]Deploy!I36+[1]Deploy!I41</f>
        <v>#ERROR!</v>
      </c>
      <c r="H16" s="12" t="str">
        <f>COUNTIFS('[1]2026 Exist New'!$U$9:$U$50,"Yes",'[1]2026 Exist New'!$E$9:$E$50,"SlipLift",'[1]2026 Exist New'!$I$9:$I$50,"&gt;"&amp;EOMONTH(H$4,-1),'[1]2026 Exist New'!$I$9:$I$50,"&lt;="&amp;H$4)+[1]Deploy!J36+[1]Deploy!J41</f>
        <v>#ERROR!</v>
      </c>
      <c r="I16" s="12" t="str">
        <f>COUNTIFS('[1]2026 Exist New'!$U$9:$U$50,"Yes",'[1]2026 Exist New'!$E$9:$E$50,"SlipLift",'[1]2026 Exist New'!$I$9:$I$50,"&gt;"&amp;EOMONTH(I$4,-1),'[1]2026 Exist New'!$I$9:$I$50,"&lt;="&amp;I$4)+[1]Deploy!K36+[1]Deploy!K41</f>
        <v>#ERROR!</v>
      </c>
      <c r="J16" s="12" t="str">
        <f>COUNTIFS('[1]2026 Exist New'!$U$9:$U$50,"Yes",'[1]2026 Exist New'!$E$9:$E$50,"SlipLift",'[1]2026 Exist New'!$I$9:$I$50,"&gt;"&amp;EOMONTH(J$4,-1),'[1]2026 Exist New'!$I$9:$I$50,"&lt;="&amp;J$4)+[1]Deploy!L36+[1]Deploy!L41</f>
        <v>#ERROR!</v>
      </c>
      <c r="K16" s="12" t="str">
        <f>COUNTIFS('[1]2026 Exist New'!$U$9:$U$50,"Yes",'[1]2026 Exist New'!$E$9:$E$50,"SlipLift",'[1]2026 Exist New'!$I$9:$I$50,"&gt;"&amp;EOMONTH(K$4,-1),'[1]2026 Exist New'!$I$9:$I$50,"&lt;="&amp;K$4)+[1]Deploy!M36+[1]Deploy!M41</f>
        <v>#ERROR!</v>
      </c>
      <c r="L16" s="12" t="str">
        <f>COUNTIFS('[1]2026 Exist New'!$U$9:$U$50,"Yes",'[1]2026 Exist New'!$E$9:$E$50,"SlipLift",'[1]2026 Exist New'!$I$9:$I$50,"&gt;"&amp;EOMONTH(L$4,-1),'[1]2026 Exist New'!$I$9:$I$50,"&lt;="&amp;L$4)+[1]Deploy!N36+[1]Deploy!N41</f>
        <v>#ERROR!</v>
      </c>
      <c r="M16" s="12" t="str">
        <f>COUNTIFS('[1]2026 Exist New'!$U$9:$U$50,"Yes",'[1]2026 Exist New'!$E$9:$E$50,"SlipLift",'[1]2026 Exist New'!$I$9:$I$50,"&gt;"&amp;EOMONTH(M$4,-1),'[1]2026 Exist New'!$I$9:$I$50,"&lt;="&amp;M$4)+[1]Deploy!O36+[1]Deploy!O41</f>
        <v>#ERROR!</v>
      </c>
      <c r="N16" s="12" t="str">
        <f>COUNTIFS('[1]2026 Exist New'!$U$9:$U$50,"Yes",'[1]2026 Exist New'!$E$9:$E$50,"SlipLift",'[1]2026 Exist New'!$I$9:$I$50,"&gt;"&amp;EOMONTH(N$4,-1),'[1]2026 Exist New'!$I$9:$I$50,"&lt;="&amp;N$4)+[1]Deploy!P36+[1]Deploy!P41</f>
        <v>#ERROR!</v>
      </c>
      <c r="O16" s="12" t="str">
        <f>COUNTIFS('[1]2026 Exist New'!$U$9:$U$50,"Yes",'[1]2026 Exist New'!$E$9:$E$50,"SlipLift",'[1]2026 Exist New'!$I$9:$I$50,"&gt;"&amp;EOMONTH(O$4,-1),'[1]2026 Exist New'!$I$9:$I$50,"&lt;="&amp;O$4)+[1]Deploy!Q36+[1]Deploy!Q41</f>
        <v>#ERROR!</v>
      </c>
      <c r="P16" s="12" t="str">
        <f>COUNTIFS('[1]2026 Exist New'!$U$9:$U$50,"Yes",'[1]2026 Exist New'!$E$9:$E$50,"SlipLift",'[1]2026 Exist New'!$I$9:$I$50,"&gt;"&amp;EOMONTH(P$4,-1),'[1]2026 Exist New'!$I$9:$I$50,"&lt;="&amp;P$4)+[1]Deploy!R36+[1]Deploy!R41</f>
        <v>#ERROR!</v>
      </c>
      <c r="Q16" s="12" t="str">
        <f>COUNTIFS('[1]2026 Exist New'!$U$9:$U$50,"Yes",'[1]2026 Exist New'!$E$9:$E$50,"SlipLift",'[1]2026 Exist New'!$I$9:$I$50,"&gt;"&amp;EOMONTH(Q$4,-1),'[1]2026 Exist New'!$I$9:$I$50,"&lt;="&amp;Q$4)+[1]Deploy!S36+[1]Deploy!S41</f>
        <v>#ERROR!</v>
      </c>
      <c r="R16" s="14" t="str">
        <f>COUNTIFS('[1]2026 Exist New'!$U$9:$U$50,"Yes",'[1]2026 Exist New'!$E$9:$E$50,"SlipLift",'[1]2026 Exist New'!$I$9:$I$50,"&gt;"&amp;EOMONTH($F$4,-1),'[1]2026 Exist New'!$I$9:$I$50,"&lt;="&amp;$Q$4)+[1]Deploy!U36+[1]Deploy!U41</f>
        <v>#ERROR!</v>
      </c>
      <c r="S16" s="2"/>
      <c r="T16" s="2"/>
      <c r="U16" s="2"/>
      <c r="V16" s="2"/>
      <c r="W16" s="2"/>
      <c r="X16" s="2"/>
      <c r="Y16" s="2"/>
      <c r="Z16" s="2"/>
    </row>
    <row r="17" ht="14.25" customHeight="1">
      <c r="A17" s="11" t="s">
        <v>14</v>
      </c>
      <c r="B17" s="12">
        <f t="shared" ref="B17:Q17" si="10">COUNTIFS('[1]2026 Exist New'!$U$9:$U$50,"Yes",'[1]2026 Exist New'!$E$9:$E$50,"SlipBot",'[1]2026 Exist New'!$I$9:$I$50,"&gt;"&amp;EOMONTH(B$4,-1),'[1]2026 Exist New'!$I$9:$I$50,"&lt;="&amp;B$4)</f>
        <v>0</v>
      </c>
      <c r="C17" s="12">
        <f t="shared" si="10"/>
        <v>0</v>
      </c>
      <c r="D17" s="12">
        <f t="shared" si="10"/>
        <v>0</v>
      </c>
      <c r="E17" s="13">
        <f t="shared" si="10"/>
        <v>0</v>
      </c>
      <c r="F17" s="12">
        <f t="shared" si="10"/>
        <v>0</v>
      </c>
      <c r="G17" s="12">
        <f t="shared" si="10"/>
        <v>0</v>
      </c>
      <c r="H17" s="12">
        <f t="shared" si="10"/>
        <v>0</v>
      </c>
      <c r="I17" s="12">
        <f t="shared" si="10"/>
        <v>0</v>
      </c>
      <c r="J17" s="12">
        <f t="shared" si="10"/>
        <v>0</v>
      </c>
      <c r="K17" s="12">
        <f t="shared" si="10"/>
        <v>0</v>
      </c>
      <c r="L17" s="12">
        <f t="shared" si="10"/>
        <v>0</v>
      </c>
      <c r="M17" s="12">
        <f t="shared" si="10"/>
        <v>0</v>
      </c>
      <c r="N17" s="12">
        <f t="shared" si="10"/>
        <v>0</v>
      </c>
      <c r="O17" s="12">
        <f t="shared" si="10"/>
        <v>0</v>
      </c>
      <c r="P17" s="12">
        <f t="shared" si="10"/>
        <v>0</v>
      </c>
      <c r="Q17" s="12">
        <f t="shared" si="10"/>
        <v>0</v>
      </c>
      <c r="R17" s="14">
        <f>COUNTIFS('[1]2026 Exist New'!$U$9:$U$50,"Yes",'[1]2026 Exist New'!$E$9:$E$50,"SlipBot",'[1]2026 Exist New'!$I$9:$I$50,"&gt;"&amp;EOMONTH($F$4,-1),'[1]2026 Exist New'!$I$9:$I$50,"&lt;="&amp;$Q$4)</f>
        <v>0</v>
      </c>
      <c r="S17" s="2"/>
      <c r="T17" s="2"/>
      <c r="U17" s="2"/>
      <c r="V17" s="2"/>
      <c r="W17" s="2"/>
      <c r="X17" s="2"/>
      <c r="Y17" s="2"/>
      <c r="Z17" s="2"/>
    </row>
    <row r="18" ht="14.25" customHeight="1">
      <c r="A18" s="18" t="s">
        <v>15</v>
      </c>
      <c r="B18" s="19" t="str">
        <f t="shared" ref="B18:R18" si="11">B16+B17</f>
        <v>#ERROR!</v>
      </c>
      <c r="C18" s="19" t="str">
        <f t="shared" si="11"/>
        <v>#ERROR!</v>
      </c>
      <c r="D18" s="19" t="str">
        <f t="shared" si="11"/>
        <v>#ERROR!</v>
      </c>
      <c r="E18" s="20" t="str">
        <f t="shared" si="11"/>
        <v>#ERROR!</v>
      </c>
      <c r="F18" s="19" t="str">
        <f t="shared" si="11"/>
        <v>#ERROR!</v>
      </c>
      <c r="G18" s="19" t="str">
        <f t="shared" si="11"/>
        <v>#ERROR!</v>
      </c>
      <c r="H18" s="19" t="str">
        <f t="shared" si="11"/>
        <v>#ERROR!</v>
      </c>
      <c r="I18" s="19" t="str">
        <f t="shared" si="11"/>
        <v>#ERROR!</v>
      </c>
      <c r="J18" s="19" t="str">
        <f t="shared" si="11"/>
        <v>#ERROR!</v>
      </c>
      <c r="K18" s="19" t="str">
        <f t="shared" si="11"/>
        <v>#ERROR!</v>
      </c>
      <c r="L18" s="19" t="str">
        <f t="shared" si="11"/>
        <v>#ERROR!</v>
      </c>
      <c r="M18" s="19" t="str">
        <f t="shared" si="11"/>
        <v>#ERROR!</v>
      </c>
      <c r="N18" s="19" t="str">
        <f t="shared" si="11"/>
        <v>#ERROR!</v>
      </c>
      <c r="O18" s="19" t="str">
        <f t="shared" si="11"/>
        <v>#ERROR!</v>
      </c>
      <c r="P18" s="19" t="str">
        <f t="shared" si="11"/>
        <v>#ERROR!</v>
      </c>
      <c r="Q18" s="19" t="str">
        <f t="shared" si="11"/>
        <v>#ERROR!</v>
      </c>
      <c r="R18" s="21" t="str">
        <f t="shared" si="11"/>
        <v>#ERROR!</v>
      </c>
      <c r="S18" s="2"/>
      <c r="T18" s="2"/>
      <c r="U18" s="2"/>
      <c r="V18" s="2"/>
      <c r="W18" s="2"/>
      <c r="X18" s="2"/>
      <c r="Y18" s="2"/>
      <c r="Z18" s="2"/>
    </row>
    <row r="19" ht="14.25" customHeight="1">
      <c r="A19" s="11" t="s">
        <v>16</v>
      </c>
      <c r="B19" s="12" t="str">
        <f>[1]Deploy!D47</f>
        <v>#ERROR!</v>
      </c>
      <c r="C19" s="12" t="str">
        <f>[1]Deploy!E47</f>
        <v>#ERROR!</v>
      </c>
      <c r="D19" s="12" t="str">
        <f>[1]Deploy!F47</f>
        <v>#ERROR!</v>
      </c>
      <c r="E19" s="13" t="str">
        <f>[1]Deploy!G47</f>
        <v>#ERROR!</v>
      </c>
      <c r="F19" s="12" t="str">
        <f>[1]Deploy!H47</f>
        <v>#ERROR!</v>
      </c>
      <c r="G19" s="12" t="str">
        <f>[1]Deploy!I47</f>
        <v>#ERROR!</v>
      </c>
      <c r="H19" s="12" t="str">
        <f>[1]Deploy!J47</f>
        <v>#ERROR!</v>
      </c>
      <c r="I19" s="12" t="str">
        <f>[1]Deploy!K47</f>
        <v>#ERROR!</v>
      </c>
      <c r="J19" s="12" t="str">
        <f>[1]Deploy!L47</f>
        <v>#ERROR!</v>
      </c>
      <c r="K19" s="12" t="str">
        <f>[1]Deploy!M47</f>
        <v>#ERROR!</v>
      </c>
      <c r="L19" s="12" t="str">
        <f>[1]Deploy!N47</f>
        <v>#ERROR!</v>
      </c>
      <c r="M19" s="12" t="str">
        <f>[1]Deploy!O47</f>
        <v>#ERROR!</v>
      </c>
      <c r="N19" s="12" t="str">
        <f>[1]Deploy!P47</f>
        <v>#ERROR!</v>
      </c>
      <c r="O19" s="12" t="str">
        <f>[1]Deploy!Q47</f>
        <v>#ERROR!</v>
      </c>
      <c r="P19" s="12" t="str">
        <f>[1]Deploy!R47</f>
        <v>#ERROR!</v>
      </c>
      <c r="Q19" s="12" t="str">
        <f>[1]Deploy!S47</f>
        <v>#ERROR!</v>
      </c>
      <c r="R19" s="14" t="str">
        <f>[1]Deploy!U47</f>
        <v>#ERROR!</v>
      </c>
      <c r="S19" s="2"/>
      <c r="T19" s="2"/>
      <c r="U19" s="2"/>
      <c r="V19" s="2"/>
      <c r="W19" s="2"/>
      <c r="X19" s="2"/>
      <c r="Y19" s="2"/>
      <c r="Z19" s="2"/>
    </row>
    <row r="20" ht="14.25" customHeight="1">
      <c r="A20" s="11" t="s">
        <v>17</v>
      </c>
      <c r="B20" s="12" t="str">
        <f>[1]Deploy!D48</f>
        <v>#ERROR!</v>
      </c>
      <c r="C20" s="12" t="str">
        <f>[1]Deploy!E48</f>
        <v>#ERROR!</v>
      </c>
      <c r="D20" s="12" t="str">
        <f>[1]Deploy!F48</f>
        <v>#ERROR!</v>
      </c>
      <c r="E20" s="13" t="str">
        <f>[1]Deploy!G48</f>
        <v>#ERROR!</v>
      </c>
      <c r="F20" s="12" t="str">
        <f>[1]Deploy!H48</f>
        <v>#ERROR!</v>
      </c>
      <c r="G20" s="12" t="str">
        <f>[1]Deploy!I48</f>
        <v>#ERROR!</v>
      </c>
      <c r="H20" s="12" t="str">
        <f>[1]Deploy!J48</f>
        <v>#ERROR!</v>
      </c>
      <c r="I20" s="12" t="str">
        <f>[1]Deploy!K48</f>
        <v>#ERROR!</v>
      </c>
      <c r="J20" s="12" t="str">
        <f>[1]Deploy!L48</f>
        <v>#ERROR!</v>
      </c>
      <c r="K20" s="12" t="str">
        <f>[1]Deploy!M48</f>
        <v>#ERROR!</v>
      </c>
      <c r="L20" s="12" t="str">
        <f>[1]Deploy!N48</f>
        <v>#ERROR!</v>
      </c>
      <c r="M20" s="12" t="str">
        <f>[1]Deploy!O48</f>
        <v>#ERROR!</v>
      </c>
      <c r="N20" s="12" t="str">
        <f>[1]Deploy!P48</f>
        <v>#ERROR!</v>
      </c>
      <c r="O20" s="12" t="str">
        <f>[1]Deploy!Q48</f>
        <v>#ERROR!</v>
      </c>
      <c r="P20" s="12" t="str">
        <f>[1]Deploy!R48</f>
        <v>#ERROR!</v>
      </c>
      <c r="Q20" s="12" t="str">
        <f>[1]Deploy!S48</f>
        <v>#ERROR!</v>
      </c>
      <c r="R20" s="14" t="str">
        <f>[1]Deploy!U48</f>
        <v>#ERROR!</v>
      </c>
      <c r="S20" s="2"/>
      <c r="T20" s="2"/>
      <c r="U20" s="2"/>
      <c r="V20" s="2"/>
      <c r="W20" s="2"/>
      <c r="X20" s="2"/>
      <c r="Y20" s="2"/>
      <c r="Z20" s="2"/>
    </row>
    <row r="21" ht="14.25" customHeight="1">
      <c r="A21" s="11" t="s">
        <v>18</v>
      </c>
      <c r="B21" s="12" t="str">
        <f>[1]Deploy!D49</f>
        <v>#ERROR!</v>
      </c>
      <c r="C21" s="12" t="str">
        <f>[1]Deploy!E49</f>
        <v>#ERROR!</v>
      </c>
      <c r="D21" s="12" t="str">
        <f>[1]Deploy!F49</f>
        <v>#ERROR!</v>
      </c>
      <c r="E21" s="13" t="str">
        <f>[1]Deploy!G49</f>
        <v>#ERROR!</v>
      </c>
      <c r="F21" s="12" t="str">
        <f>[1]Deploy!H49</f>
        <v>#ERROR!</v>
      </c>
      <c r="G21" s="12" t="str">
        <f>[1]Deploy!I49</f>
        <v>#ERROR!</v>
      </c>
      <c r="H21" s="12" t="str">
        <f>[1]Deploy!J49</f>
        <v>#ERROR!</v>
      </c>
      <c r="I21" s="12" t="str">
        <f>[1]Deploy!K49</f>
        <v>#ERROR!</v>
      </c>
      <c r="J21" s="12" t="str">
        <f>[1]Deploy!L49</f>
        <v>#ERROR!</v>
      </c>
      <c r="K21" s="12" t="str">
        <f>[1]Deploy!M49</f>
        <v>#ERROR!</v>
      </c>
      <c r="L21" s="12" t="str">
        <f>[1]Deploy!N49</f>
        <v>#ERROR!</v>
      </c>
      <c r="M21" s="12" t="str">
        <f>[1]Deploy!O49</f>
        <v>#ERROR!</v>
      </c>
      <c r="N21" s="12" t="str">
        <f>[1]Deploy!P49</f>
        <v>#ERROR!</v>
      </c>
      <c r="O21" s="12" t="str">
        <f>[1]Deploy!Q49</f>
        <v>#ERROR!</v>
      </c>
      <c r="P21" s="12" t="str">
        <f>[1]Deploy!R49</f>
        <v>#ERROR!</v>
      </c>
      <c r="Q21" s="12" t="str">
        <f>[1]Deploy!S49</f>
        <v>#ERROR!</v>
      </c>
      <c r="R21" s="14" t="str">
        <f>[1]Deploy!U49</f>
        <v>#ERROR!</v>
      </c>
      <c r="S21" s="2"/>
      <c r="T21" s="2"/>
      <c r="U21" s="2"/>
      <c r="V21" s="2"/>
      <c r="W21" s="2"/>
      <c r="X21" s="2"/>
      <c r="Y21" s="2"/>
      <c r="Z21" s="2"/>
    </row>
    <row r="22" ht="14.25" customHeight="1">
      <c r="A22" s="11"/>
      <c r="B22" s="2"/>
      <c r="C22" s="2"/>
      <c r="D22" s="2"/>
      <c r="E22" s="26"/>
      <c r="F22" s="2"/>
      <c r="G22" s="2"/>
      <c r="H22" s="2"/>
      <c r="I22" s="2"/>
      <c r="J22" s="2"/>
      <c r="K22" s="2"/>
      <c r="L22" s="2"/>
      <c r="M22" s="2"/>
      <c r="N22" s="2"/>
      <c r="O22" s="2"/>
      <c r="P22" s="2"/>
      <c r="Q22" s="2"/>
      <c r="R22" s="27"/>
      <c r="S22" s="2"/>
      <c r="T22" s="2"/>
      <c r="U22" s="2"/>
      <c r="V22" s="2"/>
      <c r="W22" s="2"/>
      <c r="X22" s="2"/>
      <c r="Y22" s="2"/>
      <c r="Z22" s="2"/>
    </row>
    <row r="23" ht="14.25" customHeight="1">
      <c r="A23" s="31" t="s">
        <v>19</v>
      </c>
      <c r="B23" s="32"/>
      <c r="C23" s="32"/>
      <c r="D23" s="32"/>
      <c r="E23" s="33"/>
      <c r="F23" s="32"/>
      <c r="G23" s="32"/>
      <c r="H23" s="32"/>
      <c r="I23" s="32"/>
      <c r="J23" s="32"/>
      <c r="K23" s="32"/>
      <c r="L23" s="32"/>
      <c r="M23" s="32"/>
      <c r="N23" s="32"/>
      <c r="O23" s="32"/>
      <c r="P23" s="32"/>
      <c r="Q23" s="32"/>
      <c r="R23" s="32"/>
      <c r="S23" s="2"/>
      <c r="T23" s="2"/>
      <c r="U23" s="2"/>
      <c r="V23" s="2"/>
      <c r="W23" s="2"/>
      <c r="X23" s="2"/>
      <c r="Y23" s="2"/>
      <c r="Z23" s="2"/>
    </row>
    <row r="24" ht="14.25" customHeight="1">
      <c r="A24" s="11" t="s">
        <v>20</v>
      </c>
      <c r="B24" s="12" t="str">
        <f>[1]Deploy!D53</f>
        <v>#ERROR!</v>
      </c>
      <c r="C24" s="12" t="str">
        <f>[1]Deploy!E53</f>
        <v>#ERROR!</v>
      </c>
      <c r="D24" s="12" t="str">
        <f>[1]Deploy!F53</f>
        <v>#ERROR!</v>
      </c>
      <c r="E24" s="13" t="str">
        <f>[1]Deploy!G53</f>
        <v>#ERROR!</v>
      </c>
      <c r="F24" s="12" t="str">
        <f>[1]Deploy!H53</f>
        <v>#ERROR!</v>
      </c>
      <c r="G24" s="12" t="str">
        <f>[1]Deploy!I53</f>
        <v>#ERROR!</v>
      </c>
      <c r="H24" s="12" t="str">
        <f>[1]Deploy!J53</f>
        <v>#ERROR!</v>
      </c>
      <c r="I24" s="12" t="str">
        <f>[1]Deploy!K53</f>
        <v>#ERROR!</v>
      </c>
      <c r="J24" s="12" t="str">
        <f>[1]Deploy!L53</f>
        <v>#ERROR!</v>
      </c>
      <c r="K24" s="12" t="str">
        <f>[1]Deploy!M53</f>
        <v>#ERROR!</v>
      </c>
      <c r="L24" s="12" t="str">
        <f>[1]Deploy!N53</f>
        <v>#ERROR!</v>
      </c>
      <c r="M24" s="12" t="str">
        <f>[1]Deploy!O53</f>
        <v>#ERROR!</v>
      </c>
      <c r="N24" s="12" t="str">
        <f>[1]Deploy!P53</f>
        <v>#ERROR!</v>
      </c>
      <c r="O24" s="12" t="str">
        <f>[1]Deploy!Q53</f>
        <v>#ERROR!</v>
      </c>
      <c r="P24" s="12" t="str">
        <f>[1]Deploy!R53</f>
        <v>#ERROR!</v>
      </c>
      <c r="Q24" s="12" t="str">
        <f>[1]Deploy!S53</f>
        <v>#ERROR!</v>
      </c>
      <c r="R24" s="14" t="str">
        <f>[1]Deploy!U53</f>
        <v>#ERROR!</v>
      </c>
      <c r="S24" s="2"/>
      <c r="T24" s="2"/>
      <c r="U24" s="2"/>
      <c r="V24" s="2"/>
      <c r="W24" s="2"/>
      <c r="X24" s="2"/>
      <c r="Y24" s="2"/>
      <c r="Z24" s="2"/>
    </row>
    <row r="25" ht="14.25" customHeight="1">
      <c r="A25" s="11" t="s">
        <v>21</v>
      </c>
      <c r="B25" s="12" t="str">
        <f>[1]Deploy!D54</f>
        <v>#ERROR!</v>
      </c>
      <c r="C25" s="12" t="str">
        <f>[1]Deploy!E54</f>
        <v>#ERROR!</v>
      </c>
      <c r="D25" s="12" t="str">
        <f>[1]Deploy!F54</f>
        <v>#ERROR!</v>
      </c>
      <c r="E25" s="13" t="str">
        <f>[1]Deploy!G54</f>
        <v>#ERROR!</v>
      </c>
      <c r="F25" s="12" t="str">
        <f>[1]Deploy!H54</f>
        <v>#ERROR!</v>
      </c>
      <c r="G25" s="12" t="str">
        <f>[1]Deploy!I54</f>
        <v>#ERROR!</v>
      </c>
      <c r="H25" s="12" t="str">
        <f>[1]Deploy!J54</f>
        <v>#ERROR!</v>
      </c>
      <c r="I25" s="12" t="str">
        <f>[1]Deploy!K54</f>
        <v>#ERROR!</v>
      </c>
      <c r="J25" s="12" t="str">
        <f>[1]Deploy!L54</f>
        <v>#ERROR!</v>
      </c>
      <c r="K25" s="12" t="str">
        <f>[1]Deploy!M54</f>
        <v>#ERROR!</v>
      </c>
      <c r="L25" s="12" t="str">
        <f>[1]Deploy!N54</f>
        <v>#ERROR!</v>
      </c>
      <c r="M25" s="12" t="str">
        <f>[1]Deploy!O54</f>
        <v>#ERROR!</v>
      </c>
      <c r="N25" s="12" t="str">
        <f>[1]Deploy!P54</f>
        <v>#ERROR!</v>
      </c>
      <c r="O25" s="12" t="str">
        <f>[1]Deploy!Q54</f>
        <v>#ERROR!</v>
      </c>
      <c r="P25" s="12" t="str">
        <f>[1]Deploy!R54</f>
        <v>#ERROR!</v>
      </c>
      <c r="Q25" s="12" t="str">
        <f>[1]Deploy!S54</f>
        <v>#ERROR!</v>
      </c>
      <c r="R25" s="14" t="str">
        <f>[1]Deploy!U54</f>
        <v>#ERROR!</v>
      </c>
      <c r="S25" s="2"/>
      <c r="T25" s="2"/>
      <c r="U25" s="2"/>
      <c r="V25" s="2"/>
      <c r="W25" s="2"/>
      <c r="X25" s="2"/>
      <c r="Y25" s="2"/>
      <c r="Z25" s="2"/>
    </row>
    <row r="26" ht="14.25" customHeight="1">
      <c r="A26" s="11" t="s">
        <v>22</v>
      </c>
      <c r="B26" s="12" t="str">
        <f>[1]Deploy!D55</f>
        <v>#ERROR!</v>
      </c>
      <c r="C26" s="12" t="str">
        <f>[1]Deploy!E55</f>
        <v>#ERROR!</v>
      </c>
      <c r="D26" s="12" t="str">
        <f>[1]Deploy!F55</f>
        <v>#ERROR!</v>
      </c>
      <c r="E26" s="13" t="str">
        <f>[1]Deploy!G55</f>
        <v>#ERROR!</v>
      </c>
      <c r="F26" s="12" t="str">
        <f>[1]Deploy!H55</f>
        <v>#ERROR!</v>
      </c>
      <c r="G26" s="12" t="str">
        <f>[1]Deploy!I55</f>
        <v>#ERROR!</v>
      </c>
      <c r="H26" s="12" t="str">
        <f>[1]Deploy!J55</f>
        <v>#ERROR!</v>
      </c>
      <c r="I26" s="12" t="str">
        <f>[1]Deploy!K55</f>
        <v>#ERROR!</v>
      </c>
      <c r="J26" s="12" t="str">
        <f>[1]Deploy!L55</f>
        <v>#ERROR!</v>
      </c>
      <c r="K26" s="12" t="str">
        <f>[1]Deploy!M55</f>
        <v>#ERROR!</v>
      </c>
      <c r="L26" s="12" t="str">
        <f>[1]Deploy!N55</f>
        <v>#ERROR!</v>
      </c>
      <c r="M26" s="12" t="str">
        <f>[1]Deploy!O55</f>
        <v>#ERROR!</v>
      </c>
      <c r="N26" s="12" t="str">
        <f>[1]Deploy!P55</f>
        <v>#ERROR!</v>
      </c>
      <c r="O26" s="12" t="str">
        <f>[1]Deploy!Q55</f>
        <v>#ERROR!</v>
      </c>
      <c r="P26" s="12" t="str">
        <f>[1]Deploy!R55</f>
        <v>#ERROR!</v>
      </c>
      <c r="Q26" s="12" t="str">
        <f>[1]Deploy!S55</f>
        <v>#ERROR!</v>
      </c>
      <c r="R26" s="14" t="str">
        <f>[1]Deploy!U55</f>
        <v>#ERROR!</v>
      </c>
      <c r="S26" s="2"/>
      <c r="T26" s="2"/>
      <c r="U26" s="2"/>
      <c r="V26" s="2"/>
      <c r="W26" s="2"/>
      <c r="X26" s="2"/>
      <c r="Y26" s="2"/>
      <c r="Z26" s="2"/>
    </row>
    <row r="27" ht="14.25" customHeight="1">
      <c r="A27" s="34" t="s">
        <v>23</v>
      </c>
      <c r="B27" s="35" t="str">
        <f t="shared" ref="B27:Q27" si="12">B24/(DAY(B$4)/7)</f>
        <v>#ERROR!</v>
      </c>
      <c r="C27" s="35" t="str">
        <f t="shared" si="12"/>
        <v>#ERROR!</v>
      </c>
      <c r="D27" s="35" t="str">
        <f t="shared" si="12"/>
        <v>#ERROR!</v>
      </c>
      <c r="E27" s="36" t="str">
        <f t="shared" si="12"/>
        <v>#ERROR!</v>
      </c>
      <c r="F27" s="35" t="str">
        <f t="shared" si="12"/>
        <v>#ERROR!</v>
      </c>
      <c r="G27" s="35" t="str">
        <f t="shared" si="12"/>
        <v>#ERROR!</v>
      </c>
      <c r="H27" s="35" t="str">
        <f t="shared" si="12"/>
        <v>#ERROR!</v>
      </c>
      <c r="I27" s="35" t="str">
        <f t="shared" si="12"/>
        <v>#ERROR!</v>
      </c>
      <c r="J27" s="35" t="str">
        <f t="shared" si="12"/>
        <v>#ERROR!</v>
      </c>
      <c r="K27" s="35" t="str">
        <f t="shared" si="12"/>
        <v>#ERROR!</v>
      </c>
      <c r="L27" s="35" t="str">
        <f t="shared" si="12"/>
        <v>#ERROR!</v>
      </c>
      <c r="M27" s="35" t="str">
        <f t="shared" si="12"/>
        <v>#ERROR!</v>
      </c>
      <c r="N27" s="35" t="str">
        <f t="shared" si="12"/>
        <v>#ERROR!</v>
      </c>
      <c r="O27" s="35" t="str">
        <f t="shared" si="12"/>
        <v>#ERROR!</v>
      </c>
      <c r="P27" s="35" t="str">
        <f t="shared" si="12"/>
        <v>#ERROR!</v>
      </c>
      <c r="Q27" s="35" t="str">
        <f t="shared" si="12"/>
        <v>#ERROR!</v>
      </c>
      <c r="R27" s="37" t="str">
        <f t="array" ref="R27">R24/(SUMPRODUCT(DAY($F$4:$Q$4))/7)</f>
        <v>#ERROR!</v>
      </c>
      <c r="S27" s="2"/>
      <c r="T27" s="2"/>
      <c r="U27" s="2"/>
      <c r="V27" s="2"/>
      <c r="W27" s="2"/>
      <c r="X27" s="2"/>
      <c r="Y27" s="2"/>
      <c r="Z27" s="2"/>
    </row>
    <row r="28" ht="14.25" customHeight="1">
      <c r="A28" s="34" t="s">
        <v>24</v>
      </c>
      <c r="B28" s="35" t="str">
        <f t="shared" ref="B28:Q28" si="13">B25/(DAY(B$4)/7)</f>
        <v>#ERROR!</v>
      </c>
      <c r="C28" s="35" t="str">
        <f t="shared" si="13"/>
        <v>#ERROR!</v>
      </c>
      <c r="D28" s="35" t="str">
        <f t="shared" si="13"/>
        <v>#ERROR!</v>
      </c>
      <c r="E28" s="36" t="str">
        <f t="shared" si="13"/>
        <v>#ERROR!</v>
      </c>
      <c r="F28" s="35" t="str">
        <f t="shared" si="13"/>
        <v>#ERROR!</v>
      </c>
      <c r="G28" s="35" t="str">
        <f t="shared" si="13"/>
        <v>#ERROR!</v>
      </c>
      <c r="H28" s="35" t="str">
        <f t="shared" si="13"/>
        <v>#ERROR!</v>
      </c>
      <c r="I28" s="35" t="str">
        <f t="shared" si="13"/>
        <v>#ERROR!</v>
      </c>
      <c r="J28" s="35" t="str">
        <f t="shared" si="13"/>
        <v>#ERROR!</v>
      </c>
      <c r="K28" s="35" t="str">
        <f t="shared" si="13"/>
        <v>#ERROR!</v>
      </c>
      <c r="L28" s="35" t="str">
        <f t="shared" si="13"/>
        <v>#ERROR!</v>
      </c>
      <c r="M28" s="35" t="str">
        <f t="shared" si="13"/>
        <v>#ERROR!</v>
      </c>
      <c r="N28" s="35" t="str">
        <f t="shared" si="13"/>
        <v>#ERROR!</v>
      </c>
      <c r="O28" s="35" t="str">
        <f t="shared" si="13"/>
        <v>#ERROR!</v>
      </c>
      <c r="P28" s="35" t="str">
        <f t="shared" si="13"/>
        <v>#ERROR!</v>
      </c>
      <c r="Q28" s="35" t="str">
        <f t="shared" si="13"/>
        <v>#ERROR!</v>
      </c>
      <c r="R28" s="37" t="str">
        <f t="array" ref="R28">R25/(SUMPRODUCT(DAY($F$4:$Q$4))/7)</f>
        <v>#ERROR!</v>
      </c>
      <c r="S28" s="2"/>
      <c r="T28" s="2"/>
      <c r="U28" s="2"/>
      <c r="V28" s="2"/>
      <c r="W28" s="2"/>
      <c r="X28" s="2"/>
      <c r="Y28" s="2"/>
      <c r="Z28" s="2"/>
    </row>
    <row r="29" ht="14.25" customHeight="1">
      <c r="A29" s="38" t="s">
        <v>25</v>
      </c>
      <c r="B29" s="39" t="str">
        <f>[1]Deploy!D68</f>
        <v>#ERROR!</v>
      </c>
      <c r="C29" s="39" t="str">
        <f>[1]Deploy!E68</f>
        <v>#ERROR!</v>
      </c>
      <c r="D29" s="39" t="str">
        <f>[1]Deploy!F68</f>
        <v>#ERROR!</v>
      </c>
      <c r="E29" s="40" t="str">
        <f>[1]Deploy!G68</f>
        <v>#ERROR!</v>
      </c>
      <c r="F29" s="39" t="str">
        <f>[1]Deploy!H68</f>
        <v>#ERROR!</v>
      </c>
      <c r="G29" s="39" t="str">
        <f>[1]Deploy!I68</f>
        <v>#ERROR!</v>
      </c>
      <c r="H29" s="39" t="str">
        <f>[1]Deploy!J68</f>
        <v>#ERROR!</v>
      </c>
      <c r="I29" s="39" t="str">
        <f>[1]Deploy!K68</f>
        <v>#ERROR!</v>
      </c>
      <c r="J29" s="39" t="str">
        <f>[1]Deploy!L68</f>
        <v>#ERROR!</v>
      </c>
      <c r="K29" s="39" t="str">
        <f>[1]Deploy!M68</f>
        <v>#ERROR!</v>
      </c>
      <c r="L29" s="39" t="str">
        <f>[1]Deploy!N68</f>
        <v>#ERROR!</v>
      </c>
      <c r="M29" s="39" t="str">
        <f>[1]Deploy!O68</f>
        <v>#ERROR!</v>
      </c>
      <c r="N29" s="39" t="str">
        <f>[1]Deploy!P68</f>
        <v>#ERROR!</v>
      </c>
      <c r="O29" s="39" t="str">
        <f>[1]Deploy!Q68</f>
        <v>#ERROR!</v>
      </c>
      <c r="P29" s="39" t="str">
        <f>[1]Deploy!R68</f>
        <v>#ERROR!</v>
      </c>
      <c r="Q29" s="39" t="str">
        <f>[1]Deploy!S68</f>
        <v>#ERROR!</v>
      </c>
      <c r="R29" s="41" t="str">
        <f>[1]Deploy!U68</f>
        <v>#ERROR!</v>
      </c>
      <c r="S29" s="2"/>
      <c r="T29" s="2"/>
      <c r="U29" s="2"/>
      <c r="V29" s="2"/>
      <c r="W29" s="2"/>
      <c r="X29" s="2"/>
      <c r="Y29" s="2"/>
      <c r="Z29" s="2"/>
    </row>
    <row r="30" ht="14.25" hidden="1" customHeight="1" outlineLevel="1">
      <c r="A30" s="11" t="s">
        <v>26</v>
      </c>
      <c r="B30" s="15" t="str">
        <f>[1]Deploy!D69</f>
        <v>#ERROR!</v>
      </c>
      <c r="C30" s="15" t="str">
        <f>[1]Deploy!E69</f>
        <v>#ERROR!</v>
      </c>
      <c r="D30" s="15" t="str">
        <f>[1]Deploy!F69</f>
        <v>#ERROR!</v>
      </c>
      <c r="E30" s="16" t="str">
        <f>[1]Deploy!G69</f>
        <v>#ERROR!</v>
      </c>
      <c r="F30" s="15" t="str">
        <f>[1]Deploy!H69</f>
        <v>#ERROR!</v>
      </c>
      <c r="G30" s="15" t="str">
        <f>[1]Deploy!I69</f>
        <v>#ERROR!</v>
      </c>
      <c r="H30" s="15" t="str">
        <f>[1]Deploy!J69</f>
        <v>#ERROR!</v>
      </c>
      <c r="I30" s="15" t="str">
        <f>[1]Deploy!K69</f>
        <v>#ERROR!</v>
      </c>
      <c r="J30" s="15" t="str">
        <f>[1]Deploy!L69</f>
        <v>#ERROR!</v>
      </c>
      <c r="K30" s="15" t="str">
        <f>[1]Deploy!M69</f>
        <v>#ERROR!</v>
      </c>
      <c r="L30" s="15" t="str">
        <f>[1]Deploy!N69</f>
        <v>#ERROR!</v>
      </c>
      <c r="M30" s="15" t="str">
        <f>[1]Deploy!O69</f>
        <v>#ERROR!</v>
      </c>
      <c r="N30" s="15" t="str">
        <f>[1]Deploy!P69</f>
        <v>#ERROR!</v>
      </c>
      <c r="O30" s="15" t="str">
        <f>[1]Deploy!Q69</f>
        <v>#ERROR!</v>
      </c>
      <c r="P30" s="15" t="str">
        <f>[1]Deploy!R69</f>
        <v>#ERROR!</v>
      </c>
      <c r="Q30" s="15" t="str">
        <f>[1]Deploy!S69</f>
        <v>#ERROR!</v>
      </c>
      <c r="R30" s="17" t="str">
        <f>[1]Deploy!U69</f>
        <v>#ERROR!</v>
      </c>
      <c r="S30" s="2"/>
      <c r="T30" s="2"/>
      <c r="U30" s="2"/>
      <c r="V30" s="2"/>
      <c r="W30" s="2"/>
      <c r="X30" s="2"/>
      <c r="Y30" s="2"/>
      <c r="Z30" s="2"/>
    </row>
    <row r="31" ht="14.25" customHeight="1" collapsed="1">
      <c r="A31" s="11"/>
      <c r="B31" s="2"/>
      <c r="C31" s="2"/>
      <c r="D31" s="2"/>
      <c r="E31" s="26"/>
      <c r="F31" s="2"/>
      <c r="G31" s="2"/>
      <c r="H31" s="2"/>
      <c r="I31" s="2"/>
      <c r="J31" s="2"/>
      <c r="K31" s="2"/>
      <c r="L31" s="2"/>
      <c r="M31" s="2"/>
      <c r="N31" s="2"/>
      <c r="O31" s="2"/>
      <c r="P31" s="2"/>
      <c r="Q31" s="2"/>
      <c r="R31" s="27"/>
      <c r="S31" s="2"/>
      <c r="T31" s="2"/>
      <c r="U31" s="2"/>
      <c r="V31" s="2"/>
      <c r="W31" s="2"/>
      <c r="X31" s="2"/>
      <c r="Y31" s="2"/>
      <c r="Z31" s="2"/>
    </row>
    <row r="32" ht="14.25" hidden="1" customHeight="1" outlineLevel="1">
      <c r="A32" s="42" t="s">
        <v>27</v>
      </c>
      <c r="B32" s="43"/>
      <c r="C32" s="43"/>
      <c r="D32" s="43"/>
      <c r="E32" s="44"/>
      <c r="F32" s="43"/>
      <c r="G32" s="43"/>
      <c r="H32" s="43"/>
      <c r="I32" s="43"/>
      <c r="J32" s="43"/>
      <c r="K32" s="43"/>
      <c r="L32" s="43"/>
      <c r="M32" s="43"/>
      <c r="N32" s="43"/>
      <c r="O32" s="43"/>
      <c r="P32" s="43"/>
      <c r="Q32" s="43"/>
      <c r="R32" s="43"/>
      <c r="S32" s="2"/>
      <c r="T32" s="2"/>
      <c r="U32" s="2"/>
      <c r="V32" s="2"/>
      <c r="W32" s="2"/>
      <c r="X32" s="2"/>
      <c r="Y32" s="2"/>
      <c r="Z32" s="2"/>
    </row>
    <row r="33" ht="14.25" hidden="1" customHeight="1" outlineLevel="1">
      <c r="A33" s="34" t="s">
        <v>28</v>
      </c>
      <c r="B33" s="45" t="str">
        <f t="shared" ref="B33:Q33" si="14">SUMIFS('[1]Deploy Detail'!$G$225:$G$236,'[1]Deploy Detail'!$E$225:$E$236,B$4,'[1]Deploy Detail'!$D$225:$D$236,"&gt;"&amp;'[1]Deploy Detail'!$B$13)+SUMIFS('[1]Deploy Detail'!$G$239:$G$250,'[1]Deploy Detail'!$E$239:$E$250,B$4,'[1]Deploy Detail'!$D$239:$D$250,"&gt;"&amp;'[1]Deploy Detail'!$B$13)</f>
        <v>#N/A</v>
      </c>
      <c r="C33" s="45" t="str">
        <f t="shared" si="14"/>
        <v>#N/A</v>
      </c>
      <c r="D33" s="45" t="str">
        <f t="shared" si="14"/>
        <v>#N/A</v>
      </c>
      <c r="E33" s="46" t="str">
        <f t="shared" si="14"/>
        <v>#N/A</v>
      </c>
      <c r="F33" s="45" t="str">
        <f t="shared" si="14"/>
        <v>#N/A</v>
      </c>
      <c r="G33" s="45" t="str">
        <f t="shared" si="14"/>
        <v>#N/A</v>
      </c>
      <c r="H33" s="45" t="str">
        <f t="shared" si="14"/>
        <v>#N/A</v>
      </c>
      <c r="I33" s="45" t="str">
        <f t="shared" si="14"/>
        <v>#N/A</v>
      </c>
      <c r="J33" s="45" t="str">
        <f t="shared" si="14"/>
        <v>#N/A</v>
      </c>
      <c r="K33" s="45" t="str">
        <f t="shared" si="14"/>
        <v>#N/A</v>
      </c>
      <c r="L33" s="45" t="str">
        <f t="shared" si="14"/>
        <v>#N/A</v>
      </c>
      <c r="M33" s="45" t="str">
        <f t="shared" si="14"/>
        <v>#N/A</v>
      </c>
      <c r="N33" s="45" t="str">
        <f t="shared" si="14"/>
        <v>#N/A</v>
      </c>
      <c r="O33" s="45" t="str">
        <f t="shared" si="14"/>
        <v>#N/A</v>
      </c>
      <c r="P33" s="45" t="str">
        <f t="shared" si="14"/>
        <v>#N/A</v>
      </c>
      <c r="Q33" s="45" t="str">
        <f t="shared" si="14"/>
        <v>#N/A</v>
      </c>
      <c r="R33" s="47" t="str">
        <f t="shared" ref="R33:R34" si="16">SUM(F33:Q33)</f>
        <v>#N/A</v>
      </c>
      <c r="S33" s="2"/>
      <c r="T33" s="2"/>
      <c r="U33" s="2"/>
      <c r="V33" s="2"/>
      <c r="W33" s="2"/>
      <c r="X33" s="2"/>
      <c r="Y33" s="2"/>
      <c r="Z33" s="2"/>
    </row>
    <row r="34" ht="14.25" hidden="1" customHeight="1" outlineLevel="1">
      <c r="A34" s="34" t="s">
        <v>29</v>
      </c>
      <c r="B34" s="45" t="str">
        <f t="shared" ref="B34:Q34" si="15">SUMIFS('[1]Deploy Detail'!$H$225:$H$236,'[1]Deploy Detail'!$E$225:$E$236,B$4,'[1]Deploy Detail'!$D$225:$D$236,"&gt;"&amp;'[1]Deploy Detail'!$B$13)+SUMIFS('[1]Deploy Detail'!$H$239:$H$250,'[1]Deploy Detail'!$E$239:$E$250,B$4,'[1]Deploy Detail'!$D$239:$D$250,"&gt;"&amp;'[1]Deploy Detail'!$B$13)</f>
        <v>#N/A</v>
      </c>
      <c r="C34" s="45" t="str">
        <f t="shared" si="15"/>
        <v>#N/A</v>
      </c>
      <c r="D34" s="45" t="str">
        <f t="shared" si="15"/>
        <v>#N/A</v>
      </c>
      <c r="E34" s="46" t="str">
        <f t="shared" si="15"/>
        <v>#N/A</v>
      </c>
      <c r="F34" s="45" t="str">
        <f t="shared" si="15"/>
        <v>#N/A</v>
      </c>
      <c r="G34" s="45" t="str">
        <f t="shared" si="15"/>
        <v>#N/A</v>
      </c>
      <c r="H34" s="45" t="str">
        <f t="shared" si="15"/>
        <v>#N/A</v>
      </c>
      <c r="I34" s="45" t="str">
        <f t="shared" si="15"/>
        <v>#N/A</v>
      </c>
      <c r="J34" s="45" t="str">
        <f t="shared" si="15"/>
        <v>#N/A</v>
      </c>
      <c r="K34" s="45" t="str">
        <f t="shared" si="15"/>
        <v>#N/A</v>
      </c>
      <c r="L34" s="45" t="str">
        <f t="shared" si="15"/>
        <v>#N/A</v>
      </c>
      <c r="M34" s="45" t="str">
        <f t="shared" si="15"/>
        <v>#N/A</v>
      </c>
      <c r="N34" s="45" t="str">
        <f t="shared" si="15"/>
        <v>#N/A</v>
      </c>
      <c r="O34" s="45" t="str">
        <f t="shared" si="15"/>
        <v>#N/A</v>
      </c>
      <c r="P34" s="45" t="str">
        <f t="shared" si="15"/>
        <v>#N/A</v>
      </c>
      <c r="Q34" s="45" t="str">
        <f t="shared" si="15"/>
        <v>#N/A</v>
      </c>
      <c r="R34" s="47" t="str">
        <f t="shared" si="16"/>
        <v>#N/A</v>
      </c>
      <c r="S34" s="2"/>
      <c r="T34" s="2"/>
      <c r="U34" s="2"/>
      <c r="V34" s="2"/>
      <c r="W34" s="2"/>
      <c r="X34" s="2"/>
      <c r="Y34" s="2"/>
      <c r="Z34" s="2"/>
    </row>
    <row r="35" ht="14.25" hidden="1" customHeight="1" outlineLevel="1">
      <c r="A35" s="34" t="s">
        <v>30</v>
      </c>
      <c r="B35" s="48" t="str">
        <f>B33*([1]Deploy!$B$7+[1]Deploy!$B$14)+B34*[1]Deploy!$B$8</f>
        <v>#ERROR!</v>
      </c>
      <c r="C35" s="48" t="str">
        <f>C33*([1]Deploy!$B$7+[1]Deploy!$B$14)+C34*[1]Deploy!$B$8</f>
        <v>#ERROR!</v>
      </c>
      <c r="D35" s="48" t="str">
        <f>D33*([1]Deploy!$B$7+[1]Deploy!$B$14)+D34*[1]Deploy!$B$8</f>
        <v>#ERROR!</v>
      </c>
      <c r="E35" s="49" t="str">
        <f>E33*([1]Deploy!$B$7+[1]Deploy!$B$14)+E34*[1]Deploy!$B$8</f>
        <v>#ERROR!</v>
      </c>
      <c r="F35" s="48" t="str">
        <f>F33*([1]Deploy!$B$7+[1]Deploy!$B$14)+F34*[1]Deploy!$B$8</f>
        <v>#ERROR!</v>
      </c>
      <c r="G35" s="48" t="str">
        <f>G33*([1]Deploy!$B$7+[1]Deploy!$B$14)+G34*[1]Deploy!$B$8</f>
        <v>#ERROR!</v>
      </c>
      <c r="H35" s="48" t="str">
        <f>H33*([1]Deploy!$B$7+[1]Deploy!$B$14)+H34*[1]Deploy!$B$8</f>
        <v>#ERROR!</v>
      </c>
      <c r="I35" s="48" t="str">
        <f>I33*([1]Deploy!$B$7+[1]Deploy!$B$14)+I34*[1]Deploy!$B$8</f>
        <v>#ERROR!</v>
      </c>
      <c r="J35" s="48" t="str">
        <f>J33*([1]Deploy!$B$7+[1]Deploy!$B$14)+J34*[1]Deploy!$B$8</f>
        <v>#ERROR!</v>
      </c>
      <c r="K35" s="48" t="str">
        <f>K33*([1]Deploy!$B$7+[1]Deploy!$B$14)+K34*[1]Deploy!$B$8</f>
        <v>#ERROR!</v>
      </c>
      <c r="L35" s="48" t="str">
        <f>L33*([1]Deploy!$B$7+[1]Deploy!$B$14)+L34*[1]Deploy!$B$8</f>
        <v>#ERROR!</v>
      </c>
      <c r="M35" s="48" t="str">
        <f>M33*([1]Deploy!$B$7+[1]Deploy!$B$14)+M34*[1]Deploy!$B$8</f>
        <v>#ERROR!</v>
      </c>
      <c r="N35" s="48" t="str">
        <f>N33*([1]Deploy!$B$7+[1]Deploy!$B$14)+N34*[1]Deploy!$B$8</f>
        <v>#ERROR!</v>
      </c>
      <c r="O35" s="48" t="str">
        <f>O33*([1]Deploy!$B$7+[1]Deploy!$B$14)+O34*[1]Deploy!$B$8</f>
        <v>#ERROR!</v>
      </c>
      <c r="P35" s="48" t="str">
        <f>P33*([1]Deploy!$B$7+[1]Deploy!$B$14)+P34*[1]Deploy!$B$8</f>
        <v>#ERROR!</v>
      </c>
      <c r="Q35" s="48" t="str">
        <f>Q33*([1]Deploy!$B$7+[1]Deploy!$B$14)+Q34*[1]Deploy!$B$8</f>
        <v>#ERROR!</v>
      </c>
      <c r="R35" s="50" t="str">
        <f>R33*([1]Deploy!$B$7+[1]Deploy!$B$14)+R34*[1]Deploy!$B$8</f>
        <v>#ERROR!</v>
      </c>
      <c r="S35" s="2"/>
      <c r="T35" s="2"/>
      <c r="U35" s="2"/>
      <c r="V35" s="2"/>
      <c r="W35" s="2"/>
      <c r="X35" s="2"/>
      <c r="Y35" s="2"/>
      <c r="Z35" s="2"/>
    </row>
    <row r="36" ht="14.25" hidden="1" customHeight="1" outlineLevel="1">
      <c r="A36" s="11"/>
      <c r="B36" s="2"/>
      <c r="C36" s="2"/>
      <c r="D36" s="2"/>
      <c r="E36" s="26"/>
      <c r="F36" s="2"/>
      <c r="G36" s="2"/>
      <c r="H36" s="2"/>
      <c r="I36" s="2"/>
      <c r="J36" s="2"/>
      <c r="K36" s="2"/>
      <c r="L36" s="2"/>
      <c r="M36" s="2"/>
      <c r="N36" s="2"/>
      <c r="O36" s="2"/>
      <c r="P36" s="2"/>
      <c r="Q36" s="2"/>
      <c r="R36" s="27"/>
      <c r="S36" s="2"/>
      <c r="T36" s="2"/>
      <c r="U36" s="2"/>
      <c r="V36" s="2"/>
      <c r="W36" s="2"/>
      <c r="X36" s="2"/>
      <c r="Y36" s="2"/>
      <c r="Z36" s="2"/>
    </row>
    <row r="37" ht="14.25" customHeight="1" collapsed="1">
      <c r="A37" s="51" t="s">
        <v>31</v>
      </c>
      <c r="B37" s="52"/>
      <c r="C37" s="52"/>
      <c r="D37" s="52"/>
      <c r="E37" s="53"/>
      <c r="F37" s="52"/>
      <c r="G37" s="52"/>
      <c r="H37" s="52"/>
      <c r="I37" s="52"/>
      <c r="J37" s="52"/>
      <c r="K37" s="52"/>
      <c r="L37" s="52"/>
      <c r="M37" s="52"/>
      <c r="N37" s="52"/>
      <c r="O37" s="52"/>
      <c r="P37" s="52"/>
      <c r="Q37" s="52"/>
      <c r="R37" s="52"/>
      <c r="S37" s="2"/>
      <c r="T37" s="2"/>
      <c r="U37" s="2"/>
      <c r="V37" s="2"/>
      <c r="W37" s="2"/>
      <c r="X37" s="2"/>
      <c r="Y37" s="2"/>
      <c r="Z37" s="2"/>
    </row>
    <row r="38" ht="14.25" customHeight="1">
      <c r="A38" s="11" t="s">
        <v>32</v>
      </c>
      <c r="B38" s="15" t="str">
        <f t="shared" ref="B38:Q38" si="17">'[1]Revenue Roll-up'!D24</f>
        <v>#REF!</v>
      </c>
      <c r="C38" s="15" t="str">
        <f t="shared" si="17"/>
        <v>#REF!</v>
      </c>
      <c r="D38" s="15" t="str">
        <f t="shared" si="17"/>
        <v>#REF!</v>
      </c>
      <c r="E38" s="16" t="str">
        <f t="shared" si="17"/>
        <v>#REF!</v>
      </c>
      <c r="F38" s="15" t="str">
        <f t="shared" si="17"/>
        <v>#REF!</v>
      </c>
      <c r="G38" s="15" t="str">
        <f t="shared" si="17"/>
        <v>#REF!</v>
      </c>
      <c r="H38" s="15" t="str">
        <f t="shared" si="17"/>
        <v>#REF!</v>
      </c>
      <c r="I38" s="15" t="str">
        <f t="shared" si="17"/>
        <v>#REF!</v>
      </c>
      <c r="J38" s="15" t="str">
        <f t="shared" si="17"/>
        <v>#REF!</v>
      </c>
      <c r="K38" s="15" t="str">
        <f t="shared" si="17"/>
        <v>#REF!</v>
      </c>
      <c r="L38" s="15" t="str">
        <f t="shared" si="17"/>
        <v>#REF!</v>
      </c>
      <c r="M38" s="15" t="str">
        <f t="shared" si="17"/>
        <v>#REF!</v>
      </c>
      <c r="N38" s="15" t="str">
        <f t="shared" si="17"/>
        <v>#REF!</v>
      </c>
      <c r="O38" s="15" t="str">
        <f t="shared" si="17"/>
        <v>#REF!</v>
      </c>
      <c r="P38" s="15" t="str">
        <f t="shared" si="17"/>
        <v>#REF!</v>
      </c>
      <c r="Q38" s="15" t="str">
        <f t="shared" si="17"/>
        <v>#REF!</v>
      </c>
      <c r="R38" s="17" t="str">
        <f>'[1]Revenue Roll-up'!S24</f>
        <v>#REF!</v>
      </c>
      <c r="S38" s="2"/>
      <c r="T38" s="2"/>
      <c r="U38" s="2"/>
      <c r="V38" s="2"/>
      <c r="W38" s="2"/>
      <c r="X38" s="2"/>
      <c r="Y38" s="2"/>
      <c r="Z38" s="2"/>
    </row>
    <row r="39" ht="14.25" customHeight="1">
      <c r="A39" s="11" t="s">
        <v>33</v>
      </c>
      <c r="B39" s="15" t="str">
        <f t="shared" ref="B39:Q39" si="18">'[1]Revenue Roll-up'!D30</f>
        <v>#REF!</v>
      </c>
      <c r="C39" s="15" t="str">
        <f t="shared" si="18"/>
        <v>#REF!</v>
      </c>
      <c r="D39" s="15" t="str">
        <f t="shared" si="18"/>
        <v>#REF!</v>
      </c>
      <c r="E39" s="16" t="str">
        <f t="shared" si="18"/>
        <v>#REF!</v>
      </c>
      <c r="F39" s="15" t="str">
        <f t="shared" si="18"/>
        <v>#REF!</v>
      </c>
      <c r="G39" s="15" t="str">
        <f t="shared" si="18"/>
        <v>#REF!</v>
      </c>
      <c r="H39" s="15" t="str">
        <f t="shared" si="18"/>
        <v>#REF!</v>
      </c>
      <c r="I39" s="15" t="str">
        <f t="shared" si="18"/>
        <v>#REF!</v>
      </c>
      <c r="J39" s="15" t="str">
        <f t="shared" si="18"/>
        <v>#REF!</v>
      </c>
      <c r="K39" s="15" t="str">
        <f t="shared" si="18"/>
        <v>#REF!</v>
      </c>
      <c r="L39" s="15" t="str">
        <f t="shared" si="18"/>
        <v>#REF!</v>
      </c>
      <c r="M39" s="15" t="str">
        <f t="shared" si="18"/>
        <v>#REF!</v>
      </c>
      <c r="N39" s="15" t="str">
        <f t="shared" si="18"/>
        <v>#REF!</v>
      </c>
      <c r="O39" s="15" t="str">
        <f t="shared" si="18"/>
        <v>#REF!</v>
      </c>
      <c r="P39" s="15" t="str">
        <f t="shared" si="18"/>
        <v>#REF!</v>
      </c>
      <c r="Q39" s="15" t="str">
        <f t="shared" si="18"/>
        <v>#REF!</v>
      </c>
      <c r="R39" s="17" t="str">
        <f>'[1]Revenue Roll-up'!S30</f>
        <v>#REF!</v>
      </c>
      <c r="S39" s="2"/>
      <c r="T39" s="2"/>
      <c r="U39" s="2"/>
      <c r="V39" s="2"/>
      <c r="W39" s="2"/>
      <c r="X39" s="2"/>
      <c r="Y39" s="2"/>
      <c r="Z39" s="2"/>
    </row>
    <row r="40" ht="14.25" hidden="1" customHeight="1" outlineLevel="1">
      <c r="A40" s="11" t="s">
        <v>34</v>
      </c>
      <c r="B40" s="15" t="str">
        <f t="shared" ref="B40:Q40" si="19">'[1]Revenue Roll-up'!D38</f>
        <v>#REF!</v>
      </c>
      <c r="C40" s="15" t="str">
        <f t="shared" si="19"/>
        <v>#REF!</v>
      </c>
      <c r="D40" s="15" t="str">
        <f t="shared" si="19"/>
        <v>#REF!</v>
      </c>
      <c r="E40" s="16" t="str">
        <f t="shared" si="19"/>
        <v>#REF!</v>
      </c>
      <c r="F40" s="15" t="str">
        <f t="shared" si="19"/>
        <v>#REF!</v>
      </c>
      <c r="G40" s="15" t="str">
        <f t="shared" si="19"/>
        <v>#REF!</v>
      </c>
      <c r="H40" s="15" t="str">
        <f t="shared" si="19"/>
        <v>#REF!</v>
      </c>
      <c r="I40" s="15" t="str">
        <f t="shared" si="19"/>
        <v>#REF!</v>
      </c>
      <c r="J40" s="15" t="str">
        <f t="shared" si="19"/>
        <v>#REF!</v>
      </c>
      <c r="K40" s="15" t="str">
        <f t="shared" si="19"/>
        <v>#REF!</v>
      </c>
      <c r="L40" s="15" t="str">
        <f t="shared" si="19"/>
        <v>#REF!</v>
      </c>
      <c r="M40" s="15" t="str">
        <f t="shared" si="19"/>
        <v>#REF!</v>
      </c>
      <c r="N40" s="15" t="str">
        <f t="shared" si="19"/>
        <v>#REF!</v>
      </c>
      <c r="O40" s="15" t="str">
        <f t="shared" si="19"/>
        <v>#REF!</v>
      </c>
      <c r="P40" s="15" t="str">
        <f t="shared" si="19"/>
        <v>#REF!</v>
      </c>
      <c r="Q40" s="15" t="str">
        <f t="shared" si="19"/>
        <v>#REF!</v>
      </c>
      <c r="R40" s="17" t="str">
        <f>'[1]Revenue Roll-up'!U38</f>
        <v>#REF!</v>
      </c>
      <c r="S40" s="2"/>
      <c r="T40" s="2"/>
      <c r="U40" s="2"/>
      <c r="V40" s="2"/>
      <c r="W40" s="2"/>
      <c r="X40" s="2"/>
      <c r="Y40" s="2"/>
      <c r="Z40" s="2"/>
    </row>
    <row r="41" ht="14.25" hidden="1" customHeight="1" outlineLevel="1">
      <c r="A41" s="11" t="s">
        <v>35</v>
      </c>
      <c r="B41" s="15" t="str">
        <f t="shared" ref="B41:Q41" si="20">'[1]Revenue Roll-up'!D40</f>
        <v>#REF!</v>
      </c>
      <c r="C41" s="15" t="str">
        <f t="shared" si="20"/>
        <v>#REF!</v>
      </c>
      <c r="D41" s="15" t="str">
        <f t="shared" si="20"/>
        <v>#REF!</v>
      </c>
      <c r="E41" s="16" t="str">
        <f t="shared" si="20"/>
        <v>#REF!</v>
      </c>
      <c r="F41" s="15" t="str">
        <f t="shared" si="20"/>
        <v>#REF!</v>
      </c>
      <c r="G41" s="15" t="str">
        <f t="shared" si="20"/>
        <v>#REF!</v>
      </c>
      <c r="H41" s="15" t="str">
        <f t="shared" si="20"/>
        <v>#REF!</v>
      </c>
      <c r="I41" s="15" t="str">
        <f t="shared" si="20"/>
        <v>#REF!</v>
      </c>
      <c r="J41" s="15" t="str">
        <f t="shared" si="20"/>
        <v>#REF!</v>
      </c>
      <c r="K41" s="15" t="str">
        <f t="shared" si="20"/>
        <v>#REF!</v>
      </c>
      <c r="L41" s="15" t="str">
        <f t="shared" si="20"/>
        <v>#REF!</v>
      </c>
      <c r="M41" s="15" t="str">
        <f t="shared" si="20"/>
        <v>#REF!</v>
      </c>
      <c r="N41" s="15" t="str">
        <f t="shared" si="20"/>
        <v>#REF!</v>
      </c>
      <c r="O41" s="15" t="str">
        <f t="shared" si="20"/>
        <v>#REF!</v>
      </c>
      <c r="P41" s="15" t="str">
        <f t="shared" si="20"/>
        <v>#REF!</v>
      </c>
      <c r="Q41" s="15" t="str">
        <f t="shared" si="20"/>
        <v>#REF!</v>
      </c>
      <c r="R41" s="17" t="str">
        <f>'[1]Revenue Roll-up'!U40</f>
        <v>#REF!</v>
      </c>
      <c r="S41" s="2"/>
      <c r="T41" s="2"/>
      <c r="U41" s="2"/>
      <c r="V41" s="2"/>
      <c r="W41" s="2"/>
      <c r="X41" s="2"/>
      <c r="Y41" s="2"/>
      <c r="Z41" s="2"/>
    </row>
    <row r="42" ht="14.25" hidden="1" customHeight="1" outlineLevel="1">
      <c r="A42" s="11" t="s">
        <v>36</v>
      </c>
      <c r="B42" s="15" t="str">
        <f t="shared" ref="B42:Q42" si="21">'[1]Revenue Roll-up'!D45</f>
        <v>#REF!</v>
      </c>
      <c r="C42" s="15" t="str">
        <f t="shared" si="21"/>
        <v>#REF!</v>
      </c>
      <c r="D42" s="15" t="str">
        <f t="shared" si="21"/>
        <v>#REF!</v>
      </c>
      <c r="E42" s="16" t="str">
        <f t="shared" si="21"/>
        <v>#REF!</v>
      </c>
      <c r="F42" s="15" t="str">
        <f t="shared" si="21"/>
        <v>#REF!</v>
      </c>
      <c r="G42" s="15" t="str">
        <f t="shared" si="21"/>
        <v>#REF!</v>
      </c>
      <c r="H42" s="15" t="str">
        <f t="shared" si="21"/>
        <v>#REF!</v>
      </c>
      <c r="I42" s="15" t="str">
        <f t="shared" si="21"/>
        <v>#REF!</v>
      </c>
      <c r="J42" s="15" t="str">
        <f t="shared" si="21"/>
        <v>#REF!</v>
      </c>
      <c r="K42" s="15" t="str">
        <f t="shared" si="21"/>
        <v>#REF!</v>
      </c>
      <c r="L42" s="15" t="str">
        <f t="shared" si="21"/>
        <v>#REF!</v>
      </c>
      <c r="M42" s="15" t="str">
        <f t="shared" si="21"/>
        <v>#REF!</v>
      </c>
      <c r="N42" s="15" t="str">
        <f t="shared" si="21"/>
        <v>#REF!</v>
      </c>
      <c r="O42" s="15" t="str">
        <f t="shared" si="21"/>
        <v>#REF!</v>
      </c>
      <c r="P42" s="15" t="str">
        <f t="shared" si="21"/>
        <v>#REF!</v>
      </c>
      <c r="Q42" s="15" t="str">
        <f t="shared" si="21"/>
        <v>#REF!</v>
      </c>
      <c r="R42" s="17" t="str">
        <f>'[1]Revenue Roll-up'!S45</f>
        <v>#REF!</v>
      </c>
      <c r="S42" s="2"/>
      <c r="T42" s="2"/>
      <c r="U42" s="2"/>
      <c r="V42" s="2"/>
      <c r="W42" s="2"/>
      <c r="X42" s="2"/>
      <c r="Y42" s="2"/>
      <c r="Z42" s="2"/>
    </row>
    <row r="43" ht="14.25" customHeight="1" collapsed="1">
      <c r="A43" s="11"/>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51" t="s">
        <v>37</v>
      </c>
      <c r="B44" s="52"/>
      <c r="C44" s="52"/>
      <c r="D44" s="52"/>
      <c r="E44" s="52"/>
      <c r="F44" s="52"/>
      <c r="G44" s="52"/>
      <c r="H44" s="52"/>
      <c r="I44" s="52"/>
      <c r="J44" s="52"/>
      <c r="K44" s="52"/>
      <c r="L44" s="52"/>
      <c r="M44" s="52"/>
      <c r="N44" s="52"/>
      <c r="O44" s="52"/>
      <c r="P44" s="52"/>
      <c r="Q44" s="52"/>
      <c r="R44" s="52"/>
      <c r="S44" s="2"/>
      <c r="T44" s="2"/>
      <c r="U44" s="2"/>
      <c r="V44" s="2"/>
      <c r="W44" s="2"/>
      <c r="X44" s="2"/>
      <c r="Y44" s="2"/>
      <c r="Z44" s="2"/>
    </row>
    <row r="45" ht="13.5" customHeight="1">
      <c r="A45" s="54" t="str">
        <f>"1. Timing: bookings go live "&amp;'[1]Deploy Detail'!B8&amp;" months after booking (new logos &amp; expansion); units are built "&amp;[1]Deploy!B16&amp;" months before go-live."</f>
        <v>#ERROR!</v>
      </c>
      <c r="S45" s="2"/>
      <c r="T45" s="2"/>
      <c r="U45" s="2"/>
      <c r="V45" s="2"/>
      <c r="W45" s="2"/>
      <c r="X45" s="2"/>
      <c r="Y45" s="2"/>
      <c r="Z45" s="2"/>
    </row>
    <row r="46" ht="13.5" customHeight="1">
      <c r="A46" s="54" t="str">
        <f>"2. Deal size: new-logo deal = "&amp;[1]Deploy!B18&amp;" SlipLifts + "&amp;[1]Deploy!B19&amp;" SlipTrays ("&amp;TEXT('[1]New Sales'!B8,"$#,##0")&amp;"); expansion deal = "&amp;[1]Deploy!B20&amp;" SlipLifts + "&amp;[1]Deploy!B21&amp;" SlipTrays ("&amp;TEXT([1]Expansion!B11,"$#,##0")&amp;"). Deal counts are whole numbers."</f>
        <v>#ERROR!</v>
      </c>
      <c r="S46" s="2"/>
      <c r="T46" s="2"/>
      <c r="U46" s="2"/>
      <c r="V46" s="2"/>
      <c r="W46" s="2"/>
      <c r="X46" s="2"/>
      <c r="Y46" s="2"/>
      <c r="Z46" s="2"/>
    </row>
    <row r="47" ht="13.5" customHeight="1">
      <c r="A47" s="54" t="str">
        <f>"3. Unit cost (CapEx): SlipLift "&amp;TEXT([1]Deploy!B7,"$#,##0")&amp;" + "&amp;TEXT([1]Deploy!B14,"$#,##0")&amp;" peripherals, SlipTray "&amp;TEXT([1]Deploy!B8,"$#,##0")&amp;", SlipBot "&amp;TEXT([1]Deploy!B6,"$#,##0")&amp;". Freight "&amp;TEXT([1]Deploy!B15,"$#,##0")&amp;" per deployment (expensed)."</f>
        <v>#ERROR!</v>
      </c>
      <c r="S47" s="2"/>
      <c r="T47" s="2"/>
      <c r="U47" s="2"/>
      <c r="V47" s="2"/>
      <c r="W47" s="2"/>
      <c r="X47" s="2"/>
      <c r="Y47" s="2"/>
      <c r="Z47" s="2"/>
    </row>
    <row r="48" ht="13.5" customHeight="1">
      <c r="A48" s="54" t="str">
        <f>"4. SlipBots: "&amp;IF([1]Deploy!B17="Y","none are built – returned/existing bots are redeployed (incl. the Meli bridge bots).","built per deployments.")&amp;" Only contracts flagged 'New production = Yes' create deployments and production."</f>
        <v>#ERROR!</v>
      </c>
      <c r="S48" s="2"/>
      <c r="T48" s="2"/>
      <c r="U48" s="2"/>
      <c r="V48" s="2"/>
      <c r="W48" s="2"/>
      <c r="X48" s="2"/>
      <c r="Y48" s="2"/>
      <c r="Z48" s="2"/>
    </row>
    <row r="49" ht="14.25" customHeight="1">
      <c r="A49" s="54" t="str">
        <f>"5. Sep–Dec 26 bookings include unsigned forecast of "&amp;TEXT(SUMIFS('[1]2026 Exist New'!$P$9:$P$50,'[1]2026 Exist New'!$D$9:$D$50,"Forecast (unsigned)"),"$#,##0")&amp;" (Arconic + placeholders) at 100%; bookings are gross ACV."</f>
        <v>#N/A</v>
      </c>
      <c r="S49" s="2"/>
      <c r="T49" s="2"/>
      <c r="U49" s="2"/>
      <c r="V49" s="2"/>
      <c r="W49" s="2"/>
      <c r="X49" s="2"/>
      <c r="Y49" s="2"/>
      <c r="Z49" s="2"/>
    </row>
    <row r="50" ht="14.25" customHeight="1">
      <c r="A50" s="54" t="s">
        <v>38</v>
      </c>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8" t="s">
        <v>39</v>
      </c>
      <c r="B52" s="28"/>
      <c r="C52" s="28"/>
      <c r="D52" s="28"/>
      <c r="E52" s="28"/>
      <c r="F52" s="28"/>
      <c r="G52" s="28"/>
      <c r="H52" s="28"/>
      <c r="I52" s="28"/>
      <c r="J52" s="28"/>
      <c r="K52" s="28"/>
      <c r="L52" s="28"/>
      <c r="M52" s="28"/>
      <c r="N52" s="28"/>
      <c r="O52" s="28"/>
      <c r="P52" s="28"/>
      <c r="Q52" s="28"/>
      <c r="R52" s="28"/>
      <c r="S52" s="2"/>
      <c r="T52" s="2"/>
      <c r="U52" s="2"/>
      <c r="V52" s="2"/>
      <c r="W52" s="2"/>
      <c r="X52" s="2"/>
      <c r="Y52" s="2"/>
      <c r="Z52" s="2"/>
    </row>
    <row r="53" ht="14.25" customHeight="1">
      <c r="A53" s="5" t="s">
        <v>40</v>
      </c>
      <c r="B53" s="6">
        <v>46295.0</v>
      </c>
      <c r="C53" s="6">
        <v>46326.0</v>
      </c>
      <c r="D53" s="6">
        <v>46356.0</v>
      </c>
      <c r="E53" s="7">
        <v>46387.0</v>
      </c>
      <c r="F53" s="6">
        <v>46418.0</v>
      </c>
      <c r="G53" s="6">
        <v>46446.0</v>
      </c>
      <c r="H53" s="6">
        <v>46477.0</v>
      </c>
      <c r="I53" s="6">
        <v>46507.0</v>
      </c>
      <c r="J53" s="6">
        <v>46538.0</v>
      </c>
      <c r="K53" s="6">
        <v>46568.0</v>
      </c>
      <c r="L53" s="6">
        <v>46599.0</v>
      </c>
      <c r="M53" s="6">
        <v>46630.0</v>
      </c>
      <c r="N53" s="6">
        <v>46660.0</v>
      </c>
      <c r="O53" s="6">
        <v>46691.0</v>
      </c>
      <c r="P53" s="6">
        <v>46721.0</v>
      </c>
      <c r="Q53" s="6">
        <v>46752.0</v>
      </c>
      <c r="R53" s="5" t="s">
        <v>2</v>
      </c>
      <c r="S53" s="2"/>
      <c r="T53" s="2"/>
      <c r="U53" s="2"/>
      <c r="V53" s="2"/>
      <c r="W53" s="2"/>
      <c r="X53" s="2"/>
      <c r="Y53" s="2"/>
      <c r="Z53" s="2"/>
    </row>
    <row r="54" ht="14.25" customHeight="1">
      <c r="A54" s="55" t="s">
        <v>41</v>
      </c>
      <c r="B54" s="56">
        <v>0.0</v>
      </c>
      <c r="C54" s="56">
        <v>0.0</v>
      </c>
      <c r="D54" s="56">
        <v>0.0</v>
      </c>
      <c r="E54" s="57">
        <v>0.0</v>
      </c>
      <c r="F54" s="56">
        <v>3.0</v>
      </c>
      <c r="G54" s="56">
        <v>2.0</v>
      </c>
      <c r="H54" s="56">
        <v>0.0</v>
      </c>
      <c r="I54" s="56">
        <v>3.0</v>
      </c>
      <c r="J54" s="56">
        <v>3.0</v>
      </c>
      <c r="K54" s="56">
        <v>4.0</v>
      </c>
      <c r="L54" s="56">
        <v>4.0</v>
      </c>
      <c r="M54" s="56">
        <v>5.0</v>
      </c>
      <c r="N54" s="56">
        <v>6.0</v>
      </c>
      <c r="O54" s="56">
        <v>6.0</v>
      </c>
      <c r="P54" s="56">
        <v>7.0</v>
      </c>
      <c r="Q54" s="56">
        <v>8.0</v>
      </c>
      <c r="R54" s="58">
        <v>51.0</v>
      </c>
      <c r="S54" s="2"/>
      <c r="T54" s="2"/>
      <c r="U54" s="2"/>
      <c r="V54" s="2"/>
      <c r="W54" s="2"/>
      <c r="X54" s="2"/>
      <c r="Y54" s="2"/>
      <c r="Z54" s="2"/>
    </row>
    <row r="55" ht="14.25" customHeight="1">
      <c r="A55" s="11" t="s">
        <v>42</v>
      </c>
      <c r="B55" s="12">
        <v>0.0</v>
      </c>
      <c r="C55" s="12">
        <v>0.0</v>
      </c>
      <c r="D55" s="12">
        <v>0.0</v>
      </c>
      <c r="E55" s="13">
        <v>0.0</v>
      </c>
      <c r="F55" s="12">
        <v>20.0</v>
      </c>
      <c r="G55" s="12">
        <v>8.0</v>
      </c>
      <c r="H55" s="12">
        <v>0.0</v>
      </c>
      <c r="I55" s="12">
        <v>12.0</v>
      </c>
      <c r="J55" s="12">
        <v>12.0</v>
      </c>
      <c r="K55" s="12">
        <v>16.0</v>
      </c>
      <c r="L55" s="12">
        <v>16.0</v>
      </c>
      <c r="M55" s="12">
        <v>20.0</v>
      </c>
      <c r="N55" s="12">
        <v>24.0</v>
      </c>
      <c r="O55" s="12">
        <v>24.0</v>
      </c>
      <c r="P55" s="12">
        <v>28.0</v>
      </c>
      <c r="Q55" s="12">
        <v>32.0</v>
      </c>
      <c r="R55" s="14">
        <v>212.0</v>
      </c>
      <c r="S55" s="2"/>
      <c r="T55" s="2"/>
      <c r="U55" s="2"/>
      <c r="V55" s="2"/>
      <c r="W55" s="2"/>
      <c r="X55" s="2"/>
      <c r="Y55" s="2"/>
      <c r="Z55" s="2"/>
    </row>
    <row r="56" ht="14.25" customHeight="1">
      <c r="A56" s="11" t="s">
        <v>43</v>
      </c>
      <c r="B56" s="12">
        <v>0.0</v>
      </c>
      <c r="C56" s="12">
        <v>0.0</v>
      </c>
      <c r="D56" s="12">
        <v>0.0</v>
      </c>
      <c r="E56" s="13">
        <v>0.0</v>
      </c>
      <c r="F56" s="12">
        <v>60.0</v>
      </c>
      <c r="G56" s="12">
        <v>24.0</v>
      </c>
      <c r="H56" s="12">
        <v>0.0</v>
      </c>
      <c r="I56" s="12">
        <v>36.0</v>
      </c>
      <c r="J56" s="12">
        <v>36.0</v>
      </c>
      <c r="K56" s="12">
        <v>48.0</v>
      </c>
      <c r="L56" s="12">
        <v>48.0</v>
      </c>
      <c r="M56" s="12">
        <v>60.0</v>
      </c>
      <c r="N56" s="12">
        <v>72.0</v>
      </c>
      <c r="O56" s="12">
        <v>72.0</v>
      </c>
      <c r="P56" s="12">
        <v>84.0</v>
      </c>
      <c r="Q56" s="12">
        <v>96.0</v>
      </c>
      <c r="R56" s="14">
        <v>636.0</v>
      </c>
      <c r="S56" s="2"/>
      <c r="T56" s="2"/>
      <c r="U56" s="2"/>
      <c r="V56" s="2"/>
      <c r="W56" s="2"/>
      <c r="X56" s="2"/>
      <c r="Y56" s="2"/>
      <c r="Z56" s="2"/>
    </row>
    <row r="57" ht="14.25" customHeight="1">
      <c r="A57" s="55" t="s">
        <v>44</v>
      </c>
      <c r="B57" s="56">
        <v>0.0</v>
      </c>
      <c r="C57" s="56">
        <v>0.0</v>
      </c>
      <c r="D57" s="56">
        <v>0.0</v>
      </c>
      <c r="E57" s="57">
        <v>0.0</v>
      </c>
      <c r="F57" s="56">
        <v>0.0</v>
      </c>
      <c r="G57" s="56">
        <v>0.0</v>
      </c>
      <c r="H57" s="56">
        <v>0.0</v>
      </c>
      <c r="I57" s="56">
        <v>1.0</v>
      </c>
      <c r="J57" s="56">
        <v>1.0</v>
      </c>
      <c r="K57" s="56">
        <v>2.0</v>
      </c>
      <c r="L57" s="56">
        <v>1.0</v>
      </c>
      <c r="M57" s="56">
        <v>1.0</v>
      </c>
      <c r="N57" s="56">
        <v>2.0</v>
      </c>
      <c r="O57" s="56">
        <v>2.0</v>
      </c>
      <c r="P57" s="56">
        <v>3.0</v>
      </c>
      <c r="Q57" s="56">
        <v>2.0</v>
      </c>
      <c r="R57" s="58">
        <v>15.0</v>
      </c>
      <c r="S57" s="2"/>
      <c r="T57" s="2"/>
      <c r="U57" s="2"/>
      <c r="V57" s="2"/>
      <c r="W57" s="2"/>
      <c r="X57" s="2"/>
      <c r="Y57" s="2"/>
      <c r="Z57" s="2"/>
    </row>
    <row r="58" ht="14.25" customHeight="1">
      <c r="A58" s="11" t="s">
        <v>42</v>
      </c>
      <c r="B58" s="12">
        <v>0.0</v>
      </c>
      <c r="C58" s="12">
        <v>0.0</v>
      </c>
      <c r="D58" s="12">
        <v>0.0</v>
      </c>
      <c r="E58" s="13">
        <v>0.0</v>
      </c>
      <c r="F58" s="12">
        <v>0.0</v>
      </c>
      <c r="G58" s="12">
        <v>0.0</v>
      </c>
      <c r="H58" s="12">
        <v>0.0</v>
      </c>
      <c r="I58" s="12">
        <v>2.0</v>
      </c>
      <c r="J58" s="12">
        <v>2.0</v>
      </c>
      <c r="K58" s="12">
        <v>4.0</v>
      </c>
      <c r="L58" s="12">
        <v>2.0</v>
      </c>
      <c r="M58" s="12">
        <v>2.0</v>
      </c>
      <c r="N58" s="12">
        <v>4.0</v>
      </c>
      <c r="O58" s="12">
        <v>4.0</v>
      </c>
      <c r="P58" s="12">
        <v>6.0</v>
      </c>
      <c r="Q58" s="12">
        <v>4.0</v>
      </c>
      <c r="R58" s="14">
        <v>30.0</v>
      </c>
      <c r="S58" s="2"/>
      <c r="T58" s="2"/>
      <c r="U58" s="2"/>
      <c r="V58" s="2"/>
      <c r="W58" s="2"/>
      <c r="X58" s="2"/>
      <c r="Y58" s="2"/>
      <c r="Z58" s="2"/>
    </row>
    <row r="59" ht="14.25" customHeight="1">
      <c r="A59" s="11" t="s">
        <v>43</v>
      </c>
      <c r="B59" s="12">
        <v>0.0</v>
      </c>
      <c r="C59" s="12">
        <v>0.0</v>
      </c>
      <c r="D59" s="12">
        <v>0.0</v>
      </c>
      <c r="E59" s="13">
        <v>0.0</v>
      </c>
      <c r="F59" s="12">
        <v>0.0</v>
      </c>
      <c r="G59" s="12">
        <v>0.0</v>
      </c>
      <c r="H59" s="12">
        <v>0.0</v>
      </c>
      <c r="I59" s="12">
        <v>25.0</v>
      </c>
      <c r="J59" s="12">
        <v>25.0</v>
      </c>
      <c r="K59" s="12">
        <v>50.0</v>
      </c>
      <c r="L59" s="12">
        <v>25.0</v>
      </c>
      <c r="M59" s="12">
        <v>25.0</v>
      </c>
      <c r="N59" s="12">
        <v>50.0</v>
      </c>
      <c r="O59" s="12">
        <v>50.0</v>
      </c>
      <c r="P59" s="12">
        <v>75.0</v>
      </c>
      <c r="Q59" s="12">
        <v>50.0</v>
      </c>
      <c r="R59" s="14">
        <v>375.0</v>
      </c>
      <c r="S59" s="2"/>
      <c r="T59" s="2"/>
      <c r="U59" s="2"/>
      <c r="V59" s="2"/>
      <c r="W59" s="2"/>
      <c r="X59" s="2"/>
      <c r="Y59" s="2"/>
      <c r="Z59" s="2"/>
    </row>
    <row r="60" ht="14.25" customHeight="1">
      <c r="A60" s="55" t="s">
        <v>45</v>
      </c>
      <c r="B60" s="56">
        <v>0.0</v>
      </c>
      <c r="C60" s="56">
        <v>2.0</v>
      </c>
      <c r="D60" s="56">
        <v>2.0</v>
      </c>
      <c r="E60" s="57">
        <v>0.0</v>
      </c>
      <c r="F60" s="56">
        <v>0.0</v>
      </c>
      <c r="G60" s="56">
        <v>0.0</v>
      </c>
      <c r="H60" s="56">
        <v>0.0</v>
      </c>
      <c r="I60" s="56">
        <v>1.0</v>
      </c>
      <c r="J60" s="56">
        <v>0.0</v>
      </c>
      <c r="K60" s="56">
        <v>0.0</v>
      </c>
      <c r="L60" s="56">
        <v>0.0</v>
      </c>
      <c r="M60" s="56">
        <v>0.0</v>
      </c>
      <c r="N60" s="56">
        <v>0.0</v>
      </c>
      <c r="O60" s="56">
        <v>0.0</v>
      </c>
      <c r="P60" s="56">
        <v>0.0</v>
      </c>
      <c r="Q60" s="56">
        <v>0.0</v>
      </c>
      <c r="R60" s="58">
        <v>1.0</v>
      </c>
      <c r="S60" s="2"/>
      <c r="T60" s="2"/>
      <c r="U60" s="2"/>
      <c r="V60" s="2"/>
      <c r="W60" s="2"/>
      <c r="X60" s="2"/>
      <c r="Y60" s="2"/>
      <c r="Z60" s="2"/>
    </row>
    <row r="61" ht="14.25" customHeight="1">
      <c r="A61" s="11" t="s">
        <v>42</v>
      </c>
      <c r="B61" s="12">
        <v>0.0</v>
      </c>
      <c r="C61" s="12">
        <v>9.0</v>
      </c>
      <c r="D61" s="12">
        <v>9.0</v>
      </c>
      <c r="E61" s="13">
        <v>0.0</v>
      </c>
      <c r="F61" s="12">
        <v>0.0</v>
      </c>
      <c r="G61" s="12">
        <v>0.0</v>
      </c>
      <c r="H61" s="12">
        <v>0.0</v>
      </c>
      <c r="I61" s="12">
        <v>8.0</v>
      </c>
      <c r="J61" s="12">
        <v>0.0</v>
      </c>
      <c r="K61" s="12">
        <v>0.0</v>
      </c>
      <c r="L61" s="12">
        <v>0.0</v>
      </c>
      <c r="M61" s="12">
        <v>0.0</v>
      </c>
      <c r="N61" s="12">
        <v>0.0</v>
      </c>
      <c r="O61" s="12">
        <v>0.0</v>
      </c>
      <c r="P61" s="12">
        <v>0.0</v>
      </c>
      <c r="Q61" s="12">
        <v>0.0</v>
      </c>
      <c r="R61" s="14">
        <v>8.0</v>
      </c>
      <c r="S61" s="2"/>
      <c r="T61" s="2"/>
      <c r="U61" s="2"/>
      <c r="V61" s="2"/>
      <c r="W61" s="2"/>
      <c r="X61" s="2"/>
      <c r="Y61" s="2"/>
      <c r="Z61" s="2"/>
    </row>
    <row r="62" ht="14.25" customHeight="1">
      <c r="A62" s="11" t="s">
        <v>43</v>
      </c>
      <c r="B62" s="12">
        <v>0.0</v>
      </c>
      <c r="C62" s="12">
        <v>35.0</v>
      </c>
      <c r="D62" s="12">
        <v>32.0</v>
      </c>
      <c r="E62" s="13">
        <v>0.0</v>
      </c>
      <c r="F62" s="12">
        <v>0.0</v>
      </c>
      <c r="G62" s="12">
        <v>0.0</v>
      </c>
      <c r="H62" s="12">
        <v>0.0</v>
      </c>
      <c r="I62" s="12">
        <v>25.0</v>
      </c>
      <c r="J62" s="12">
        <v>0.0</v>
      </c>
      <c r="K62" s="12">
        <v>0.0</v>
      </c>
      <c r="L62" s="12">
        <v>0.0</v>
      </c>
      <c r="M62" s="12">
        <v>0.0</v>
      </c>
      <c r="N62" s="12">
        <v>0.0</v>
      </c>
      <c r="O62" s="12">
        <v>0.0</v>
      </c>
      <c r="P62" s="12">
        <v>0.0</v>
      </c>
      <c r="Q62" s="12">
        <v>0.0</v>
      </c>
      <c r="R62" s="14">
        <v>25.0</v>
      </c>
      <c r="S62" s="2"/>
      <c r="T62" s="2"/>
      <c r="U62" s="2"/>
      <c r="V62" s="2"/>
      <c r="W62" s="2"/>
      <c r="X62" s="2"/>
      <c r="Y62" s="2"/>
      <c r="Z62" s="2"/>
    </row>
    <row r="63" ht="14.25" customHeight="1">
      <c r="A63" s="11" t="s">
        <v>46</v>
      </c>
      <c r="B63" s="12">
        <v>0.0</v>
      </c>
      <c r="C63" s="12">
        <v>0.0</v>
      </c>
      <c r="D63" s="12">
        <v>0.0</v>
      </c>
      <c r="E63" s="13">
        <v>0.0</v>
      </c>
      <c r="F63" s="12">
        <v>0.0</v>
      </c>
      <c r="G63" s="12">
        <v>0.0</v>
      </c>
      <c r="H63" s="12">
        <v>0.0</v>
      </c>
      <c r="I63" s="12">
        <v>0.0</v>
      </c>
      <c r="J63" s="12">
        <v>0.0</v>
      </c>
      <c r="K63" s="12">
        <v>0.0</v>
      </c>
      <c r="L63" s="12">
        <v>0.0</v>
      </c>
      <c r="M63" s="12">
        <v>0.0</v>
      </c>
      <c r="N63" s="12">
        <v>0.0</v>
      </c>
      <c r="O63" s="12">
        <v>0.0</v>
      </c>
      <c r="P63" s="12">
        <v>0.0</v>
      </c>
      <c r="Q63" s="12">
        <v>0.0</v>
      </c>
      <c r="R63" s="14">
        <v>0.0</v>
      </c>
      <c r="S63" s="2"/>
      <c r="T63" s="2"/>
      <c r="U63" s="2"/>
      <c r="V63" s="2"/>
      <c r="W63" s="2"/>
      <c r="X63" s="2"/>
      <c r="Y63" s="2"/>
      <c r="Z63" s="2"/>
    </row>
    <row r="64" ht="14.25" customHeight="1">
      <c r="A64" s="22" t="s">
        <v>15</v>
      </c>
      <c r="B64" s="59">
        <v>0.0</v>
      </c>
      <c r="C64" s="59">
        <v>2.0</v>
      </c>
      <c r="D64" s="59">
        <v>2.0</v>
      </c>
      <c r="E64" s="60">
        <v>0.0</v>
      </c>
      <c r="F64" s="59">
        <v>3.0</v>
      </c>
      <c r="G64" s="59">
        <v>2.0</v>
      </c>
      <c r="H64" s="59">
        <v>0.0</v>
      </c>
      <c r="I64" s="59">
        <v>5.0</v>
      </c>
      <c r="J64" s="59">
        <v>4.0</v>
      </c>
      <c r="K64" s="59">
        <v>6.0</v>
      </c>
      <c r="L64" s="59">
        <v>5.0</v>
      </c>
      <c r="M64" s="59">
        <v>6.0</v>
      </c>
      <c r="N64" s="59">
        <v>8.0</v>
      </c>
      <c r="O64" s="59">
        <v>8.0</v>
      </c>
      <c r="P64" s="59">
        <v>10.0</v>
      </c>
      <c r="Q64" s="59">
        <v>10.0</v>
      </c>
      <c r="R64" s="61">
        <v>67.0</v>
      </c>
      <c r="S64" s="2"/>
      <c r="T64" s="2"/>
      <c r="U64" s="2"/>
      <c r="V64" s="2"/>
      <c r="W64" s="2"/>
      <c r="X64" s="2"/>
      <c r="Y64" s="2"/>
      <c r="Z64" s="2"/>
    </row>
    <row r="65" ht="14.25" customHeight="1">
      <c r="A65" s="34" t="s">
        <v>47</v>
      </c>
      <c r="B65" s="62">
        <v>0.0</v>
      </c>
      <c r="C65" s="62">
        <v>0.0</v>
      </c>
      <c r="D65" s="62">
        <v>0.0</v>
      </c>
      <c r="E65" s="63">
        <v>0.0</v>
      </c>
      <c r="F65" s="62">
        <v>1.0</v>
      </c>
      <c r="G65" s="62">
        <v>1.0</v>
      </c>
      <c r="H65" s="62">
        <v>0.0</v>
      </c>
      <c r="I65" s="62">
        <v>0.6</v>
      </c>
      <c r="J65" s="62">
        <v>0.75</v>
      </c>
      <c r="K65" s="62">
        <v>0.6666666666666666</v>
      </c>
      <c r="L65" s="62">
        <v>0.8</v>
      </c>
      <c r="M65" s="62">
        <v>0.8333333333333334</v>
      </c>
      <c r="N65" s="62">
        <v>0.75</v>
      </c>
      <c r="O65" s="62">
        <v>0.75</v>
      </c>
      <c r="P65" s="62">
        <v>0.7</v>
      </c>
      <c r="Q65" s="62">
        <v>0.8</v>
      </c>
      <c r="R65" s="64">
        <v>0.7611940298507462</v>
      </c>
      <c r="S65" s="2"/>
      <c r="T65" s="2"/>
      <c r="U65" s="2"/>
      <c r="V65" s="2"/>
      <c r="W65" s="2"/>
      <c r="X65" s="2"/>
      <c r="Y65" s="2"/>
      <c r="Z65" s="2"/>
    </row>
    <row r="66" ht="14.25" customHeight="1">
      <c r="A66" s="34" t="s">
        <v>48</v>
      </c>
      <c r="B66" s="62">
        <v>0.0</v>
      </c>
      <c r="C66" s="62">
        <v>0.0</v>
      </c>
      <c r="D66" s="62">
        <v>0.0</v>
      </c>
      <c r="E66" s="63">
        <v>0.0</v>
      </c>
      <c r="F66" s="62">
        <v>0.0</v>
      </c>
      <c r="G66" s="62">
        <v>0.0</v>
      </c>
      <c r="H66" s="62">
        <v>0.0</v>
      </c>
      <c r="I66" s="62">
        <v>0.2</v>
      </c>
      <c r="J66" s="62">
        <v>0.25</v>
      </c>
      <c r="K66" s="62">
        <v>0.3333333333333333</v>
      </c>
      <c r="L66" s="62">
        <v>0.2</v>
      </c>
      <c r="M66" s="62">
        <v>0.16666666666666666</v>
      </c>
      <c r="N66" s="62">
        <v>0.25</v>
      </c>
      <c r="O66" s="62">
        <v>0.25</v>
      </c>
      <c r="P66" s="62">
        <v>0.3</v>
      </c>
      <c r="Q66" s="62">
        <v>0.2</v>
      </c>
      <c r="R66" s="64">
        <v>0.22388059701492538</v>
      </c>
      <c r="S66" s="2"/>
      <c r="T66" s="2"/>
      <c r="U66" s="2"/>
      <c r="V66" s="2"/>
      <c r="W66" s="2"/>
      <c r="X66" s="2"/>
      <c r="Y66" s="2"/>
      <c r="Z66" s="2"/>
    </row>
    <row r="67" ht="14.25" customHeight="1">
      <c r="A67" s="4" t="s">
        <v>49</v>
      </c>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A45:R45"/>
    <mergeCell ref="A46:R46"/>
    <mergeCell ref="A47:R47"/>
    <mergeCell ref="A48:R48"/>
    <mergeCell ref="A49:R49"/>
    <mergeCell ref="A50:R50"/>
  </mergeCells>
  <printOptions horizontalCentered="1"/>
  <pageMargins bottom="0.5" footer="0.0" header="0.0" left="0.3888888888888889" right="0.3888888888888889" top="0.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3E5A1"/>
    <pageSetUpPr/>
  </sheetPr>
  <sheetViews>
    <sheetView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47.88"/>
    <col customWidth="1" min="2" max="13" width="9.88" outlineLevel="1"/>
    <col customWidth="1" min="14" max="14" width="12.5"/>
    <col customWidth="1" min="15" max="15" width="11.13"/>
    <col customWidth="1" min="16" max="16" width="5.38"/>
    <col customWidth="1" min="17" max="17" width="5.0"/>
    <col customWidth="1" min="18" max="18" width="13.13"/>
    <col customWidth="1" min="19" max="19" width="12.0"/>
    <col customWidth="1" min="20" max="20" width="11.13"/>
    <col customWidth="1" min="21" max="32" width="9.88" outlineLevel="1"/>
    <col customWidth="1" min="33" max="33" width="12.5"/>
    <col customWidth="1" min="34" max="34" width="11.13"/>
    <col customWidth="1" min="35" max="35" width="6.5"/>
    <col customWidth="1" min="36" max="36" width="11.5"/>
  </cols>
  <sheetData>
    <row r="1" ht="13.5" customHeight="1">
      <c r="A1" s="65" t="s">
        <v>50</v>
      </c>
      <c r="B1" s="11"/>
      <c r="C1" s="11"/>
      <c r="D1" s="11"/>
      <c r="E1" s="11"/>
      <c r="F1" s="11"/>
      <c r="G1" s="11"/>
      <c r="H1" s="11"/>
      <c r="I1" s="11"/>
      <c r="J1" s="11"/>
      <c r="K1" s="11"/>
      <c r="L1" s="11"/>
      <c r="M1" s="11"/>
      <c r="N1" s="11"/>
      <c r="O1" s="11"/>
      <c r="P1" s="11"/>
      <c r="Q1" s="11"/>
      <c r="R1" s="11"/>
      <c r="S1" s="11"/>
      <c r="T1" s="11"/>
      <c r="U1" s="66"/>
      <c r="V1" s="66"/>
      <c r="W1" s="66"/>
      <c r="X1" s="66"/>
      <c r="Y1" s="66"/>
      <c r="Z1" s="66"/>
      <c r="AA1" s="66"/>
      <c r="AB1" s="66"/>
      <c r="AC1" s="66"/>
      <c r="AD1" s="66"/>
      <c r="AE1" s="66"/>
      <c r="AF1" s="66"/>
      <c r="AG1" s="11"/>
      <c r="AH1" s="11"/>
      <c r="AI1" s="11"/>
      <c r="AJ1" s="11"/>
    </row>
    <row r="2" ht="13.5" customHeight="1">
      <c r="A2" s="67" t="s">
        <v>51</v>
      </c>
      <c r="B2" s="11"/>
      <c r="C2" s="11"/>
      <c r="D2" s="11"/>
      <c r="E2" s="11"/>
      <c r="F2" s="11"/>
      <c r="G2" s="11"/>
      <c r="H2" s="11"/>
      <c r="I2" s="11"/>
      <c r="J2" s="11"/>
      <c r="K2" s="11"/>
      <c r="L2" s="11"/>
      <c r="M2" s="11"/>
      <c r="N2" s="11"/>
      <c r="O2" s="11"/>
      <c r="P2" s="11"/>
      <c r="Q2" s="11"/>
      <c r="R2" s="11"/>
      <c r="S2" s="11"/>
      <c r="T2" s="11"/>
      <c r="U2" s="66"/>
      <c r="V2" s="66"/>
      <c r="W2" s="66"/>
      <c r="X2" s="66"/>
      <c r="Y2" s="66"/>
      <c r="Z2" s="66"/>
      <c r="AA2" s="66"/>
      <c r="AB2" s="66"/>
      <c r="AC2" s="66"/>
      <c r="AD2" s="66"/>
      <c r="AE2" s="66"/>
      <c r="AF2" s="66"/>
      <c r="AG2" s="11"/>
      <c r="AH2" s="11"/>
      <c r="AI2" s="11"/>
      <c r="AJ2" s="11"/>
    </row>
    <row r="3" ht="13.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row>
    <row r="4" ht="13.5" customHeight="1">
      <c r="A4" s="2"/>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ht="13.5" customHeight="1">
      <c r="A5" s="11"/>
      <c r="B5" s="11"/>
      <c r="C5" s="11"/>
      <c r="D5" s="11"/>
      <c r="E5" s="11"/>
      <c r="F5" s="11"/>
      <c r="G5" s="11"/>
      <c r="H5" s="11"/>
      <c r="I5" s="11"/>
      <c r="J5" s="11"/>
      <c r="K5" s="11"/>
      <c r="L5" s="11"/>
      <c r="M5" s="11"/>
      <c r="N5" s="11"/>
      <c r="O5" s="11"/>
      <c r="P5" s="11"/>
      <c r="Q5" s="11"/>
      <c r="R5" s="11"/>
      <c r="S5" s="11"/>
      <c r="T5" s="11"/>
      <c r="U5" s="68"/>
      <c r="V5" s="68"/>
      <c r="W5" s="68"/>
      <c r="X5" s="68"/>
      <c r="Y5" s="68"/>
      <c r="Z5" s="68"/>
      <c r="AA5" s="68"/>
      <c r="AB5" s="68"/>
      <c r="AC5" s="68"/>
      <c r="AD5" s="68"/>
      <c r="AE5" s="68"/>
      <c r="AF5" s="68"/>
      <c r="AG5" s="11"/>
      <c r="AH5" s="11"/>
      <c r="AI5" s="11"/>
      <c r="AJ5" s="11"/>
    </row>
    <row r="6" ht="13.5"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ht="13.5" customHeight="1">
      <c r="A7" s="69"/>
      <c r="B7" s="70" t="s">
        <v>52</v>
      </c>
      <c r="C7" s="70" t="s">
        <v>52</v>
      </c>
      <c r="D7" s="70" t="s">
        <v>52</v>
      </c>
      <c r="E7" s="70" t="s">
        <v>52</v>
      </c>
      <c r="F7" s="70" t="s">
        <v>52</v>
      </c>
      <c r="G7" s="70" t="s">
        <v>52</v>
      </c>
      <c r="H7" s="70" t="s">
        <v>52</v>
      </c>
      <c r="I7" s="70" t="s">
        <v>52</v>
      </c>
      <c r="J7" s="71" t="s">
        <v>53</v>
      </c>
      <c r="K7" s="71" t="s">
        <v>53</v>
      </c>
      <c r="L7" s="71" t="s">
        <v>53</v>
      </c>
      <c r="M7" s="71" t="s">
        <v>53</v>
      </c>
      <c r="N7" s="71" t="s">
        <v>53</v>
      </c>
      <c r="O7" s="71" t="s">
        <v>53</v>
      </c>
      <c r="P7" s="11"/>
      <c r="Q7" s="11"/>
      <c r="R7" s="72"/>
      <c r="S7" s="73" t="s">
        <v>54</v>
      </c>
      <c r="T7" s="73" t="s">
        <v>55</v>
      </c>
      <c r="U7" s="74" t="s">
        <v>56</v>
      </c>
      <c r="V7" s="74" t="s">
        <v>56</v>
      </c>
      <c r="W7" s="74" t="s">
        <v>56</v>
      </c>
      <c r="X7" s="74" t="s">
        <v>56</v>
      </c>
      <c r="Y7" s="74" t="s">
        <v>56</v>
      </c>
      <c r="Z7" s="74" t="s">
        <v>56</v>
      </c>
      <c r="AA7" s="74" t="s">
        <v>56</v>
      </c>
      <c r="AB7" s="74" t="s">
        <v>56</v>
      </c>
      <c r="AC7" s="74" t="s">
        <v>56</v>
      </c>
      <c r="AD7" s="74" t="s">
        <v>56</v>
      </c>
      <c r="AE7" s="74" t="s">
        <v>56</v>
      </c>
      <c r="AF7" s="74" t="s">
        <v>56</v>
      </c>
      <c r="AG7" s="74" t="s">
        <v>56</v>
      </c>
      <c r="AH7" s="74" t="s">
        <v>56</v>
      </c>
      <c r="AI7" s="11"/>
      <c r="AJ7" s="75" t="s">
        <v>55</v>
      </c>
    </row>
    <row r="8" ht="13.5" customHeight="1">
      <c r="A8" s="69" t="s">
        <v>57</v>
      </c>
      <c r="B8" s="76" t="s">
        <v>58</v>
      </c>
      <c r="C8" s="76" t="s">
        <v>59</v>
      </c>
      <c r="D8" s="76" t="s">
        <v>60</v>
      </c>
      <c r="E8" s="76" t="s">
        <v>61</v>
      </c>
      <c r="F8" s="76" t="s">
        <v>62</v>
      </c>
      <c r="G8" s="76" t="s">
        <v>63</v>
      </c>
      <c r="H8" s="76" t="s">
        <v>64</v>
      </c>
      <c r="I8" s="76" t="s">
        <v>65</v>
      </c>
      <c r="J8" s="76" t="s">
        <v>66</v>
      </c>
      <c r="K8" s="76" t="s">
        <v>67</v>
      </c>
      <c r="L8" s="76" t="s">
        <v>68</v>
      </c>
      <c r="M8" s="76" t="s">
        <v>69</v>
      </c>
      <c r="N8" s="70">
        <v>2026.0</v>
      </c>
      <c r="O8" s="70" t="s">
        <v>70</v>
      </c>
      <c r="P8" s="11"/>
      <c r="Q8" s="11"/>
      <c r="R8" s="72" t="s">
        <v>71</v>
      </c>
      <c r="S8" s="73" t="s">
        <v>72</v>
      </c>
      <c r="T8" s="73" t="s">
        <v>73</v>
      </c>
      <c r="U8" s="77" t="s">
        <v>58</v>
      </c>
      <c r="V8" s="77" t="s">
        <v>59</v>
      </c>
      <c r="W8" s="77" t="s">
        <v>60</v>
      </c>
      <c r="X8" s="77" t="s">
        <v>61</v>
      </c>
      <c r="Y8" s="77" t="s">
        <v>62</v>
      </c>
      <c r="Z8" s="77" t="s">
        <v>63</v>
      </c>
      <c r="AA8" s="77" t="s">
        <v>64</v>
      </c>
      <c r="AB8" s="77" t="s">
        <v>65</v>
      </c>
      <c r="AC8" s="77" t="s">
        <v>66</v>
      </c>
      <c r="AD8" s="77" t="s">
        <v>67</v>
      </c>
      <c r="AE8" s="77" t="s">
        <v>68</v>
      </c>
      <c r="AF8" s="77" t="s">
        <v>69</v>
      </c>
      <c r="AG8" s="78" t="s">
        <v>74</v>
      </c>
      <c r="AH8" s="74" t="s">
        <v>70</v>
      </c>
      <c r="AI8" s="11"/>
      <c r="AJ8" s="79" t="s">
        <v>75</v>
      </c>
    </row>
    <row r="9" ht="13.5" customHeight="1">
      <c r="A9" s="80" t="s">
        <v>76</v>
      </c>
      <c r="B9" s="81"/>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11"/>
      <c r="AI9" s="11"/>
      <c r="AJ9" s="11"/>
    </row>
    <row r="10" ht="13.5" customHeight="1">
      <c r="A10" s="82" t="s">
        <v>77</v>
      </c>
      <c r="B10" s="81"/>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11"/>
      <c r="AI10" s="11"/>
      <c r="AJ10" s="11"/>
    </row>
    <row r="11" ht="13.5" customHeight="1">
      <c r="A11" s="82" t="s">
        <v>78</v>
      </c>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11"/>
      <c r="AI11" s="11"/>
      <c r="AJ11" s="11"/>
    </row>
    <row r="12" ht="13.5" customHeight="1">
      <c r="A12" s="83" t="s">
        <v>79</v>
      </c>
      <c r="B12" s="81">
        <v>0.0</v>
      </c>
      <c r="C12" s="81">
        <v>0.0</v>
      </c>
      <c r="D12" s="81">
        <v>0.0</v>
      </c>
      <c r="E12" s="81">
        <v>0.0</v>
      </c>
      <c r="F12" s="81">
        <v>0.0</v>
      </c>
      <c r="G12" s="81">
        <v>0.0</v>
      </c>
      <c r="H12" s="81">
        <v>0.0</v>
      </c>
      <c r="I12" s="81">
        <v>0.0</v>
      </c>
      <c r="J12" s="84"/>
      <c r="K12" s="84"/>
      <c r="L12" s="84"/>
      <c r="M12" s="84"/>
      <c r="N12" s="81">
        <f t="shared" ref="N12:N16" si="2">SUM(B12:M12)</f>
        <v>0</v>
      </c>
      <c r="O12" s="85" t="str">
        <f t="shared" ref="O12:O13" si="3">IFERROR(N12/N$16,"")</f>
        <v/>
      </c>
      <c r="P12" s="81"/>
      <c r="Q12" s="81"/>
      <c r="R12" s="86" t="s">
        <v>80</v>
      </c>
      <c r="S12" s="87"/>
      <c r="T12" s="88">
        <v>0.05</v>
      </c>
      <c r="U12" s="84">
        <f t="shared" ref="U12:AF12" si="1">IF($R12="Manual","",IFERROR(IF($R12="YOY Growth",$N12*(1+$T12)/12,$S12/12),""))</f>
        <v>0</v>
      </c>
      <c r="V12" s="84">
        <f t="shared" si="1"/>
        <v>0</v>
      </c>
      <c r="W12" s="84">
        <f t="shared" si="1"/>
        <v>0</v>
      </c>
      <c r="X12" s="84">
        <f t="shared" si="1"/>
        <v>0</v>
      </c>
      <c r="Y12" s="84">
        <f t="shared" si="1"/>
        <v>0</v>
      </c>
      <c r="Z12" s="84">
        <f t="shared" si="1"/>
        <v>0</v>
      </c>
      <c r="AA12" s="84">
        <f t="shared" si="1"/>
        <v>0</v>
      </c>
      <c r="AB12" s="84">
        <f t="shared" si="1"/>
        <v>0</v>
      </c>
      <c r="AC12" s="84">
        <f t="shared" si="1"/>
        <v>0</v>
      </c>
      <c r="AD12" s="84">
        <f t="shared" si="1"/>
        <v>0</v>
      </c>
      <c r="AE12" s="84">
        <f t="shared" si="1"/>
        <v>0</v>
      </c>
      <c r="AF12" s="84">
        <f t="shared" si="1"/>
        <v>0</v>
      </c>
      <c r="AG12" s="81">
        <f t="shared" ref="AG12:AG16" si="5">SUM(U12:AF12)</f>
        <v>0</v>
      </c>
      <c r="AH12" s="85" t="str">
        <f t="shared" ref="AH12:AH13" si="6">IFERROR(AG12/AG$16,"")</f>
        <v/>
      </c>
      <c r="AI12" s="11"/>
      <c r="AJ12" s="81">
        <f t="shared" ref="AJ12:AJ16" si="7">AG12-N12</f>
        <v>0</v>
      </c>
    </row>
    <row r="13" ht="13.5" customHeight="1">
      <c r="A13" s="83" t="s">
        <v>81</v>
      </c>
      <c r="B13" s="81">
        <v>0.0</v>
      </c>
      <c r="C13" s="81">
        <v>0.0</v>
      </c>
      <c r="D13" s="81">
        <v>0.0</v>
      </c>
      <c r="E13" s="81">
        <v>0.0</v>
      </c>
      <c r="F13" s="81">
        <v>0.0</v>
      </c>
      <c r="G13" s="81">
        <v>0.0</v>
      </c>
      <c r="H13" s="81">
        <v>0.0</v>
      </c>
      <c r="I13" s="81">
        <v>0.0</v>
      </c>
      <c r="J13" s="84"/>
      <c r="K13" s="84"/>
      <c r="L13" s="84"/>
      <c r="M13" s="84"/>
      <c r="N13" s="81">
        <f t="shared" si="2"/>
        <v>0</v>
      </c>
      <c r="O13" s="85" t="str">
        <f t="shared" si="3"/>
        <v/>
      </c>
      <c r="P13" s="81"/>
      <c r="Q13" s="81"/>
      <c r="R13" s="86" t="s">
        <v>80</v>
      </c>
      <c r="S13" s="87">
        <v>0.0</v>
      </c>
      <c r="T13" s="88">
        <v>0.05</v>
      </c>
      <c r="U13" s="84">
        <f t="shared" ref="U13:AF13" si="4">IF($R13="Manual","",IFERROR(IF($R13="YOY Growth",$N13*(1+$T13)/12,$S13/12),""))</f>
        <v>0</v>
      </c>
      <c r="V13" s="84">
        <f t="shared" si="4"/>
        <v>0</v>
      </c>
      <c r="W13" s="84">
        <f t="shared" si="4"/>
        <v>0</v>
      </c>
      <c r="X13" s="84">
        <f t="shared" si="4"/>
        <v>0</v>
      </c>
      <c r="Y13" s="84">
        <f t="shared" si="4"/>
        <v>0</v>
      </c>
      <c r="Z13" s="84">
        <f t="shared" si="4"/>
        <v>0</v>
      </c>
      <c r="AA13" s="84">
        <f t="shared" si="4"/>
        <v>0</v>
      </c>
      <c r="AB13" s="84">
        <f t="shared" si="4"/>
        <v>0</v>
      </c>
      <c r="AC13" s="84">
        <f t="shared" si="4"/>
        <v>0</v>
      </c>
      <c r="AD13" s="84">
        <f t="shared" si="4"/>
        <v>0</v>
      </c>
      <c r="AE13" s="84">
        <f t="shared" si="4"/>
        <v>0</v>
      </c>
      <c r="AF13" s="84">
        <f t="shared" si="4"/>
        <v>0</v>
      </c>
      <c r="AG13" s="81">
        <f t="shared" si="5"/>
        <v>0</v>
      </c>
      <c r="AH13" s="85" t="str">
        <f t="shared" si="6"/>
        <v/>
      </c>
      <c r="AI13" s="11"/>
      <c r="AJ13" s="81">
        <f t="shared" si="7"/>
        <v>0</v>
      </c>
    </row>
    <row r="14" ht="13.5" customHeight="1">
      <c r="A14" s="89" t="s">
        <v>82</v>
      </c>
      <c r="B14" s="90">
        <f t="shared" ref="B14:M14" si="8">SUM(B12:B13)</f>
        <v>0</v>
      </c>
      <c r="C14" s="90">
        <f t="shared" si="8"/>
        <v>0</v>
      </c>
      <c r="D14" s="90">
        <f t="shared" si="8"/>
        <v>0</v>
      </c>
      <c r="E14" s="90">
        <f t="shared" si="8"/>
        <v>0</v>
      </c>
      <c r="F14" s="90">
        <f t="shared" si="8"/>
        <v>0</v>
      </c>
      <c r="G14" s="90">
        <f t="shared" si="8"/>
        <v>0</v>
      </c>
      <c r="H14" s="90">
        <f t="shared" si="8"/>
        <v>0</v>
      </c>
      <c r="I14" s="90">
        <f t="shared" si="8"/>
        <v>0</v>
      </c>
      <c r="J14" s="90">
        <f t="shared" si="8"/>
        <v>0</v>
      </c>
      <c r="K14" s="90">
        <f t="shared" si="8"/>
        <v>0</v>
      </c>
      <c r="L14" s="90">
        <f t="shared" si="8"/>
        <v>0</v>
      </c>
      <c r="M14" s="90">
        <f t="shared" si="8"/>
        <v>0</v>
      </c>
      <c r="N14" s="90">
        <f t="shared" si="2"/>
        <v>0</v>
      </c>
      <c r="O14" s="91">
        <f>SUM(O12:O13)</f>
        <v>0</v>
      </c>
      <c r="P14" s="81"/>
      <c r="Q14" s="81"/>
      <c r="R14" s="92"/>
      <c r="S14" s="92"/>
      <c r="T14" s="92"/>
      <c r="U14" s="90">
        <f t="shared" ref="U14:AF14" si="9">SUM(U12:U13)</f>
        <v>0</v>
      </c>
      <c r="V14" s="90">
        <f t="shared" si="9"/>
        <v>0</v>
      </c>
      <c r="W14" s="90">
        <f t="shared" si="9"/>
        <v>0</v>
      </c>
      <c r="X14" s="90">
        <f t="shared" si="9"/>
        <v>0</v>
      </c>
      <c r="Y14" s="90">
        <f t="shared" si="9"/>
        <v>0</v>
      </c>
      <c r="Z14" s="90">
        <f t="shared" si="9"/>
        <v>0</v>
      </c>
      <c r="AA14" s="90">
        <f t="shared" si="9"/>
        <v>0</v>
      </c>
      <c r="AB14" s="90">
        <f t="shared" si="9"/>
        <v>0</v>
      </c>
      <c r="AC14" s="90">
        <f t="shared" si="9"/>
        <v>0</v>
      </c>
      <c r="AD14" s="90">
        <f t="shared" si="9"/>
        <v>0</v>
      </c>
      <c r="AE14" s="90">
        <f t="shared" si="9"/>
        <v>0</v>
      </c>
      <c r="AF14" s="90">
        <f t="shared" si="9"/>
        <v>0</v>
      </c>
      <c r="AG14" s="90">
        <f t="shared" si="5"/>
        <v>0</v>
      </c>
      <c r="AH14" s="91">
        <f>SUM(AH12:AH13)</f>
        <v>0</v>
      </c>
      <c r="AI14" s="11"/>
      <c r="AJ14" s="90">
        <f t="shared" si="7"/>
        <v>0</v>
      </c>
    </row>
    <row r="15" ht="13.5" customHeight="1">
      <c r="A15" s="83" t="s">
        <v>83</v>
      </c>
      <c r="B15" s="81">
        <v>0.0</v>
      </c>
      <c r="C15" s="81">
        <v>0.0</v>
      </c>
      <c r="D15" s="81">
        <v>0.0</v>
      </c>
      <c r="E15" s="81">
        <v>0.0</v>
      </c>
      <c r="F15" s="81">
        <v>0.0</v>
      </c>
      <c r="G15" s="81">
        <v>0.0</v>
      </c>
      <c r="H15" s="81">
        <v>0.0</v>
      </c>
      <c r="I15" s="81">
        <v>0.0</v>
      </c>
      <c r="J15" s="84"/>
      <c r="K15" s="84"/>
      <c r="L15" s="84"/>
      <c r="M15" s="84"/>
      <c r="N15" s="81">
        <f t="shared" si="2"/>
        <v>0</v>
      </c>
      <c r="O15" s="85" t="str">
        <f>IFERROR(N15/N$16,"")</f>
        <v/>
      </c>
      <c r="P15" s="81"/>
      <c r="Q15" s="81"/>
      <c r="R15" s="86" t="s">
        <v>80</v>
      </c>
      <c r="S15" s="87">
        <v>0.0</v>
      </c>
      <c r="T15" s="88">
        <v>0.05</v>
      </c>
      <c r="U15" s="84">
        <f t="shared" ref="U15:AF15" si="10">IF($R15="Manual","",IFERROR(IF($R15="YOY Growth",$N15*(1+$T15)/12,$S15/12),""))</f>
        <v>0</v>
      </c>
      <c r="V15" s="84">
        <f t="shared" si="10"/>
        <v>0</v>
      </c>
      <c r="W15" s="84">
        <f t="shared" si="10"/>
        <v>0</v>
      </c>
      <c r="X15" s="84">
        <f t="shared" si="10"/>
        <v>0</v>
      </c>
      <c r="Y15" s="84">
        <f t="shared" si="10"/>
        <v>0</v>
      </c>
      <c r="Z15" s="84">
        <f t="shared" si="10"/>
        <v>0</v>
      </c>
      <c r="AA15" s="84">
        <f t="shared" si="10"/>
        <v>0</v>
      </c>
      <c r="AB15" s="84">
        <f t="shared" si="10"/>
        <v>0</v>
      </c>
      <c r="AC15" s="84">
        <f t="shared" si="10"/>
        <v>0</v>
      </c>
      <c r="AD15" s="84">
        <f t="shared" si="10"/>
        <v>0</v>
      </c>
      <c r="AE15" s="84">
        <f t="shared" si="10"/>
        <v>0</v>
      </c>
      <c r="AF15" s="84">
        <f t="shared" si="10"/>
        <v>0</v>
      </c>
      <c r="AG15" s="81">
        <f t="shared" si="5"/>
        <v>0</v>
      </c>
      <c r="AH15" s="85" t="str">
        <f>IFERROR(AG15/AG$16,"")</f>
        <v/>
      </c>
      <c r="AI15" s="11"/>
      <c r="AJ15" s="81">
        <f t="shared" si="7"/>
        <v>0</v>
      </c>
    </row>
    <row r="16" ht="13.5" customHeight="1">
      <c r="A16" s="89" t="s">
        <v>84</v>
      </c>
      <c r="B16" s="90">
        <f t="shared" ref="B16:M16" si="11">B14+B15</f>
        <v>0</v>
      </c>
      <c r="C16" s="90">
        <f t="shared" si="11"/>
        <v>0</v>
      </c>
      <c r="D16" s="90">
        <f t="shared" si="11"/>
        <v>0</v>
      </c>
      <c r="E16" s="90">
        <f t="shared" si="11"/>
        <v>0</v>
      </c>
      <c r="F16" s="90">
        <f t="shared" si="11"/>
        <v>0</v>
      </c>
      <c r="G16" s="90">
        <f t="shared" si="11"/>
        <v>0</v>
      </c>
      <c r="H16" s="90">
        <f t="shared" si="11"/>
        <v>0</v>
      </c>
      <c r="I16" s="90">
        <f t="shared" si="11"/>
        <v>0</v>
      </c>
      <c r="J16" s="90">
        <f t="shared" si="11"/>
        <v>0</v>
      </c>
      <c r="K16" s="90">
        <f t="shared" si="11"/>
        <v>0</v>
      </c>
      <c r="L16" s="90">
        <f t="shared" si="11"/>
        <v>0</v>
      </c>
      <c r="M16" s="90">
        <f t="shared" si="11"/>
        <v>0</v>
      </c>
      <c r="N16" s="90">
        <f t="shared" si="2"/>
        <v>0</v>
      </c>
      <c r="O16" s="91">
        <f>SUM(O14:O15)</f>
        <v>0</v>
      </c>
      <c r="P16" s="81"/>
      <c r="Q16" s="81"/>
      <c r="R16" s="92"/>
      <c r="S16" s="92"/>
      <c r="T16" s="92"/>
      <c r="U16" s="90">
        <f t="shared" ref="U16:AF16" si="12">U14+U15</f>
        <v>0</v>
      </c>
      <c r="V16" s="90">
        <f t="shared" si="12"/>
        <v>0</v>
      </c>
      <c r="W16" s="90">
        <f t="shared" si="12"/>
        <v>0</v>
      </c>
      <c r="X16" s="90">
        <f t="shared" si="12"/>
        <v>0</v>
      </c>
      <c r="Y16" s="90">
        <f t="shared" si="12"/>
        <v>0</v>
      </c>
      <c r="Z16" s="90">
        <f t="shared" si="12"/>
        <v>0</v>
      </c>
      <c r="AA16" s="90">
        <f t="shared" si="12"/>
        <v>0</v>
      </c>
      <c r="AB16" s="90">
        <f t="shared" si="12"/>
        <v>0</v>
      </c>
      <c r="AC16" s="90">
        <f t="shared" si="12"/>
        <v>0</v>
      </c>
      <c r="AD16" s="90">
        <f t="shared" si="12"/>
        <v>0</v>
      </c>
      <c r="AE16" s="90">
        <f t="shared" si="12"/>
        <v>0</v>
      </c>
      <c r="AF16" s="90">
        <f t="shared" si="12"/>
        <v>0</v>
      </c>
      <c r="AG16" s="90">
        <f t="shared" si="5"/>
        <v>0</v>
      </c>
      <c r="AH16" s="91">
        <f>SUM(AH14:AH15)</f>
        <v>0</v>
      </c>
      <c r="AI16" s="11"/>
      <c r="AJ16" s="90">
        <f t="shared" si="7"/>
        <v>0</v>
      </c>
    </row>
    <row r="17" ht="13.5" customHeight="1">
      <c r="A17" s="82" t="s">
        <v>85</v>
      </c>
      <c r="B17" s="81"/>
      <c r="C17" s="81"/>
      <c r="D17" s="81"/>
      <c r="E17" s="81"/>
      <c r="F17" s="81"/>
      <c r="G17" s="81"/>
      <c r="H17" s="81"/>
      <c r="I17" s="81"/>
      <c r="J17" s="81"/>
      <c r="K17" s="81"/>
      <c r="L17" s="81"/>
      <c r="M17" s="81"/>
      <c r="N17" s="81"/>
      <c r="O17" s="85"/>
      <c r="P17" s="81"/>
      <c r="Q17" s="81"/>
      <c r="R17" s="92"/>
      <c r="S17" s="92"/>
      <c r="T17" s="92"/>
      <c r="U17" s="81"/>
      <c r="V17" s="81"/>
      <c r="W17" s="81"/>
      <c r="X17" s="81"/>
      <c r="Y17" s="81"/>
      <c r="Z17" s="81"/>
      <c r="AA17" s="81"/>
      <c r="AB17" s="81"/>
      <c r="AC17" s="81"/>
      <c r="AD17" s="81"/>
      <c r="AE17" s="81"/>
      <c r="AF17" s="81"/>
      <c r="AG17" s="81"/>
      <c r="AH17" s="85"/>
      <c r="AI17" s="11"/>
      <c r="AJ17" s="81"/>
    </row>
    <row r="18" ht="13.5" customHeight="1">
      <c r="A18" s="82" t="s">
        <v>86</v>
      </c>
      <c r="B18" s="81"/>
      <c r="C18" s="81"/>
      <c r="D18" s="81"/>
      <c r="E18" s="81"/>
      <c r="F18" s="81"/>
      <c r="G18" s="81"/>
      <c r="H18" s="81"/>
      <c r="I18" s="81"/>
      <c r="J18" s="81"/>
      <c r="K18" s="81"/>
      <c r="L18" s="81"/>
      <c r="M18" s="81"/>
      <c r="N18" s="81"/>
      <c r="O18" s="85"/>
      <c r="P18" s="81"/>
      <c r="Q18" s="81"/>
      <c r="R18" s="92"/>
      <c r="S18" s="92"/>
      <c r="T18" s="92"/>
      <c r="U18" s="81"/>
      <c r="V18" s="81"/>
      <c r="W18" s="81"/>
      <c r="X18" s="81"/>
      <c r="Y18" s="81"/>
      <c r="Z18" s="81"/>
      <c r="AA18" s="81"/>
      <c r="AB18" s="81"/>
      <c r="AC18" s="81"/>
      <c r="AD18" s="81"/>
      <c r="AE18" s="81"/>
      <c r="AF18" s="81"/>
      <c r="AG18" s="81"/>
      <c r="AH18" s="85"/>
      <c r="AI18" s="11"/>
      <c r="AJ18" s="81"/>
    </row>
    <row r="19" ht="13.5" customHeight="1">
      <c r="A19" s="83" t="s">
        <v>87</v>
      </c>
      <c r="B19" s="81">
        <v>0.0</v>
      </c>
      <c r="C19" s="81">
        <v>0.0</v>
      </c>
      <c r="D19" s="81">
        <v>0.0</v>
      </c>
      <c r="E19" s="81">
        <v>0.0</v>
      </c>
      <c r="F19" s="81">
        <v>0.0</v>
      </c>
      <c r="G19" s="81">
        <v>0.0</v>
      </c>
      <c r="H19" s="81">
        <v>0.0</v>
      </c>
      <c r="I19" s="81">
        <v>0.0</v>
      </c>
      <c r="J19" s="84"/>
      <c r="K19" s="84"/>
      <c r="L19" s="84"/>
      <c r="M19" s="84"/>
      <c r="N19" s="81">
        <f t="shared" ref="N19:N22" si="14">SUM(B19:M19)</f>
        <v>0</v>
      </c>
      <c r="O19" s="85" t="str">
        <f t="shared" ref="O19:O22" si="15">IFERROR(N19/N$16,"")</f>
        <v/>
      </c>
      <c r="P19" s="81"/>
      <c r="Q19" s="81"/>
      <c r="R19" s="86" t="s">
        <v>80</v>
      </c>
      <c r="S19" s="87">
        <v>0.0</v>
      </c>
      <c r="T19" s="88">
        <v>0.05</v>
      </c>
      <c r="U19" s="84">
        <f t="shared" ref="U19:AF19" si="13">IF($R19="Manual","",IFERROR(IF($R19="YOY Growth",$N19*(1+$T19)/12,$S19/12),""))</f>
        <v>0</v>
      </c>
      <c r="V19" s="84">
        <f t="shared" si="13"/>
        <v>0</v>
      </c>
      <c r="W19" s="84">
        <f t="shared" si="13"/>
        <v>0</v>
      </c>
      <c r="X19" s="84">
        <f t="shared" si="13"/>
        <v>0</v>
      </c>
      <c r="Y19" s="84">
        <f t="shared" si="13"/>
        <v>0</v>
      </c>
      <c r="Z19" s="84">
        <f t="shared" si="13"/>
        <v>0</v>
      </c>
      <c r="AA19" s="84">
        <f t="shared" si="13"/>
        <v>0</v>
      </c>
      <c r="AB19" s="84">
        <f t="shared" si="13"/>
        <v>0</v>
      </c>
      <c r="AC19" s="84">
        <f t="shared" si="13"/>
        <v>0</v>
      </c>
      <c r="AD19" s="84">
        <f t="shared" si="13"/>
        <v>0</v>
      </c>
      <c r="AE19" s="84">
        <f t="shared" si="13"/>
        <v>0</v>
      </c>
      <c r="AF19" s="84">
        <f t="shared" si="13"/>
        <v>0</v>
      </c>
      <c r="AG19" s="81">
        <f t="shared" ref="AG19:AG22" si="17">SUM(U19:AF19)</f>
        <v>0</v>
      </c>
      <c r="AH19" s="85" t="str">
        <f t="shared" ref="AH19:AH22" si="18">IFERROR(AG19/AG$16,"")</f>
        <v/>
      </c>
      <c r="AI19" s="11"/>
      <c r="AJ19" s="81">
        <f t="shared" ref="AJ19:AJ22" si="19">N19-AG19</f>
        <v>0</v>
      </c>
    </row>
    <row r="20" ht="13.5" customHeight="1">
      <c r="A20" s="83" t="s">
        <v>88</v>
      </c>
      <c r="B20" s="81">
        <v>0.0</v>
      </c>
      <c r="C20" s="81">
        <v>0.0</v>
      </c>
      <c r="D20" s="81">
        <v>0.0</v>
      </c>
      <c r="E20" s="81">
        <v>0.0</v>
      </c>
      <c r="F20" s="81">
        <v>0.0</v>
      </c>
      <c r="G20" s="81">
        <v>0.0</v>
      </c>
      <c r="H20" s="81">
        <v>0.0</v>
      </c>
      <c r="I20" s="81">
        <v>0.0</v>
      </c>
      <c r="J20" s="84"/>
      <c r="K20" s="84"/>
      <c r="L20" s="84"/>
      <c r="M20" s="84"/>
      <c r="N20" s="81">
        <f t="shared" si="14"/>
        <v>0</v>
      </c>
      <c r="O20" s="85" t="str">
        <f t="shared" si="15"/>
        <v/>
      </c>
      <c r="P20" s="81"/>
      <c r="Q20" s="81"/>
      <c r="R20" s="86" t="s">
        <v>80</v>
      </c>
      <c r="S20" s="87">
        <v>0.0</v>
      </c>
      <c r="T20" s="88">
        <v>0.05</v>
      </c>
      <c r="U20" s="84">
        <f t="shared" ref="U20:AF20" si="16">IF($R20="Manual","",IFERROR(IF($R20="YOY Growth",$N20*(1+$T20)/12,$S20/12),""))</f>
        <v>0</v>
      </c>
      <c r="V20" s="84">
        <f t="shared" si="16"/>
        <v>0</v>
      </c>
      <c r="W20" s="84">
        <f t="shared" si="16"/>
        <v>0</v>
      </c>
      <c r="X20" s="84">
        <f t="shared" si="16"/>
        <v>0</v>
      </c>
      <c r="Y20" s="84">
        <f t="shared" si="16"/>
        <v>0</v>
      </c>
      <c r="Z20" s="84">
        <f t="shared" si="16"/>
        <v>0</v>
      </c>
      <c r="AA20" s="84">
        <f t="shared" si="16"/>
        <v>0</v>
      </c>
      <c r="AB20" s="84">
        <f t="shared" si="16"/>
        <v>0</v>
      </c>
      <c r="AC20" s="84">
        <f t="shared" si="16"/>
        <v>0</v>
      </c>
      <c r="AD20" s="84">
        <f t="shared" si="16"/>
        <v>0</v>
      </c>
      <c r="AE20" s="84">
        <f t="shared" si="16"/>
        <v>0</v>
      </c>
      <c r="AF20" s="84">
        <f t="shared" si="16"/>
        <v>0</v>
      </c>
      <c r="AG20" s="81">
        <f t="shared" si="17"/>
        <v>0</v>
      </c>
      <c r="AH20" s="85" t="str">
        <f t="shared" si="18"/>
        <v/>
      </c>
      <c r="AI20" s="11"/>
      <c r="AJ20" s="81">
        <f t="shared" si="19"/>
        <v>0</v>
      </c>
    </row>
    <row r="21" ht="13.5" customHeight="1">
      <c r="A21" s="83" t="s">
        <v>89</v>
      </c>
      <c r="B21" s="81">
        <v>0.0</v>
      </c>
      <c r="C21" s="81">
        <v>0.0</v>
      </c>
      <c r="D21" s="81">
        <v>0.0</v>
      </c>
      <c r="E21" s="81">
        <v>0.0</v>
      </c>
      <c r="F21" s="81">
        <v>0.0</v>
      </c>
      <c r="G21" s="81">
        <v>0.0</v>
      </c>
      <c r="H21" s="81">
        <v>0.0</v>
      </c>
      <c r="I21" s="81">
        <v>0.0</v>
      </c>
      <c r="J21" s="84"/>
      <c r="K21" s="84"/>
      <c r="L21" s="84"/>
      <c r="M21" s="84"/>
      <c r="N21" s="81">
        <f t="shared" si="14"/>
        <v>0</v>
      </c>
      <c r="O21" s="85" t="str">
        <f t="shared" si="15"/>
        <v/>
      </c>
      <c r="P21" s="81"/>
      <c r="Q21" s="81"/>
      <c r="R21" s="86" t="s">
        <v>80</v>
      </c>
      <c r="S21" s="87">
        <v>0.0</v>
      </c>
      <c r="T21" s="88">
        <v>0.05</v>
      </c>
      <c r="U21" s="84">
        <f t="shared" ref="U21:AF21" si="20">IF($R21="Manual","",IFERROR(IF($R21="YOY Growth",$N21*(1+$T21)/12,$S21/12),""))</f>
        <v>0</v>
      </c>
      <c r="V21" s="84">
        <f t="shared" si="20"/>
        <v>0</v>
      </c>
      <c r="W21" s="84">
        <f t="shared" si="20"/>
        <v>0</v>
      </c>
      <c r="X21" s="84">
        <f t="shared" si="20"/>
        <v>0</v>
      </c>
      <c r="Y21" s="84">
        <f t="shared" si="20"/>
        <v>0</v>
      </c>
      <c r="Z21" s="84">
        <f t="shared" si="20"/>
        <v>0</v>
      </c>
      <c r="AA21" s="84">
        <f t="shared" si="20"/>
        <v>0</v>
      </c>
      <c r="AB21" s="84">
        <f t="shared" si="20"/>
        <v>0</v>
      </c>
      <c r="AC21" s="84">
        <f t="shared" si="20"/>
        <v>0</v>
      </c>
      <c r="AD21" s="84">
        <f t="shared" si="20"/>
        <v>0</v>
      </c>
      <c r="AE21" s="84">
        <f t="shared" si="20"/>
        <v>0</v>
      </c>
      <c r="AF21" s="84">
        <f t="shared" si="20"/>
        <v>0</v>
      </c>
      <c r="AG21" s="81">
        <f t="shared" si="17"/>
        <v>0</v>
      </c>
      <c r="AH21" s="85" t="str">
        <f t="shared" si="18"/>
        <v/>
      </c>
      <c r="AI21" s="11"/>
      <c r="AJ21" s="81">
        <f t="shared" si="19"/>
        <v>0</v>
      </c>
    </row>
    <row r="22" ht="13.5" customHeight="1">
      <c r="A22" s="83" t="s">
        <v>90</v>
      </c>
      <c r="B22" s="81">
        <v>0.0</v>
      </c>
      <c r="C22" s="81">
        <v>0.0</v>
      </c>
      <c r="D22" s="81">
        <v>0.0</v>
      </c>
      <c r="E22" s="81">
        <v>0.0</v>
      </c>
      <c r="F22" s="81">
        <v>0.0</v>
      </c>
      <c r="G22" s="81">
        <v>0.0</v>
      </c>
      <c r="H22" s="81">
        <v>0.0</v>
      </c>
      <c r="I22" s="81">
        <v>0.0</v>
      </c>
      <c r="J22" s="84"/>
      <c r="K22" s="84"/>
      <c r="L22" s="84"/>
      <c r="M22" s="84"/>
      <c r="N22" s="81">
        <f t="shared" si="14"/>
        <v>0</v>
      </c>
      <c r="O22" s="85" t="str">
        <f t="shared" si="15"/>
        <v/>
      </c>
      <c r="P22" s="81"/>
      <c r="Q22" s="81"/>
      <c r="R22" s="86" t="s">
        <v>80</v>
      </c>
      <c r="S22" s="87">
        <v>0.0</v>
      </c>
      <c r="T22" s="88">
        <v>0.05</v>
      </c>
      <c r="U22" s="84">
        <f t="shared" ref="U22:AF22" si="21">IF($R22="Manual","",IFERROR(IF($R22="YOY Growth",$N22*(1+$T22)/12,$S22/12),""))</f>
        <v>0</v>
      </c>
      <c r="V22" s="84">
        <f t="shared" si="21"/>
        <v>0</v>
      </c>
      <c r="W22" s="84">
        <f t="shared" si="21"/>
        <v>0</v>
      </c>
      <c r="X22" s="84">
        <f t="shared" si="21"/>
        <v>0</v>
      </c>
      <c r="Y22" s="84">
        <f t="shared" si="21"/>
        <v>0</v>
      </c>
      <c r="Z22" s="84">
        <f t="shared" si="21"/>
        <v>0</v>
      </c>
      <c r="AA22" s="84">
        <f t="shared" si="21"/>
        <v>0</v>
      </c>
      <c r="AB22" s="84">
        <f t="shared" si="21"/>
        <v>0</v>
      </c>
      <c r="AC22" s="84">
        <f t="shared" si="21"/>
        <v>0</v>
      </c>
      <c r="AD22" s="84">
        <f t="shared" si="21"/>
        <v>0</v>
      </c>
      <c r="AE22" s="84">
        <f t="shared" si="21"/>
        <v>0</v>
      </c>
      <c r="AF22" s="84">
        <f t="shared" si="21"/>
        <v>0</v>
      </c>
      <c r="AG22" s="81">
        <f t="shared" si="17"/>
        <v>0</v>
      </c>
      <c r="AH22" s="85" t="str">
        <f t="shared" si="18"/>
        <v/>
      </c>
      <c r="AI22" s="11"/>
      <c r="AJ22" s="81">
        <f t="shared" si="19"/>
        <v>0</v>
      </c>
    </row>
    <row r="23" ht="13.5" customHeight="1">
      <c r="A23" s="82" t="s">
        <v>91</v>
      </c>
      <c r="B23" s="81"/>
      <c r="C23" s="81"/>
      <c r="D23" s="81"/>
      <c r="E23" s="81"/>
      <c r="F23" s="81"/>
      <c r="G23" s="81"/>
      <c r="H23" s="81"/>
      <c r="I23" s="81"/>
      <c r="J23" s="81"/>
      <c r="K23" s="81"/>
      <c r="L23" s="81"/>
      <c r="M23" s="81"/>
      <c r="N23" s="81"/>
      <c r="O23" s="85"/>
      <c r="P23" s="81"/>
      <c r="Q23" s="81"/>
      <c r="R23" s="92"/>
      <c r="S23" s="92"/>
      <c r="T23" s="92"/>
      <c r="U23" s="81"/>
      <c r="V23" s="81"/>
      <c r="W23" s="81"/>
      <c r="X23" s="81"/>
      <c r="Y23" s="81"/>
      <c r="Z23" s="81"/>
      <c r="AA23" s="81"/>
      <c r="AB23" s="81"/>
      <c r="AC23" s="81"/>
      <c r="AD23" s="81"/>
      <c r="AE23" s="81"/>
      <c r="AF23" s="81"/>
      <c r="AG23" s="81"/>
      <c r="AH23" s="85"/>
      <c r="AI23" s="11"/>
      <c r="AJ23" s="81"/>
    </row>
    <row r="24" ht="13.5" customHeight="1">
      <c r="A24" s="83" t="s">
        <v>91</v>
      </c>
      <c r="B24" s="81">
        <v>376.0</v>
      </c>
      <c r="C24" s="81">
        <v>850.7</v>
      </c>
      <c r="D24" s="81">
        <v>783.62</v>
      </c>
      <c r="E24" s="81">
        <v>1861.07</v>
      </c>
      <c r="F24" s="81">
        <v>0.0</v>
      </c>
      <c r="G24" s="81">
        <v>0.0</v>
      </c>
      <c r="H24" s="81">
        <v>0.0</v>
      </c>
      <c r="I24" s="81">
        <v>0.0</v>
      </c>
      <c r="J24" s="93">
        <v>0.0</v>
      </c>
      <c r="K24" s="93">
        <v>0.0</v>
      </c>
      <c r="L24" s="93">
        <v>0.0</v>
      </c>
      <c r="M24" s="93">
        <v>0.0</v>
      </c>
      <c r="N24" s="81">
        <f t="shared" ref="N24:N31" si="23">SUM(B24:M24)</f>
        <v>3871.39</v>
      </c>
      <c r="O24" s="85" t="str">
        <f t="shared" ref="O24:O31" si="24">IFERROR(N24/N$16,"")</f>
        <v/>
      </c>
      <c r="P24" s="81"/>
      <c r="Q24" s="81"/>
      <c r="R24" s="86" t="s">
        <v>80</v>
      </c>
      <c r="S24" s="87">
        <v>0.0</v>
      </c>
      <c r="T24" s="88">
        <v>0.05</v>
      </c>
      <c r="U24" s="84">
        <f t="shared" ref="U24:AF24" si="22">IF($R24="Manual","",IFERROR(IF($R24="YOY Growth",$N24*(1+$T24)/12,$S24/12),""))</f>
        <v>0</v>
      </c>
      <c r="V24" s="84">
        <f t="shared" si="22"/>
        <v>0</v>
      </c>
      <c r="W24" s="84">
        <f t="shared" si="22"/>
        <v>0</v>
      </c>
      <c r="X24" s="84">
        <f t="shared" si="22"/>
        <v>0</v>
      </c>
      <c r="Y24" s="84">
        <f t="shared" si="22"/>
        <v>0</v>
      </c>
      <c r="Z24" s="84">
        <f t="shared" si="22"/>
        <v>0</v>
      </c>
      <c r="AA24" s="84">
        <f t="shared" si="22"/>
        <v>0</v>
      </c>
      <c r="AB24" s="84">
        <f t="shared" si="22"/>
        <v>0</v>
      </c>
      <c r="AC24" s="84">
        <f t="shared" si="22"/>
        <v>0</v>
      </c>
      <c r="AD24" s="84">
        <f t="shared" si="22"/>
        <v>0</v>
      </c>
      <c r="AE24" s="84">
        <f t="shared" si="22"/>
        <v>0</v>
      </c>
      <c r="AF24" s="84">
        <f t="shared" si="22"/>
        <v>0</v>
      </c>
      <c r="AG24" s="81">
        <f t="shared" ref="AG24:AG31" si="26">SUM(U24:AF24)</f>
        <v>0</v>
      </c>
      <c r="AH24" s="85" t="str">
        <f t="shared" ref="AH24:AH31" si="27">IFERROR(AG24/AG$16,"")</f>
        <v/>
      </c>
      <c r="AI24" s="11"/>
      <c r="AJ24" s="81">
        <f t="shared" ref="AJ24:AJ31" si="28">N24-AG24</f>
        <v>3871.39</v>
      </c>
    </row>
    <row r="25" ht="13.5" customHeight="1">
      <c r="A25" s="83" t="s">
        <v>92</v>
      </c>
      <c r="B25" s="81">
        <v>0.0</v>
      </c>
      <c r="C25" s="81">
        <v>0.0</v>
      </c>
      <c r="D25" s="81">
        <v>0.0</v>
      </c>
      <c r="E25" s="81">
        <v>261.8</v>
      </c>
      <c r="F25" s="81">
        <v>0.0</v>
      </c>
      <c r="G25" s="81">
        <v>0.0</v>
      </c>
      <c r="H25" s="81">
        <v>0.0</v>
      </c>
      <c r="I25" s="81">
        <v>0.0</v>
      </c>
      <c r="J25" s="93">
        <v>0.0</v>
      </c>
      <c r="K25" s="93">
        <v>0.0</v>
      </c>
      <c r="L25" s="93">
        <v>0.0</v>
      </c>
      <c r="M25" s="93">
        <v>0.0</v>
      </c>
      <c r="N25" s="81">
        <f t="shared" si="23"/>
        <v>261.8</v>
      </c>
      <c r="O25" s="85" t="str">
        <f t="shared" si="24"/>
        <v/>
      </c>
      <c r="P25" s="81"/>
      <c r="Q25" s="81"/>
      <c r="R25" s="86" t="s">
        <v>80</v>
      </c>
      <c r="S25" s="87">
        <v>0.0</v>
      </c>
      <c r="T25" s="88">
        <v>0.05</v>
      </c>
      <c r="U25" s="84">
        <f t="shared" ref="U25:AF25" si="25">IF($R25="Manual","",IFERROR(IF($R25="YOY Growth",$N25*(1+$T25)/12,$S25/12),""))</f>
        <v>0</v>
      </c>
      <c r="V25" s="84">
        <f t="shared" si="25"/>
        <v>0</v>
      </c>
      <c r="W25" s="84">
        <f t="shared" si="25"/>
        <v>0</v>
      </c>
      <c r="X25" s="84">
        <f t="shared" si="25"/>
        <v>0</v>
      </c>
      <c r="Y25" s="84">
        <f t="shared" si="25"/>
        <v>0</v>
      </c>
      <c r="Z25" s="84">
        <f t="shared" si="25"/>
        <v>0</v>
      </c>
      <c r="AA25" s="84">
        <f t="shared" si="25"/>
        <v>0</v>
      </c>
      <c r="AB25" s="84">
        <f t="shared" si="25"/>
        <v>0</v>
      </c>
      <c r="AC25" s="84">
        <f t="shared" si="25"/>
        <v>0</v>
      </c>
      <c r="AD25" s="84">
        <f t="shared" si="25"/>
        <v>0</v>
      </c>
      <c r="AE25" s="84">
        <f t="shared" si="25"/>
        <v>0</v>
      </c>
      <c r="AF25" s="84">
        <f t="shared" si="25"/>
        <v>0</v>
      </c>
      <c r="AG25" s="81">
        <f t="shared" si="26"/>
        <v>0</v>
      </c>
      <c r="AH25" s="85" t="str">
        <f t="shared" si="27"/>
        <v/>
      </c>
      <c r="AI25" s="11"/>
      <c r="AJ25" s="81">
        <f t="shared" si="28"/>
        <v>261.8</v>
      </c>
    </row>
    <row r="26" ht="13.5" customHeight="1">
      <c r="A26" s="83" t="s">
        <v>93</v>
      </c>
      <c r="B26" s="81">
        <v>0.0</v>
      </c>
      <c r="C26" s="81">
        <v>0.0</v>
      </c>
      <c r="D26" s="81">
        <v>0.0</v>
      </c>
      <c r="E26" s="81">
        <v>348.38</v>
      </c>
      <c r="F26" s="81">
        <v>79.47</v>
      </c>
      <c r="G26" s="81">
        <v>0.0</v>
      </c>
      <c r="H26" s="81">
        <v>0.0</v>
      </c>
      <c r="I26" s="81">
        <v>250.0</v>
      </c>
      <c r="J26" s="93">
        <v>0.0</v>
      </c>
      <c r="K26" s="93">
        <v>0.0</v>
      </c>
      <c r="L26" s="93">
        <v>0.0</v>
      </c>
      <c r="M26" s="93">
        <v>0.0</v>
      </c>
      <c r="N26" s="81">
        <f t="shared" si="23"/>
        <v>677.85</v>
      </c>
      <c r="O26" s="85" t="str">
        <f t="shared" si="24"/>
        <v/>
      </c>
      <c r="P26" s="81"/>
      <c r="Q26" s="81"/>
      <c r="R26" s="86" t="s">
        <v>80</v>
      </c>
      <c r="S26" s="87">
        <v>0.0</v>
      </c>
      <c r="T26" s="88">
        <v>0.05</v>
      </c>
      <c r="U26" s="84">
        <f t="shared" ref="U26:AF26" si="29">IF($R26="Manual","",IFERROR(IF($R26="YOY Growth",$N26*(1+$T26)/12,$S26/12),""))</f>
        <v>0</v>
      </c>
      <c r="V26" s="84">
        <f t="shared" si="29"/>
        <v>0</v>
      </c>
      <c r="W26" s="84">
        <f t="shared" si="29"/>
        <v>0</v>
      </c>
      <c r="X26" s="84">
        <f t="shared" si="29"/>
        <v>0</v>
      </c>
      <c r="Y26" s="84">
        <f t="shared" si="29"/>
        <v>0</v>
      </c>
      <c r="Z26" s="84">
        <f t="shared" si="29"/>
        <v>0</v>
      </c>
      <c r="AA26" s="84">
        <f t="shared" si="29"/>
        <v>0</v>
      </c>
      <c r="AB26" s="84">
        <f t="shared" si="29"/>
        <v>0</v>
      </c>
      <c r="AC26" s="84">
        <f t="shared" si="29"/>
        <v>0</v>
      </c>
      <c r="AD26" s="84">
        <f t="shared" si="29"/>
        <v>0</v>
      </c>
      <c r="AE26" s="84">
        <f t="shared" si="29"/>
        <v>0</v>
      </c>
      <c r="AF26" s="84">
        <f t="shared" si="29"/>
        <v>0</v>
      </c>
      <c r="AG26" s="81">
        <f t="shared" si="26"/>
        <v>0</v>
      </c>
      <c r="AH26" s="85" t="str">
        <f t="shared" si="27"/>
        <v/>
      </c>
      <c r="AI26" s="11"/>
      <c r="AJ26" s="81">
        <f t="shared" si="28"/>
        <v>677.85</v>
      </c>
    </row>
    <row r="27" ht="13.5" customHeight="1">
      <c r="A27" s="89" t="s">
        <v>94</v>
      </c>
      <c r="B27" s="90">
        <f t="shared" ref="B27:M27" si="30">SUM(B24:B26)</f>
        <v>376</v>
      </c>
      <c r="C27" s="90">
        <f t="shared" si="30"/>
        <v>850.7</v>
      </c>
      <c r="D27" s="90">
        <f t="shared" si="30"/>
        <v>783.62</v>
      </c>
      <c r="E27" s="90">
        <f t="shared" si="30"/>
        <v>2471.25</v>
      </c>
      <c r="F27" s="90">
        <f t="shared" si="30"/>
        <v>79.47</v>
      </c>
      <c r="G27" s="90">
        <f t="shared" si="30"/>
        <v>0</v>
      </c>
      <c r="H27" s="90">
        <f t="shared" si="30"/>
        <v>0</v>
      </c>
      <c r="I27" s="90">
        <f t="shared" si="30"/>
        <v>250</v>
      </c>
      <c r="J27" s="90">
        <f t="shared" si="30"/>
        <v>0</v>
      </c>
      <c r="K27" s="90">
        <f t="shared" si="30"/>
        <v>0</v>
      </c>
      <c r="L27" s="90">
        <f t="shared" si="30"/>
        <v>0</v>
      </c>
      <c r="M27" s="90">
        <f t="shared" si="30"/>
        <v>0</v>
      </c>
      <c r="N27" s="90">
        <f t="shared" si="23"/>
        <v>4811.04</v>
      </c>
      <c r="O27" s="91" t="str">
        <f t="shared" si="24"/>
        <v/>
      </c>
      <c r="P27" s="81"/>
      <c r="Q27" s="81"/>
      <c r="R27" s="92"/>
      <c r="S27" s="92"/>
      <c r="T27" s="92"/>
      <c r="U27" s="90">
        <f t="shared" ref="U27:AF27" si="31">SUM(U24:U26)</f>
        <v>0</v>
      </c>
      <c r="V27" s="90">
        <f t="shared" si="31"/>
        <v>0</v>
      </c>
      <c r="W27" s="90">
        <f t="shared" si="31"/>
        <v>0</v>
      </c>
      <c r="X27" s="90">
        <f t="shared" si="31"/>
        <v>0</v>
      </c>
      <c r="Y27" s="90">
        <f t="shared" si="31"/>
        <v>0</v>
      </c>
      <c r="Z27" s="90">
        <f t="shared" si="31"/>
        <v>0</v>
      </c>
      <c r="AA27" s="90">
        <f t="shared" si="31"/>
        <v>0</v>
      </c>
      <c r="AB27" s="90">
        <f t="shared" si="31"/>
        <v>0</v>
      </c>
      <c r="AC27" s="90">
        <f t="shared" si="31"/>
        <v>0</v>
      </c>
      <c r="AD27" s="90">
        <f t="shared" si="31"/>
        <v>0</v>
      </c>
      <c r="AE27" s="90">
        <f t="shared" si="31"/>
        <v>0</v>
      </c>
      <c r="AF27" s="90">
        <f t="shared" si="31"/>
        <v>0</v>
      </c>
      <c r="AG27" s="90">
        <f t="shared" si="26"/>
        <v>0</v>
      </c>
      <c r="AH27" s="91" t="str">
        <f t="shared" si="27"/>
        <v/>
      </c>
      <c r="AI27" s="11"/>
      <c r="AJ27" s="90">
        <f t="shared" si="28"/>
        <v>4811.04</v>
      </c>
    </row>
    <row r="28" ht="13.5" customHeight="1">
      <c r="A28" s="83" t="s">
        <v>95</v>
      </c>
      <c r="B28" s="81">
        <v>0.0</v>
      </c>
      <c r="C28" s="81">
        <v>0.0</v>
      </c>
      <c r="D28" s="81">
        <v>0.0</v>
      </c>
      <c r="E28" s="81">
        <v>2186.18</v>
      </c>
      <c r="F28" s="81">
        <v>0.0</v>
      </c>
      <c r="G28" s="81">
        <v>0.0</v>
      </c>
      <c r="H28" s="81">
        <v>117.53</v>
      </c>
      <c r="I28" s="81">
        <v>0.0</v>
      </c>
      <c r="J28" s="93">
        <v>0.0</v>
      </c>
      <c r="K28" s="93">
        <v>0.0</v>
      </c>
      <c r="L28" s="93">
        <v>0.0</v>
      </c>
      <c r="M28" s="93">
        <v>0.0</v>
      </c>
      <c r="N28" s="81">
        <f t="shared" si="23"/>
        <v>2303.71</v>
      </c>
      <c r="O28" s="85" t="str">
        <f t="shared" si="24"/>
        <v/>
      </c>
      <c r="P28" s="81"/>
      <c r="Q28" s="81"/>
      <c r="R28" s="86" t="s">
        <v>80</v>
      </c>
      <c r="S28" s="87">
        <v>0.0</v>
      </c>
      <c r="T28" s="88">
        <v>0.05</v>
      </c>
      <c r="U28" s="84">
        <f t="shared" ref="U28:AF28" si="32">IF($R28="Manual","",IFERROR(IF($R28="YOY Growth",$N28*(1+$T28)/12,$S28/12),""))</f>
        <v>0</v>
      </c>
      <c r="V28" s="84">
        <f t="shared" si="32"/>
        <v>0</v>
      </c>
      <c r="W28" s="84">
        <f t="shared" si="32"/>
        <v>0</v>
      </c>
      <c r="X28" s="84">
        <f t="shared" si="32"/>
        <v>0</v>
      </c>
      <c r="Y28" s="84">
        <f t="shared" si="32"/>
        <v>0</v>
      </c>
      <c r="Z28" s="84">
        <f t="shared" si="32"/>
        <v>0</v>
      </c>
      <c r="AA28" s="84">
        <f t="shared" si="32"/>
        <v>0</v>
      </c>
      <c r="AB28" s="84">
        <f t="shared" si="32"/>
        <v>0</v>
      </c>
      <c r="AC28" s="84">
        <f t="shared" si="32"/>
        <v>0</v>
      </c>
      <c r="AD28" s="84">
        <f t="shared" si="32"/>
        <v>0</v>
      </c>
      <c r="AE28" s="84">
        <f t="shared" si="32"/>
        <v>0</v>
      </c>
      <c r="AF28" s="84">
        <f t="shared" si="32"/>
        <v>0</v>
      </c>
      <c r="AG28" s="81">
        <f t="shared" si="26"/>
        <v>0</v>
      </c>
      <c r="AH28" s="85" t="str">
        <f t="shared" si="27"/>
        <v/>
      </c>
      <c r="AI28" s="11"/>
      <c r="AJ28" s="81">
        <f t="shared" si="28"/>
        <v>2303.71</v>
      </c>
    </row>
    <row r="29" ht="13.5" customHeight="1">
      <c r="A29" s="83" t="s">
        <v>96</v>
      </c>
      <c r="B29" s="81">
        <v>7000.0</v>
      </c>
      <c r="C29" s="81">
        <v>5000.95</v>
      </c>
      <c r="D29" s="81">
        <v>3522.7</v>
      </c>
      <c r="E29" s="81">
        <v>3294.47</v>
      </c>
      <c r="F29" s="81">
        <v>0.0</v>
      </c>
      <c r="G29" s="81">
        <v>122.59</v>
      </c>
      <c r="H29" s="81">
        <v>0.0</v>
      </c>
      <c r="I29" s="81">
        <v>3240.99</v>
      </c>
      <c r="J29" s="93">
        <v>15000.0</v>
      </c>
      <c r="K29" s="93">
        <v>10000.0</v>
      </c>
      <c r="L29" s="93">
        <v>5000.0</v>
      </c>
      <c r="M29" s="93">
        <v>5000.0</v>
      </c>
      <c r="N29" s="81">
        <f t="shared" si="23"/>
        <v>57181.7</v>
      </c>
      <c r="O29" s="85" t="str">
        <f t="shared" si="24"/>
        <v/>
      </c>
      <c r="P29" s="81"/>
      <c r="Q29" s="81"/>
      <c r="R29" s="94" t="s">
        <v>97</v>
      </c>
      <c r="S29" s="87">
        <v>0.0</v>
      </c>
      <c r="T29" s="88">
        <v>0.05</v>
      </c>
      <c r="U29" s="95">
        <f>'Fld Maint Budget'!B89</f>
        <v>45000</v>
      </c>
      <c r="V29" s="95">
        <f>'Fld Maint Budget'!C89</f>
        <v>20000</v>
      </c>
      <c r="W29" s="95">
        <f>'Fld Maint Budget'!D89</f>
        <v>0</v>
      </c>
      <c r="X29" s="95">
        <f>'Fld Maint Budget'!E89</f>
        <v>60000</v>
      </c>
      <c r="Y29" s="95">
        <f>'Fld Maint Budget'!F89</f>
        <v>45000</v>
      </c>
      <c r="Z29" s="95">
        <f>'Fld Maint Budget'!G89</f>
        <v>70000</v>
      </c>
      <c r="AA29" s="95">
        <f>'Fld Maint Budget'!H89</f>
        <v>55000</v>
      </c>
      <c r="AB29" s="95">
        <f>'Fld Maint Budget'!I89</f>
        <v>65000</v>
      </c>
      <c r="AC29" s="95">
        <f>'Fld Maint Budget'!J89</f>
        <v>90000</v>
      </c>
      <c r="AD29" s="95">
        <f>'Fld Maint Budget'!K89</f>
        <v>90000</v>
      </c>
      <c r="AE29" s="95">
        <f>'Fld Maint Budget'!L89</f>
        <v>115000</v>
      </c>
      <c r="AF29" s="95">
        <f>'Fld Maint Budget'!M89</f>
        <v>110000</v>
      </c>
      <c r="AG29" s="81">
        <f t="shared" si="26"/>
        <v>765000</v>
      </c>
      <c r="AH29" s="85" t="str">
        <f t="shared" si="27"/>
        <v/>
      </c>
      <c r="AI29" s="11"/>
      <c r="AJ29" s="81">
        <f t="shared" si="28"/>
        <v>-707818.3</v>
      </c>
    </row>
    <row r="30" ht="13.5" customHeight="1">
      <c r="A30" s="83" t="s">
        <v>98</v>
      </c>
      <c r="B30" s="81">
        <v>0.0</v>
      </c>
      <c r="C30" s="81">
        <v>0.0</v>
      </c>
      <c r="D30" s="81">
        <v>0.0</v>
      </c>
      <c r="E30" s="81">
        <v>0.0</v>
      </c>
      <c r="F30" s="81">
        <v>0.0</v>
      </c>
      <c r="G30" s="81">
        <v>0.0</v>
      </c>
      <c r="H30" s="81">
        <v>911.81</v>
      </c>
      <c r="I30" s="81">
        <v>1772.23</v>
      </c>
      <c r="J30" s="93">
        <v>0.0</v>
      </c>
      <c r="K30" s="93">
        <v>0.0</v>
      </c>
      <c r="L30" s="93">
        <v>0.0</v>
      </c>
      <c r="M30" s="93">
        <v>0.0</v>
      </c>
      <c r="N30" s="81">
        <f t="shared" si="23"/>
        <v>2684.04</v>
      </c>
      <c r="O30" s="85" t="str">
        <f t="shared" si="24"/>
        <v/>
      </c>
      <c r="P30" s="81"/>
      <c r="Q30" s="81"/>
      <c r="R30" s="94" t="s">
        <v>97</v>
      </c>
      <c r="S30" s="87">
        <v>0.0</v>
      </c>
      <c r="T30" s="88">
        <v>0.05</v>
      </c>
      <c r="U30" s="95">
        <f>'Fld Maint Budget'!B90</f>
        <v>2279.7</v>
      </c>
      <c r="V30" s="95">
        <f>'Fld Maint Budget'!C90</f>
        <v>1519.8</v>
      </c>
      <c r="W30" s="95">
        <f>'Fld Maint Budget'!D90</f>
        <v>0</v>
      </c>
      <c r="X30" s="95">
        <f>'Fld Maint Budget'!E90</f>
        <v>3495.54</v>
      </c>
      <c r="Y30" s="95">
        <f>'Fld Maint Budget'!F90</f>
        <v>2735.64</v>
      </c>
      <c r="Z30" s="95">
        <f>'Fld Maint Budget'!G90</f>
        <v>3951.48</v>
      </c>
      <c r="AA30" s="95">
        <f>'Fld Maint Budget'!H90</f>
        <v>3495.54</v>
      </c>
      <c r="AB30" s="95">
        <f>'Fld Maint Budget'!I90</f>
        <v>4255.44</v>
      </c>
      <c r="AC30" s="95">
        <f>'Fld Maint Budget'!J90</f>
        <v>5471.28</v>
      </c>
      <c r="AD30" s="95">
        <f>'Fld Maint Budget'!K90</f>
        <v>5471.28</v>
      </c>
      <c r="AE30" s="95">
        <f>'Fld Maint Budget'!L90</f>
        <v>6687.12</v>
      </c>
      <c r="AF30" s="95">
        <f>'Fld Maint Budget'!M90</f>
        <v>6991.08</v>
      </c>
      <c r="AG30" s="81">
        <f t="shared" si="26"/>
        <v>46353.9</v>
      </c>
      <c r="AH30" s="85" t="str">
        <f t="shared" si="27"/>
        <v/>
      </c>
      <c r="AI30" s="11"/>
      <c r="AJ30" s="81">
        <f t="shared" si="28"/>
        <v>-43669.86</v>
      </c>
    </row>
    <row r="31" ht="13.5" customHeight="1">
      <c r="A31" s="83" t="s">
        <v>99</v>
      </c>
      <c r="B31" s="81">
        <v>0.0</v>
      </c>
      <c r="C31" s="81">
        <v>0.0</v>
      </c>
      <c r="D31" s="81">
        <v>0.0</v>
      </c>
      <c r="E31" s="81">
        <v>0.0</v>
      </c>
      <c r="F31" s="81">
        <v>0.0</v>
      </c>
      <c r="G31" s="81">
        <v>20.14</v>
      </c>
      <c r="H31" s="81">
        <v>0.0</v>
      </c>
      <c r="I31" s="81">
        <v>528.6</v>
      </c>
      <c r="J31" s="93">
        <v>0.0</v>
      </c>
      <c r="K31" s="93">
        <v>0.0</v>
      </c>
      <c r="L31" s="93">
        <v>0.0</v>
      </c>
      <c r="M31" s="93">
        <v>0.0</v>
      </c>
      <c r="N31" s="81">
        <f t="shared" si="23"/>
        <v>548.74</v>
      </c>
      <c r="O31" s="85" t="str">
        <f t="shared" si="24"/>
        <v/>
      </c>
      <c r="P31" s="81"/>
      <c r="Q31" s="81"/>
      <c r="R31" s="86" t="s">
        <v>80</v>
      </c>
      <c r="S31" s="87">
        <v>0.0</v>
      </c>
      <c r="T31" s="88">
        <v>0.05</v>
      </c>
      <c r="U31" s="84">
        <f t="shared" ref="U31:AF31" si="33">IF($R31="Manual","",IFERROR(IF($R31="YOY Growth",$N31*(1+$T31)/12,$S31/12),""))</f>
        <v>0</v>
      </c>
      <c r="V31" s="84">
        <f t="shared" si="33"/>
        <v>0</v>
      </c>
      <c r="W31" s="84">
        <f t="shared" si="33"/>
        <v>0</v>
      </c>
      <c r="X31" s="84">
        <f t="shared" si="33"/>
        <v>0</v>
      </c>
      <c r="Y31" s="84">
        <f t="shared" si="33"/>
        <v>0</v>
      </c>
      <c r="Z31" s="84">
        <f t="shared" si="33"/>
        <v>0</v>
      </c>
      <c r="AA31" s="84">
        <f t="shared" si="33"/>
        <v>0</v>
      </c>
      <c r="AB31" s="84">
        <f t="shared" si="33"/>
        <v>0</v>
      </c>
      <c r="AC31" s="84">
        <f t="shared" si="33"/>
        <v>0</v>
      </c>
      <c r="AD31" s="84">
        <f t="shared" si="33"/>
        <v>0</v>
      </c>
      <c r="AE31" s="84">
        <f t="shared" si="33"/>
        <v>0</v>
      </c>
      <c r="AF31" s="84">
        <f t="shared" si="33"/>
        <v>0</v>
      </c>
      <c r="AG31" s="81">
        <f t="shared" si="26"/>
        <v>0</v>
      </c>
      <c r="AH31" s="85" t="str">
        <f t="shared" si="27"/>
        <v/>
      </c>
      <c r="AI31" s="11"/>
      <c r="AJ31" s="81">
        <f t="shared" si="28"/>
        <v>548.74</v>
      </c>
    </row>
    <row r="32" ht="13.5" customHeight="1">
      <c r="A32" s="82" t="s">
        <v>100</v>
      </c>
      <c r="B32" s="81"/>
      <c r="C32" s="81"/>
      <c r="D32" s="81"/>
      <c r="E32" s="81"/>
      <c r="F32" s="81"/>
      <c r="G32" s="81"/>
      <c r="H32" s="81"/>
      <c r="I32" s="81"/>
      <c r="J32" s="81"/>
      <c r="K32" s="81"/>
      <c r="L32" s="81"/>
      <c r="M32" s="81"/>
      <c r="N32" s="81"/>
      <c r="O32" s="85"/>
      <c r="P32" s="81"/>
      <c r="Q32" s="81"/>
      <c r="R32" s="92"/>
      <c r="S32" s="92"/>
      <c r="T32" s="92"/>
      <c r="U32" s="81"/>
      <c r="V32" s="81"/>
      <c r="W32" s="81"/>
      <c r="X32" s="81"/>
      <c r="Y32" s="81"/>
      <c r="Z32" s="81"/>
      <c r="AA32" s="81"/>
      <c r="AB32" s="81"/>
      <c r="AC32" s="81"/>
      <c r="AD32" s="81"/>
      <c r="AE32" s="81"/>
      <c r="AF32" s="81"/>
      <c r="AG32" s="81"/>
      <c r="AH32" s="85"/>
      <c r="AI32" s="11"/>
      <c r="AJ32" s="81"/>
    </row>
    <row r="33" ht="13.5" customHeight="1">
      <c r="A33" s="83" t="s">
        <v>101</v>
      </c>
      <c r="B33" s="81">
        <v>0.0</v>
      </c>
      <c r="C33" s="81">
        <v>0.0</v>
      </c>
      <c r="D33" s="81">
        <v>0.0</v>
      </c>
      <c r="E33" s="81">
        <v>0.0</v>
      </c>
      <c r="F33" s="81">
        <v>0.0</v>
      </c>
      <c r="G33" s="81">
        <v>0.0</v>
      </c>
      <c r="H33" s="81">
        <v>0.0</v>
      </c>
      <c r="I33" s="81">
        <v>0.0</v>
      </c>
      <c r="J33" s="93">
        <v>0.0</v>
      </c>
      <c r="K33" s="93">
        <v>0.0</v>
      </c>
      <c r="L33" s="93">
        <v>0.0</v>
      </c>
      <c r="M33" s="93">
        <v>0.0</v>
      </c>
      <c r="N33" s="81">
        <f t="shared" ref="N33:N42" si="34">SUM(B33:M33)</f>
        <v>0</v>
      </c>
      <c r="O33" s="85" t="str">
        <f t="shared" ref="O33:O42" si="35">IFERROR(N33/N$16,"")</f>
        <v/>
      </c>
      <c r="P33" s="81"/>
      <c r="Q33" s="81"/>
      <c r="R33" s="92"/>
      <c r="S33" s="92"/>
      <c r="T33" s="92"/>
      <c r="U33" s="96"/>
      <c r="V33" s="96"/>
      <c r="W33" s="96"/>
      <c r="X33" s="96"/>
      <c r="Y33" s="96"/>
      <c r="Z33" s="96"/>
      <c r="AA33" s="96"/>
      <c r="AB33" s="96"/>
      <c r="AC33" s="96"/>
      <c r="AD33" s="96"/>
      <c r="AE33" s="96"/>
      <c r="AF33" s="96"/>
      <c r="AG33" s="81">
        <f t="shared" ref="AG33:AG42" si="36">SUM(U33:AF33)</f>
        <v>0</v>
      </c>
      <c r="AH33" s="85" t="str">
        <f t="shared" ref="AH33:AH42" si="37">IFERROR(AG33/AG$16,"")</f>
        <v/>
      </c>
      <c r="AI33" s="11"/>
      <c r="AJ33" s="81">
        <f t="shared" ref="AJ33:AJ42" si="38">N33-AG33</f>
        <v>0</v>
      </c>
    </row>
    <row r="34" ht="13.5" customHeight="1">
      <c r="A34" s="83" t="s">
        <v>102</v>
      </c>
      <c r="B34" s="81">
        <v>0.0</v>
      </c>
      <c r="C34" s="81">
        <v>0.0</v>
      </c>
      <c r="D34" s="81">
        <v>0.0</v>
      </c>
      <c r="E34" s="81">
        <v>0.0</v>
      </c>
      <c r="F34" s="81">
        <v>0.0</v>
      </c>
      <c r="G34" s="81">
        <v>0.0</v>
      </c>
      <c r="H34" s="81">
        <v>0.0</v>
      </c>
      <c r="I34" s="81">
        <v>0.0</v>
      </c>
      <c r="J34" s="93">
        <v>0.0</v>
      </c>
      <c r="K34" s="93">
        <v>0.0</v>
      </c>
      <c r="L34" s="93">
        <v>0.0</v>
      </c>
      <c r="M34" s="93">
        <v>0.0</v>
      </c>
      <c r="N34" s="81">
        <f t="shared" si="34"/>
        <v>0</v>
      </c>
      <c r="O34" s="85" t="str">
        <f t="shared" si="35"/>
        <v/>
      </c>
      <c r="P34" s="81"/>
      <c r="Q34" s="81"/>
      <c r="R34" s="92"/>
      <c r="S34" s="92"/>
      <c r="T34" s="92"/>
      <c r="U34" s="96"/>
      <c r="V34" s="96"/>
      <c r="W34" s="96"/>
      <c r="X34" s="96"/>
      <c r="Y34" s="96"/>
      <c r="Z34" s="96"/>
      <c r="AA34" s="96"/>
      <c r="AB34" s="96"/>
      <c r="AC34" s="96"/>
      <c r="AD34" s="96"/>
      <c r="AE34" s="96"/>
      <c r="AF34" s="96"/>
      <c r="AG34" s="81">
        <f t="shared" si="36"/>
        <v>0</v>
      </c>
      <c r="AH34" s="85" t="str">
        <f t="shared" si="37"/>
        <v/>
      </c>
      <c r="AI34" s="11"/>
      <c r="AJ34" s="81">
        <f t="shared" si="38"/>
        <v>0</v>
      </c>
    </row>
    <row r="35" ht="13.5" customHeight="1">
      <c r="A35" s="83" t="s">
        <v>103</v>
      </c>
      <c r="B35" s="81">
        <v>0.0</v>
      </c>
      <c r="C35" s="81">
        <v>0.0</v>
      </c>
      <c r="D35" s="81">
        <v>0.0</v>
      </c>
      <c r="E35" s="81">
        <v>0.0</v>
      </c>
      <c r="F35" s="81">
        <v>0.0</v>
      </c>
      <c r="G35" s="81">
        <v>0.0</v>
      </c>
      <c r="H35" s="81">
        <v>0.0</v>
      </c>
      <c r="I35" s="81">
        <v>0.0</v>
      </c>
      <c r="J35" s="93">
        <v>0.0</v>
      </c>
      <c r="K35" s="93">
        <v>0.0</v>
      </c>
      <c r="L35" s="93">
        <v>0.0</v>
      </c>
      <c r="M35" s="93">
        <v>0.0</v>
      </c>
      <c r="N35" s="81">
        <f t="shared" si="34"/>
        <v>0</v>
      </c>
      <c r="O35" s="85" t="str">
        <f t="shared" si="35"/>
        <v/>
      </c>
      <c r="P35" s="81"/>
      <c r="Q35" s="81"/>
      <c r="R35" s="92"/>
      <c r="S35" s="92"/>
      <c r="T35" s="92"/>
      <c r="U35" s="96"/>
      <c r="V35" s="96"/>
      <c r="W35" s="96"/>
      <c r="X35" s="96"/>
      <c r="Y35" s="96"/>
      <c r="Z35" s="96"/>
      <c r="AA35" s="96"/>
      <c r="AB35" s="96"/>
      <c r="AC35" s="96"/>
      <c r="AD35" s="96"/>
      <c r="AE35" s="96"/>
      <c r="AF35" s="96"/>
      <c r="AG35" s="81">
        <f t="shared" si="36"/>
        <v>0</v>
      </c>
      <c r="AH35" s="85" t="str">
        <f t="shared" si="37"/>
        <v/>
      </c>
      <c r="AI35" s="11"/>
      <c r="AJ35" s="81">
        <f t="shared" si="38"/>
        <v>0</v>
      </c>
    </row>
    <row r="36" ht="13.5" customHeight="1">
      <c r="A36" s="89" t="s">
        <v>104</v>
      </c>
      <c r="B36" s="90">
        <f t="shared" ref="B36:M36" si="39">SUM(B33:B35)</f>
        <v>0</v>
      </c>
      <c r="C36" s="90">
        <f t="shared" si="39"/>
        <v>0</v>
      </c>
      <c r="D36" s="90">
        <f t="shared" si="39"/>
        <v>0</v>
      </c>
      <c r="E36" s="90">
        <f t="shared" si="39"/>
        <v>0</v>
      </c>
      <c r="F36" s="90">
        <f t="shared" si="39"/>
        <v>0</v>
      </c>
      <c r="G36" s="90">
        <f t="shared" si="39"/>
        <v>0</v>
      </c>
      <c r="H36" s="90">
        <f t="shared" si="39"/>
        <v>0</v>
      </c>
      <c r="I36" s="90">
        <f t="shared" si="39"/>
        <v>0</v>
      </c>
      <c r="J36" s="90">
        <f t="shared" si="39"/>
        <v>0</v>
      </c>
      <c r="K36" s="90">
        <f t="shared" si="39"/>
        <v>0</v>
      </c>
      <c r="L36" s="90">
        <f t="shared" si="39"/>
        <v>0</v>
      </c>
      <c r="M36" s="90">
        <f t="shared" si="39"/>
        <v>0</v>
      </c>
      <c r="N36" s="90">
        <f t="shared" si="34"/>
        <v>0</v>
      </c>
      <c r="O36" s="91" t="str">
        <f t="shared" si="35"/>
        <v/>
      </c>
      <c r="P36" s="81"/>
      <c r="Q36" s="81"/>
      <c r="R36" s="92"/>
      <c r="S36" s="92"/>
      <c r="T36" s="92"/>
      <c r="U36" s="90">
        <f t="shared" ref="U36:AF36" si="40">SUM(U33:U35)</f>
        <v>0</v>
      </c>
      <c r="V36" s="90">
        <f t="shared" si="40"/>
        <v>0</v>
      </c>
      <c r="W36" s="90">
        <f t="shared" si="40"/>
        <v>0</v>
      </c>
      <c r="X36" s="90">
        <f t="shared" si="40"/>
        <v>0</v>
      </c>
      <c r="Y36" s="90">
        <f t="shared" si="40"/>
        <v>0</v>
      </c>
      <c r="Z36" s="90">
        <f t="shared" si="40"/>
        <v>0</v>
      </c>
      <c r="AA36" s="90">
        <f t="shared" si="40"/>
        <v>0</v>
      </c>
      <c r="AB36" s="90">
        <f t="shared" si="40"/>
        <v>0</v>
      </c>
      <c r="AC36" s="90">
        <f t="shared" si="40"/>
        <v>0</v>
      </c>
      <c r="AD36" s="90">
        <f t="shared" si="40"/>
        <v>0</v>
      </c>
      <c r="AE36" s="90">
        <f t="shared" si="40"/>
        <v>0</v>
      </c>
      <c r="AF36" s="90">
        <f t="shared" si="40"/>
        <v>0</v>
      </c>
      <c r="AG36" s="90">
        <f t="shared" si="36"/>
        <v>0</v>
      </c>
      <c r="AH36" s="91" t="str">
        <f t="shared" si="37"/>
        <v/>
      </c>
      <c r="AI36" s="11"/>
      <c r="AJ36" s="90">
        <f t="shared" si="38"/>
        <v>0</v>
      </c>
    </row>
    <row r="37" ht="13.5" customHeight="1">
      <c r="A37" s="89" t="s">
        <v>105</v>
      </c>
      <c r="B37" s="90">
        <f t="shared" ref="B37:M37" si="41">B19+B22+B27+B28+B29+B30+B31+B36+B20+B21</f>
        <v>7376</v>
      </c>
      <c r="C37" s="90">
        <f t="shared" si="41"/>
        <v>5851.65</v>
      </c>
      <c r="D37" s="90">
        <f t="shared" si="41"/>
        <v>4306.32</v>
      </c>
      <c r="E37" s="90">
        <f t="shared" si="41"/>
        <v>7951.9</v>
      </c>
      <c r="F37" s="90">
        <f t="shared" si="41"/>
        <v>79.47</v>
      </c>
      <c r="G37" s="90">
        <f t="shared" si="41"/>
        <v>142.73</v>
      </c>
      <c r="H37" s="90">
        <f t="shared" si="41"/>
        <v>1029.34</v>
      </c>
      <c r="I37" s="90">
        <f t="shared" si="41"/>
        <v>5791.82</v>
      </c>
      <c r="J37" s="90">
        <f t="shared" si="41"/>
        <v>15000</v>
      </c>
      <c r="K37" s="90">
        <f t="shared" si="41"/>
        <v>10000</v>
      </c>
      <c r="L37" s="90">
        <f t="shared" si="41"/>
        <v>5000</v>
      </c>
      <c r="M37" s="90">
        <f t="shared" si="41"/>
        <v>5000</v>
      </c>
      <c r="N37" s="90">
        <f t="shared" si="34"/>
        <v>67529.23</v>
      </c>
      <c r="O37" s="91" t="str">
        <f t="shared" si="35"/>
        <v/>
      </c>
      <c r="P37" s="81"/>
      <c r="Q37" s="81"/>
      <c r="R37" s="92"/>
      <c r="S37" s="92"/>
      <c r="T37" s="92"/>
      <c r="U37" s="90">
        <f t="shared" ref="U37:AF37" si="42">U19+U22+U27+U28+U29+U30+U31+U36+U20+U21</f>
        <v>47279.7</v>
      </c>
      <c r="V37" s="90">
        <f t="shared" si="42"/>
        <v>21519.8</v>
      </c>
      <c r="W37" s="90">
        <f t="shared" si="42"/>
        <v>0</v>
      </c>
      <c r="X37" s="90">
        <f t="shared" si="42"/>
        <v>63495.54</v>
      </c>
      <c r="Y37" s="90">
        <f t="shared" si="42"/>
        <v>47735.64</v>
      </c>
      <c r="Z37" s="90">
        <f t="shared" si="42"/>
        <v>73951.48</v>
      </c>
      <c r="AA37" s="90">
        <f t="shared" si="42"/>
        <v>58495.54</v>
      </c>
      <c r="AB37" s="90">
        <f t="shared" si="42"/>
        <v>69255.44</v>
      </c>
      <c r="AC37" s="90">
        <f t="shared" si="42"/>
        <v>95471.28</v>
      </c>
      <c r="AD37" s="90">
        <f t="shared" si="42"/>
        <v>95471.28</v>
      </c>
      <c r="AE37" s="90">
        <f t="shared" si="42"/>
        <v>121687.12</v>
      </c>
      <c r="AF37" s="90">
        <f t="shared" si="42"/>
        <v>116991.08</v>
      </c>
      <c r="AG37" s="90">
        <f t="shared" si="36"/>
        <v>811353.9</v>
      </c>
      <c r="AH37" s="91" t="str">
        <f t="shared" si="37"/>
        <v/>
      </c>
      <c r="AI37" s="11"/>
      <c r="AJ37" s="90">
        <f t="shared" si="38"/>
        <v>-743824.67</v>
      </c>
    </row>
    <row r="38" ht="13.5" customHeight="1">
      <c r="A38" s="83" t="s">
        <v>106</v>
      </c>
      <c r="B38" s="81">
        <v>0.0</v>
      </c>
      <c r="C38" s="81">
        <v>0.0</v>
      </c>
      <c r="D38" s="81">
        <v>0.0</v>
      </c>
      <c r="E38" s="81">
        <v>0.0</v>
      </c>
      <c r="F38" s="81">
        <v>0.0</v>
      </c>
      <c r="G38" s="81">
        <v>-352.47</v>
      </c>
      <c r="H38" s="81">
        <v>0.0</v>
      </c>
      <c r="I38" s="81">
        <v>0.0</v>
      </c>
      <c r="J38" s="93">
        <v>0.0</v>
      </c>
      <c r="K38" s="93">
        <v>0.0</v>
      </c>
      <c r="L38" s="93">
        <v>0.0</v>
      </c>
      <c r="M38" s="93">
        <v>0.0</v>
      </c>
      <c r="N38" s="81">
        <f t="shared" si="34"/>
        <v>-352.47</v>
      </c>
      <c r="O38" s="85" t="str">
        <f t="shared" si="35"/>
        <v/>
      </c>
      <c r="P38" s="81"/>
      <c r="Q38" s="81"/>
      <c r="R38" s="86" t="s">
        <v>80</v>
      </c>
      <c r="S38" s="87">
        <v>0.0</v>
      </c>
      <c r="T38" s="88">
        <v>0.05</v>
      </c>
      <c r="U38" s="84">
        <f t="shared" ref="U38:AF38" si="43">IF($R38="Manual","",IFERROR(IF($R38="YOY Growth",$N38*(1+$T38)/12,$S38/12),""))</f>
        <v>0</v>
      </c>
      <c r="V38" s="84">
        <f t="shared" si="43"/>
        <v>0</v>
      </c>
      <c r="W38" s="84">
        <f t="shared" si="43"/>
        <v>0</v>
      </c>
      <c r="X38" s="84">
        <f t="shared" si="43"/>
        <v>0</v>
      </c>
      <c r="Y38" s="84">
        <f t="shared" si="43"/>
        <v>0</v>
      </c>
      <c r="Z38" s="84">
        <f t="shared" si="43"/>
        <v>0</v>
      </c>
      <c r="AA38" s="84">
        <f t="shared" si="43"/>
        <v>0</v>
      </c>
      <c r="AB38" s="84">
        <f t="shared" si="43"/>
        <v>0</v>
      </c>
      <c r="AC38" s="84">
        <f t="shared" si="43"/>
        <v>0</v>
      </c>
      <c r="AD38" s="84">
        <f t="shared" si="43"/>
        <v>0</v>
      </c>
      <c r="AE38" s="84">
        <f t="shared" si="43"/>
        <v>0</v>
      </c>
      <c r="AF38" s="84">
        <f t="shared" si="43"/>
        <v>0</v>
      </c>
      <c r="AG38" s="81">
        <f t="shared" si="36"/>
        <v>0</v>
      </c>
      <c r="AH38" s="85" t="str">
        <f t="shared" si="37"/>
        <v/>
      </c>
      <c r="AI38" s="11"/>
      <c r="AJ38" s="81">
        <f t="shared" si="38"/>
        <v>-352.47</v>
      </c>
    </row>
    <row r="39" ht="13.5" customHeight="1">
      <c r="A39" s="83" t="s">
        <v>107</v>
      </c>
      <c r="B39" s="81">
        <v>0.0</v>
      </c>
      <c r="C39" s="81">
        <v>0.0</v>
      </c>
      <c r="D39" s="81">
        <v>0.0</v>
      </c>
      <c r="E39" s="81">
        <v>0.0</v>
      </c>
      <c r="F39" s="81">
        <v>0.0</v>
      </c>
      <c r="G39" s="81">
        <v>0.0</v>
      </c>
      <c r="H39" s="81">
        <v>0.0</v>
      </c>
      <c r="I39" s="81">
        <v>0.0</v>
      </c>
      <c r="J39" s="93">
        <v>0.0</v>
      </c>
      <c r="K39" s="93">
        <v>0.0</v>
      </c>
      <c r="L39" s="93">
        <v>0.0</v>
      </c>
      <c r="M39" s="93">
        <v>0.0</v>
      </c>
      <c r="N39" s="81">
        <f t="shared" si="34"/>
        <v>0</v>
      </c>
      <c r="O39" s="85" t="str">
        <f t="shared" si="35"/>
        <v/>
      </c>
      <c r="P39" s="81"/>
      <c r="Q39" s="81"/>
      <c r="R39" s="86" t="s">
        <v>80</v>
      </c>
      <c r="S39" s="87">
        <v>0.0</v>
      </c>
      <c r="T39" s="88">
        <v>0.05</v>
      </c>
      <c r="U39" s="84">
        <f t="shared" ref="U39:AF39" si="44">IF($R39="Manual","",IFERROR(IF($R39="YOY Growth",$N39*(1+$T39)/12,$S39/12),""))</f>
        <v>0</v>
      </c>
      <c r="V39" s="84">
        <f t="shared" si="44"/>
        <v>0</v>
      </c>
      <c r="W39" s="84">
        <f t="shared" si="44"/>
        <v>0</v>
      </c>
      <c r="X39" s="84">
        <f t="shared" si="44"/>
        <v>0</v>
      </c>
      <c r="Y39" s="84">
        <f t="shared" si="44"/>
        <v>0</v>
      </c>
      <c r="Z39" s="84">
        <f t="shared" si="44"/>
        <v>0</v>
      </c>
      <c r="AA39" s="84">
        <f t="shared" si="44"/>
        <v>0</v>
      </c>
      <c r="AB39" s="84">
        <f t="shared" si="44"/>
        <v>0</v>
      </c>
      <c r="AC39" s="84">
        <f t="shared" si="44"/>
        <v>0</v>
      </c>
      <c r="AD39" s="84">
        <f t="shared" si="44"/>
        <v>0</v>
      </c>
      <c r="AE39" s="84">
        <f t="shared" si="44"/>
        <v>0</v>
      </c>
      <c r="AF39" s="84">
        <f t="shared" si="44"/>
        <v>0</v>
      </c>
      <c r="AG39" s="81">
        <f t="shared" si="36"/>
        <v>0</v>
      </c>
      <c r="AH39" s="85" t="str">
        <f t="shared" si="37"/>
        <v/>
      </c>
      <c r="AI39" s="11"/>
      <c r="AJ39" s="81">
        <f t="shared" si="38"/>
        <v>0</v>
      </c>
    </row>
    <row r="40" ht="13.5" customHeight="1">
      <c r="A40" s="83" t="s">
        <v>108</v>
      </c>
      <c r="B40" s="81">
        <v>0.0</v>
      </c>
      <c r="C40" s="81">
        <v>0.0</v>
      </c>
      <c r="D40" s="81">
        <v>0.0</v>
      </c>
      <c r="E40" s="81">
        <v>0.0</v>
      </c>
      <c r="F40" s="81">
        <v>0.0</v>
      </c>
      <c r="G40" s="81">
        <v>0.0</v>
      </c>
      <c r="H40" s="81">
        <v>0.0</v>
      </c>
      <c r="I40" s="81">
        <v>0.0</v>
      </c>
      <c r="J40" s="93">
        <v>0.0</v>
      </c>
      <c r="K40" s="93">
        <v>0.0</v>
      </c>
      <c r="L40" s="93">
        <v>0.0</v>
      </c>
      <c r="M40" s="93">
        <v>0.0</v>
      </c>
      <c r="N40" s="81">
        <f t="shared" si="34"/>
        <v>0</v>
      </c>
      <c r="O40" s="85" t="str">
        <f t="shared" si="35"/>
        <v/>
      </c>
      <c r="P40" s="81"/>
      <c r="Q40" s="81"/>
      <c r="R40" s="86" t="s">
        <v>80</v>
      </c>
      <c r="S40" s="87">
        <v>0.0</v>
      </c>
      <c r="T40" s="88">
        <v>0.05</v>
      </c>
      <c r="U40" s="84">
        <f t="shared" ref="U40:AF40" si="45">IF($R40="Manual","",IFERROR(IF($R40="YOY Growth",$N40*(1+$T40)/12,$S40/12),""))</f>
        <v>0</v>
      </c>
      <c r="V40" s="84">
        <f t="shared" si="45"/>
        <v>0</v>
      </c>
      <c r="W40" s="84">
        <f t="shared" si="45"/>
        <v>0</v>
      </c>
      <c r="X40" s="84">
        <f t="shared" si="45"/>
        <v>0</v>
      </c>
      <c r="Y40" s="84">
        <f t="shared" si="45"/>
        <v>0</v>
      </c>
      <c r="Z40" s="84">
        <f t="shared" si="45"/>
        <v>0</v>
      </c>
      <c r="AA40" s="84">
        <f t="shared" si="45"/>
        <v>0</v>
      </c>
      <c r="AB40" s="84">
        <f t="shared" si="45"/>
        <v>0</v>
      </c>
      <c r="AC40" s="84">
        <f t="shared" si="45"/>
        <v>0</v>
      </c>
      <c r="AD40" s="84">
        <f t="shared" si="45"/>
        <v>0</v>
      </c>
      <c r="AE40" s="84">
        <f t="shared" si="45"/>
        <v>0</v>
      </c>
      <c r="AF40" s="84">
        <f t="shared" si="45"/>
        <v>0</v>
      </c>
      <c r="AG40" s="81">
        <f t="shared" si="36"/>
        <v>0</v>
      </c>
      <c r="AH40" s="85" t="str">
        <f t="shared" si="37"/>
        <v/>
      </c>
      <c r="AI40" s="11"/>
      <c r="AJ40" s="81">
        <f t="shared" si="38"/>
        <v>0</v>
      </c>
    </row>
    <row r="41" ht="13.5" customHeight="1">
      <c r="A41" s="83" t="s">
        <v>109</v>
      </c>
      <c r="B41" s="81">
        <v>0.0</v>
      </c>
      <c r="C41" s="81">
        <v>0.0</v>
      </c>
      <c r="D41" s="81">
        <v>0.0</v>
      </c>
      <c r="E41" s="81">
        <v>0.0</v>
      </c>
      <c r="F41" s="81">
        <v>0.0</v>
      </c>
      <c r="G41" s="81">
        <v>0.0</v>
      </c>
      <c r="H41" s="81">
        <v>0.0</v>
      </c>
      <c r="I41" s="81">
        <v>0.0</v>
      </c>
      <c r="J41" s="93"/>
      <c r="K41" s="93"/>
      <c r="L41" s="93"/>
      <c r="M41" s="93"/>
      <c r="N41" s="81">
        <f t="shared" si="34"/>
        <v>0</v>
      </c>
      <c r="O41" s="85" t="str">
        <f t="shared" si="35"/>
        <v/>
      </c>
      <c r="P41" s="81"/>
      <c r="Q41" s="81"/>
      <c r="R41" s="86" t="s">
        <v>80</v>
      </c>
      <c r="S41" s="87">
        <v>0.0</v>
      </c>
      <c r="T41" s="88">
        <v>0.05</v>
      </c>
      <c r="U41" s="84">
        <f t="shared" ref="U41:AF41" si="46">IF($R41="Manual","",IFERROR(IF($R41="YOY Growth",$N41*(1+$T41)/12,$S41/12),""))</f>
        <v>0</v>
      </c>
      <c r="V41" s="84">
        <f t="shared" si="46"/>
        <v>0</v>
      </c>
      <c r="W41" s="84">
        <f t="shared" si="46"/>
        <v>0</v>
      </c>
      <c r="X41" s="84">
        <f t="shared" si="46"/>
        <v>0</v>
      </c>
      <c r="Y41" s="84">
        <f t="shared" si="46"/>
        <v>0</v>
      </c>
      <c r="Z41" s="84">
        <f t="shared" si="46"/>
        <v>0</v>
      </c>
      <c r="AA41" s="84">
        <f t="shared" si="46"/>
        <v>0</v>
      </c>
      <c r="AB41" s="84">
        <f t="shared" si="46"/>
        <v>0</v>
      </c>
      <c r="AC41" s="84">
        <f t="shared" si="46"/>
        <v>0</v>
      </c>
      <c r="AD41" s="84">
        <f t="shared" si="46"/>
        <v>0</v>
      </c>
      <c r="AE41" s="84">
        <f t="shared" si="46"/>
        <v>0</v>
      </c>
      <c r="AF41" s="84">
        <f t="shared" si="46"/>
        <v>0</v>
      </c>
      <c r="AG41" s="81">
        <f t="shared" si="36"/>
        <v>0</v>
      </c>
      <c r="AH41" s="85" t="str">
        <f t="shared" si="37"/>
        <v/>
      </c>
      <c r="AI41" s="11"/>
      <c r="AJ41" s="81">
        <f t="shared" si="38"/>
        <v>0</v>
      </c>
    </row>
    <row r="42" ht="13.5" customHeight="1">
      <c r="A42" s="83" t="s">
        <v>110</v>
      </c>
      <c r="B42" s="81">
        <v>0.0</v>
      </c>
      <c r="C42" s="81">
        <v>0.0</v>
      </c>
      <c r="D42" s="81">
        <v>0.0</v>
      </c>
      <c r="E42" s="81">
        <v>0.0</v>
      </c>
      <c r="F42" s="81">
        <v>0.0</v>
      </c>
      <c r="G42" s="81">
        <v>0.0</v>
      </c>
      <c r="H42" s="81">
        <v>0.0</v>
      </c>
      <c r="I42" s="81">
        <v>0.0</v>
      </c>
      <c r="J42" s="93">
        <v>0.0</v>
      </c>
      <c r="K42" s="93">
        <v>0.0</v>
      </c>
      <c r="L42" s="93">
        <v>0.0</v>
      </c>
      <c r="M42" s="93">
        <v>0.0</v>
      </c>
      <c r="N42" s="81">
        <f t="shared" si="34"/>
        <v>0</v>
      </c>
      <c r="O42" s="85" t="str">
        <f t="shared" si="35"/>
        <v/>
      </c>
      <c r="P42" s="81"/>
      <c r="Q42" s="81"/>
      <c r="R42" s="86" t="s">
        <v>80</v>
      </c>
      <c r="S42" s="87">
        <v>0.0</v>
      </c>
      <c r="T42" s="88">
        <v>0.05</v>
      </c>
      <c r="U42" s="84">
        <f t="shared" ref="U42:AF42" si="47">IF($R42="Manual","",IFERROR(IF($R42="YOY Growth",$N42*(1+$T42)/12,$S42/12),""))</f>
        <v>0</v>
      </c>
      <c r="V42" s="84">
        <f t="shared" si="47"/>
        <v>0</v>
      </c>
      <c r="W42" s="84">
        <f t="shared" si="47"/>
        <v>0</v>
      </c>
      <c r="X42" s="84">
        <f t="shared" si="47"/>
        <v>0</v>
      </c>
      <c r="Y42" s="84">
        <f t="shared" si="47"/>
        <v>0</v>
      </c>
      <c r="Z42" s="84">
        <f t="shared" si="47"/>
        <v>0</v>
      </c>
      <c r="AA42" s="84">
        <f t="shared" si="47"/>
        <v>0</v>
      </c>
      <c r="AB42" s="84">
        <f t="shared" si="47"/>
        <v>0</v>
      </c>
      <c r="AC42" s="84">
        <f t="shared" si="47"/>
        <v>0</v>
      </c>
      <c r="AD42" s="84">
        <f t="shared" si="47"/>
        <v>0</v>
      </c>
      <c r="AE42" s="84">
        <f t="shared" si="47"/>
        <v>0</v>
      </c>
      <c r="AF42" s="84">
        <f t="shared" si="47"/>
        <v>0</v>
      </c>
      <c r="AG42" s="81">
        <f t="shared" si="36"/>
        <v>0</v>
      </c>
      <c r="AH42" s="85" t="str">
        <f t="shared" si="37"/>
        <v/>
      </c>
      <c r="AI42" s="11"/>
      <c r="AJ42" s="81">
        <f t="shared" si="38"/>
        <v>0</v>
      </c>
    </row>
    <row r="43" ht="13.5" customHeight="1">
      <c r="A43" s="82" t="s">
        <v>111</v>
      </c>
      <c r="B43" s="81"/>
      <c r="C43" s="81"/>
      <c r="D43" s="81"/>
      <c r="E43" s="81"/>
      <c r="F43" s="81"/>
      <c r="G43" s="81"/>
      <c r="H43" s="81"/>
      <c r="I43" s="81"/>
      <c r="J43" s="81"/>
      <c r="K43" s="81"/>
      <c r="L43" s="81"/>
      <c r="M43" s="81"/>
      <c r="N43" s="81"/>
      <c r="O43" s="85"/>
      <c r="P43" s="81"/>
      <c r="Q43" s="81"/>
      <c r="R43" s="92"/>
      <c r="S43" s="92"/>
      <c r="T43" s="92"/>
      <c r="U43" s="81"/>
      <c r="V43" s="81"/>
      <c r="W43" s="81"/>
      <c r="X43" s="81"/>
      <c r="Y43" s="81"/>
      <c r="Z43" s="81"/>
      <c r="AA43" s="81"/>
      <c r="AB43" s="81"/>
      <c r="AC43" s="81"/>
      <c r="AD43" s="81"/>
      <c r="AE43" s="81"/>
      <c r="AF43" s="81"/>
      <c r="AG43" s="81"/>
      <c r="AH43" s="85"/>
      <c r="AI43" s="11"/>
      <c r="AJ43" s="81"/>
    </row>
    <row r="44" ht="13.5" customHeight="1">
      <c r="A44" s="83" t="s">
        <v>112</v>
      </c>
      <c r="B44" s="81">
        <v>0.0</v>
      </c>
      <c r="C44" s="81">
        <v>0.0</v>
      </c>
      <c r="D44" s="81">
        <v>0.0</v>
      </c>
      <c r="E44" s="81">
        <v>0.0</v>
      </c>
      <c r="F44" s="81">
        <v>19808.0</v>
      </c>
      <c r="G44" s="81">
        <v>10009.0</v>
      </c>
      <c r="H44" s="81">
        <v>10968.52</v>
      </c>
      <c r="I44" s="81">
        <v>6116.47</v>
      </c>
      <c r="J44" s="93">
        <v>40350.0</v>
      </c>
      <c r="K44" s="93">
        <v>44270.0</v>
      </c>
      <c r="L44" s="93">
        <v>48190.0</v>
      </c>
      <c r="M44" s="93">
        <v>52110.0</v>
      </c>
      <c r="N44" s="81">
        <f t="shared" ref="N44:N50" si="48">SUM(B44:M44)</f>
        <v>231821.99</v>
      </c>
      <c r="O44" s="85" t="str">
        <f t="shared" ref="O44:O50" si="49">IFERROR(N44/N$16,"")</f>
        <v/>
      </c>
      <c r="P44" s="81"/>
      <c r="Q44" s="81"/>
      <c r="R44" s="94" t="s">
        <v>97</v>
      </c>
      <c r="S44" s="87"/>
      <c r="T44" s="88">
        <v>0.05</v>
      </c>
      <c r="U44" s="95">
        <f>'Fld Maint Budget'!B91</f>
        <v>37614</v>
      </c>
      <c r="V44" s="95">
        <f>'Fld Maint Budget'!C91</f>
        <v>37614</v>
      </c>
      <c r="W44" s="95">
        <f>'Fld Maint Budget'!D91</f>
        <v>50004</v>
      </c>
      <c r="X44" s="95">
        <f>'Fld Maint Budget'!E91</f>
        <v>50004</v>
      </c>
      <c r="Y44" s="95">
        <f>'Fld Maint Budget'!F91</f>
        <v>50004</v>
      </c>
      <c r="Z44" s="95">
        <f>'Fld Maint Budget'!G91</f>
        <v>50004</v>
      </c>
      <c r="AA44" s="95">
        <f>'Fld Maint Budget'!H91</f>
        <v>50004</v>
      </c>
      <c r="AB44" s="95">
        <f>'Fld Maint Budget'!I91</f>
        <v>50004</v>
      </c>
      <c r="AC44" s="95">
        <f>'Fld Maint Budget'!J91</f>
        <v>50004</v>
      </c>
      <c r="AD44" s="95">
        <f>'Fld Maint Budget'!K91</f>
        <v>50004</v>
      </c>
      <c r="AE44" s="95">
        <f>'Fld Maint Budget'!L91</f>
        <v>50004</v>
      </c>
      <c r="AF44" s="95">
        <f>'Fld Maint Budget'!M91</f>
        <v>50004</v>
      </c>
      <c r="AG44" s="81">
        <f t="shared" ref="AG44:AG50" si="50">SUM(U44:AF44)</f>
        <v>575268</v>
      </c>
      <c r="AH44" s="85" t="str">
        <f t="shared" ref="AH44:AH50" si="51">IFERROR(AG44/AG$16,"")</f>
        <v/>
      </c>
      <c r="AI44" s="11"/>
      <c r="AJ44" s="81">
        <f t="shared" ref="AJ44:AJ50" si="52">N44-AG44</f>
        <v>-343446.01</v>
      </c>
    </row>
    <row r="45" ht="13.5" customHeight="1">
      <c r="A45" s="83" t="s">
        <v>113</v>
      </c>
      <c r="B45" s="81">
        <v>5823.29</v>
      </c>
      <c r="C45" s="81">
        <v>256.47</v>
      </c>
      <c r="D45" s="81">
        <v>1327.17</v>
      </c>
      <c r="E45" s="81">
        <v>6164.18</v>
      </c>
      <c r="F45" s="81">
        <v>4983.81</v>
      </c>
      <c r="G45" s="81">
        <v>7888.65</v>
      </c>
      <c r="H45" s="81">
        <v>14179.16</v>
      </c>
      <c r="I45" s="81">
        <v>11260.12</v>
      </c>
      <c r="J45" s="93">
        <v>5750.0</v>
      </c>
      <c r="K45" s="93">
        <v>6000.0</v>
      </c>
      <c r="L45" s="93">
        <v>6250.0</v>
      </c>
      <c r="M45" s="93">
        <v>6500.0</v>
      </c>
      <c r="N45" s="81">
        <f t="shared" si="48"/>
        <v>76382.85</v>
      </c>
      <c r="O45" s="85" t="str">
        <f t="shared" si="49"/>
        <v/>
      </c>
      <c r="P45" s="81"/>
      <c r="Q45" s="81"/>
      <c r="R45" s="94" t="s">
        <v>97</v>
      </c>
      <c r="S45" s="87">
        <v>0.0</v>
      </c>
      <c r="T45" s="88">
        <v>0.05</v>
      </c>
      <c r="U45" s="95">
        <f>'Fld Maint Budget'!B92</f>
        <v>5185.82173</v>
      </c>
      <c r="V45" s="95">
        <f>'Fld Maint Budget'!C92</f>
        <v>5561.359436</v>
      </c>
      <c r="W45" s="95">
        <f>'Fld Maint Budget'!D92</f>
        <v>5561.359436</v>
      </c>
      <c r="X45" s="95">
        <f>'Fld Maint Budget'!E92</f>
        <v>6594.088128</v>
      </c>
      <c r="Y45" s="95">
        <f>'Fld Maint Budget'!F92</f>
        <v>7251.279114</v>
      </c>
      <c r="Z45" s="95">
        <f>'Fld Maint Budget'!G92</f>
        <v>8190.123379</v>
      </c>
      <c r="AA45" s="95">
        <f>'Fld Maint Budget'!H92</f>
        <v>9035.083218</v>
      </c>
      <c r="AB45" s="95">
        <f>'Fld Maint Budget'!I92</f>
        <v>10067.81191</v>
      </c>
      <c r="AC45" s="95">
        <f>'Fld Maint Budget'!J92</f>
        <v>11382.19388</v>
      </c>
      <c r="AD45" s="95">
        <f>'Fld Maint Budget'!K92</f>
        <v>12696.57585</v>
      </c>
      <c r="AE45" s="95">
        <f>'Fld Maint Budget'!L92</f>
        <v>14292.6111</v>
      </c>
      <c r="AF45" s="95">
        <f>'Fld Maint Budget'!M92</f>
        <v>15982.53078</v>
      </c>
      <c r="AG45" s="81">
        <f t="shared" si="50"/>
        <v>111800.838</v>
      </c>
      <c r="AH45" s="85" t="str">
        <f t="shared" si="51"/>
        <v/>
      </c>
      <c r="AI45" s="11"/>
      <c r="AJ45" s="81">
        <f t="shared" si="52"/>
        <v>-35417.98797</v>
      </c>
    </row>
    <row r="46" ht="13.5" customHeight="1">
      <c r="A46" s="83" t="s">
        <v>114</v>
      </c>
      <c r="B46" s="81">
        <v>1378.29</v>
      </c>
      <c r="C46" s="81">
        <v>1054.59</v>
      </c>
      <c r="D46" s="81">
        <v>2655.82</v>
      </c>
      <c r="E46" s="81">
        <v>0.0</v>
      </c>
      <c r="F46" s="81">
        <v>1059.27</v>
      </c>
      <c r="G46" s="81">
        <v>334.92</v>
      </c>
      <c r="H46" s="81">
        <v>1237.14</v>
      </c>
      <c r="I46" s="81">
        <v>9400.74</v>
      </c>
      <c r="J46" s="93">
        <v>1500.0</v>
      </c>
      <c r="K46" s="93">
        <v>1500.0</v>
      </c>
      <c r="L46" s="93">
        <v>1500.0</v>
      </c>
      <c r="M46" s="93">
        <v>1500.0</v>
      </c>
      <c r="N46" s="81">
        <f t="shared" si="48"/>
        <v>23120.77</v>
      </c>
      <c r="O46" s="85" t="str">
        <f t="shared" si="49"/>
        <v/>
      </c>
      <c r="P46" s="81"/>
      <c r="Q46" s="81"/>
      <c r="R46" s="94" t="s">
        <v>97</v>
      </c>
      <c r="S46" s="87">
        <v>0.0</v>
      </c>
      <c r="T46" s="88">
        <v>0.05</v>
      </c>
      <c r="U46" s="95">
        <f>'Fld Maint Budget'!B93</f>
        <v>14024.02</v>
      </c>
      <c r="V46" s="95">
        <f>'Fld Maint Budget'!C93</f>
        <v>9524.02</v>
      </c>
      <c r="W46" s="95">
        <f>'Fld Maint Budget'!D93</f>
        <v>551.6</v>
      </c>
      <c r="X46" s="95">
        <f>'Fld Maint Budget'!E93</f>
        <v>21334.34</v>
      </c>
      <c r="Y46" s="95">
        <f>'Fld Maint Budget'!F93</f>
        <v>16972.24</v>
      </c>
      <c r="Z46" s="95">
        <f>'Fld Maint Budget'!G93</f>
        <v>24310.14</v>
      </c>
      <c r="AA46" s="95">
        <f>'Fld Maint Budget'!H93</f>
        <v>21775.62</v>
      </c>
      <c r="AB46" s="95">
        <f>'Fld Maint Budget'!I93</f>
        <v>26468.68</v>
      </c>
      <c r="AC46" s="95">
        <f>'Fld Maint Budget'!J93</f>
        <v>33861.74</v>
      </c>
      <c r="AD46" s="95">
        <f>'Fld Maint Budget'!K93</f>
        <v>34109.96</v>
      </c>
      <c r="AE46" s="95">
        <f>'Fld Maint Budget'!L93</f>
        <v>41558.18</v>
      </c>
      <c r="AF46" s="95">
        <f>'Fld Maint Budget'!M93</f>
        <v>43578.82</v>
      </c>
      <c r="AG46" s="81">
        <f t="shared" si="50"/>
        <v>288069.36</v>
      </c>
      <c r="AH46" s="85" t="str">
        <f t="shared" si="51"/>
        <v/>
      </c>
      <c r="AI46" s="11"/>
      <c r="AJ46" s="81">
        <f t="shared" si="52"/>
        <v>-264948.59</v>
      </c>
    </row>
    <row r="47" ht="13.5" customHeight="1">
      <c r="A47" s="83" t="s">
        <v>115</v>
      </c>
      <c r="B47" s="81">
        <v>13329.1</v>
      </c>
      <c r="C47" s="81">
        <v>5064.23</v>
      </c>
      <c r="D47" s="81">
        <v>58626.27</v>
      </c>
      <c r="E47" s="81">
        <v>12810.6</v>
      </c>
      <c r="F47" s="81">
        <v>28158.41</v>
      </c>
      <c r="G47" s="81">
        <v>19000.31</v>
      </c>
      <c r="H47" s="81">
        <v>10810.67</v>
      </c>
      <c r="I47" s="81">
        <v>-8095.66</v>
      </c>
      <c r="J47" s="93">
        <v>28000.0</v>
      </c>
      <c r="K47" s="93">
        <v>28000.0</v>
      </c>
      <c r="L47" s="93">
        <v>30000.0</v>
      </c>
      <c r="M47" s="93">
        <v>30000.0</v>
      </c>
      <c r="N47" s="81">
        <f t="shared" si="48"/>
        <v>255703.93</v>
      </c>
      <c r="O47" s="85" t="str">
        <f t="shared" si="49"/>
        <v/>
      </c>
      <c r="P47" s="81"/>
      <c r="Q47" s="81"/>
      <c r="R47" s="94" t="s">
        <v>97</v>
      </c>
      <c r="S47" s="87">
        <v>0.0</v>
      </c>
      <c r="T47" s="88">
        <v>0.05</v>
      </c>
      <c r="U47" s="95">
        <f>'Fld Maint Budget'!B94</f>
        <v>48713.61754</v>
      </c>
      <c r="V47" s="95">
        <f>'Fld Maint Budget'!C94</f>
        <v>55799.23464</v>
      </c>
      <c r="W47" s="95">
        <f>'Fld Maint Budget'!D94</f>
        <v>55799.23464</v>
      </c>
      <c r="X47" s="95">
        <f>'Fld Maint Budget'!E94</f>
        <v>75284.68166</v>
      </c>
      <c r="Y47" s="95">
        <f>'Fld Maint Budget'!F94</f>
        <v>87684.51158</v>
      </c>
      <c r="Z47" s="95">
        <f>'Fld Maint Budget'!G94</f>
        <v>105398.5543</v>
      </c>
      <c r="AA47" s="95">
        <f>'Fld Maint Budget'!H94</f>
        <v>121341.1928</v>
      </c>
      <c r="AB47" s="95">
        <f>'Fld Maint Budget'!I94</f>
        <v>140826.6398</v>
      </c>
      <c r="AC47" s="95">
        <f>'Fld Maint Budget'!J94</f>
        <v>165626.2996</v>
      </c>
      <c r="AD47" s="95">
        <f>'Fld Maint Budget'!K94</f>
        <v>190425.9595</v>
      </c>
      <c r="AE47" s="95">
        <f>'Fld Maint Budget'!L94</f>
        <v>220539.8321</v>
      </c>
      <c r="AF47" s="95">
        <f>'Fld Maint Budget'!M94</f>
        <v>252425.1091</v>
      </c>
      <c r="AG47" s="81">
        <f t="shared" si="50"/>
        <v>1519864.867</v>
      </c>
      <c r="AH47" s="85" t="str">
        <f t="shared" si="51"/>
        <v/>
      </c>
      <c r="AI47" s="11"/>
      <c r="AJ47" s="81">
        <f t="shared" si="52"/>
        <v>-1264160.937</v>
      </c>
    </row>
    <row r="48" ht="13.5" customHeight="1">
      <c r="A48" s="83" t="s">
        <v>116</v>
      </c>
      <c r="B48" s="81">
        <v>1000.0</v>
      </c>
      <c r="C48" s="81">
        <v>3800.0</v>
      </c>
      <c r="D48" s="81">
        <v>4120.0</v>
      </c>
      <c r="E48" s="81">
        <v>2500.0</v>
      </c>
      <c r="F48" s="81">
        <v>2680.0</v>
      </c>
      <c r="G48" s="81">
        <v>2560.0</v>
      </c>
      <c r="H48" s="81">
        <v>1240.0</v>
      </c>
      <c r="I48" s="81">
        <v>1060.0</v>
      </c>
      <c r="J48" s="93">
        <v>3000.0</v>
      </c>
      <c r="K48" s="93">
        <v>3000.0</v>
      </c>
      <c r="L48" s="93">
        <v>3000.0</v>
      </c>
      <c r="M48" s="93">
        <v>3000.0</v>
      </c>
      <c r="N48" s="81">
        <f t="shared" si="48"/>
        <v>30960</v>
      </c>
      <c r="O48" s="85" t="str">
        <f t="shared" si="49"/>
        <v/>
      </c>
      <c r="P48" s="81"/>
      <c r="Q48" s="81"/>
      <c r="R48" s="94" t="s">
        <v>97</v>
      </c>
      <c r="S48" s="87">
        <v>0.0</v>
      </c>
      <c r="T48" s="88">
        <v>0.05</v>
      </c>
      <c r="U48" s="95">
        <f>'Fld Maint Budget'!B95</f>
        <v>3000</v>
      </c>
      <c r="V48" s="95">
        <f>'Fld Maint Budget'!C95</f>
        <v>3000</v>
      </c>
      <c r="W48" s="95">
        <f>'Fld Maint Budget'!D95</f>
        <v>3000</v>
      </c>
      <c r="X48" s="95">
        <f>'Fld Maint Budget'!E95</f>
        <v>3000</v>
      </c>
      <c r="Y48" s="95">
        <f>'Fld Maint Budget'!F95</f>
        <v>3000</v>
      </c>
      <c r="Z48" s="95">
        <f>'Fld Maint Budget'!G95</f>
        <v>3000</v>
      </c>
      <c r="AA48" s="95">
        <f>'Fld Maint Budget'!H95</f>
        <v>3000</v>
      </c>
      <c r="AB48" s="95">
        <f>'Fld Maint Budget'!I95</f>
        <v>3000</v>
      </c>
      <c r="AC48" s="95">
        <f>'Fld Maint Budget'!J95</f>
        <v>3000</v>
      </c>
      <c r="AD48" s="95">
        <f>'Fld Maint Budget'!K95</f>
        <v>3000</v>
      </c>
      <c r="AE48" s="95">
        <f>'Fld Maint Budget'!L95</f>
        <v>3000</v>
      </c>
      <c r="AF48" s="95">
        <f>'Fld Maint Budget'!M95</f>
        <v>3000</v>
      </c>
      <c r="AG48" s="81">
        <f t="shared" si="50"/>
        <v>36000</v>
      </c>
      <c r="AH48" s="85" t="str">
        <f t="shared" si="51"/>
        <v/>
      </c>
      <c r="AI48" s="11"/>
      <c r="AJ48" s="81">
        <f t="shared" si="52"/>
        <v>-5040</v>
      </c>
    </row>
    <row r="49" ht="13.5" customHeight="1">
      <c r="A49" s="83" t="s">
        <v>117</v>
      </c>
      <c r="B49" s="81">
        <v>1900.25</v>
      </c>
      <c r="C49" s="81">
        <v>1371.12</v>
      </c>
      <c r="D49" s="81">
        <v>616.4</v>
      </c>
      <c r="E49" s="81">
        <v>579.5</v>
      </c>
      <c r="F49" s="81">
        <v>7011.68</v>
      </c>
      <c r="G49" s="81">
        <v>4314.54</v>
      </c>
      <c r="H49" s="81">
        <v>2792.06</v>
      </c>
      <c r="I49" s="81">
        <v>8642.38</v>
      </c>
      <c r="J49" s="93">
        <v>5000.0</v>
      </c>
      <c r="K49" s="93">
        <v>5000.0</v>
      </c>
      <c r="L49" s="93">
        <v>4000.0</v>
      </c>
      <c r="M49" s="93">
        <v>4000.0</v>
      </c>
      <c r="N49" s="81">
        <f t="shared" si="48"/>
        <v>45227.93</v>
      </c>
      <c r="O49" s="85" t="str">
        <f t="shared" si="49"/>
        <v/>
      </c>
      <c r="P49" s="81"/>
      <c r="Q49" s="81"/>
      <c r="R49" s="94" t="s">
        <v>97</v>
      </c>
      <c r="S49" s="87">
        <v>0.0</v>
      </c>
      <c r="T49" s="88">
        <v>0.05</v>
      </c>
      <c r="U49" s="95">
        <f>'Fld Maint Budget'!B96</f>
        <v>3992</v>
      </c>
      <c r="V49" s="95">
        <f>'Fld Maint Budget'!C96</f>
        <v>3992</v>
      </c>
      <c r="W49" s="95">
        <f>'Fld Maint Budget'!D96</f>
        <v>3992</v>
      </c>
      <c r="X49" s="95">
        <f>'Fld Maint Budget'!E96</f>
        <v>3992</v>
      </c>
      <c r="Y49" s="95">
        <f>'Fld Maint Budget'!F96</f>
        <v>3992</v>
      </c>
      <c r="Z49" s="95">
        <f>'Fld Maint Budget'!G96</f>
        <v>3992</v>
      </c>
      <c r="AA49" s="95">
        <f>'Fld Maint Budget'!H96</f>
        <v>3992</v>
      </c>
      <c r="AB49" s="95">
        <f>'Fld Maint Budget'!I96</f>
        <v>3992</v>
      </c>
      <c r="AC49" s="95">
        <f>'Fld Maint Budget'!J96</f>
        <v>3992</v>
      </c>
      <c r="AD49" s="95">
        <f>'Fld Maint Budget'!K96</f>
        <v>3992</v>
      </c>
      <c r="AE49" s="95">
        <f>'Fld Maint Budget'!L96</f>
        <v>3992</v>
      </c>
      <c r="AF49" s="95">
        <f>'Fld Maint Budget'!M96</f>
        <v>3992</v>
      </c>
      <c r="AG49" s="81">
        <f t="shared" si="50"/>
        <v>47904</v>
      </c>
      <c r="AH49" s="85" t="str">
        <f t="shared" si="51"/>
        <v/>
      </c>
      <c r="AI49" s="11"/>
      <c r="AJ49" s="81">
        <f t="shared" si="52"/>
        <v>-2676.07</v>
      </c>
    </row>
    <row r="50" ht="13.5" customHeight="1">
      <c r="A50" s="83" t="s">
        <v>118</v>
      </c>
      <c r="B50" s="81">
        <v>0.0</v>
      </c>
      <c r="C50" s="81">
        <v>121.5</v>
      </c>
      <c r="D50" s="81">
        <v>0.0</v>
      </c>
      <c r="E50" s="81">
        <v>0.0</v>
      </c>
      <c r="F50" s="81">
        <v>18.64</v>
      </c>
      <c r="G50" s="81">
        <v>0.0</v>
      </c>
      <c r="H50" s="81">
        <v>0.0</v>
      </c>
      <c r="I50" s="81">
        <v>0.0</v>
      </c>
      <c r="J50" s="93">
        <v>150.0</v>
      </c>
      <c r="K50" s="93">
        <v>150.0</v>
      </c>
      <c r="L50" s="93">
        <v>150.0</v>
      </c>
      <c r="M50" s="93">
        <v>150.0</v>
      </c>
      <c r="N50" s="81">
        <f t="shared" si="48"/>
        <v>740.14</v>
      </c>
      <c r="O50" s="85" t="str">
        <f t="shared" si="49"/>
        <v/>
      </c>
      <c r="P50" s="81"/>
      <c r="Q50" s="81"/>
      <c r="R50" s="86" t="s">
        <v>80</v>
      </c>
      <c r="S50" s="87">
        <v>0.0</v>
      </c>
      <c r="T50" s="88">
        <v>0.05</v>
      </c>
      <c r="U50" s="84">
        <f t="shared" ref="U50:AF50" si="53">IF($R50="Manual","",IFERROR(IF($R50="YOY Growth",$N50*(1+$T50)/12,$S50/12),""))</f>
        <v>0</v>
      </c>
      <c r="V50" s="84">
        <f t="shared" si="53"/>
        <v>0</v>
      </c>
      <c r="W50" s="84">
        <f t="shared" si="53"/>
        <v>0</v>
      </c>
      <c r="X50" s="84">
        <f t="shared" si="53"/>
        <v>0</v>
      </c>
      <c r="Y50" s="84">
        <f t="shared" si="53"/>
        <v>0</v>
      </c>
      <c r="Z50" s="84">
        <f t="shared" si="53"/>
        <v>0</v>
      </c>
      <c r="AA50" s="84">
        <f t="shared" si="53"/>
        <v>0</v>
      </c>
      <c r="AB50" s="84">
        <f t="shared" si="53"/>
        <v>0</v>
      </c>
      <c r="AC50" s="84">
        <f t="shared" si="53"/>
        <v>0</v>
      </c>
      <c r="AD50" s="84">
        <f t="shared" si="53"/>
        <v>0</v>
      </c>
      <c r="AE50" s="84">
        <f t="shared" si="53"/>
        <v>0</v>
      </c>
      <c r="AF50" s="84">
        <f t="shared" si="53"/>
        <v>0</v>
      </c>
      <c r="AG50" s="81">
        <f t="shared" si="50"/>
        <v>0</v>
      </c>
      <c r="AH50" s="85" t="str">
        <f t="shared" si="51"/>
        <v/>
      </c>
      <c r="AI50" s="11"/>
      <c r="AJ50" s="81">
        <f t="shared" si="52"/>
        <v>740.14</v>
      </c>
    </row>
    <row r="51" ht="13.5" customHeight="1">
      <c r="A51" s="82" t="s">
        <v>119</v>
      </c>
      <c r="B51" s="81"/>
      <c r="C51" s="81"/>
      <c r="D51" s="81"/>
      <c r="E51" s="81"/>
      <c r="F51" s="81"/>
      <c r="G51" s="81"/>
      <c r="H51" s="81"/>
      <c r="I51" s="81"/>
      <c r="J51" s="81"/>
      <c r="K51" s="81"/>
      <c r="L51" s="81"/>
      <c r="M51" s="81"/>
      <c r="N51" s="81"/>
      <c r="O51" s="85"/>
      <c r="P51" s="81"/>
      <c r="Q51" s="81"/>
      <c r="R51" s="92"/>
      <c r="S51" s="92"/>
      <c r="T51" s="92"/>
      <c r="U51" s="81"/>
      <c r="V51" s="81"/>
      <c r="W51" s="81"/>
      <c r="X51" s="81"/>
      <c r="Y51" s="81"/>
      <c r="Z51" s="81"/>
      <c r="AA51" s="81"/>
      <c r="AB51" s="81"/>
      <c r="AC51" s="81"/>
      <c r="AD51" s="81"/>
      <c r="AE51" s="81"/>
      <c r="AF51" s="81"/>
      <c r="AG51" s="81"/>
      <c r="AH51" s="85"/>
      <c r="AI51" s="11"/>
      <c r="AJ51" s="81"/>
    </row>
    <row r="52" ht="13.5" customHeight="1">
      <c r="A52" s="83" t="s">
        <v>120</v>
      </c>
      <c r="B52" s="81">
        <v>41771.03</v>
      </c>
      <c r="C52" s="81">
        <v>27453.8</v>
      </c>
      <c r="D52" s="81">
        <v>55703.48</v>
      </c>
      <c r="E52" s="81">
        <v>77202.08</v>
      </c>
      <c r="F52" s="81">
        <v>72865.8</v>
      </c>
      <c r="G52" s="81">
        <v>64701.68</v>
      </c>
      <c r="H52" s="81">
        <v>82139.24</v>
      </c>
      <c r="I52" s="81">
        <v>79454.55</v>
      </c>
      <c r="J52" s="93">
        <v>90000.0</v>
      </c>
      <c r="K52" s="93">
        <v>92700.0</v>
      </c>
      <c r="L52" s="93">
        <v>95800.0</v>
      </c>
      <c r="M52" s="93">
        <v>96900.0</v>
      </c>
      <c r="N52" s="81">
        <f t="shared" ref="N52:N56" si="54">SUM(B52:M52)</f>
        <v>876691.66</v>
      </c>
      <c r="O52" s="85" t="str">
        <f t="shared" ref="O52:O56" si="55">IFERROR(N52/N$16,"")</f>
        <v/>
      </c>
      <c r="P52" s="81"/>
      <c r="Q52" s="81"/>
      <c r="R52" s="97"/>
      <c r="S52" s="97"/>
      <c r="T52" s="97"/>
      <c r="U52" s="97">
        <f>'Fld Ops Payroll'!F21+'Fld Ops Payroll'!F31+'Fld Ops Payroll'!F43+'Fld Ops Payroll'!F56+'Fld Ops Payroll'!F69+'Fld Ops Payroll'!F76+'Fld Ops Payroll'!F77+'Fld Ops Payroll'!F34+'Fld Ops Payroll'!F46+'Fld Ops Payroll'!F59+'Fld Ops Payroll'!F72</f>
        <v>120126.25</v>
      </c>
      <c r="V52" s="97">
        <f>'Fld Ops Payroll'!G21+'Fld Ops Payroll'!G31+'Fld Ops Payroll'!G43+'Fld Ops Payroll'!G56+'Fld Ops Payroll'!G69+'Fld Ops Payroll'!G76+'Fld Ops Payroll'!G77+'Fld Ops Payroll'!G34+'Fld Ops Payroll'!G46+'Fld Ops Payroll'!G59+'Fld Ops Payroll'!G72</f>
        <v>116126.25</v>
      </c>
      <c r="W52" s="97">
        <f>'Fld Ops Payroll'!H21+'Fld Ops Payroll'!H31+'Fld Ops Payroll'!H43+'Fld Ops Payroll'!H56+'Fld Ops Payroll'!H69+'Fld Ops Payroll'!H76+'Fld Ops Payroll'!H77+'Fld Ops Payroll'!H34+'Fld Ops Payroll'!H46+'Fld Ops Payroll'!H59+'Fld Ops Payroll'!H72</f>
        <v>154626.25</v>
      </c>
      <c r="X52" s="97">
        <f>'Fld Ops Payroll'!I21+'Fld Ops Payroll'!I31+'Fld Ops Payroll'!I43+'Fld Ops Payroll'!I56+'Fld Ops Payroll'!I69+'Fld Ops Payroll'!I76+'Fld Ops Payroll'!I77+'Fld Ops Payroll'!I34+'Fld Ops Payroll'!I46+'Fld Ops Payroll'!I59+'Fld Ops Payroll'!I72</f>
        <v>166376.25</v>
      </c>
      <c r="Y52" s="97">
        <f>'Fld Ops Payroll'!J21+'Fld Ops Payroll'!J31+'Fld Ops Payroll'!J43+'Fld Ops Payroll'!J56+'Fld Ops Payroll'!J69+'Fld Ops Payroll'!J76+'Fld Ops Payroll'!J77+'Fld Ops Payroll'!J34+'Fld Ops Payroll'!J46+'Fld Ops Payroll'!J59+'Fld Ops Payroll'!J72</f>
        <v>196626.25</v>
      </c>
      <c r="Z52" s="97">
        <f>'Fld Ops Payroll'!K21+'Fld Ops Payroll'!K31+'Fld Ops Payroll'!K43+'Fld Ops Payroll'!K56+'Fld Ops Payroll'!K69+'Fld Ops Payroll'!K76+'Fld Ops Payroll'!K77+'Fld Ops Payroll'!K34+'Fld Ops Payroll'!K46+'Fld Ops Payroll'!K59+'Fld Ops Payroll'!K72</f>
        <v>222876.25</v>
      </c>
      <c r="AA52" s="97">
        <f>'Fld Ops Payroll'!L21+'Fld Ops Payroll'!L31+'Fld Ops Payroll'!L43+'Fld Ops Payroll'!L56+'Fld Ops Payroll'!L69+'Fld Ops Payroll'!L76+'Fld Ops Payroll'!L77+'Fld Ops Payroll'!L34+'Fld Ops Payroll'!L46+'Fld Ops Payroll'!L59+'Fld Ops Payroll'!L72</f>
        <v>265876.25</v>
      </c>
      <c r="AB52" s="97">
        <f>'Fld Ops Payroll'!M21+'Fld Ops Payroll'!M31+'Fld Ops Payroll'!M43+'Fld Ops Payroll'!M56+'Fld Ops Payroll'!M69+'Fld Ops Payroll'!M76+'Fld Ops Payroll'!M77+'Fld Ops Payroll'!M34+'Fld Ops Payroll'!M46+'Fld Ops Payroll'!M59+'Fld Ops Payroll'!M72</f>
        <v>302626.25</v>
      </c>
      <c r="AC52" s="97">
        <f>'Fld Ops Payroll'!N21+'Fld Ops Payroll'!N31+'Fld Ops Payroll'!N43+'Fld Ops Payroll'!N56+'Fld Ops Payroll'!N69+'Fld Ops Payroll'!N76+'Fld Ops Payroll'!N77+'Fld Ops Payroll'!N34+'Fld Ops Payroll'!N46+'Fld Ops Payroll'!N59+'Fld Ops Payroll'!N72</f>
        <v>339376.25</v>
      </c>
      <c r="AD52" s="97">
        <f>'Fld Ops Payroll'!O21+'Fld Ops Payroll'!O31+'Fld Ops Payroll'!O43+'Fld Ops Payroll'!O56+'Fld Ops Payroll'!O69+'Fld Ops Payroll'!O76+'Fld Ops Payroll'!O77+'Fld Ops Payroll'!O34+'Fld Ops Payroll'!O46+'Fld Ops Payroll'!O59+'Fld Ops Payroll'!O72</f>
        <v>404465.0375</v>
      </c>
      <c r="AE52" s="97">
        <f>'Fld Ops Payroll'!P21+'Fld Ops Payroll'!P31+'Fld Ops Payroll'!P43+'Fld Ops Payroll'!P56+'Fld Ops Payroll'!P69+'Fld Ops Payroll'!P76+'Fld Ops Payroll'!P77+'Fld Ops Payroll'!P34+'Fld Ops Payroll'!P46+'Fld Ops Payroll'!P59+'Fld Ops Payroll'!P72</f>
        <v>449715.0375</v>
      </c>
      <c r="AF52" s="97">
        <f>'Fld Ops Payroll'!Q21+'Fld Ops Payroll'!Q31+'Fld Ops Payroll'!Q43+'Fld Ops Payroll'!Q56+'Fld Ops Payroll'!Q69+'Fld Ops Payroll'!Q76+'Fld Ops Payroll'!Q77+'Fld Ops Payroll'!Q34+'Fld Ops Payroll'!Q46+'Fld Ops Payroll'!Q59+'Fld Ops Payroll'!Q72</f>
        <v>499215.0375</v>
      </c>
      <c r="AG52" s="81">
        <f t="shared" ref="AG52:AG56" si="56">SUM(U52:AF52)</f>
        <v>3238031.363</v>
      </c>
      <c r="AH52" s="85" t="str">
        <f t="shared" ref="AH52:AH56" si="57">IFERROR(AG52/AG$16,"")</f>
        <v/>
      </c>
      <c r="AI52" s="11"/>
      <c r="AJ52" s="81">
        <f t="shared" ref="AJ52:AJ56" si="58">N52-AG52</f>
        <v>-2361339.703</v>
      </c>
    </row>
    <row r="53" ht="13.5" customHeight="1">
      <c r="A53" s="83" t="s">
        <v>121</v>
      </c>
      <c r="B53" s="81">
        <v>3714.57</v>
      </c>
      <c r="C53" s="81">
        <v>3251.23</v>
      </c>
      <c r="D53" s="81">
        <v>3711.25</v>
      </c>
      <c r="E53" s="81">
        <v>5152.42</v>
      </c>
      <c r="F53" s="81">
        <v>4827.71</v>
      </c>
      <c r="G53" s="81">
        <v>4403.72</v>
      </c>
      <c r="H53" s="81">
        <v>5573.24</v>
      </c>
      <c r="I53" s="81">
        <v>5853.77</v>
      </c>
      <c r="J53" s="93">
        <v>5850.0</v>
      </c>
      <c r="K53" s="93">
        <v>6026.0</v>
      </c>
      <c r="L53" s="93">
        <v>6227.0</v>
      </c>
      <c r="M53" s="93">
        <v>6299.0</v>
      </c>
      <c r="N53" s="81">
        <f t="shared" si="54"/>
        <v>60889.91</v>
      </c>
      <c r="O53" s="85" t="str">
        <f t="shared" si="55"/>
        <v/>
      </c>
      <c r="P53" s="81"/>
      <c r="Q53" s="81"/>
      <c r="R53" s="97"/>
      <c r="S53" s="97"/>
      <c r="T53" s="97"/>
      <c r="U53" s="97">
        <f>'Fld Ops Payroll'!F22+'Fld Ops Payroll'!F32+'Fld Ops Payroll'!F44+'Fld Ops Payroll'!F57+'Fld Ops Payroll'!F70+'Fld Ops Payroll'!F78</f>
        <v>7896.585</v>
      </c>
      <c r="V53" s="97">
        <f>'Fld Ops Payroll'!G22+'Fld Ops Payroll'!G32+'Fld Ops Payroll'!G44+'Fld Ops Payroll'!G57+'Fld Ops Payroll'!G70+'Fld Ops Payroll'!G78</f>
        <v>7896.585</v>
      </c>
      <c r="W53" s="97">
        <f>'Fld Ops Payroll'!H22+'Fld Ops Payroll'!H32+'Fld Ops Payroll'!H44+'Fld Ops Payroll'!H57+'Fld Ops Payroll'!H70+'Fld Ops Payroll'!H78</f>
        <v>9834.585</v>
      </c>
      <c r="X53" s="97">
        <f>'Fld Ops Payroll'!I22+'Fld Ops Payroll'!I32+'Fld Ops Payroll'!I44+'Fld Ops Payroll'!I57+'Fld Ops Payroll'!I70+'Fld Ops Payroll'!I78</f>
        <v>10905.585</v>
      </c>
      <c r="Y53" s="97">
        <f>'Fld Ops Payroll'!J22+'Fld Ops Payroll'!J32+'Fld Ops Payroll'!J44+'Fld Ops Payroll'!J57+'Fld Ops Payroll'!J70+'Fld Ops Payroll'!J78</f>
        <v>12690.585</v>
      </c>
      <c r="Z53" s="97">
        <f>'Fld Ops Payroll'!K22+'Fld Ops Payroll'!K32+'Fld Ops Payroll'!K44+'Fld Ops Payroll'!K57+'Fld Ops Payroll'!K70+'Fld Ops Payroll'!K78</f>
        <v>14475.585</v>
      </c>
      <c r="AA53" s="97">
        <f>'Fld Ops Payroll'!L22+'Fld Ops Payroll'!L32+'Fld Ops Payroll'!L44+'Fld Ops Payroll'!L57+'Fld Ops Payroll'!L70+'Fld Ops Payroll'!L78</f>
        <v>17127.585</v>
      </c>
      <c r="AB53" s="97">
        <f>'Fld Ops Payroll'!M22+'Fld Ops Payroll'!M32+'Fld Ops Payroll'!M44+'Fld Ops Payroll'!M57+'Fld Ops Payroll'!M70+'Fld Ops Payroll'!M78</f>
        <v>19626.585</v>
      </c>
      <c r="AC53" s="97">
        <f>'Fld Ops Payroll'!N22+'Fld Ops Payroll'!N32+'Fld Ops Payroll'!N44+'Fld Ops Payroll'!N57+'Fld Ops Payroll'!N70+'Fld Ops Payroll'!N78</f>
        <v>22125.585</v>
      </c>
      <c r="AD53" s="97">
        <f>'Fld Ops Payroll'!O22+'Fld Ops Payroll'!O32+'Fld Ops Payroll'!O44+'Fld Ops Payroll'!O57+'Fld Ops Payroll'!O70+'Fld Ops Payroll'!O78</f>
        <v>26143.62255</v>
      </c>
      <c r="AE53" s="97">
        <f>'Fld Ops Payroll'!P22+'Fld Ops Payroll'!P32+'Fld Ops Payroll'!P44+'Fld Ops Payroll'!P57+'Fld Ops Payroll'!P70+'Fld Ops Payroll'!P78</f>
        <v>29356.62255</v>
      </c>
      <c r="AF53" s="97">
        <f>'Fld Ops Payroll'!Q22+'Fld Ops Payroll'!Q32+'Fld Ops Payroll'!Q44+'Fld Ops Payroll'!Q57+'Fld Ops Payroll'!Q70+'Fld Ops Payroll'!Q78</f>
        <v>32722.62255</v>
      </c>
      <c r="AG53" s="81">
        <f t="shared" si="56"/>
        <v>210802.1327</v>
      </c>
      <c r="AH53" s="85" t="str">
        <f t="shared" si="57"/>
        <v/>
      </c>
      <c r="AI53" s="11"/>
      <c r="AJ53" s="81">
        <f t="shared" si="58"/>
        <v>-149912.2227</v>
      </c>
    </row>
    <row r="54" ht="13.5" customHeight="1">
      <c r="A54" s="83" t="s">
        <v>122</v>
      </c>
      <c r="B54" s="81">
        <v>30690.72</v>
      </c>
      <c r="C54" s="81">
        <v>21236.59</v>
      </c>
      <c r="D54" s="81">
        <v>9448.65</v>
      </c>
      <c r="E54" s="81">
        <v>12493.8</v>
      </c>
      <c r="F54" s="81">
        <v>12115.76</v>
      </c>
      <c r="G54" s="81">
        <v>16324.25</v>
      </c>
      <c r="H54" s="81">
        <v>13014.13</v>
      </c>
      <c r="I54" s="81">
        <v>17324.26</v>
      </c>
      <c r="J54" s="93">
        <v>10800.0</v>
      </c>
      <c r="K54" s="93">
        <v>11124.0</v>
      </c>
      <c r="L54" s="93">
        <v>11496.0</v>
      </c>
      <c r="M54" s="93">
        <v>11628.0</v>
      </c>
      <c r="N54" s="81">
        <f t="shared" si="54"/>
        <v>177696.16</v>
      </c>
      <c r="O54" s="85" t="str">
        <f t="shared" si="55"/>
        <v/>
      </c>
      <c r="P54" s="81"/>
      <c r="Q54" s="81"/>
      <c r="R54" s="97"/>
      <c r="S54" s="97"/>
      <c r="T54" s="97"/>
      <c r="U54" s="97">
        <f>'Fld Ops Payroll'!F23+'Fld Ops Payroll'!F33+'Fld Ops Payroll'!F45+'Fld Ops Payroll'!F58+'Fld Ops Payroll'!F71+'Fld Ops Payroll'!F79</f>
        <v>19044.705</v>
      </c>
      <c r="V54" s="97">
        <f>'Fld Ops Payroll'!G23+'Fld Ops Payroll'!G33+'Fld Ops Payroll'!G45+'Fld Ops Payroll'!G58+'Fld Ops Payroll'!G71+'Fld Ops Payroll'!G79</f>
        <v>19044.705</v>
      </c>
      <c r="W54" s="97">
        <f>'Fld Ops Payroll'!H23+'Fld Ops Payroll'!H33+'Fld Ops Payroll'!H45+'Fld Ops Payroll'!H58+'Fld Ops Payroll'!H71+'Fld Ops Payroll'!H79</f>
        <v>23718.705</v>
      </c>
      <c r="X54" s="97">
        <f>'Fld Ops Payroll'!I23+'Fld Ops Payroll'!I33+'Fld Ops Payroll'!I45+'Fld Ops Payroll'!I58+'Fld Ops Payroll'!I71+'Fld Ops Payroll'!I79</f>
        <v>26301.705</v>
      </c>
      <c r="Y54" s="97">
        <f>'Fld Ops Payroll'!J23+'Fld Ops Payroll'!J33+'Fld Ops Payroll'!J45+'Fld Ops Payroll'!J58+'Fld Ops Payroll'!J71+'Fld Ops Payroll'!J79</f>
        <v>30606.705</v>
      </c>
      <c r="Z54" s="97">
        <f>'Fld Ops Payroll'!K23+'Fld Ops Payroll'!K33+'Fld Ops Payroll'!K45+'Fld Ops Payroll'!K58+'Fld Ops Payroll'!K71+'Fld Ops Payroll'!K79</f>
        <v>34911.705</v>
      </c>
      <c r="AA54" s="97">
        <f>'Fld Ops Payroll'!L23+'Fld Ops Payroll'!L33+'Fld Ops Payroll'!L45+'Fld Ops Payroll'!L58+'Fld Ops Payroll'!L71+'Fld Ops Payroll'!L79</f>
        <v>41307.705</v>
      </c>
      <c r="AB54" s="97">
        <f>'Fld Ops Payroll'!M23+'Fld Ops Payroll'!M33+'Fld Ops Payroll'!M45+'Fld Ops Payroll'!M58+'Fld Ops Payroll'!M71+'Fld Ops Payroll'!M79</f>
        <v>47334.705</v>
      </c>
      <c r="AC54" s="97">
        <f>'Fld Ops Payroll'!N23+'Fld Ops Payroll'!N33+'Fld Ops Payroll'!N45+'Fld Ops Payroll'!N58+'Fld Ops Payroll'!N71+'Fld Ops Payroll'!N79</f>
        <v>53361.705</v>
      </c>
      <c r="AD54" s="97">
        <f>'Fld Ops Payroll'!O23+'Fld Ops Payroll'!O33+'Fld Ops Payroll'!O45+'Fld Ops Payroll'!O58+'Fld Ops Payroll'!O71+'Fld Ops Payroll'!O79</f>
        <v>63052.26615</v>
      </c>
      <c r="AE54" s="97">
        <f>'Fld Ops Payroll'!P23+'Fld Ops Payroll'!P33+'Fld Ops Payroll'!P45+'Fld Ops Payroll'!P58+'Fld Ops Payroll'!P71+'Fld Ops Payroll'!P79</f>
        <v>70801.26615</v>
      </c>
      <c r="AF54" s="97">
        <f>'Fld Ops Payroll'!Q23+'Fld Ops Payroll'!Q33+'Fld Ops Payroll'!Q45+'Fld Ops Payroll'!Q58+'Fld Ops Payroll'!Q71+'Fld Ops Payroll'!Q79</f>
        <v>78919.26615</v>
      </c>
      <c r="AG54" s="81">
        <f t="shared" si="56"/>
        <v>508405.1435</v>
      </c>
      <c r="AH54" s="85" t="str">
        <f t="shared" si="57"/>
        <v/>
      </c>
      <c r="AI54" s="11"/>
      <c r="AJ54" s="81">
        <f t="shared" si="58"/>
        <v>-330708.9835</v>
      </c>
    </row>
    <row r="55" ht="13.5" customHeight="1">
      <c r="A55" s="89" t="s">
        <v>123</v>
      </c>
      <c r="B55" s="90">
        <f t="shared" ref="B55:M55" si="59">SUM(B52:B54)</f>
        <v>76176.32</v>
      </c>
      <c r="C55" s="90">
        <f t="shared" si="59"/>
        <v>51941.62</v>
      </c>
      <c r="D55" s="90">
        <f t="shared" si="59"/>
        <v>68863.38</v>
      </c>
      <c r="E55" s="90">
        <f t="shared" si="59"/>
        <v>94848.3</v>
      </c>
      <c r="F55" s="90">
        <f t="shared" si="59"/>
        <v>89809.27</v>
      </c>
      <c r="G55" s="90">
        <f t="shared" si="59"/>
        <v>85429.65</v>
      </c>
      <c r="H55" s="90">
        <f t="shared" si="59"/>
        <v>100726.61</v>
      </c>
      <c r="I55" s="90">
        <f t="shared" si="59"/>
        <v>102632.58</v>
      </c>
      <c r="J55" s="90">
        <f t="shared" si="59"/>
        <v>106650</v>
      </c>
      <c r="K55" s="90">
        <f t="shared" si="59"/>
        <v>109850</v>
      </c>
      <c r="L55" s="90">
        <f t="shared" si="59"/>
        <v>113523</v>
      </c>
      <c r="M55" s="90">
        <f t="shared" si="59"/>
        <v>114827</v>
      </c>
      <c r="N55" s="90">
        <f t="shared" si="54"/>
        <v>1115277.73</v>
      </c>
      <c r="O55" s="91" t="str">
        <f t="shared" si="55"/>
        <v/>
      </c>
      <c r="P55" s="81"/>
      <c r="Q55" s="81"/>
      <c r="R55" s="98"/>
      <c r="S55" s="98"/>
      <c r="T55" s="98"/>
      <c r="U55" s="90">
        <f t="shared" ref="U55:AF55" si="60">SUM(U52:U54)</f>
        <v>147067.54</v>
      </c>
      <c r="V55" s="90">
        <f t="shared" si="60"/>
        <v>143067.54</v>
      </c>
      <c r="W55" s="90">
        <f t="shared" si="60"/>
        <v>188179.54</v>
      </c>
      <c r="X55" s="90">
        <f t="shared" si="60"/>
        <v>203583.54</v>
      </c>
      <c r="Y55" s="90">
        <f t="shared" si="60"/>
        <v>239923.54</v>
      </c>
      <c r="Z55" s="90">
        <f t="shared" si="60"/>
        <v>272263.54</v>
      </c>
      <c r="AA55" s="90">
        <f t="shared" si="60"/>
        <v>324311.54</v>
      </c>
      <c r="AB55" s="90">
        <f t="shared" si="60"/>
        <v>369587.54</v>
      </c>
      <c r="AC55" s="90">
        <f t="shared" si="60"/>
        <v>414863.54</v>
      </c>
      <c r="AD55" s="90">
        <f t="shared" si="60"/>
        <v>493660.9262</v>
      </c>
      <c r="AE55" s="90">
        <f t="shared" si="60"/>
        <v>549872.9262</v>
      </c>
      <c r="AF55" s="90">
        <f t="shared" si="60"/>
        <v>610856.9262</v>
      </c>
      <c r="AG55" s="90">
        <f t="shared" si="56"/>
        <v>3957238.639</v>
      </c>
      <c r="AH55" s="91" t="str">
        <f t="shared" si="57"/>
        <v/>
      </c>
      <c r="AI55" s="11"/>
      <c r="AJ55" s="90">
        <f t="shared" si="58"/>
        <v>-2841960.909</v>
      </c>
    </row>
    <row r="56" ht="13.5" customHeight="1">
      <c r="A56" s="89" t="s">
        <v>124</v>
      </c>
      <c r="B56" s="90">
        <f t="shared" ref="B56:M56" si="61">B44+B45+B46+B47+B48+B49+B50+B55</f>
        <v>99607.25</v>
      </c>
      <c r="C56" s="90">
        <f t="shared" si="61"/>
        <v>63609.53</v>
      </c>
      <c r="D56" s="90">
        <f t="shared" si="61"/>
        <v>136209.04</v>
      </c>
      <c r="E56" s="90">
        <f t="shared" si="61"/>
        <v>116902.58</v>
      </c>
      <c r="F56" s="90">
        <f t="shared" si="61"/>
        <v>153529.08</v>
      </c>
      <c r="G56" s="90">
        <f t="shared" si="61"/>
        <v>129537.07</v>
      </c>
      <c r="H56" s="90">
        <f t="shared" si="61"/>
        <v>141954.16</v>
      </c>
      <c r="I56" s="90">
        <f t="shared" si="61"/>
        <v>131016.63</v>
      </c>
      <c r="J56" s="90">
        <f t="shared" si="61"/>
        <v>190400</v>
      </c>
      <c r="K56" s="90">
        <f t="shared" si="61"/>
        <v>197770</v>
      </c>
      <c r="L56" s="90">
        <f t="shared" si="61"/>
        <v>206613</v>
      </c>
      <c r="M56" s="90">
        <f t="shared" si="61"/>
        <v>212087</v>
      </c>
      <c r="N56" s="90">
        <f t="shared" si="54"/>
        <v>1779235.34</v>
      </c>
      <c r="O56" s="91" t="str">
        <f t="shared" si="55"/>
        <v/>
      </c>
      <c r="P56" s="81"/>
      <c r="Q56" s="81"/>
      <c r="R56" s="92"/>
      <c r="S56" s="92"/>
      <c r="T56" s="92"/>
      <c r="U56" s="90">
        <f t="shared" ref="U56:AF56" si="62">U44+U45+U46+U47+U48+U49+U50+U55</f>
        <v>259596.9993</v>
      </c>
      <c r="V56" s="90">
        <f t="shared" si="62"/>
        <v>258558.1541</v>
      </c>
      <c r="W56" s="90">
        <f t="shared" si="62"/>
        <v>307087.7341</v>
      </c>
      <c r="X56" s="90">
        <f t="shared" si="62"/>
        <v>363792.6498</v>
      </c>
      <c r="Y56" s="90">
        <f t="shared" si="62"/>
        <v>408827.5707</v>
      </c>
      <c r="Z56" s="90">
        <f t="shared" si="62"/>
        <v>467158.3577</v>
      </c>
      <c r="AA56" s="90">
        <f t="shared" si="62"/>
        <v>533459.436</v>
      </c>
      <c r="AB56" s="90">
        <f t="shared" si="62"/>
        <v>603946.6717</v>
      </c>
      <c r="AC56" s="90">
        <f t="shared" si="62"/>
        <v>682729.7735</v>
      </c>
      <c r="AD56" s="90">
        <f t="shared" si="62"/>
        <v>787889.4215</v>
      </c>
      <c r="AE56" s="90">
        <f t="shared" si="62"/>
        <v>883259.5495</v>
      </c>
      <c r="AF56" s="90">
        <f t="shared" si="62"/>
        <v>979839.3861</v>
      </c>
      <c r="AG56" s="90">
        <f t="shared" si="56"/>
        <v>6536145.704</v>
      </c>
      <c r="AH56" s="91" t="str">
        <f t="shared" si="57"/>
        <v/>
      </c>
      <c r="AI56" s="11"/>
      <c r="AJ56" s="90">
        <f t="shared" si="58"/>
        <v>-4756910.364</v>
      </c>
    </row>
    <row r="57" ht="13.5" customHeight="1">
      <c r="A57" s="82" t="s">
        <v>125</v>
      </c>
      <c r="B57" s="81"/>
      <c r="C57" s="81"/>
      <c r="D57" s="81"/>
      <c r="E57" s="81"/>
      <c r="F57" s="81"/>
      <c r="G57" s="81"/>
      <c r="H57" s="81"/>
      <c r="I57" s="81"/>
      <c r="J57" s="81"/>
      <c r="K57" s="81"/>
      <c r="L57" s="81"/>
      <c r="M57" s="81"/>
      <c r="N57" s="81"/>
      <c r="O57" s="85"/>
      <c r="P57" s="81"/>
      <c r="Q57" s="81"/>
      <c r="R57" s="92"/>
      <c r="S57" s="92"/>
      <c r="T57" s="92"/>
      <c r="U57" s="81"/>
      <c r="V57" s="81"/>
      <c r="W57" s="81"/>
      <c r="X57" s="81"/>
      <c r="Y57" s="81"/>
      <c r="Z57" s="81"/>
      <c r="AA57" s="81"/>
      <c r="AB57" s="81"/>
      <c r="AC57" s="81"/>
      <c r="AD57" s="81"/>
      <c r="AE57" s="81"/>
      <c r="AF57" s="81"/>
      <c r="AG57" s="81"/>
      <c r="AH57" s="85"/>
      <c r="AI57" s="11"/>
      <c r="AJ57" s="81"/>
    </row>
    <row r="58" ht="13.5" customHeight="1">
      <c r="A58" s="83" t="s">
        <v>126</v>
      </c>
      <c r="B58" s="81">
        <v>10955.85</v>
      </c>
      <c r="C58" s="81">
        <v>11156.17</v>
      </c>
      <c r="D58" s="81">
        <v>11961.24</v>
      </c>
      <c r="E58" s="81">
        <v>7055.46</v>
      </c>
      <c r="F58" s="81">
        <v>12334.88</v>
      </c>
      <c r="G58" s="81">
        <v>13838.18</v>
      </c>
      <c r="H58" s="81">
        <v>17445.88</v>
      </c>
      <c r="I58" s="81">
        <v>13679.97</v>
      </c>
      <c r="J58" s="93">
        <v>5208.0</v>
      </c>
      <c r="K58" s="93">
        <v>5208.0</v>
      </c>
      <c r="L58" s="93">
        <v>5208.0</v>
      </c>
      <c r="M58" s="93">
        <v>5208.0</v>
      </c>
      <c r="N58" s="81">
        <f t="shared" ref="N58:N64" si="64">SUM(B58:M58)</f>
        <v>119259.63</v>
      </c>
      <c r="O58" s="85" t="str">
        <f t="shared" ref="O58:O64" si="65">IFERROR(N58/N$16,"")</f>
        <v/>
      </c>
      <c r="P58" s="81"/>
      <c r="Q58" s="81"/>
      <c r="R58" s="86" t="s">
        <v>80</v>
      </c>
      <c r="S58" s="87">
        <v>0.0</v>
      </c>
      <c r="T58" s="88">
        <v>0.05</v>
      </c>
      <c r="U58" s="84">
        <f t="shared" ref="U58:AF58" si="63">IF($R58="Manual","",IFERROR(IF($R58="YOY Growth",$N58*(1+$T58)/12,$S58/12),""))</f>
        <v>0</v>
      </c>
      <c r="V58" s="84">
        <f t="shared" si="63"/>
        <v>0</v>
      </c>
      <c r="W58" s="84">
        <f t="shared" si="63"/>
        <v>0</v>
      </c>
      <c r="X58" s="84">
        <f t="shared" si="63"/>
        <v>0</v>
      </c>
      <c r="Y58" s="84">
        <f t="shared" si="63"/>
        <v>0</v>
      </c>
      <c r="Z58" s="84">
        <f t="shared" si="63"/>
        <v>0</v>
      </c>
      <c r="AA58" s="84">
        <f t="shared" si="63"/>
        <v>0</v>
      </c>
      <c r="AB58" s="84">
        <f t="shared" si="63"/>
        <v>0</v>
      </c>
      <c r="AC58" s="84">
        <f t="shared" si="63"/>
        <v>0</v>
      </c>
      <c r="AD58" s="84">
        <f t="shared" si="63"/>
        <v>0</v>
      </c>
      <c r="AE58" s="84">
        <f t="shared" si="63"/>
        <v>0</v>
      </c>
      <c r="AF58" s="84">
        <f t="shared" si="63"/>
        <v>0</v>
      </c>
      <c r="AG58" s="81">
        <f t="shared" ref="AG58:AG64" si="67">SUM(U58:AF58)</f>
        <v>0</v>
      </c>
      <c r="AH58" s="85" t="str">
        <f t="shared" ref="AH58:AH64" si="68">IFERROR(AG58/AG$16,"")</f>
        <v/>
      </c>
      <c r="AI58" s="11"/>
      <c r="AJ58" s="81">
        <f t="shared" ref="AJ58:AJ63" si="69">N58-AG58</f>
        <v>119259.63</v>
      </c>
    </row>
    <row r="59" ht="13.5" customHeight="1">
      <c r="A59" s="83" t="s">
        <v>127</v>
      </c>
      <c r="B59" s="81">
        <v>0.0</v>
      </c>
      <c r="C59" s="81">
        <v>0.0</v>
      </c>
      <c r="D59" s="81">
        <v>0.0</v>
      </c>
      <c r="E59" s="81">
        <v>0.0</v>
      </c>
      <c r="F59" s="81">
        <v>0.0</v>
      </c>
      <c r="G59" s="81">
        <v>0.0</v>
      </c>
      <c r="H59" s="81">
        <v>1861.34</v>
      </c>
      <c r="I59" s="81">
        <v>0.0</v>
      </c>
      <c r="J59" s="93">
        <v>0.0</v>
      </c>
      <c r="K59" s="93">
        <v>0.0</v>
      </c>
      <c r="L59" s="93">
        <v>0.0</v>
      </c>
      <c r="M59" s="93">
        <v>0.0</v>
      </c>
      <c r="N59" s="81">
        <f t="shared" si="64"/>
        <v>1861.34</v>
      </c>
      <c r="O59" s="85" t="str">
        <f t="shared" si="65"/>
        <v/>
      </c>
      <c r="P59" s="81"/>
      <c r="Q59" s="81"/>
      <c r="R59" s="86" t="s">
        <v>80</v>
      </c>
      <c r="S59" s="87">
        <v>0.0</v>
      </c>
      <c r="T59" s="88">
        <v>0.05</v>
      </c>
      <c r="U59" s="84">
        <f t="shared" ref="U59:AF59" si="66">IF($R59="Manual","",IFERROR(IF($R59="YOY Growth",$N59*(1+$T59)/12,$S59/12),""))</f>
        <v>0</v>
      </c>
      <c r="V59" s="84">
        <f t="shared" si="66"/>
        <v>0</v>
      </c>
      <c r="W59" s="84">
        <f t="shared" si="66"/>
        <v>0</v>
      </c>
      <c r="X59" s="84">
        <f t="shared" si="66"/>
        <v>0</v>
      </c>
      <c r="Y59" s="84">
        <f t="shared" si="66"/>
        <v>0</v>
      </c>
      <c r="Z59" s="84">
        <f t="shared" si="66"/>
        <v>0</v>
      </c>
      <c r="AA59" s="84">
        <f t="shared" si="66"/>
        <v>0</v>
      </c>
      <c r="AB59" s="84">
        <f t="shared" si="66"/>
        <v>0</v>
      </c>
      <c r="AC59" s="84">
        <f t="shared" si="66"/>
        <v>0</v>
      </c>
      <c r="AD59" s="84">
        <f t="shared" si="66"/>
        <v>0</v>
      </c>
      <c r="AE59" s="84">
        <f t="shared" si="66"/>
        <v>0</v>
      </c>
      <c r="AF59" s="84">
        <f t="shared" si="66"/>
        <v>0</v>
      </c>
      <c r="AG59" s="81">
        <f t="shared" si="67"/>
        <v>0</v>
      </c>
      <c r="AH59" s="85" t="str">
        <f t="shared" si="68"/>
        <v/>
      </c>
      <c r="AI59" s="11"/>
      <c r="AJ59" s="81">
        <f t="shared" si="69"/>
        <v>1861.34</v>
      </c>
    </row>
    <row r="60" ht="13.5" customHeight="1">
      <c r="A60" s="83" t="s">
        <v>128</v>
      </c>
      <c r="B60" s="81">
        <v>0.0</v>
      </c>
      <c r="C60" s="81">
        <v>47.22</v>
      </c>
      <c r="D60" s="81">
        <v>0.0</v>
      </c>
      <c r="E60" s="81">
        <v>0.0</v>
      </c>
      <c r="F60" s="81">
        <v>0.0</v>
      </c>
      <c r="G60" s="81">
        <v>0.0</v>
      </c>
      <c r="H60" s="81">
        <v>0.0</v>
      </c>
      <c r="I60" s="81">
        <v>0.0</v>
      </c>
      <c r="J60" s="93">
        <v>0.0</v>
      </c>
      <c r="K60" s="93">
        <v>0.0</v>
      </c>
      <c r="L60" s="93">
        <v>0.0</v>
      </c>
      <c r="M60" s="93">
        <v>0.0</v>
      </c>
      <c r="N60" s="81">
        <f t="shared" si="64"/>
        <v>47.22</v>
      </c>
      <c r="O60" s="85" t="str">
        <f t="shared" si="65"/>
        <v/>
      </c>
      <c r="P60" s="81"/>
      <c r="Q60" s="81"/>
      <c r="R60" s="86" t="s">
        <v>80</v>
      </c>
      <c r="S60" s="87">
        <v>0.0</v>
      </c>
      <c r="T60" s="88">
        <v>0.05</v>
      </c>
      <c r="U60" s="84">
        <f t="shared" ref="U60:AF60" si="70">IF($R60="Manual","",IFERROR(IF($R60="YOY Growth",$N60*(1+$T60)/12,$S60/12),""))</f>
        <v>0</v>
      </c>
      <c r="V60" s="84">
        <f t="shared" si="70"/>
        <v>0</v>
      </c>
      <c r="W60" s="84">
        <f t="shared" si="70"/>
        <v>0</v>
      </c>
      <c r="X60" s="84">
        <f t="shared" si="70"/>
        <v>0</v>
      </c>
      <c r="Y60" s="84">
        <f t="shared" si="70"/>
        <v>0</v>
      </c>
      <c r="Z60" s="84">
        <f t="shared" si="70"/>
        <v>0</v>
      </c>
      <c r="AA60" s="84">
        <f t="shared" si="70"/>
        <v>0</v>
      </c>
      <c r="AB60" s="84">
        <f t="shared" si="70"/>
        <v>0</v>
      </c>
      <c r="AC60" s="84">
        <f t="shared" si="70"/>
        <v>0</v>
      </c>
      <c r="AD60" s="84">
        <f t="shared" si="70"/>
        <v>0</v>
      </c>
      <c r="AE60" s="84">
        <f t="shared" si="70"/>
        <v>0</v>
      </c>
      <c r="AF60" s="84">
        <f t="shared" si="70"/>
        <v>0</v>
      </c>
      <c r="AG60" s="81">
        <f t="shared" si="67"/>
        <v>0</v>
      </c>
      <c r="AH60" s="85" t="str">
        <f t="shared" si="68"/>
        <v/>
      </c>
      <c r="AI60" s="11"/>
      <c r="AJ60" s="81">
        <f t="shared" si="69"/>
        <v>47.22</v>
      </c>
    </row>
    <row r="61" ht="13.5" customHeight="1">
      <c r="A61" s="89" t="s">
        <v>129</v>
      </c>
      <c r="B61" s="99">
        <f t="shared" ref="B61:M61" si="71">SUM(B58:B60)</f>
        <v>10955.85</v>
      </c>
      <c r="C61" s="99">
        <f t="shared" si="71"/>
        <v>11203.39</v>
      </c>
      <c r="D61" s="99">
        <f t="shared" si="71"/>
        <v>11961.24</v>
      </c>
      <c r="E61" s="99">
        <f t="shared" si="71"/>
        <v>7055.46</v>
      </c>
      <c r="F61" s="99">
        <f t="shared" si="71"/>
        <v>12334.88</v>
      </c>
      <c r="G61" s="99">
        <f t="shared" si="71"/>
        <v>13838.18</v>
      </c>
      <c r="H61" s="99">
        <f t="shared" si="71"/>
        <v>19307.22</v>
      </c>
      <c r="I61" s="99">
        <f t="shared" si="71"/>
        <v>13679.97</v>
      </c>
      <c r="J61" s="99">
        <f t="shared" si="71"/>
        <v>5208</v>
      </c>
      <c r="K61" s="99">
        <f t="shared" si="71"/>
        <v>5208</v>
      </c>
      <c r="L61" s="99">
        <f t="shared" si="71"/>
        <v>5208</v>
      </c>
      <c r="M61" s="99">
        <f t="shared" si="71"/>
        <v>5208</v>
      </c>
      <c r="N61" s="99">
        <f t="shared" si="64"/>
        <v>121168.19</v>
      </c>
      <c r="O61" s="100" t="str">
        <f t="shared" si="65"/>
        <v/>
      </c>
      <c r="P61" s="81"/>
      <c r="Q61" s="81"/>
      <c r="R61" s="92"/>
      <c r="S61" s="92"/>
      <c r="T61" s="92"/>
      <c r="U61" s="99">
        <f t="shared" ref="U61:AF61" si="72">SUM(U58:U60)</f>
        <v>0</v>
      </c>
      <c r="V61" s="99">
        <f t="shared" si="72"/>
        <v>0</v>
      </c>
      <c r="W61" s="99">
        <f t="shared" si="72"/>
        <v>0</v>
      </c>
      <c r="X61" s="99">
        <f t="shared" si="72"/>
        <v>0</v>
      </c>
      <c r="Y61" s="99">
        <f t="shared" si="72"/>
        <v>0</v>
      </c>
      <c r="Z61" s="99">
        <f t="shared" si="72"/>
        <v>0</v>
      </c>
      <c r="AA61" s="99">
        <f t="shared" si="72"/>
        <v>0</v>
      </c>
      <c r="AB61" s="99">
        <f t="shared" si="72"/>
        <v>0</v>
      </c>
      <c r="AC61" s="99">
        <f t="shared" si="72"/>
        <v>0</v>
      </c>
      <c r="AD61" s="99">
        <f t="shared" si="72"/>
        <v>0</v>
      </c>
      <c r="AE61" s="99">
        <f t="shared" si="72"/>
        <v>0</v>
      </c>
      <c r="AF61" s="99">
        <f t="shared" si="72"/>
        <v>0</v>
      </c>
      <c r="AG61" s="99">
        <f t="shared" si="67"/>
        <v>0</v>
      </c>
      <c r="AH61" s="100" t="str">
        <f t="shared" si="68"/>
        <v/>
      </c>
      <c r="AI61" s="11"/>
      <c r="AJ61" s="90">
        <f t="shared" si="69"/>
        <v>121168.19</v>
      </c>
    </row>
    <row r="62" ht="13.5" customHeight="1">
      <c r="A62" s="101" t="s">
        <v>130</v>
      </c>
      <c r="B62" s="81">
        <v>0.0</v>
      </c>
      <c r="C62" s="81">
        <v>0.0</v>
      </c>
      <c r="D62" s="81">
        <v>0.0</v>
      </c>
      <c r="E62" s="81">
        <v>0.0</v>
      </c>
      <c r="F62" s="81">
        <v>0.0</v>
      </c>
      <c r="G62" s="81">
        <v>0.0</v>
      </c>
      <c r="H62" s="81">
        <v>0.0</v>
      </c>
      <c r="I62" s="81">
        <v>0.0</v>
      </c>
      <c r="J62" s="93">
        <v>0.0</v>
      </c>
      <c r="K62" s="93">
        <v>0.0</v>
      </c>
      <c r="L62" s="93">
        <v>0.0</v>
      </c>
      <c r="M62" s="93">
        <v>0.0</v>
      </c>
      <c r="N62" s="81">
        <f t="shared" si="64"/>
        <v>0</v>
      </c>
      <c r="O62" s="85" t="str">
        <f t="shared" si="65"/>
        <v/>
      </c>
      <c r="P62" s="81"/>
      <c r="Q62" s="81"/>
      <c r="R62" s="86" t="s">
        <v>80</v>
      </c>
      <c r="S62" s="87">
        <v>0.0</v>
      </c>
      <c r="T62" s="88">
        <v>0.05</v>
      </c>
      <c r="U62" s="84">
        <f t="shared" ref="U62:AF62" si="73">IF($R62="Manual","",IFERROR(IF($R62="YOY Growth",$N62*(1+$T62)/12,$S62/12),""))</f>
        <v>0</v>
      </c>
      <c r="V62" s="84">
        <f t="shared" si="73"/>
        <v>0</v>
      </c>
      <c r="W62" s="84">
        <f t="shared" si="73"/>
        <v>0</v>
      </c>
      <c r="X62" s="84">
        <f t="shared" si="73"/>
        <v>0</v>
      </c>
      <c r="Y62" s="84">
        <f t="shared" si="73"/>
        <v>0</v>
      </c>
      <c r="Z62" s="84">
        <f t="shared" si="73"/>
        <v>0</v>
      </c>
      <c r="AA62" s="84">
        <f t="shared" si="73"/>
        <v>0</v>
      </c>
      <c r="AB62" s="84">
        <f t="shared" si="73"/>
        <v>0</v>
      </c>
      <c r="AC62" s="84">
        <f t="shared" si="73"/>
        <v>0</v>
      </c>
      <c r="AD62" s="84">
        <f t="shared" si="73"/>
        <v>0</v>
      </c>
      <c r="AE62" s="84">
        <f t="shared" si="73"/>
        <v>0</v>
      </c>
      <c r="AF62" s="84">
        <f t="shared" si="73"/>
        <v>0</v>
      </c>
      <c r="AG62" s="81">
        <f t="shared" si="67"/>
        <v>0</v>
      </c>
      <c r="AH62" s="85" t="str">
        <f t="shared" si="68"/>
        <v/>
      </c>
      <c r="AI62" s="11"/>
      <c r="AJ62" s="81">
        <f t="shared" si="69"/>
        <v>0</v>
      </c>
    </row>
    <row r="63" ht="13.5" customHeight="1">
      <c r="A63" s="89" t="s">
        <v>131</v>
      </c>
      <c r="B63" s="90">
        <f t="shared" ref="B63:M63" si="74">B37+B38+B39+B40+B41+B42+B56+B61+B62</f>
        <v>117939.1</v>
      </c>
      <c r="C63" s="90">
        <f t="shared" si="74"/>
        <v>80664.57</v>
      </c>
      <c r="D63" s="90">
        <f t="shared" si="74"/>
        <v>152476.6</v>
      </c>
      <c r="E63" s="90">
        <f t="shared" si="74"/>
        <v>131909.94</v>
      </c>
      <c r="F63" s="90">
        <f t="shared" si="74"/>
        <v>165943.43</v>
      </c>
      <c r="G63" s="90">
        <f t="shared" si="74"/>
        <v>143165.51</v>
      </c>
      <c r="H63" s="90">
        <f t="shared" si="74"/>
        <v>162290.72</v>
      </c>
      <c r="I63" s="90">
        <f t="shared" si="74"/>
        <v>150488.42</v>
      </c>
      <c r="J63" s="90">
        <f t="shared" si="74"/>
        <v>210608</v>
      </c>
      <c r="K63" s="90">
        <f t="shared" si="74"/>
        <v>212978</v>
      </c>
      <c r="L63" s="90">
        <f t="shared" si="74"/>
        <v>216821</v>
      </c>
      <c r="M63" s="90">
        <f t="shared" si="74"/>
        <v>222295</v>
      </c>
      <c r="N63" s="90">
        <f t="shared" si="64"/>
        <v>1967580.29</v>
      </c>
      <c r="O63" s="91" t="str">
        <f t="shared" si="65"/>
        <v/>
      </c>
      <c r="P63" s="81"/>
      <c r="Q63" s="81"/>
      <c r="R63" s="92"/>
      <c r="S63" s="92"/>
      <c r="T63" s="92"/>
      <c r="U63" s="90">
        <f t="shared" ref="U63:AF63" si="75">U37+U38+U39+U40+U41+U42+U56+U61+U62</f>
        <v>306876.6993</v>
      </c>
      <c r="V63" s="90">
        <f t="shared" si="75"/>
        <v>280077.9541</v>
      </c>
      <c r="W63" s="90">
        <f t="shared" si="75"/>
        <v>307087.7341</v>
      </c>
      <c r="X63" s="90">
        <f t="shared" si="75"/>
        <v>427288.1898</v>
      </c>
      <c r="Y63" s="90">
        <f t="shared" si="75"/>
        <v>456563.2107</v>
      </c>
      <c r="Z63" s="90">
        <f t="shared" si="75"/>
        <v>541109.8377</v>
      </c>
      <c r="AA63" s="90">
        <f t="shared" si="75"/>
        <v>591954.976</v>
      </c>
      <c r="AB63" s="90">
        <f t="shared" si="75"/>
        <v>673202.1117</v>
      </c>
      <c r="AC63" s="90">
        <f t="shared" si="75"/>
        <v>778201.0535</v>
      </c>
      <c r="AD63" s="90">
        <f t="shared" si="75"/>
        <v>883360.7015</v>
      </c>
      <c r="AE63" s="90">
        <f t="shared" si="75"/>
        <v>1004946.669</v>
      </c>
      <c r="AF63" s="90">
        <f t="shared" si="75"/>
        <v>1096830.466</v>
      </c>
      <c r="AG63" s="90">
        <f t="shared" si="67"/>
        <v>7347499.604</v>
      </c>
      <c r="AH63" s="91" t="str">
        <f t="shared" si="68"/>
        <v/>
      </c>
      <c r="AI63" s="11"/>
      <c r="AJ63" s="90">
        <f t="shared" si="69"/>
        <v>-5379919.314</v>
      </c>
    </row>
    <row r="64" ht="13.5" customHeight="1">
      <c r="A64" s="102" t="s">
        <v>132</v>
      </c>
      <c r="B64" s="90">
        <f t="shared" ref="B64:M64" si="76">B16-B63</f>
        <v>-117939.1</v>
      </c>
      <c r="C64" s="90">
        <f t="shared" si="76"/>
        <v>-80664.57</v>
      </c>
      <c r="D64" s="90">
        <f t="shared" si="76"/>
        <v>-152476.6</v>
      </c>
      <c r="E64" s="90">
        <f t="shared" si="76"/>
        <v>-131909.94</v>
      </c>
      <c r="F64" s="90">
        <f t="shared" si="76"/>
        <v>-165943.43</v>
      </c>
      <c r="G64" s="90">
        <f t="shared" si="76"/>
        <v>-143165.51</v>
      </c>
      <c r="H64" s="90">
        <f t="shared" si="76"/>
        <v>-162290.72</v>
      </c>
      <c r="I64" s="90">
        <f t="shared" si="76"/>
        <v>-150488.42</v>
      </c>
      <c r="J64" s="90">
        <f t="shared" si="76"/>
        <v>-210608</v>
      </c>
      <c r="K64" s="90">
        <f t="shared" si="76"/>
        <v>-212978</v>
      </c>
      <c r="L64" s="90">
        <f t="shared" si="76"/>
        <v>-216821</v>
      </c>
      <c r="M64" s="90">
        <f t="shared" si="76"/>
        <v>-222295</v>
      </c>
      <c r="N64" s="90">
        <f t="shared" si="64"/>
        <v>-1967580.29</v>
      </c>
      <c r="O64" s="91" t="str">
        <f t="shared" si="65"/>
        <v/>
      </c>
      <c r="P64" s="81"/>
      <c r="Q64" s="81"/>
      <c r="R64" s="92"/>
      <c r="S64" s="92"/>
      <c r="T64" s="92"/>
      <c r="U64" s="90">
        <f t="shared" ref="U64:AF64" si="77">U16-U63</f>
        <v>-306876.6993</v>
      </c>
      <c r="V64" s="90">
        <f t="shared" si="77"/>
        <v>-280077.9541</v>
      </c>
      <c r="W64" s="90">
        <f t="shared" si="77"/>
        <v>-307087.7341</v>
      </c>
      <c r="X64" s="90">
        <f t="shared" si="77"/>
        <v>-427288.1898</v>
      </c>
      <c r="Y64" s="90">
        <f t="shared" si="77"/>
        <v>-456563.2107</v>
      </c>
      <c r="Z64" s="90">
        <f t="shared" si="77"/>
        <v>-541109.8377</v>
      </c>
      <c r="AA64" s="90">
        <f t="shared" si="77"/>
        <v>-591954.976</v>
      </c>
      <c r="AB64" s="90">
        <f t="shared" si="77"/>
        <v>-673202.1117</v>
      </c>
      <c r="AC64" s="90">
        <f t="shared" si="77"/>
        <v>-778201.0535</v>
      </c>
      <c r="AD64" s="90">
        <f t="shared" si="77"/>
        <v>-883360.7015</v>
      </c>
      <c r="AE64" s="90">
        <f t="shared" si="77"/>
        <v>-1004946.669</v>
      </c>
      <c r="AF64" s="90">
        <f t="shared" si="77"/>
        <v>-1096830.466</v>
      </c>
      <c r="AG64" s="90">
        <f t="shared" si="67"/>
        <v>-7347499.604</v>
      </c>
      <c r="AH64" s="91" t="str">
        <f t="shared" si="68"/>
        <v/>
      </c>
      <c r="AI64" s="11"/>
      <c r="AJ64" s="90">
        <f>AG64-N64</f>
        <v>-5379919.314</v>
      </c>
    </row>
    <row r="65" ht="13.5" customHeight="1">
      <c r="A65" s="82" t="s">
        <v>133</v>
      </c>
      <c r="B65" s="85"/>
      <c r="C65" s="85"/>
      <c r="D65" s="85"/>
      <c r="E65" s="85"/>
      <c r="F65" s="85"/>
      <c r="G65" s="85"/>
      <c r="H65" s="85"/>
      <c r="I65" s="85"/>
      <c r="J65" s="85"/>
      <c r="K65" s="85"/>
      <c r="L65" s="85"/>
      <c r="M65" s="85"/>
      <c r="N65" s="85"/>
      <c r="O65" s="85"/>
      <c r="P65" s="81"/>
      <c r="Q65" s="81"/>
      <c r="R65" s="92"/>
      <c r="S65" s="92"/>
      <c r="T65" s="92"/>
      <c r="U65" s="85"/>
      <c r="V65" s="85"/>
      <c r="W65" s="85"/>
      <c r="X65" s="85"/>
      <c r="Y65" s="85"/>
      <c r="Z65" s="85"/>
      <c r="AA65" s="85"/>
      <c r="AB65" s="85"/>
      <c r="AC65" s="85"/>
      <c r="AD65" s="85"/>
      <c r="AE65" s="85"/>
      <c r="AF65" s="85"/>
      <c r="AG65" s="85"/>
      <c r="AH65" s="85"/>
      <c r="AI65" s="11"/>
      <c r="AJ65" s="85"/>
    </row>
    <row r="66" ht="13.5" customHeight="1">
      <c r="A66" s="82" t="s">
        <v>134</v>
      </c>
      <c r="B66" s="81"/>
      <c r="C66" s="81"/>
      <c r="D66" s="81"/>
      <c r="E66" s="81"/>
      <c r="F66" s="81"/>
      <c r="G66" s="81"/>
      <c r="H66" s="81"/>
      <c r="I66" s="81"/>
      <c r="J66" s="103"/>
      <c r="K66" s="103"/>
      <c r="L66" s="103"/>
      <c r="M66" s="103"/>
      <c r="N66" s="81"/>
      <c r="O66" s="85"/>
      <c r="P66" s="81"/>
      <c r="Q66" s="81"/>
      <c r="R66" s="92"/>
      <c r="S66" s="92"/>
      <c r="T66" s="92"/>
      <c r="U66" s="81"/>
      <c r="V66" s="81"/>
      <c r="W66" s="81"/>
      <c r="X66" s="81"/>
      <c r="Y66" s="81"/>
      <c r="Z66" s="81"/>
      <c r="AA66" s="81"/>
      <c r="AB66" s="81"/>
      <c r="AC66" s="81"/>
      <c r="AD66" s="81"/>
      <c r="AE66" s="81"/>
      <c r="AF66" s="81"/>
      <c r="AG66" s="81"/>
      <c r="AH66" s="85"/>
      <c r="AI66" s="11"/>
      <c r="AJ66" s="81"/>
    </row>
    <row r="67" ht="13.5" customHeight="1">
      <c r="A67" s="83" t="s">
        <v>135</v>
      </c>
      <c r="B67" s="81">
        <v>28787.31</v>
      </c>
      <c r="C67" s="81">
        <v>8716.01</v>
      </c>
      <c r="D67" s="81">
        <v>13071.44</v>
      </c>
      <c r="E67" s="81">
        <v>0.0</v>
      </c>
      <c r="F67" s="81">
        <v>0.0</v>
      </c>
      <c r="G67" s="81">
        <v>0.0</v>
      </c>
      <c r="H67" s="81">
        <v>0.0</v>
      </c>
      <c r="I67" s="81">
        <v>0.0</v>
      </c>
      <c r="J67" s="93">
        <v>0.0</v>
      </c>
      <c r="K67" s="93">
        <v>0.0</v>
      </c>
      <c r="L67" s="93">
        <v>0.0</v>
      </c>
      <c r="M67" s="93">
        <v>0.0</v>
      </c>
      <c r="N67" s="81">
        <f t="shared" ref="N67:N80" si="78">SUM(B67:M67)</f>
        <v>50574.76</v>
      </c>
      <c r="O67" s="85" t="str">
        <f t="shared" ref="O67:O80" si="79">IFERROR(N67/N$16,"")</f>
        <v/>
      </c>
      <c r="P67" s="81"/>
      <c r="Q67" s="81"/>
      <c r="R67" s="92"/>
      <c r="S67" s="92"/>
      <c r="T67" s="92"/>
      <c r="U67" s="96"/>
      <c r="V67" s="96"/>
      <c r="W67" s="96"/>
      <c r="X67" s="96"/>
      <c r="Y67" s="96"/>
      <c r="Z67" s="96"/>
      <c r="AA67" s="96"/>
      <c r="AB67" s="96"/>
      <c r="AC67" s="96"/>
      <c r="AD67" s="96"/>
      <c r="AE67" s="96"/>
      <c r="AF67" s="96"/>
      <c r="AG67" s="81">
        <f t="shared" ref="AG67:AG80" si="80">SUM(U67:AF67)</f>
        <v>0</v>
      </c>
      <c r="AH67" s="85" t="str">
        <f t="shared" ref="AH67:AH80" si="81">IFERROR(AG67/AG$16,"")</f>
        <v/>
      </c>
      <c r="AI67" s="11"/>
      <c r="AJ67" s="81">
        <f t="shared" ref="AJ67:AJ80" si="82">N67-AG67</f>
        <v>50574.76</v>
      </c>
    </row>
    <row r="68" ht="13.5" customHeight="1">
      <c r="A68" s="83" t="s">
        <v>136</v>
      </c>
      <c r="B68" s="81">
        <v>2063.17</v>
      </c>
      <c r="C68" s="81">
        <v>0.0</v>
      </c>
      <c r="D68" s="81">
        <v>1025.96</v>
      </c>
      <c r="E68" s="81">
        <v>0.0</v>
      </c>
      <c r="F68" s="81">
        <v>0.0</v>
      </c>
      <c r="G68" s="81">
        <v>0.0</v>
      </c>
      <c r="H68" s="81">
        <v>0.0</v>
      </c>
      <c r="I68" s="81">
        <v>0.0</v>
      </c>
      <c r="J68" s="93">
        <v>0.0</v>
      </c>
      <c r="K68" s="93">
        <v>0.0</v>
      </c>
      <c r="L68" s="93">
        <v>0.0</v>
      </c>
      <c r="M68" s="93">
        <v>0.0</v>
      </c>
      <c r="N68" s="81">
        <f t="shared" si="78"/>
        <v>3089.13</v>
      </c>
      <c r="O68" s="85" t="str">
        <f t="shared" si="79"/>
        <v/>
      </c>
      <c r="P68" s="81"/>
      <c r="Q68" s="81"/>
      <c r="R68" s="92"/>
      <c r="S68" s="92"/>
      <c r="T68" s="92"/>
      <c r="U68" s="96"/>
      <c r="V68" s="96"/>
      <c r="W68" s="96"/>
      <c r="X68" s="96"/>
      <c r="Y68" s="96"/>
      <c r="Z68" s="96"/>
      <c r="AA68" s="96"/>
      <c r="AB68" s="96"/>
      <c r="AC68" s="96"/>
      <c r="AD68" s="96"/>
      <c r="AE68" s="96"/>
      <c r="AF68" s="96"/>
      <c r="AG68" s="81">
        <f t="shared" si="80"/>
        <v>0</v>
      </c>
      <c r="AH68" s="85" t="str">
        <f t="shared" si="81"/>
        <v/>
      </c>
      <c r="AI68" s="11"/>
      <c r="AJ68" s="81">
        <f t="shared" si="82"/>
        <v>3089.13</v>
      </c>
    </row>
    <row r="69" ht="13.5" customHeight="1">
      <c r="A69" s="83" t="s">
        <v>137</v>
      </c>
      <c r="B69" s="81">
        <v>167.72</v>
      </c>
      <c r="C69" s="81">
        <v>413.16</v>
      </c>
      <c r="D69" s="81">
        <v>-353.62</v>
      </c>
      <c r="E69" s="81">
        <v>0.0</v>
      </c>
      <c r="F69" s="81">
        <v>0.0</v>
      </c>
      <c r="G69" s="81">
        <v>0.0</v>
      </c>
      <c r="H69" s="81">
        <v>0.0</v>
      </c>
      <c r="I69" s="81">
        <v>0.0</v>
      </c>
      <c r="J69" s="93">
        <v>0.0</v>
      </c>
      <c r="K69" s="93">
        <v>0.0</v>
      </c>
      <c r="L69" s="93">
        <v>0.0</v>
      </c>
      <c r="M69" s="93">
        <v>0.0</v>
      </c>
      <c r="N69" s="81">
        <f t="shared" si="78"/>
        <v>227.26</v>
      </c>
      <c r="O69" s="85" t="str">
        <f t="shared" si="79"/>
        <v/>
      </c>
      <c r="P69" s="81"/>
      <c r="Q69" s="81"/>
      <c r="R69" s="92"/>
      <c r="S69" s="92"/>
      <c r="T69" s="92"/>
      <c r="U69" s="96"/>
      <c r="V69" s="96"/>
      <c r="W69" s="96"/>
      <c r="X69" s="96"/>
      <c r="Y69" s="96"/>
      <c r="Z69" s="96"/>
      <c r="AA69" s="96"/>
      <c r="AB69" s="96"/>
      <c r="AC69" s="96"/>
      <c r="AD69" s="96"/>
      <c r="AE69" s="96"/>
      <c r="AF69" s="96"/>
      <c r="AG69" s="81">
        <f t="shared" si="80"/>
        <v>0</v>
      </c>
      <c r="AH69" s="85" t="str">
        <f t="shared" si="81"/>
        <v/>
      </c>
      <c r="AI69" s="11"/>
      <c r="AJ69" s="81">
        <f t="shared" si="82"/>
        <v>227.26</v>
      </c>
    </row>
    <row r="70" ht="13.5" customHeight="1">
      <c r="A70" s="83" t="s">
        <v>138</v>
      </c>
      <c r="B70" s="81">
        <v>0.0</v>
      </c>
      <c r="C70" s="81">
        <v>0.0</v>
      </c>
      <c r="D70" s="81">
        <v>0.0</v>
      </c>
      <c r="E70" s="81">
        <v>0.0</v>
      </c>
      <c r="F70" s="81">
        <v>0.0</v>
      </c>
      <c r="G70" s="81">
        <v>0.0</v>
      </c>
      <c r="H70" s="81">
        <v>0.0</v>
      </c>
      <c r="I70" s="81">
        <v>0.0</v>
      </c>
      <c r="J70" s="93">
        <v>0.0</v>
      </c>
      <c r="K70" s="93">
        <v>0.0</v>
      </c>
      <c r="L70" s="93">
        <v>0.0</v>
      </c>
      <c r="M70" s="93">
        <v>0.0</v>
      </c>
      <c r="N70" s="81">
        <f t="shared" si="78"/>
        <v>0</v>
      </c>
      <c r="O70" s="85" t="str">
        <f t="shared" si="79"/>
        <v/>
      </c>
      <c r="P70" s="81"/>
      <c r="Q70" s="81"/>
      <c r="R70" s="86" t="s">
        <v>80</v>
      </c>
      <c r="S70" s="87">
        <v>0.0</v>
      </c>
      <c r="T70" s="88">
        <v>0.05</v>
      </c>
      <c r="U70" s="84">
        <f t="shared" ref="U70:AF70" si="83">IF($R70="Manual","",IFERROR(IF($R70="YOY Growth",$N70*(1+$T70)/12,$S70/12),""))</f>
        <v>0</v>
      </c>
      <c r="V70" s="84">
        <f t="shared" si="83"/>
        <v>0</v>
      </c>
      <c r="W70" s="84">
        <f t="shared" si="83"/>
        <v>0</v>
      </c>
      <c r="X70" s="84">
        <f t="shared" si="83"/>
        <v>0</v>
      </c>
      <c r="Y70" s="84">
        <f t="shared" si="83"/>
        <v>0</v>
      </c>
      <c r="Z70" s="84">
        <f t="shared" si="83"/>
        <v>0</v>
      </c>
      <c r="AA70" s="84">
        <f t="shared" si="83"/>
        <v>0</v>
      </c>
      <c r="AB70" s="84">
        <f t="shared" si="83"/>
        <v>0</v>
      </c>
      <c r="AC70" s="84">
        <f t="shared" si="83"/>
        <v>0</v>
      </c>
      <c r="AD70" s="84">
        <f t="shared" si="83"/>
        <v>0</v>
      </c>
      <c r="AE70" s="84">
        <f t="shared" si="83"/>
        <v>0</v>
      </c>
      <c r="AF70" s="84">
        <f t="shared" si="83"/>
        <v>0</v>
      </c>
      <c r="AG70" s="81">
        <f t="shared" si="80"/>
        <v>0</v>
      </c>
      <c r="AH70" s="85" t="str">
        <f t="shared" si="81"/>
        <v/>
      </c>
      <c r="AI70" s="11"/>
      <c r="AJ70" s="81">
        <f t="shared" si="82"/>
        <v>0</v>
      </c>
    </row>
    <row r="71" ht="13.5" customHeight="1">
      <c r="A71" s="83" t="s">
        <v>139</v>
      </c>
      <c r="B71" s="81">
        <v>0.0</v>
      </c>
      <c r="C71" s="81">
        <v>0.0</v>
      </c>
      <c r="D71" s="81">
        <v>0.0</v>
      </c>
      <c r="E71" s="81">
        <v>0.0</v>
      </c>
      <c r="F71" s="81">
        <v>0.0</v>
      </c>
      <c r="G71" s="81">
        <v>0.0</v>
      </c>
      <c r="H71" s="81">
        <v>0.0</v>
      </c>
      <c r="I71" s="81">
        <v>0.0</v>
      </c>
      <c r="J71" s="93">
        <v>0.0</v>
      </c>
      <c r="K71" s="93">
        <v>0.0</v>
      </c>
      <c r="L71" s="93">
        <v>0.0</v>
      </c>
      <c r="M71" s="93">
        <v>0.0</v>
      </c>
      <c r="N71" s="81">
        <f t="shared" si="78"/>
        <v>0</v>
      </c>
      <c r="O71" s="85" t="str">
        <f t="shared" si="79"/>
        <v/>
      </c>
      <c r="P71" s="81"/>
      <c r="Q71" s="81"/>
      <c r="R71" s="86" t="s">
        <v>80</v>
      </c>
      <c r="S71" s="87">
        <v>0.0</v>
      </c>
      <c r="T71" s="88">
        <v>0.05</v>
      </c>
      <c r="U71" s="84">
        <f t="shared" ref="U71:AF71" si="84">IF($R71="Manual","",IFERROR(IF($R71="YOY Growth",$N71*(1+$T71)/12,$S71/12),""))</f>
        <v>0</v>
      </c>
      <c r="V71" s="84">
        <f t="shared" si="84"/>
        <v>0</v>
      </c>
      <c r="W71" s="84">
        <f t="shared" si="84"/>
        <v>0</v>
      </c>
      <c r="X71" s="84">
        <f t="shared" si="84"/>
        <v>0</v>
      </c>
      <c r="Y71" s="84">
        <f t="shared" si="84"/>
        <v>0</v>
      </c>
      <c r="Z71" s="84">
        <f t="shared" si="84"/>
        <v>0</v>
      </c>
      <c r="AA71" s="84">
        <f t="shared" si="84"/>
        <v>0</v>
      </c>
      <c r="AB71" s="84">
        <f t="shared" si="84"/>
        <v>0</v>
      </c>
      <c r="AC71" s="84">
        <f t="shared" si="84"/>
        <v>0</v>
      </c>
      <c r="AD71" s="84">
        <f t="shared" si="84"/>
        <v>0</v>
      </c>
      <c r="AE71" s="84">
        <f t="shared" si="84"/>
        <v>0</v>
      </c>
      <c r="AF71" s="84">
        <f t="shared" si="84"/>
        <v>0</v>
      </c>
      <c r="AG71" s="81">
        <f t="shared" si="80"/>
        <v>0</v>
      </c>
      <c r="AH71" s="85" t="str">
        <f t="shared" si="81"/>
        <v/>
      </c>
      <c r="AI71" s="11"/>
      <c r="AJ71" s="81">
        <f t="shared" si="82"/>
        <v>0</v>
      </c>
    </row>
    <row r="72" ht="13.5" customHeight="1">
      <c r="A72" s="83" t="s">
        <v>140</v>
      </c>
      <c r="B72" s="81">
        <v>0.0</v>
      </c>
      <c r="C72" s="81">
        <v>0.0</v>
      </c>
      <c r="D72" s="81">
        <v>0.0</v>
      </c>
      <c r="E72" s="81">
        <v>0.0</v>
      </c>
      <c r="F72" s="81">
        <v>0.0</v>
      </c>
      <c r="G72" s="81">
        <v>0.0</v>
      </c>
      <c r="H72" s="81">
        <v>0.0</v>
      </c>
      <c r="I72" s="81">
        <v>0.0</v>
      </c>
      <c r="J72" s="93">
        <v>0.0</v>
      </c>
      <c r="K72" s="93">
        <v>0.0</v>
      </c>
      <c r="L72" s="93">
        <v>0.0</v>
      </c>
      <c r="M72" s="93">
        <v>0.0</v>
      </c>
      <c r="N72" s="81">
        <f t="shared" si="78"/>
        <v>0</v>
      </c>
      <c r="O72" s="85" t="str">
        <f t="shared" si="79"/>
        <v/>
      </c>
      <c r="P72" s="81"/>
      <c r="Q72" s="81"/>
      <c r="R72" s="86" t="s">
        <v>80</v>
      </c>
      <c r="S72" s="87">
        <v>0.0</v>
      </c>
      <c r="T72" s="88">
        <v>0.05</v>
      </c>
      <c r="U72" s="84">
        <f t="shared" ref="U72:AF72" si="85">IF($R72="Manual","",IFERROR(IF($R72="YOY Growth",$N72*(1+$T72)/12,$S72/12),""))</f>
        <v>0</v>
      </c>
      <c r="V72" s="84">
        <f t="shared" si="85"/>
        <v>0</v>
      </c>
      <c r="W72" s="84">
        <f t="shared" si="85"/>
        <v>0</v>
      </c>
      <c r="X72" s="84">
        <f t="shared" si="85"/>
        <v>0</v>
      </c>
      <c r="Y72" s="84">
        <f t="shared" si="85"/>
        <v>0</v>
      </c>
      <c r="Z72" s="84">
        <f t="shared" si="85"/>
        <v>0</v>
      </c>
      <c r="AA72" s="84">
        <f t="shared" si="85"/>
        <v>0</v>
      </c>
      <c r="AB72" s="84">
        <f t="shared" si="85"/>
        <v>0</v>
      </c>
      <c r="AC72" s="84">
        <f t="shared" si="85"/>
        <v>0</v>
      </c>
      <c r="AD72" s="84">
        <f t="shared" si="85"/>
        <v>0</v>
      </c>
      <c r="AE72" s="84">
        <f t="shared" si="85"/>
        <v>0</v>
      </c>
      <c r="AF72" s="84">
        <f t="shared" si="85"/>
        <v>0</v>
      </c>
      <c r="AG72" s="81">
        <f t="shared" si="80"/>
        <v>0</v>
      </c>
      <c r="AH72" s="85" t="str">
        <f t="shared" si="81"/>
        <v/>
      </c>
      <c r="AI72" s="11"/>
      <c r="AJ72" s="81">
        <f t="shared" si="82"/>
        <v>0</v>
      </c>
    </row>
    <row r="73" ht="13.5" customHeight="1">
      <c r="A73" s="89" t="s">
        <v>141</v>
      </c>
      <c r="B73" s="90">
        <f t="shared" ref="B73:M73" si="86">SUM(B67:B72)</f>
        <v>31018.2</v>
      </c>
      <c r="C73" s="90">
        <f t="shared" si="86"/>
        <v>9129.17</v>
      </c>
      <c r="D73" s="90">
        <f t="shared" si="86"/>
        <v>13743.78</v>
      </c>
      <c r="E73" s="90">
        <f t="shared" si="86"/>
        <v>0</v>
      </c>
      <c r="F73" s="90">
        <f t="shared" si="86"/>
        <v>0</v>
      </c>
      <c r="G73" s="90">
        <f t="shared" si="86"/>
        <v>0</v>
      </c>
      <c r="H73" s="90">
        <f t="shared" si="86"/>
        <v>0</v>
      </c>
      <c r="I73" s="90">
        <f t="shared" si="86"/>
        <v>0</v>
      </c>
      <c r="J73" s="90">
        <f t="shared" si="86"/>
        <v>0</v>
      </c>
      <c r="K73" s="90">
        <f t="shared" si="86"/>
        <v>0</v>
      </c>
      <c r="L73" s="90">
        <f t="shared" si="86"/>
        <v>0</v>
      </c>
      <c r="M73" s="90">
        <f t="shared" si="86"/>
        <v>0</v>
      </c>
      <c r="N73" s="90">
        <f t="shared" si="78"/>
        <v>53891.15</v>
      </c>
      <c r="O73" s="91" t="str">
        <f t="shared" si="79"/>
        <v/>
      </c>
      <c r="P73" s="81"/>
      <c r="Q73" s="81"/>
      <c r="R73" s="92"/>
      <c r="S73" s="92"/>
      <c r="T73" s="92"/>
      <c r="U73" s="90">
        <f t="shared" ref="U73:AF73" si="87">SUM(U67:U72)</f>
        <v>0</v>
      </c>
      <c r="V73" s="90">
        <f t="shared" si="87"/>
        <v>0</v>
      </c>
      <c r="W73" s="90">
        <f t="shared" si="87"/>
        <v>0</v>
      </c>
      <c r="X73" s="90">
        <f t="shared" si="87"/>
        <v>0</v>
      </c>
      <c r="Y73" s="90">
        <f t="shared" si="87"/>
        <v>0</v>
      </c>
      <c r="Z73" s="90">
        <f t="shared" si="87"/>
        <v>0</v>
      </c>
      <c r="AA73" s="90">
        <f t="shared" si="87"/>
        <v>0</v>
      </c>
      <c r="AB73" s="90">
        <f t="shared" si="87"/>
        <v>0</v>
      </c>
      <c r="AC73" s="90">
        <f t="shared" si="87"/>
        <v>0</v>
      </c>
      <c r="AD73" s="90">
        <f t="shared" si="87"/>
        <v>0</v>
      </c>
      <c r="AE73" s="90">
        <f t="shared" si="87"/>
        <v>0</v>
      </c>
      <c r="AF73" s="90">
        <f t="shared" si="87"/>
        <v>0</v>
      </c>
      <c r="AG73" s="90">
        <f t="shared" si="80"/>
        <v>0</v>
      </c>
      <c r="AH73" s="91" t="str">
        <f t="shared" si="81"/>
        <v/>
      </c>
      <c r="AI73" s="11"/>
      <c r="AJ73" s="90">
        <f t="shared" si="82"/>
        <v>53891.15</v>
      </c>
    </row>
    <row r="74" ht="13.5" customHeight="1">
      <c r="A74" s="83" t="s">
        <v>142</v>
      </c>
      <c r="B74" s="81">
        <v>11.96</v>
      </c>
      <c r="C74" s="81">
        <v>9.99</v>
      </c>
      <c r="D74" s="81">
        <v>960.43</v>
      </c>
      <c r="E74" s="81">
        <v>1228.86</v>
      </c>
      <c r="F74" s="81">
        <v>2504.31</v>
      </c>
      <c r="G74" s="81">
        <v>3441.65</v>
      </c>
      <c r="H74" s="81">
        <v>8082.14</v>
      </c>
      <c r="I74" s="81">
        <v>666.92</v>
      </c>
      <c r="J74" s="93">
        <v>2500.0</v>
      </c>
      <c r="K74" s="93">
        <v>2500.0</v>
      </c>
      <c r="L74" s="93">
        <v>2500.0</v>
      </c>
      <c r="M74" s="93">
        <v>2500.0</v>
      </c>
      <c r="N74" s="81">
        <f t="shared" si="78"/>
        <v>26906.26</v>
      </c>
      <c r="O74" s="85" t="str">
        <f t="shared" si="79"/>
        <v/>
      </c>
      <c r="P74" s="81"/>
      <c r="Q74" s="81"/>
      <c r="R74" s="86" t="s">
        <v>80</v>
      </c>
      <c r="S74" s="87">
        <v>0.0</v>
      </c>
      <c r="T74" s="88">
        <v>0.05</v>
      </c>
      <c r="U74" s="84">
        <f t="shared" ref="U74:AF74" si="88">IF($R74="Manual","",IFERROR(IF($R74="YOY Growth",$N74*(1+$T74)/12,$S74/12),""))</f>
        <v>0</v>
      </c>
      <c r="V74" s="84">
        <f t="shared" si="88"/>
        <v>0</v>
      </c>
      <c r="W74" s="84">
        <f t="shared" si="88"/>
        <v>0</v>
      </c>
      <c r="X74" s="84">
        <f t="shared" si="88"/>
        <v>0</v>
      </c>
      <c r="Y74" s="84">
        <f t="shared" si="88"/>
        <v>0</v>
      </c>
      <c r="Z74" s="84">
        <f t="shared" si="88"/>
        <v>0</v>
      </c>
      <c r="AA74" s="84">
        <f t="shared" si="88"/>
        <v>0</v>
      </c>
      <c r="AB74" s="84">
        <f t="shared" si="88"/>
        <v>0</v>
      </c>
      <c r="AC74" s="84">
        <f t="shared" si="88"/>
        <v>0</v>
      </c>
      <c r="AD74" s="84">
        <f t="shared" si="88"/>
        <v>0</v>
      </c>
      <c r="AE74" s="84">
        <f t="shared" si="88"/>
        <v>0</v>
      </c>
      <c r="AF74" s="84">
        <f t="shared" si="88"/>
        <v>0</v>
      </c>
      <c r="AG74" s="81">
        <f t="shared" si="80"/>
        <v>0</v>
      </c>
      <c r="AH74" s="85" t="str">
        <f t="shared" si="81"/>
        <v/>
      </c>
      <c r="AI74" s="11"/>
      <c r="AJ74" s="81">
        <f t="shared" si="82"/>
        <v>26906.26</v>
      </c>
    </row>
    <row r="75" ht="13.5" customHeight="1">
      <c r="A75" s="83" t="s">
        <v>143</v>
      </c>
      <c r="B75" s="81">
        <v>0.0</v>
      </c>
      <c r="C75" s="81">
        <v>0.0</v>
      </c>
      <c r="D75" s="81">
        <v>0.0</v>
      </c>
      <c r="E75" s="81">
        <v>139.29</v>
      </c>
      <c r="F75" s="81">
        <v>0.0</v>
      </c>
      <c r="G75" s="81">
        <v>-147.89</v>
      </c>
      <c r="H75" s="81">
        <v>0.0</v>
      </c>
      <c r="I75" s="81">
        <v>0.0</v>
      </c>
      <c r="J75" s="93">
        <v>150.0</v>
      </c>
      <c r="K75" s="93">
        <v>150.0</v>
      </c>
      <c r="L75" s="93">
        <v>150.0</v>
      </c>
      <c r="M75" s="93">
        <v>150.0</v>
      </c>
      <c r="N75" s="81">
        <f t="shared" si="78"/>
        <v>591.4</v>
      </c>
      <c r="O75" s="85" t="str">
        <f t="shared" si="79"/>
        <v/>
      </c>
      <c r="P75" s="81"/>
      <c r="Q75" s="81"/>
      <c r="R75" s="86" t="s">
        <v>80</v>
      </c>
      <c r="S75" s="87">
        <v>0.0</v>
      </c>
      <c r="T75" s="88">
        <v>0.05</v>
      </c>
      <c r="U75" s="84">
        <f t="shared" ref="U75:AF75" si="89">IF($R75="Manual","",IFERROR(IF($R75="YOY Growth",$N75*(1+$T75)/12,$S75/12),""))</f>
        <v>0</v>
      </c>
      <c r="V75" s="84">
        <f t="shared" si="89"/>
        <v>0</v>
      </c>
      <c r="W75" s="84">
        <f t="shared" si="89"/>
        <v>0</v>
      </c>
      <c r="X75" s="84">
        <f t="shared" si="89"/>
        <v>0</v>
      </c>
      <c r="Y75" s="84">
        <f t="shared" si="89"/>
        <v>0</v>
      </c>
      <c r="Z75" s="84">
        <f t="shared" si="89"/>
        <v>0</v>
      </c>
      <c r="AA75" s="84">
        <f t="shared" si="89"/>
        <v>0</v>
      </c>
      <c r="AB75" s="84">
        <f t="shared" si="89"/>
        <v>0</v>
      </c>
      <c r="AC75" s="84">
        <f t="shared" si="89"/>
        <v>0</v>
      </c>
      <c r="AD75" s="84">
        <f t="shared" si="89"/>
        <v>0</v>
      </c>
      <c r="AE75" s="84">
        <f t="shared" si="89"/>
        <v>0</v>
      </c>
      <c r="AF75" s="84">
        <f t="shared" si="89"/>
        <v>0</v>
      </c>
      <c r="AG75" s="81">
        <f t="shared" si="80"/>
        <v>0</v>
      </c>
      <c r="AH75" s="85" t="str">
        <f t="shared" si="81"/>
        <v/>
      </c>
      <c r="AI75" s="11"/>
      <c r="AJ75" s="81">
        <f t="shared" si="82"/>
        <v>591.4</v>
      </c>
    </row>
    <row r="76" ht="13.5" customHeight="1">
      <c r="A76" s="83" t="s">
        <v>144</v>
      </c>
      <c r="B76" s="81">
        <v>0.0</v>
      </c>
      <c r="C76" s="81">
        <v>0.0</v>
      </c>
      <c r="D76" s="81">
        <v>256.68</v>
      </c>
      <c r="E76" s="81">
        <v>655.57</v>
      </c>
      <c r="F76" s="81">
        <v>0.0</v>
      </c>
      <c r="G76" s="81">
        <v>0.0</v>
      </c>
      <c r="H76" s="81">
        <v>0.0</v>
      </c>
      <c r="I76" s="81">
        <v>0.0</v>
      </c>
      <c r="J76" s="93">
        <v>200.0</v>
      </c>
      <c r="K76" s="93">
        <v>200.0</v>
      </c>
      <c r="L76" s="93">
        <v>200.0</v>
      </c>
      <c r="M76" s="93">
        <v>200.0</v>
      </c>
      <c r="N76" s="81">
        <f t="shared" si="78"/>
        <v>1712.25</v>
      </c>
      <c r="O76" s="85" t="str">
        <f t="shared" si="79"/>
        <v/>
      </c>
      <c r="P76" s="81"/>
      <c r="Q76" s="81"/>
      <c r="R76" s="86" t="s">
        <v>80</v>
      </c>
      <c r="S76" s="87">
        <v>0.0</v>
      </c>
      <c r="T76" s="88">
        <v>0.05</v>
      </c>
      <c r="U76" s="84">
        <f t="shared" ref="U76:AF76" si="90">IF($R76="Manual","",IFERROR(IF($R76="YOY Growth",$N76*(1+$T76)/12,$S76/12),""))</f>
        <v>0</v>
      </c>
      <c r="V76" s="84">
        <f t="shared" si="90"/>
        <v>0</v>
      </c>
      <c r="W76" s="84">
        <f t="shared" si="90"/>
        <v>0</v>
      </c>
      <c r="X76" s="84">
        <f t="shared" si="90"/>
        <v>0</v>
      </c>
      <c r="Y76" s="84">
        <f t="shared" si="90"/>
        <v>0</v>
      </c>
      <c r="Z76" s="84">
        <f t="shared" si="90"/>
        <v>0</v>
      </c>
      <c r="AA76" s="84">
        <f t="shared" si="90"/>
        <v>0</v>
      </c>
      <c r="AB76" s="84">
        <f t="shared" si="90"/>
        <v>0</v>
      </c>
      <c r="AC76" s="84">
        <f t="shared" si="90"/>
        <v>0</v>
      </c>
      <c r="AD76" s="84">
        <f t="shared" si="90"/>
        <v>0</v>
      </c>
      <c r="AE76" s="84">
        <f t="shared" si="90"/>
        <v>0</v>
      </c>
      <c r="AF76" s="84">
        <f t="shared" si="90"/>
        <v>0</v>
      </c>
      <c r="AG76" s="81">
        <f t="shared" si="80"/>
        <v>0</v>
      </c>
      <c r="AH76" s="85" t="str">
        <f t="shared" si="81"/>
        <v/>
      </c>
      <c r="AI76" s="11"/>
      <c r="AJ76" s="81">
        <f t="shared" si="82"/>
        <v>1712.25</v>
      </c>
    </row>
    <row r="77" ht="13.5" customHeight="1">
      <c r="A77" s="83" t="s">
        <v>145</v>
      </c>
      <c r="B77" s="81">
        <v>0.0</v>
      </c>
      <c r="C77" s="81">
        <v>0.0</v>
      </c>
      <c r="D77" s="81">
        <v>0.0</v>
      </c>
      <c r="E77" s="81">
        <v>0.0</v>
      </c>
      <c r="F77" s="81">
        <v>0.0</v>
      </c>
      <c r="G77" s="81">
        <v>0.0</v>
      </c>
      <c r="H77" s="81">
        <v>0.0</v>
      </c>
      <c r="I77" s="81">
        <v>0.0</v>
      </c>
      <c r="J77" s="93">
        <v>0.0</v>
      </c>
      <c r="K77" s="93">
        <v>0.0</v>
      </c>
      <c r="L77" s="93">
        <v>0.0</v>
      </c>
      <c r="M77" s="93">
        <v>0.0</v>
      </c>
      <c r="N77" s="81">
        <f t="shared" si="78"/>
        <v>0</v>
      </c>
      <c r="O77" s="85" t="str">
        <f t="shared" si="79"/>
        <v/>
      </c>
      <c r="P77" s="81"/>
      <c r="Q77" s="81"/>
      <c r="R77" s="86" t="s">
        <v>80</v>
      </c>
      <c r="S77" s="87">
        <v>0.0</v>
      </c>
      <c r="T77" s="88">
        <v>0.05</v>
      </c>
      <c r="U77" s="84">
        <f t="shared" ref="U77:AF77" si="91">IF($R77="Manual","",IFERROR(IF($R77="YOY Growth",$N77*(1+$T77)/12,$S77/12),""))</f>
        <v>0</v>
      </c>
      <c r="V77" s="84">
        <f t="shared" si="91"/>
        <v>0</v>
      </c>
      <c r="W77" s="84">
        <f t="shared" si="91"/>
        <v>0</v>
      </c>
      <c r="X77" s="84">
        <f t="shared" si="91"/>
        <v>0</v>
      </c>
      <c r="Y77" s="84">
        <f t="shared" si="91"/>
        <v>0</v>
      </c>
      <c r="Z77" s="84">
        <f t="shared" si="91"/>
        <v>0</v>
      </c>
      <c r="AA77" s="84">
        <f t="shared" si="91"/>
        <v>0</v>
      </c>
      <c r="AB77" s="84">
        <f t="shared" si="91"/>
        <v>0</v>
      </c>
      <c r="AC77" s="84">
        <f t="shared" si="91"/>
        <v>0</v>
      </c>
      <c r="AD77" s="84">
        <f t="shared" si="91"/>
        <v>0</v>
      </c>
      <c r="AE77" s="84">
        <f t="shared" si="91"/>
        <v>0</v>
      </c>
      <c r="AF77" s="84">
        <f t="shared" si="91"/>
        <v>0</v>
      </c>
      <c r="AG77" s="81">
        <f t="shared" si="80"/>
        <v>0</v>
      </c>
      <c r="AH77" s="85" t="str">
        <f t="shared" si="81"/>
        <v/>
      </c>
      <c r="AI77" s="11"/>
      <c r="AJ77" s="81">
        <f t="shared" si="82"/>
        <v>0</v>
      </c>
    </row>
    <row r="78" ht="13.5" customHeight="1">
      <c r="A78" s="83" t="s">
        <v>146</v>
      </c>
      <c r="B78" s="81">
        <v>0.0</v>
      </c>
      <c r="C78" s="81">
        <v>0.0</v>
      </c>
      <c r="D78" s="81">
        <v>0.0</v>
      </c>
      <c r="E78" s="81">
        <v>0.0</v>
      </c>
      <c r="F78" s="81">
        <v>0.0</v>
      </c>
      <c r="G78" s="81">
        <v>0.0</v>
      </c>
      <c r="H78" s="81">
        <v>0.0</v>
      </c>
      <c r="I78" s="81">
        <v>0.0</v>
      </c>
      <c r="J78" s="93">
        <v>0.0</v>
      </c>
      <c r="K78" s="93">
        <v>0.0</v>
      </c>
      <c r="L78" s="93">
        <v>0.0</v>
      </c>
      <c r="M78" s="93">
        <v>0.0</v>
      </c>
      <c r="N78" s="81">
        <f t="shared" si="78"/>
        <v>0</v>
      </c>
      <c r="O78" s="85" t="str">
        <f t="shared" si="79"/>
        <v/>
      </c>
      <c r="P78" s="81"/>
      <c r="Q78" s="81"/>
      <c r="R78" s="86" t="s">
        <v>80</v>
      </c>
      <c r="S78" s="87">
        <v>0.0</v>
      </c>
      <c r="T78" s="88">
        <v>0.05</v>
      </c>
      <c r="U78" s="84">
        <f t="shared" ref="U78:AF78" si="92">IF($R78="Manual","",IFERROR(IF($R78="YOY Growth",$N78*(1+$T78)/12,$S78/12),""))</f>
        <v>0</v>
      </c>
      <c r="V78" s="84">
        <f t="shared" si="92"/>
        <v>0</v>
      </c>
      <c r="W78" s="84">
        <f t="shared" si="92"/>
        <v>0</v>
      </c>
      <c r="X78" s="84">
        <f t="shared" si="92"/>
        <v>0</v>
      </c>
      <c r="Y78" s="84">
        <f t="shared" si="92"/>
        <v>0</v>
      </c>
      <c r="Z78" s="84">
        <f t="shared" si="92"/>
        <v>0</v>
      </c>
      <c r="AA78" s="84">
        <f t="shared" si="92"/>
        <v>0</v>
      </c>
      <c r="AB78" s="84">
        <f t="shared" si="92"/>
        <v>0</v>
      </c>
      <c r="AC78" s="84">
        <f t="shared" si="92"/>
        <v>0</v>
      </c>
      <c r="AD78" s="84">
        <f t="shared" si="92"/>
        <v>0</v>
      </c>
      <c r="AE78" s="84">
        <f t="shared" si="92"/>
        <v>0</v>
      </c>
      <c r="AF78" s="84">
        <f t="shared" si="92"/>
        <v>0</v>
      </c>
      <c r="AG78" s="81">
        <f t="shared" si="80"/>
        <v>0</v>
      </c>
      <c r="AH78" s="85" t="str">
        <f t="shared" si="81"/>
        <v/>
      </c>
      <c r="AI78" s="11"/>
      <c r="AJ78" s="81">
        <f t="shared" si="82"/>
        <v>0</v>
      </c>
    </row>
    <row r="79" ht="13.5" customHeight="1">
      <c r="A79" s="83" t="s">
        <v>147</v>
      </c>
      <c r="B79" s="81">
        <v>0.0</v>
      </c>
      <c r="C79" s="81">
        <v>0.0</v>
      </c>
      <c r="D79" s="81">
        <v>0.0</v>
      </c>
      <c r="E79" s="81">
        <v>0.0</v>
      </c>
      <c r="F79" s="81">
        <v>0.0</v>
      </c>
      <c r="G79" s="81">
        <v>2900.0</v>
      </c>
      <c r="H79" s="81">
        <v>0.0</v>
      </c>
      <c r="I79" s="81">
        <v>0.0</v>
      </c>
      <c r="J79" s="93">
        <v>0.0</v>
      </c>
      <c r="K79" s="93">
        <v>0.0</v>
      </c>
      <c r="L79" s="93">
        <v>0.0</v>
      </c>
      <c r="M79" s="93">
        <v>0.0</v>
      </c>
      <c r="N79" s="81">
        <f t="shared" si="78"/>
        <v>2900</v>
      </c>
      <c r="O79" s="85" t="str">
        <f t="shared" si="79"/>
        <v/>
      </c>
      <c r="P79" s="81"/>
      <c r="Q79" s="81"/>
      <c r="R79" s="86" t="s">
        <v>80</v>
      </c>
      <c r="S79" s="87">
        <v>0.0</v>
      </c>
      <c r="T79" s="88">
        <v>0.05</v>
      </c>
      <c r="U79" s="84">
        <f t="shared" ref="U79:AF79" si="93">IF($R79="Manual","",IFERROR(IF($R79="YOY Growth",$N79*(1+$T79)/12,$S79/12),""))</f>
        <v>0</v>
      </c>
      <c r="V79" s="84">
        <f t="shared" si="93"/>
        <v>0</v>
      </c>
      <c r="W79" s="84">
        <f t="shared" si="93"/>
        <v>0</v>
      </c>
      <c r="X79" s="84">
        <f t="shared" si="93"/>
        <v>0</v>
      </c>
      <c r="Y79" s="84">
        <f t="shared" si="93"/>
        <v>0</v>
      </c>
      <c r="Z79" s="84">
        <f t="shared" si="93"/>
        <v>0</v>
      </c>
      <c r="AA79" s="84">
        <f t="shared" si="93"/>
        <v>0</v>
      </c>
      <c r="AB79" s="84">
        <f t="shared" si="93"/>
        <v>0</v>
      </c>
      <c r="AC79" s="84">
        <f t="shared" si="93"/>
        <v>0</v>
      </c>
      <c r="AD79" s="84">
        <f t="shared" si="93"/>
        <v>0</v>
      </c>
      <c r="AE79" s="84">
        <f t="shared" si="93"/>
        <v>0</v>
      </c>
      <c r="AF79" s="84">
        <f t="shared" si="93"/>
        <v>0</v>
      </c>
      <c r="AG79" s="81">
        <f t="shared" si="80"/>
        <v>0</v>
      </c>
      <c r="AH79" s="85" t="str">
        <f t="shared" si="81"/>
        <v/>
      </c>
      <c r="AI79" s="11"/>
      <c r="AJ79" s="81">
        <f t="shared" si="82"/>
        <v>2900</v>
      </c>
    </row>
    <row r="80" ht="13.5" customHeight="1">
      <c r="A80" s="83" t="s">
        <v>148</v>
      </c>
      <c r="B80" s="81">
        <v>0.0</v>
      </c>
      <c r="C80" s="81">
        <v>0.0</v>
      </c>
      <c r="D80" s="81">
        <v>0.0</v>
      </c>
      <c r="E80" s="81">
        <v>0.0</v>
      </c>
      <c r="F80" s="81">
        <v>0.0</v>
      </c>
      <c r="G80" s="81">
        <v>0.0</v>
      </c>
      <c r="H80" s="81">
        <v>0.0</v>
      </c>
      <c r="I80" s="81">
        <v>0.0</v>
      </c>
      <c r="J80" s="93">
        <v>0.0</v>
      </c>
      <c r="K80" s="93">
        <v>0.0</v>
      </c>
      <c r="L80" s="93">
        <v>0.0</v>
      </c>
      <c r="M80" s="93">
        <v>0.0</v>
      </c>
      <c r="N80" s="81">
        <f t="shared" si="78"/>
        <v>0</v>
      </c>
      <c r="O80" s="85" t="str">
        <f t="shared" si="79"/>
        <v/>
      </c>
      <c r="P80" s="81"/>
      <c r="Q80" s="81"/>
      <c r="R80" s="86" t="s">
        <v>80</v>
      </c>
      <c r="S80" s="87">
        <v>0.0</v>
      </c>
      <c r="T80" s="88">
        <v>0.05</v>
      </c>
      <c r="U80" s="84">
        <f t="shared" ref="U80:AF80" si="94">IF($R80="Manual","",IFERROR(IF($R80="YOY Growth",$N80*(1+$T80)/12,$S80/12),""))</f>
        <v>0</v>
      </c>
      <c r="V80" s="84">
        <f t="shared" si="94"/>
        <v>0</v>
      </c>
      <c r="W80" s="84">
        <f t="shared" si="94"/>
        <v>0</v>
      </c>
      <c r="X80" s="84">
        <f t="shared" si="94"/>
        <v>0</v>
      </c>
      <c r="Y80" s="84">
        <f t="shared" si="94"/>
        <v>0</v>
      </c>
      <c r="Z80" s="84">
        <f t="shared" si="94"/>
        <v>0</v>
      </c>
      <c r="AA80" s="84">
        <f t="shared" si="94"/>
        <v>0</v>
      </c>
      <c r="AB80" s="84">
        <f t="shared" si="94"/>
        <v>0</v>
      </c>
      <c r="AC80" s="84">
        <f t="shared" si="94"/>
        <v>0</v>
      </c>
      <c r="AD80" s="84">
        <f t="shared" si="94"/>
        <v>0</v>
      </c>
      <c r="AE80" s="84">
        <f t="shared" si="94"/>
        <v>0</v>
      </c>
      <c r="AF80" s="84">
        <f t="shared" si="94"/>
        <v>0</v>
      </c>
      <c r="AG80" s="81">
        <f t="shared" si="80"/>
        <v>0</v>
      </c>
      <c r="AH80" s="85" t="str">
        <f t="shared" si="81"/>
        <v/>
      </c>
      <c r="AI80" s="11"/>
      <c r="AJ80" s="81">
        <f t="shared" si="82"/>
        <v>0</v>
      </c>
    </row>
    <row r="81" ht="13.5" customHeight="1">
      <c r="A81" s="82" t="s">
        <v>149</v>
      </c>
      <c r="B81" s="81"/>
      <c r="C81" s="81"/>
      <c r="D81" s="81"/>
      <c r="E81" s="81"/>
      <c r="F81" s="81"/>
      <c r="G81" s="81"/>
      <c r="H81" s="81"/>
      <c r="I81" s="81"/>
      <c r="J81" s="81"/>
      <c r="K81" s="81"/>
      <c r="L81" s="81"/>
      <c r="M81" s="81"/>
      <c r="N81" s="81"/>
      <c r="O81" s="85"/>
      <c r="P81" s="81"/>
      <c r="Q81" s="81"/>
      <c r="R81" s="92"/>
      <c r="S81" s="92"/>
      <c r="T81" s="92"/>
      <c r="U81" s="81"/>
      <c r="V81" s="81"/>
      <c r="W81" s="81"/>
      <c r="X81" s="81"/>
      <c r="Y81" s="81"/>
      <c r="Z81" s="81"/>
      <c r="AA81" s="81"/>
      <c r="AB81" s="81"/>
      <c r="AC81" s="81"/>
      <c r="AD81" s="81"/>
      <c r="AE81" s="81"/>
      <c r="AF81" s="81"/>
      <c r="AG81" s="81"/>
      <c r="AH81" s="85"/>
      <c r="AI81" s="11"/>
      <c r="AJ81" s="81"/>
    </row>
    <row r="82" ht="13.5" customHeight="1">
      <c r="A82" s="83" t="s">
        <v>150</v>
      </c>
      <c r="B82" s="81">
        <v>0.0</v>
      </c>
      <c r="C82" s="81">
        <v>0.0</v>
      </c>
      <c r="D82" s="81">
        <v>0.0</v>
      </c>
      <c r="E82" s="81">
        <v>0.0</v>
      </c>
      <c r="F82" s="81">
        <v>0.0</v>
      </c>
      <c r="G82" s="81">
        <v>0.0</v>
      </c>
      <c r="H82" s="81">
        <v>0.0</v>
      </c>
      <c r="I82" s="81">
        <v>0.0</v>
      </c>
      <c r="J82" s="93">
        <v>0.0</v>
      </c>
      <c r="K82" s="93">
        <v>0.0</v>
      </c>
      <c r="L82" s="93">
        <v>0.0</v>
      </c>
      <c r="M82" s="93">
        <v>0.0</v>
      </c>
      <c r="N82" s="81">
        <f t="shared" ref="N82:N117" si="96">SUM(B82:M82)</f>
        <v>0</v>
      </c>
      <c r="O82" s="85" t="str">
        <f t="shared" ref="O82:O117" si="97">IFERROR(N82/N$16,"")</f>
        <v/>
      </c>
      <c r="P82" s="81"/>
      <c r="Q82" s="81"/>
      <c r="R82" s="86" t="s">
        <v>80</v>
      </c>
      <c r="S82" s="87">
        <v>0.0</v>
      </c>
      <c r="T82" s="88">
        <v>0.05</v>
      </c>
      <c r="U82" s="84">
        <f t="shared" ref="U82:AF82" si="95">IF($R82="Manual","",IFERROR(IF($R82="YOY Growth",$N82*(1+$T82)/12,$S82/12),""))</f>
        <v>0</v>
      </c>
      <c r="V82" s="84">
        <f t="shared" si="95"/>
        <v>0</v>
      </c>
      <c r="W82" s="84">
        <f t="shared" si="95"/>
        <v>0</v>
      </c>
      <c r="X82" s="84">
        <f t="shared" si="95"/>
        <v>0</v>
      </c>
      <c r="Y82" s="84">
        <f t="shared" si="95"/>
        <v>0</v>
      </c>
      <c r="Z82" s="84">
        <f t="shared" si="95"/>
        <v>0</v>
      </c>
      <c r="AA82" s="84">
        <f t="shared" si="95"/>
        <v>0</v>
      </c>
      <c r="AB82" s="84">
        <f t="shared" si="95"/>
        <v>0</v>
      </c>
      <c r="AC82" s="84">
        <f t="shared" si="95"/>
        <v>0</v>
      </c>
      <c r="AD82" s="84">
        <f t="shared" si="95"/>
        <v>0</v>
      </c>
      <c r="AE82" s="84">
        <f t="shared" si="95"/>
        <v>0</v>
      </c>
      <c r="AF82" s="84">
        <f t="shared" si="95"/>
        <v>0</v>
      </c>
      <c r="AG82" s="81">
        <f t="shared" ref="AG82:AG117" si="99">SUM(U82:AF82)</f>
        <v>0</v>
      </c>
      <c r="AH82" s="85" t="str">
        <f t="shared" ref="AH82:AH117" si="100">IFERROR(AG82/AG$16,"")</f>
        <v/>
      </c>
      <c r="AI82" s="11"/>
      <c r="AJ82" s="81">
        <f t="shared" ref="AJ82:AJ116" si="101">N82-AG82</f>
        <v>0</v>
      </c>
    </row>
    <row r="83" ht="13.5" customHeight="1">
      <c r="A83" s="83" t="s">
        <v>151</v>
      </c>
      <c r="B83" s="81">
        <v>0.0</v>
      </c>
      <c r="C83" s="81">
        <v>0.0</v>
      </c>
      <c r="D83" s="81">
        <v>0.0</v>
      </c>
      <c r="E83" s="81">
        <v>0.0</v>
      </c>
      <c r="F83" s="81">
        <v>0.0</v>
      </c>
      <c r="G83" s="81">
        <v>0.0</v>
      </c>
      <c r="H83" s="81">
        <v>0.0</v>
      </c>
      <c r="I83" s="81">
        <v>0.0</v>
      </c>
      <c r="J83" s="93">
        <v>0.0</v>
      </c>
      <c r="K83" s="93">
        <v>0.0</v>
      </c>
      <c r="L83" s="93">
        <v>0.0</v>
      </c>
      <c r="M83" s="93">
        <v>0.0</v>
      </c>
      <c r="N83" s="81">
        <f t="shared" si="96"/>
        <v>0</v>
      </c>
      <c r="O83" s="85" t="str">
        <f t="shared" si="97"/>
        <v/>
      </c>
      <c r="P83" s="81"/>
      <c r="Q83" s="81"/>
      <c r="R83" s="86" t="s">
        <v>80</v>
      </c>
      <c r="S83" s="87">
        <v>0.0</v>
      </c>
      <c r="T83" s="88">
        <v>0.05</v>
      </c>
      <c r="U83" s="84">
        <f t="shared" ref="U83:AF83" si="98">IF($R83="Manual","",IFERROR(IF($R83="YOY Growth",$N83*(1+$T83)/12,$S83/12),""))</f>
        <v>0</v>
      </c>
      <c r="V83" s="84">
        <f t="shared" si="98"/>
        <v>0</v>
      </c>
      <c r="W83" s="84">
        <f t="shared" si="98"/>
        <v>0</v>
      </c>
      <c r="X83" s="84">
        <f t="shared" si="98"/>
        <v>0</v>
      </c>
      <c r="Y83" s="84">
        <f t="shared" si="98"/>
        <v>0</v>
      </c>
      <c r="Z83" s="84">
        <f t="shared" si="98"/>
        <v>0</v>
      </c>
      <c r="AA83" s="84">
        <f t="shared" si="98"/>
        <v>0</v>
      </c>
      <c r="AB83" s="84">
        <f t="shared" si="98"/>
        <v>0</v>
      </c>
      <c r="AC83" s="84">
        <f t="shared" si="98"/>
        <v>0</v>
      </c>
      <c r="AD83" s="84">
        <f t="shared" si="98"/>
        <v>0</v>
      </c>
      <c r="AE83" s="84">
        <f t="shared" si="98"/>
        <v>0</v>
      </c>
      <c r="AF83" s="84">
        <f t="shared" si="98"/>
        <v>0</v>
      </c>
      <c r="AG83" s="81">
        <f t="shared" si="99"/>
        <v>0</v>
      </c>
      <c r="AH83" s="85" t="str">
        <f t="shared" si="100"/>
        <v/>
      </c>
      <c r="AI83" s="11"/>
      <c r="AJ83" s="81">
        <f t="shared" si="101"/>
        <v>0</v>
      </c>
    </row>
    <row r="84" ht="13.5" customHeight="1">
      <c r="A84" s="83" t="s">
        <v>152</v>
      </c>
      <c r="B84" s="81">
        <v>0.0</v>
      </c>
      <c r="C84" s="81">
        <v>0.0</v>
      </c>
      <c r="D84" s="81">
        <v>0.0</v>
      </c>
      <c r="E84" s="81">
        <v>0.0</v>
      </c>
      <c r="F84" s="81">
        <v>0.0</v>
      </c>
      <c r="G84" s="81">
        <v>0.0</v>
      </c>
      <c r="H84" s="81">
        <v>0.0</v>
      </c>
      <c r="I84" s="81">
        <v>0.0</v>
      </c>
      <c r="J84" s="93">
        <v>0.0</v>
      </c>
      <c r="K84" s="93">
        <v>0.0</v>
      </c>
      <c r="L84" s="93">
        <v>0.0</v>
      </c>
      <c r="M84" s="93">
        <v>0.0</v>
      </c>
      <c r="N84" s="81">
        <f t="shared" si="96"/>
        <v>0</v>
      </c>
      <c r="O84" s="85" t="str">
        <f t="shared" si="97"/>
        <v/>
      </c>
      <c r="P84" s="81"/>
      <c r="Q84" s="81"/>
      <c r="R84" s="86" t="s">
        <v>80</v>
      </c>
      <c r="S84" s="87">
        <v>0.0</v>
      </c>
      <c r="T84" s="88">
        <v>0.05</v>
      </c>
      <c r="U84" s="84">
        <f t="shared" ref="U84:AF84" si="102">IF($R84="Manual","",IFERROR(IF($R84="YOY Growth",$N84*(1+$T84)/12,$S84/12),""))</f>
        <v>0</v>
      </c>
      <c r="V84" s="84">
        <f t="shared" si="102"/>
        <v>0</v>
      </c>
      <c r="W84" s="84">
        <f t="shared" si="102"/>
        <v>0</v>
      </c>
      <c r="X84" s="84">
        <f t="shared" si="102"/>
        <v>0</v>
      </c>
      <c r="Y84" s="84">
        <f t="shared" si="102"/>
        <v>0</v>
      </c>
      <c r="Z84" s="84">
        <f t="shared" si="102"/>
        <v>0</v>
      </c>
      <c r="AA84" s="84">
        <f t="shared" si="102"/>
        <v>0</v>
      </c>
      <c r="AB84" s="84">
        <f t="shared" si="102"/>
        <v>0</v>
      </c>
      <c r="AC84" s="84">
        <f t="shared" si="102"/>
        <v>0</v>
      </c>
      <c r="AD84" s="84">
        <f t="shared" si="102"/>
        <v>0</v>
      </c>
      <c r="AE84" s="84">
        <f t="shared" si="102"/>
        <v>0</v>
      </c>
      <c r="AF84" s="84">
        <f t="shared" si="102"/>
        <v>0</v>
      </c>
      <c r="AG84" s="81">
        <f t="shared" si="99"/>
        <v>0</v>
      </c>
      <c r="AH84" s="85" t="str">
        <f t="shared" si="100"/>
        <v/>
      </c>
      <c r="AI84" s="11"/>
      <c r="AJ84" s="81">
        <f t="shared" si="101"/>
        <v>0</v>
      </c>
    </row>
    <row r="85" ht="13.5" customHeight="1">
      <c r="A85" s="83" t="s">
        <v>153</v>
      </c>
      <c r="B85" s="81">
        <v>0.0</v>
      </c>
      <c r="C85" s="81">
        <v>0.0</v>
      </c>
      <c r="D85" s="81">
        <v>0.0</v>
      </c>
      <c r="E85" s="81">
        <v>0.0</v>
      </c>
      <c r="F85" s="81">
        <v>0.0</v>
      </c>
      <c r="G85" s="81">
        <v>0.0</v>
      </c>
      <c r="H85" s="81">
        <v>0.0</v>
      </c>
      <c r="I85" s="81">
        <v>0.0</v>
      </c>
      <c r="J85" s="93">
        <v>0.0</v>
      </c>
      <c r="K85" s="93">
        <v>0.0</v>
      </c>
      <c r="L85" s="93">
        <v>0.0</v>
      </c>
      <c r="M85" s="93">
        <v>0.0</v>
      </c>
      <c r="N85" s="81">
        <f t="shared" si="96"/>
        <v>0</v>
      </c>
      <c r="O85" s="85" t="str">
        <f t="shared" si="97"/>
        <v/>
      </c>
      <c r="P85" s="81"/>
      <c r="Q85" s="81"/>
      <c r="R85" s="86" t="s">
        <v>80</v>
      </c>
      <c r="S85" s="87">
        <v>0.0</v>
      </c>
      <c r="T85" s="88">
        <v>0.05</v>
      </c>
      <c r="U85" s="84">
        <f t="shared" ref="U85:AF85" si="103">IF($R85="Manual","",IFERROR(IF($R85="YOY Growth",$N85*(1+$T85)/12,$S85/12),""))</f>
        <v>0</v>
      </c>
      <c r="V85" s="84">
        <f t="shared" si="103"/>
        <v>0</v>
      </c>
      <c r="W85" s="84">
        <f t="shared" si="103"/>
        <v>0</v>
      </c>
      <c r="X85" s="84">
        <f t="shared" si="103"/>
        <v>0</v>
      </c>
      <c r="Y85" s="84">
        <f t="shared" si="103"/>
        <v>0</v>
      </c>
      <c r="Z85" s="84">
        <f t="shared" si="103"/>
        <v>0</v>
      </c>
      <c r="AA85" s="84">
        <f t="shared" si="103"/>
        <v>0</v>
      </c>
      <c r="AB85" s="84">
        <f t="shared" si="103"/>
        <v>0</v>
      </c>
      <c r="AC85" s="84">
        <f t="shared" si="103"/>
        <v>0</v>
      </c>
      <c r="AD85" s="84">
        <f t="shared" si="103"/>
        <v>0</v>
      </c>
      <c r="AE85" s="84">
        <f t="shared" si="103"/>
        <v>0</v>
      </c>
      <c r="AF85" s="84">
        <f t="shared" si="103"/>
        <v>0</v>
      </c>
      <c r="AG85" s="81">
        <f t="shared" si="99"/>
        <v>0</v>
      </c>
      <c r="AH85" s="85" t="str">
        <f t="shared" si="100"/>
        <v/>
      </c>
      <c r="AI85" s="11"/>
      <c r="AJ85" s="81">
        <f t="shared" si="101"/>
        <v>0</v>
      </c>
    </row>
    <row r="86" ht="13.5" customHeight="1">
      <c r="A86" s="83" t="s">
        <v>154</v>
      </c>
      <c r="B86" s="81">
        <v>0.0</v>
      </c>
      <c r="C86" s="81">
        <v>0.0</v>
      </c>
      <c r="D86" s="81">
        <v>0.0</v>
      </c>
      <c r="E86" s="81">
        <v>0.0</v>
      </c>
      <c r="F86" s="81">
        <v>0.0</v>
      </c>
      <c r="G86" s="81">
        <v>0.0</v>
      </c>
      <c r="H86" s="81">
        <v>0.0</v>
      </c>
      <c r="I86" s="81">
        <v>0.0</v>
      </c>
      <c r="J86" s="93">
        <v>0.0</v>
      </c>
      <c r="K86" s="93">
        <v>0.0</v>
      </c>
      <c r="L86" s="93">
        <v>0.0</v>
      </c>
      <c r="M86" s="93">
        <v>0.0</v>
      </c>
      <c r="N86" s="81">
        <f t="shared" si="96"/>
        <v>0</v>
      </c>
      <c r="O86" s="85" t="str">
        <f t="shared" si="97"/>
        <v/>
      </c>
      <c r="P86" s="81"/>
      <c r="Q86" s="81"/>
      <c r="R86" s="86" t="s">
        <v>80</v>
      </c>
      <c r="S86" s="87">
        <v>0.0</v>
      </c>
      <c r="T86" s="88">
        <v>0.05</v>
      </c>
      <c r="U86" s="84">
        <f t="shared" ref="U86:AF86" si="104">IF($R86="Manual","",IFERROR(IF($R86="YOY Growth",$N86*(1+$T86)/12,$S86/12),""))</f>
        <v>0</v>
      </c>
      <c r="V86" s="84">
        <f t="shared" si="104"/>
        <v>0</v>
      </c>
      <c r="W86" s="84">
        <f t="shared" si="104"/>
        <v>0</v>
      </c>
      <c r="X86" s="84">
        <f t="shared" si="104"/>
        <v>0</v>
      </c>
      <c r="Y86" s="84">
        <f t="shared" si="104"/>
        <v>0</v>
      </c>
      <c r="Z86" s="84">
        <f t="shared" si="104"/>
        <v>0</v>
      </c>
      <c r="AA86" s="84">
        <f t="shared" si="104"/>
        <v>0</v>
      </c>
      <c r="AB86" s="84">
        <f t="shared" si="104"/>
        <v>0</v>
      </c>
      <c r="AC86" s="84">
        <f t="shared" si="104"/>
        <v>0</v>
      </c>
      <c r="AD86" s="84">
        <f t="shared" si="104"/>
        <v>0</v>
      </c>
      <c r="AE86" s="84">
        <f t="shared" si="104"/>
        <v>0</v>
      </c>
      <c r="AF86" s="84">
        <f t="shared" si="104"/>
        <v>0</v>
      </c>
      <c r="AG86" s="81">
        <f t="shared" si="99"/>
        <v>0</v>
      </c>
      <c r="AH86" s="85" t="str">
        <f t="shared" si="100"/>
        <v/>
      </c>
      <c r="AI86" s="11"/>
      <c r="AJ86" s="81">
        <f t="shared" si="101"/>
        <v>0</v>
      </c>
    </row>
    <row r="87" ht="13.5" customHeight="1">
      <c r="A87" s="89" t="s">
        <v>155</v>
      </c>
      <c r="B87" s="90">
        <f t="shared" ref="B87:M87" si="105">SUM(B82:B86)</f>
        <v>0</v>
      </c>
      <c r="C87" s="90">
        <f t="shared" si="105"/>
        <v>0</v>
      </c>
      <c r="D87" s="90">
        <f t="shared" si="105"/>
        <v>0</v>
      </c>
      <c r="E87" s="90">
        <f t="shared" si="105"/>
        <v>0</v>
      </c>
      <c r="F87" s="90">
        <f t="shared" si="105"/>
        <v>0</v>
      </c>
      <c r="G87" s="90">
        <f t="shared" si="105"/>
        <v>0</v>
      </c>
      <c r="H87" s="90">
        <f t="shared" si="105"/>
        <v>0</v>
      </c>
      <c r="I87" s="90">
        <f t="shared" si="105"/>
        <v>0</v>
      </c>
      <c r="J87" s="90">
        <f t="shared" si="105"/>
        <v>0</v>
      </c>
      <c r="K87" s="90">
        <f t="shared" si="105"/>
        <v>0</v>
      </c>
      <c r="L87" s="90">
        <f t="shared" si="105"/>
        <v>0</v>
      </c>
      <c r="M87" s="90">
        <f t="shared" si="105"/>
        <v>0</v>
      </c>
      <c r="N87" s="90">
        <f t="shared" si="96"/>
        <v>0</v>
      </c>
      <c r="O87" s="91" t="str">
        <f t="shared" si="97"/>
        <v/>
      </c>
      <c r="P87" s="81"/>
      <c r="Q87" s="81"/>
      <c r="R87" s="92"/>
      <c r="S87" s="92"/>
      <c r="T87" s="92"/>
      <c r="U87" s="90">
        <f t="shared" ref="U87:AF87" si="106">SUM(U82:U86)</f>
        <v>0</v>
      </c>
      <c r="V87" s="90">
        <f t="shared" si="106"/>
        <v>0</v>
      </c>
      <c r="W87" s="90">
        <f t="shared" si="106"/>
        <v>0</v>
      </c>
      <c r="X87" s="90">
        <f t="shared" si="106"/>
        <v>0</v>
      </c>
      <c r="Y87" s="90">
        <f t="shared" si="106"/>
        <v>0</v>
      </c>
      <c r="Z87" s="90">
        <f t="shared" si="106"/>
        <v>0</v>
      </c>
      <c r="AA87" s="90">
        <f t="shared" si="106"/>
        <v>0</v>
      </c>
      <c r="AB87" s="90">
        <f t="shared" si="106"/>
        <v>0</v>
      </c>
      <c r="AC87" s="90">
        <f t="shared" si="106"/>
        <v>0</v>
      </c>
      <c r="AD87" s="90">
        <f t="shared" si="106"/>
        <v>0</v>
      </c>
      <c r="AE87" s="90">
        <f t="shared" si="106"/>
        <v>0</v>
      </c>
      <c r="AF87" s="90">
        <f t="shared" si="106"/>
        <v>0</v>
      </c>
      <c r="AG87" s="90">
        <f t="shared" si="99"/>
        <v>0</v>
      </c>
      <c r="AH87" s="91" t="str">
        <f t="shared" si="100"/>
        <v/>
      </c>
      <c r="AI87" s="11"/>
      <c r="AJ87" s="90">
        <f t="shared" si="101"/>
        <v>0</v>
      </c>
    </row>
    <row r="88" ht="13.5" customHeight="1">
      <c r="A88" s="83" t="s">
        <v>156</v>
      </c>
      <c r="B88" s="81">
        <v>0.0</v>
      </c>
      <c r="C88" s="81">
        <v>0.0</v>
      </c>
      <c r="D88" s="81">
        <v>0.0</v>
      </c>
      <c r="E88" s="81">
        <v>0.0</v>
      </c>
      <c r="F88" s="81">
        <v>0.0</v>
      </c>
      <c r="G88" s="81">
        <v>0.0</v>
      </c>
      <c r="H88" s="81">
        <v>0.0</v>
      </c>
      <c r="I88" s="81">
        <v>0.0</v>
      </c>
      <c r="J88" s="93">
        <v>0.0</v>
      </c>
      <c r="K88" s="93">
        <v>0.0</v>
      </c>
      <c r="L88" s="93">
        <v>0.0</v>
      </c>
      <c r="M88" s="93">
        <v>0.0</v>
      </c>
      <c r="N88" s="81">
        <f t="shared" si="96"/>
        <v>0</v>
      </c>
      <c r="O88" s="85" t="str">
        <f t="shared" si="97"/>
        <v/>
      </c>
      <c r="P88" s="81"/>
      <c r="Q88" s="81"/>
      <c r="R88" s="86" t="s">
        <v>80</v>
      </c>
      <c r="S88" s="87">
        <v>0.0</v>
      </c>
      <c r="T88" s="88">
        <v>0.05</v>
      </c>
      <c r="U88" s="84">
        <f t="shared" ref="U88:AF88" si="107">IF($R88="Manual","",IFERROR(IF($R88="YOY Growth",$N88*(1+$T88)/12,$S88/12),""))</f>
        <v>0</v>
      </c>
      <c r="V88" s="84">
        <f t="shared" si="107"/>
        <v>0</v>
      </c>
      <c r="W88" s="84">
        <f t="shared" si="107"/>
        <v>0</v>
      </c>
      <c r="X88" s="84">
        <f t="shared" si="107"/>
        <v>0</v>
      </c>
      <c r="Y88" s="84">
        <f t="shared" si="107"/>
        <v>0</v>
      </c>
      <c r="Z88" s="84">
        <f t="shared" si="107"/>
        <v>0</v>
      </c>
      <c r="AA88" s="84">
        <f t="shared" si="107"/>
        <v>0</v>
      </c>
      <c r="AB88" s="84">
        <f t="shared" si="107"/>
        <v>0</v>
      </c>
      <c r="AC88" s="84">
        <f t="shared" si="107"/>
        <v>0</v>
      </c>
      <c r="AD88" s="84">
        <f t="shared" si="107"/>
        <v>0</v>
      </c>
      <c r="AE88" s="84">
        <f t="shared" si="107"/>
        <v>0</v>
      </c>
      <c r="AF88" s="84">
        <f t="shared" si="107"/>
        <v>0</v>
      </c>
      <c r="AG88" s="81">
        <f t="shared" si="99"/>
        <v>0</v>
      </c>
      <c r="AH88" s="85" t="str">
        <f t="shared" si="100"/>
        <v/>
      </c>
      <c r="AI88" s="11"/>
      <c r="AJ88" s="81">
        <f t="shared" si="101"/>
        <v>0</v>
      </c>
    </row>
    <row r="89" ht="13.5" customHeight="1">
      <c r="A89" s="83" t="s">
        <v>157</v>
      </c>
      <c r="B89" s="81">
        <v>0.0</v>
      </c>
      <c r="C89" s="81">
        <v>0.0</v>
      </c>
      <c r="D89" s="81">
        <v>0.0</v>
      </c>
      <c r="E89" s="81">
        <v>0.0</v>
      </c>
      <c r="F89" s="81">
        <v>0.0</v>
      </c>
      <c r="G89" s="81">
        <v>31320.0</v>
      </c>
      <c r="H89" s="81">
        <v>-8375.0</v>
      </c>
      <c r="I89" s="81">
        <v>-8375.0</v>
      </c>
      <c r="J89" s="93">
        <v>0.0</v>
      </c>
      <c r="K89" s="93">
        <v>0.0</v>
      </c>
      <c r="L89" s="93">
        <v>0.0</v>
      </c>
      <c r="M89" s="93">
        <v>0.0</v>
      </c>
      <c r="N89" s="81">
        <f t="shared" si="96"/>
        <v>14570</v>
      </c>
      <c r="O89" s="85" t="str">
        <f t="shared" si="97"/>
        <v/>
      </c>
      <c r="P89" s="81"/>
      <c r="Q89" s="81"/>
      <c r="R89" s="86" t="s">
        <v>80</v>
      </c>
      <c r="S89" s="87">
        <v>0.0</v>
      </c>
      <c r="T89" s="88">
        <v>0.05</v>
      </c>
      <c r="U89" s="84">
        <f t="shared" ref="U89:AF89" si="108">IF($R89="Manual","",IFERROR(IF($R89="YOY Growth",$N89*(1+$T89)/12,$S89/12),""))</f>
        <v>0</v>
      </c>
      <c r="V89" s="84">
        <f t="shared" si="108"/>
        <v>0</v>
      </c>
      <c r="W89" s="84">
        <f t="shared" si="108"/>
        <v>0</v>
      </c>
      <c r="X89" s="84">
        <f t="shared" si="108"/>
        <v>0</v>
      </c>
      <c r="Y89" s="84">
        <f t="shared" si="108"/>
        <v>0</v>
      </c>
      <c r="Z89" s="84">
        <f t="shared" si="108"/>
        <v>0</v>
      </c>
      <c r="AA89" s="84">
        <f t="shared" si="108"/>
        <v>0</v>
      </c>
      <c r="AB89" s="84">
        <f t="shared" si="108"/>
        <v>0</v>
      </c>
      <c r="AC89" s="84">
        <f t="shared" si="108"/>
        <v>0</v>
      </c>
      <c r="AD89" s="84">
        <f t="shared" si="108"/>
        <v>0</v>
      </c>
      <c r="AE89" s="84">
        <f t="shared" si="108"/>
        <v>0</v>
      </c>
      <c r="AF89" s="84">
        <f t="shared" si="108"/>
        <v>0</v>
      </c>
      <c r="AG89" s="81">
        <f t="shared" si="99"/>
        <v>0</v>
      </c>
      <c r="AH89" s="85" t="str">
        <f t="shared" si="100"/>
        <v/>
      </c>
      <c r="AI89" s="11"/>
      <c r="AJ89" s="81">
        <f t="shared" si="101"/>
        <v>14570</v>
      </c>
    </row>
    <row r="90" ht="13.5" customHeight="1">
      <c r="A90" s="83" t="s">
        <v>158</v>
      </c>
      <c r="B90" s="81">
        <v>0.0</v>
      </c>
      <c r="C90" s="81">
        <v>0.0</v>
      </c>
      <c r="D90" s="81">
        <v>0.0</v>
      </c>
      <c r="E90" s="81">
        <v>0.0</v>
      </c>
      <c r="F90" s="81">
        <v>0.0</v>
      </c>
      <c r="G90" s="81">
        <v>0.0</v>
      </c>
      <c r="H90" s="81">
        <v>0.0</v>
      </c>
      <c r="I90" s="81">
        <v>0.0</v>
      </c>
      <c r="J90" s="93">
        <v>0.0</v>
      </c>
      <c r="K90" s="93">
        <v>0.0</v>
      </c>
      <c r="L90" s="93">
        <v>0.0</v>
      </c>
      <c r="M90" s="93">
        <v>0.0</v>
      </c>
      <c r="N90" s="81">
        <f t="shared" si="96"/>
        <v>0</v>
      </c>
      <c r="O90" s="85" t="str">
        <f t="shared" si="97"/>
        <v/>
      </c>
      <c r="P90" s="81"/>
      <c r="Q90" s="81"/>
      <c r="R90" s="86" t="s">
        <v>80</v>
      </c>
      <c r="S90" s="87">
        <v>0.0</v>
      </c>
      <c r="T90" s="88">
        <v>0.05</v>
      </c>
      <c r="U90" s="84">
        <f t="shared" ref="U90:AF90" si="109">IF($R90="Manual","",IFERROR(IF($R90="YOY Growth",$N90*(1+$T90)/12,$S90/12),""))</f>
        <v>0</v>
      </c>
      <c r="V90" s="84">
        <f t="shared" si="109"/>
        <v>0</v>
      </c>
      <c r="W90" s="84">
        <f t="shared" si="109"/>
        <v>0</v>
      </c>
      <c r="X90" s="84">
        <f t="shared" si="109"/>
        <v>0</v>
      </c>
      <c r="Y90" s="84">
        <f t="shared" si="109"/>
        <v>0</v>
      </c>
      <c r="Z90" s="84">
        <f t="shared" si="109"/>
        <v>0</v>
      </c>
      <c r="AA90" s="84">
        <f t="shared" si="109"/>
        <v>0</v>
      </c>
      <c r="AB90" s="84">
        <f t="shared" si="109"/>
        <v>0</v>
      </c>
      <c r="AC90" s="84">
        <f t="shared" si="109"/>
        <v>0</v>
      </c>
      <c r="AD90" s="84">
        <f t="shared" si="109"/>
        <v>0</v>
      </c>
      <c r="AE90" s="84">
        <f t="shared" si="109"/>
        <v>0</v>
      </c>
      <c r="AF90" s="84">
        <f t="shared" si="109"/>
        <v>0</v>
      </c>
      <c r="AG90" s="81">
        <f t="shared" si="99"/>
        <v>0</v>
      </c>
      <c r="AH90" s="85" t="str">
        <f t="shared" si="100"/>
        <v/>
      </c>
      <c r="AI90" s="11"/>
      <c r="AJ90" s="81">
        <f t="shared" si="101"/>
        <v>0</v>
      </c>
    </row>
    <row r="91" ht="13.5" customHeight="1">
      <c r="A91" s="83" t="s">
        <v>159</v>
      </c>
      <c r="B91" s="81">
        <v>0.0</v>
      </c>
      <c r="C91" s="81">
        <v>11217.74</v>
      </c>
      <c r="D91" s="81">
        <v>22578.69</v>
      </c>
      <c r="E91" s="81">
        <v>2247.84</v>
      </c>
      <c r="F91" s="81">
        <v>0.0</v>
      </c>
      <c r="G91" s="81">
        <v>0.0</v>
      </c>
      <c r="H91" s="81">
        <v>8883.71</v>
      </c>
      <c r="I91" s="81">
        <v>14805.67</v>
      </c>
      <c r="J91" s="93">
        <v>0.0</v>
      </c>
      <c r="K91" s="93">
        <v>0.0</v>
      </c>
      <c r="L91" s="93">
        <v>0.0</v>
      </c>
      <c r="M91" s="93">
        <v>0.0</v>
      </c>
      <c r="N91" s="81">
        <f t="shared" si="96"/>
        <v>59733.65</v>
      </c>
      <c r="O91" s="85" t="str">
        <f t="shared" si="97"/>
        <v/>
      </c>
      <c r="P91" s="81"/>
      <c r="Q91" s="81"/>
      <c r="R91" s="86" t="s">
        <v>80</v>
      </c>
      <c r="S91" s="87">
        <v>0.0</v>
      </c>
      <c r="T91" s="88">
        <v>0.05</v>
      </c>
      <c r="U91" s="84">
        <f t="shared" ref="U91:AF91" si="110">IF($R91="Manual","",IFERROR(IF($R91="YOY Growth",$N91*(1+$T91)/12,$S91/12),""))</f>
        <v>0</v>
      </c>
      <c r="V91" s="84">
        <f t="shared" si="110"/>
        <v>0</v>
      </c>
      <c r="W91" s="84">
        <f t="shared" si="110"/>
        <v>0</v>
      </c>
      <c r="X91" s="84">
        <f t="shared" si="110"/>
        <v>0</v>
      </c>
      <c r="Y91" s="84">
        <f t="shared" si="110"/>
        <v>0</v>
      </c>
      <c r="Z91" s="84">
        <f t="shared" si="110"/>
        <v>0</v>
      </c>
      <c r="AA91" s="84">
        <f t="shared" si="110"/>
        <v>0</v>
      </c>
      <c r="AB91" s="84">
        <f t="shared" si="110"/>
        <v>0</v>
      </c>
      <c r="AC91" s="84">
        <f t="shared" si="110"/>
        <v>0</v>
      </c>
      <c r="AD91" s="84">
        <f t="shared" si="110"/>
        <v>0</v>
      </c>
      <c r="AE91" s="84">
        <f t="shared" si="110"/>
        <v>0</v>
      </c>
      <c r="AF91" s="84">
        <f t="shared" si="110"/>
        <v>0</v>
      </c>
      <c r="AG91" s="81">
        <f t="shared" si="99"/>
        <v>0</v>
      </c>
      <c r="AH91" s="85" t="str">
        <f t="shared" si="100"/>
        <v/>
      </c>
      <c r="AI91" s="11"/>
      <c r="AJ91" s="81">
        <f t="shared" si="101"/>
        <v>59733.65</v>
      </c>
    </row>
    <row r="92" ht="13.5" customHeight="1">
      <c r="A92" s="83" t="s">
        <v>160</v>
      </c>
      <c r="B92" s="81">
        <v>0.0</v>
      </c>
      <c r="C92" s="81">
        <v>1173.39</v>
      </c>
      <c r="D92" s="81">
        <v>-83.85</v>
      </c>
      <c r="E92" s="81">
        <v>0.0</v>
      </c>
      <c r="F92" s="81">
        <v>0.0</v>
      </c>
      <c r="G92" s="81">
        <v>0.0</v>
      </c>
      <c r="H92" s="81">
        <v>0.0</v>
      </c>
      <c r="I92" s="81">
        <v>0.0</v>
      </c>
      <c r="J92" s="93">
        <v>0.0</v>
      </c>
      <c r="K92" s="93">
        <v>0.0</v>
      </c>
      <c r="L92" s="93">
        <v>0.0</v>
      </c>
      <c r="M92" s="93">
        <v>0.0</v>
      </c>
      <c r="N92" s="81">
        <f t="shared" si="96"/>
        <v>1089.54</v>
      </c>
      <c r="O92" s="85" t="str">
        <f t="shared" si="97"/>
        <v/>
      </c>
      <c r="P92" s="81"/>
      <c r="Q92" s="81"/>
      <c r="R92" s="86" t="s">
        <v>80</v>
      </c>
      <c r="S92" s="87">
        <v>0.0</v>
      </c>
      <c r="T92" s="88">
        <v>0.05</v>
      </c>
      <c r="U92" s="84">
        <f t="shared" ref="U92:AF92" si="111">IF($R92="Manual","",IFERROR(IF($R92="YOY Growth",$N92*(1+$T92)/12,$S92/12),""))</f>
        <v>0</v>
      </c>
      <c r="V92" s="84">
        <f t="shared" si="111"/>
        <v>0</v>
      </c>
      <c r="W92" s="84">
        <f t="shared" si="111"/>
        <v>0</v>
      </c>
      <c r="X92" s="84">
        <f t="shared" si="111"/>
        <v>0</v>
      </c>
      <c r="Y92" s="84">
        <f t="shared" si="111"/>
        <v>0</v>
      </c>
      <c r="Z92" s="84">
        <f t="shared" si="111"/>
        <v>0</v>
      </c>
      <c r="AA92" s="84">
        <f t="shared" si="111"/>
        <v>0</v>
      </c>
      <c r="AB92" s="84">
        <f t="shared" si="111"/>
        <v>0</v>
      </c>
      <c r="AC92" s="84">
        <f t="shared" si="111"/>
        <v>0</v>
      </c>
      <c r="AD92" s="84">
        <f t="shared" si="111"/>
        <v>0</v>
      </c>
      <c r="AE92" s="84">
        <f t="shared" si="111"/>
        <v>0</v>
      </c>
      <c r="AF92" s="84">
        <f t="shared" si="111"/>
        <v>0</v>
      </c>
      <c r="AG92" s="81">
        <f t="shared" si="99"/>
        <v>0</v>
      </c>
      <c r="AH92" s="85" t="str">
        <f t="shared" si="100"/>
        <v/>
      </c>
      <c r="AI92" s="11"/>
      <c r="AJ92" s="81">
        <f t="shared" si="101"/>
        <v>1089.54</v>
      </c>
    </row>
    <row r="93" ht="13.5" customHeight="1">
      <c r="A93" s="83" t="s">
        <v>161</v>
      </c>
      <c r="B93" s="81">
        <v>0.0</v>
      </c>
      <c r="C93" s="81">
        <v>0.0</v>
      </c>
      <c r="D93" s="81">
        <v>0.0</v>
      </c>
      <c r="E93" s="81">
        <v>0.0</v>
      </c>
      <c r="F93" s="81">
        <v>0.0</v>
      </c>
      <c r="G93" s="81">
        <v>0.0</v>
      </c>
      <c r="H93" s="81">
        <v>0.0</v>
      </c>
      <c r="I93" s="81">
        <v>0.0</v>
      </c>
      <c r="J93" s="93">
        <v>0.0</v>
      </c>
      <c r="K93" s="93">
        <v>0.0</v>
      </c>
      <c r="L93" s="93">
        <v>0.0</v>
      </c>
      <c r="M93" s="93">
        <v>0.0</v>
      </c>
      <c r="N93" s="81">
        <f t="shared" si="96"/>
        <v>0</v>
      </c>
      <c r="O93" s="85" t="str">
        <f t="shared" si="97"/>
        <v/>
      </c>
      <c r="P93" s="81"/>
      <c r="Q93" s="81"/>
      <c r="R93" s="86" t="s">
        <v>80</v>
      </c>
      <c r="S93" s="87">
        <v>0.0</v>
      </c>
      <c r="T93" s="88">
        <v>0.05</v>
      </c>
      <c r="U93" s="84">
        <f t="shared" ref="U93:AF93" si="112">IF($R93="Manual","",IFERROR(IF($R93="YOY Growth",$N93*(1+$T93)/12,$S93/12),""))</f>
        <v>0</v>
      </c>
      <c r="V93" s="84">
        <f t="shared" si="112"/>
        <v>0</v>
      </c>
      <c r="W93" s="84">
        <f t="shared" si="112"/>
        <v>0</v>
      </c>
      <c r="X93" s="84">
        <f t="shared" si="112"/>
        <v>0</v>
      </c>
      <c r="Y93" s="84">
        <f t="shared" si="112"/>
        <v>0</v>
      </c>
      <c r="Z93" s="84">
        <f t="shared" si="112"/>
        <v>0</v>
      </c>
      <c r="AA93" s="84">
        <f t="shared" si="112"/>
        <v>0</v>
      </c>
      <c r="AB93" s="84">
        <f t="shared" si="112"/>
        <v>0</v>
      </c>
      <c r="AC93" s="84">
        <f t="shared" si="112"/>
        <v>0</v>
      </c>
      <c r="AD93" s="84">
        <f t="shared" si="112"/>
        <v>0</v>
      </c>
      <c r="AE93" s="84">
        <f t="shared" si="112"/>
        <v>0</v>
      </c>
      <c r="AF93" s="84">
        <f t="shared" si="112"/>
        <v>0</v>
      </c>
      <c r="AG93" s="81">
        <f t="shared" si="99"/>
        <v>0</v>
      </c>
      <c r="AH93" s="85" t="str">
        <f t="shared" si="100"/>
        <v/>
      </c>
      <c r="AI93" s="11"/>
      <c r="AJ93" s="81">
        <f t="shared" si="101"/>
        <v>0</v>
      </c>
    </row>
    <row r="94" ht="13.5" customHeight="1">
      <c r="A94" s="83" t="s">
        <v>162</v>
      </c>
      <c r="B94" s="81">
        <v>0.0</v>
      </c>
      <c r="C94" s="81">
        <v>0.0</v>
      </c>
      <c r="D94" s="81">
        <v>0.0</v>
      </c>
      <c r="E94" s="81">
        <v>0.0</v>
      </c>
      <c r="F94" s="81">
        <v>0.0</v>
      </c>
      <c r="G94" s="81">
        <v>0.0</v>
      </c>
      <c r="H94" s="81">
        <v>0.0</v>
      </c>
      <c r="I94" s="81">
        <v>0.0</v>
      </c>
      <c r="J94" s="93">
        <v>0.0</v>
      </c>
      <c r="K94" s="93">
        <v>0.0</v>
      </c>
      <c r="L94" s="93">
        <v>0.0</v>
      </c>
      <c r="M94" s="93">
        <v>0.0</v>
      </c>
      <c r="N94" s="81">
        <f t="shared" si="96"/>
        <v>0</v>
      </c>
      <c r="O94" s="85" t="str">
        <f t="shared" si="97"/>
        <v/>
      </c>
      <c r="P94" s="81"/>
      <c r="Q94" s="81"/>
      <c r="R94" s="86" t="s">
        <v>80</v>
      </c>
      <c r="S94" s="87">
        <v>0.0</v>
      </c>
      <c r="T94" s="88">
        <v>0.05</v>
      </c>
      <c r="U94" s="84">
        <f t="shared" ref="U94:AF94" si="113">IF($R94="Manual","",IFERROR(IF($R94="YOY Growth",$N94*(1+$T94)/12,$S94/12),""))</f>
        <v>0</v>
      </c>
      <c r="V94" s="84">
        <f t="shared" si="113"/>
        <v>0</v>
      </c>
      <c r="W94" s="84">
        <f t="shared" si="113"/>
        <v>0</v>
      </c>
      <c r="X94" s="84">
        <f t="shared" si="113"/>
        <v>0</v>
      </c>
      <c r="Y94" s="84">
        <f t="shared" si="113"/>
        <v>0</v>
      </c>
      <c r="Z94" s="84">
        <f t="shared" si="113"/>
        <v>0</v>
      </c>
      <c r="AA94" s="84">
        <f t="shared" si="113"/>
        <v>0</v>
      </c>
      <c r="AB94" s="84">
        <f t="shared" si="113"/>
        <v>0</v>
      </c>
      <c r="AC94" s="84">
        <f t="shared" si="113"/>
        <v>0</v>
      </c>
      <c r="AD94" s="84">
        <f t="shared" si="113"/>
        <v>0</v>
      </c>
      <c r="AE94" s="84">
        <f t="shared" si="113"/>
        <v>0</v>
      </c>
      <c r="AF94" s="84">
        <f t="shared" si="113"/>
        <v>0</v>
      </c>
      <c r="AG94" s="81">
        <f t="shared" si="99"/>
        <v>0</v>
      </c>
      <c r="AH94" s="85" t="str">
        <f t="shared" si="100"/>
        <v/>
      </c>
      <c r="AI94" s="11"/>
      <c r="AJ94" s="81">
        <f t="shared" si="101"/>
        <v>0</v>
      </c>
    </row>
    <row r="95" ht="13.5" customHeight="1">
      <c r="A95" s="83" t="s">
        <v>163</v>
      </c>
      <c r="B95" s="81">
        <v>0.0</v>
      </c>
      <c r="C95" s="81">
        <v>0.0</v>
      </c>
      <c r="D95" s="81">
        <v>0.0</v>
      </c>
      <c r="E95" s="81">
        <v>1515.48</v>
      </c>
      <c r="F95" s="81">
        <v>0.0</v>
      </c>
      <c r="G95" s="81">
        <v>2962.39</v>
      </c>
      <c r="H95" s="81">
        <v>3138.29</v>
      </c>
      <c r="I95" s="81">
        <v>2047.26</v>
      </c>
      <c r="J95" s="93">
        <v>500.0</v>
      </c>
      <c r="K95" s="93">
        <v>500.0</v>
      </c>
      <c r="L95" s="93">
        <v>500.0</v>
      </c>
      <c r="M95" s="93">
        <v>500.0</v>
      </c>
      <c r="N95" s="81">
        <f t="shared" si="96"/>
        <v>11663.42</v>
      </c>
      <c r="O95" s="85" t="str">
        <f t="shared" si="97"/>
        <v/>
      </c>
      <c r="P95" s="81"/>
      <c r="Q95" s="81"/>
      <c r="R95" s="86" t="s">
        <v>80</v>
      </c>
      <c r="S95" s="87">
        <v>0.0</v>
      </c>
      <c r="T95" s="88">
        <v>0.05</v>
      </c>
      <c r="U95" s="84">
        <f t="shared" ref="U95:AF95" si="114">IF($R95="Manual","",IFERROR(IF($R95="YOY Growth",$N95*(1+$T95)/12,$S95/12),""))</f>
        <v>0</v>
      </c>
      <c r="V95" s="84">
        <f t="shared" si="114"/>
        <v>0</v>
      </c>
      <c r="W95" s="84">
        <f t="shared" si="114"/>
        <v>0</v>
      </c>
      <c r="X95" s="84">
        <f t="shared" si="114"/>
        <v>0</v>
      </c>
      <c r="Y95" s="84">
        <f t="shared" si="114"/>
        <v>0</v>
      </c>
      <c r="Z95" s="84">
        <f t="shared" si="114"/>
        <v>0</v>
      </c>
      <c r="AA95" s="84">
        <f t="shared" si="114"/>
        <v>0</v>
      </c>
      <c r="AB95" s="84">
        <f t="shared" si="114"/>
        <v>0</v>
      </c>
      <c r="AC95" s="84">
        <f t="shared" si="114"/>
        <v>0</v>
      </c>
      <c r="AD95" s="84">
        <f t="shared" si="114"/>
        <v>0</v>
      </c>
      <c r="AE95" s="84">
        <f t="shared" si="114"/>
        <v>0</v>
      </c>
      <c r="AF95" s="84">
        <f t="shared" si="114"/>
        <v>0</v>
      </c>
      <c r="AG95" s="81">
        <f t="shared" si="99"/>
        <v>0</v>
      </c>
      <c r="AH95" s="85" t="str">
        <f t="shared" si="100"/>
        <v/>
      </c>
      <c r="AI95" s="11"/>
      <c r="AJ95" s="81">
        <f t="shared" si="101"/>
        <v>11663.42</v>
      </c>
    </row>
    <row r="96" ht="13.5" customHeight="1">
      <c r="A96" s="83" t="s">
        <v>164</v>
      </c>
      <c r="B96" s="81">
        <v>4965.69</v>
      </c>
      <c r="C96" s="81">
        <v>0.0</v>
      </c>
      <c r="D96" s="81">
        <v>99.36</v>
      </c>
      <c r="E96" s="81">
        <v>127.27</v>
      </c>
      <c r="F96" s="81">
        <v>45.0</v>
      </c>
      <c r="G96" s="81">
        <v>5460.04</v>
      </c>
      <c r="H96" s="81">
        <v>0.0</v>
      </c>
      <c r="I96" s="81">
        <v>0.0</v>
      </c>
      <c r="J96" s="93">
        <v>100.0</v>
      </c>
      <c r="K96" s="93">
        <v>100.0</v>
      </c>
      <c r="L96" s="93">
        <v>100.0</v>
      </c>
      <c r="M96" s="93">
        <v>100.0</v>
      </c>
      <c r="N96" s="81">
        <f t="shared" si="96"/>
        <v>11097.36</v>
      </c>
      <c r="O96" s="85" t="str">
        <f t="shared" si="97"/>
        <v/>
      </c>
      <c r="P96" s="81"/>
      <c r="Q96" s="81"/>
      <c r="R96" s="86" t="s">
        <v>80</v>
      </c>
      <c r="S96" s="87">
        <v>0.0</v>
      </c>
      <c r="T96" s="88">
        <v>0.05</v>
      </c>
      <c r="U96" s="84">
        <f t="shared" ref="U96:AF96" si="115">IF($R96="Manual","",IFERROR(IF($R96="YOY Growth",$N96*(1+$T96)/12,$S96/12),""))</f>
        <v>0</v>
      </c>
      <c r="V96" s="84">
        <f t="shared" si="115"/>
        <v>0</v>
      </c>
      <c r="W96" s="84">
        <f t="shared" si="115"/>
        <v>0</v>
      </c>
      <c r="X96" s="84">
        <f t="shared" si="115"/>
        <v>0</v>
      </c>
      <c r="Y96" s="84">
        <f t="shared" si="115"/>
        <v>0</v>
      </c>
      <c r="Z96" s="84">
        <f t="shared" si="115"/>
        <v>0</v>
      </c>
      <c r="AA96" s="84">
        <f t="shared" si="115"/>
        <v>0</v>
      </c>
      <c r="AB96" s="84">
        <f t="shared" si="115"/>
        <v>0</v>
      </c>
      <c r="AC96" s="84">
        <f t="shared" si="115"/>
        <v>0</v>
      </c>
      <c r="AD96" s="84">
        <f t="shared" si="115"/>
        <v>0</v>
      </c>
      <c r="AE96" s="84">
        <f t="shared" si="115"/>
        <v>0</v>
      </c>
      <c r="AF96" s="84">
        <f t="shared" si="115"/>
        <v>0</v>
      </c>
      <c r="AG96" s="81">
        <f t="shared" si="99"/>
        <v>0</v>
      </c>
      <c r="AH96" s="85" t="str">
        <f t="shared" si="100"/>
        <v/>
      </c>
      <c r="AI96" s="11"/>
      <c r="AJ96" s="81">
        <f t="shared" si="101"/>
        <v>11097.36</v>
      </c>
    </row>
    <row r="97" ht="13.5" customHeight="1">
      <c r="A97" s="83" t="s">
        <v>165</v>
      </c>
      <c r="B97" s="81">
        <v>0.0</v>
      </c>
      <c r="C97" s="81">
        <v>0.0</v>
      </c>
      <c r="D97" s="81">
        <v>0.0</v>
      </c>
      <c r="E97" s="81">
        <v>0.0</v>
      </c>
      <c r="F97" s="81">
        <v>0.0</v>
      </c>
      <c r="G97" s="81">
        <v>0.0</v>
      </c>
      <c r="H97" s="81">
        <v>0.0</v>
      </c>
      <c r="I97" s="81">
        <v>0.0</v>
      </c>
      <c r="J97" s="93">
        <v>0.0</v>
      </c>
      <c r="K97" s="93">
        <v>0.0</v>
      </c>
      <c r="L97" s="93">
        <v>0.0</v>
      </c>
      <c r="M97" s="93">
        <v>0.0</v>
      </c>
      <c r="N97" s="81">
        <f t="shared" si="96"/>
        <v>0</v>
      </c>
      <c r="O97" s="85" t="str">
        <f t="shared" si="97"/>
        <v/>
      </c>
      <c r="P97" s="81"/>
      <c r="Q97" s="81"/>
      <c r="R97" s="86" t="s">
        <v>80</v>
      </c>
      <c r="S97" s="87">
        <v>0.0</v>
      </c>
      <c r="T97" s="88">
        <v>0.05</v>
      </c>
      <c r="U97" s="84">
        <f t="shared" ref="U97:AF97" si="116">IF($R97="Manual","",IFERROR(IF($R97="YOY Growth",$N97*(1+$T97)/12,$S97/12),""))</f>
        <v>0</v>
      </c>
      <c r="V97" s="84">
        <f t="shared" si="116"/>
        <v>0</v>
      </c>
      <c r="W97" s="84">
        <f t="shared" si="116"/>
        <v>0</v>
      </c>
      <c r="X97" s="84">
        <f t="shared" si="116"/>
        <v>0</v>
      </c>
      <c r="Y97" s="84">
        <f t="shared" si="116"/>
        <v>0</v>
      </c>
      <c r="Z97" s="84">
        <f t="shared" si="116"/>
        <v>0</v>
      </c>
      <c r="AA97" s="84">
        <f t="shared" si="116"/>
        <v>0</v>
      </c>
      <c r="AB97" s="84">
        <f t="shared" si="116"/>
        <v>0</v>
      </c>
      <c r="AC97" s="84">
        <f t="shared" si="116"/>
        <v>0</v>
      </c>
      <c r="AD97" s="84">
        <f t="shared" si="116"/>
        <v>0</v>
      </c>
      <c r="AE97" s="84">
        <f t="shared" si="116"/>
        <v>0</v>
      </c>
      <c r="AF97" s="84">
        <f t="shared" si="116"/>
        <v>0</v>
      </c>
      <c r="AG97" s="81">
        <f t="shared" si="99"/>
        <v>0</v>
      </c>
      <c r="AH97" s="85" t="str">
        <f t="shared" si="100"/>
        <v/>
      </c>
      <c r="AI97" s="11"/>
      <c r="AJ97" s="81">
        <f t="shared" si="101"/>
        <v>0</v>
      </c>
    </row>
    <row r="98" ht="13.5" customHeight="1">
      <c r="A98" s="83" t="s">
        <v>166</v>
      </c>
      <c r="B98" s="81">
        <v>0.0</v>
      </c>
      <c r="C98" s="81">
        <v>0.0</v>
      </c>
      <c r="D98" s="81">
        <v>0.0</v>
      </c>
      <c r="E98" s="81">
        <v>0.0</v>
      </c>
      <c r="F98" s="81">
        <v>0.0</v>
      </c>
      <c r="G98" s="81">
        <v>0.0</v>
      </c>
      <c r="H98" s="81">
        <v>0.0</v>
      </c>
      <c r="I98" s="81">
        <v>0.0</v>
      </c>
      <c r="J98" s="93">
        <v>0.0</v>
      </c>
      <c r="K98" s="93">
        <v>0.0</v>
      </c>
      <c r="L98" s="93">
        <v>0.0</v>
      </c>
      <c r="M98" s="93">
        <v>0.0</v>
      </c>
      <c r="N98" s="81">
        <f t="shared" si="96"/>
        <v>0</v>
      </c>
      <c r="O98" s="85" t="str">
        <f t="shared" si="97"/>
        <v/>
      </c>
      <c r="P98" s="81"/>
      <c r="Q98" s="81"/>
      <c r="R98" s="86" t="s">
        <v>80</v>
      </c>
      <c r="S98" s="87">
        <v>0.0</v>
      </c>
      <c r="T98" s="88">
        <v>0.05</v>
      </c>
      <c r="U98" s="84">
        <f t="shared" ref="U98:AF98" si="117">IF($R98="Manual","",IFERROR(IF($R98="YOY Growth",$N98*(1+$T98)/12,$S98/12),""))</f>
        <v>0</v>
      </c>
      <c r="V98" s="84">
        <f t="shared" si="117"/>
        <v>0</v>
      </c>
      <c r="W98" s="84">
        <f t="shared" si="117"/>
        <v>0</v>
      </c>
      <c r="X98" s="84">
        <f t="shared" si="117"/>
        <v>0</v>
      </c>
      <c r="Y98" s="84">
        <f t="shared" si="117"/>
        <v>0</v>
      </c>
      <c r="Z98" s="84">
        <f t="shared" si="117"/>
        <v>0</v>
      </c>
      <c r="AA98" s="84">
        <f t="shared" si="117"/>
        <v>0</v>
      </c>
      <c r="AB98" s="84">
        <f t="shared" si="117"/>
        <v>0</v>
      </c>
      <c r="AC98" s="84">
        <f t="shared" si="117"/>
        <v>0</v>
      </c>
      <c r="AD98" s="84">
        <f t="shared" si="117"/>
        <v>0</v>
      </c>
      <c r="AE98" s="84">
        <f t="shared" si="117"/>
        <v>0</v>
      </c>
      <c r="AF98" s="84">
        <f t="shared" si="117"/>
        <v>0</v>
      </c>
      <c r="AG98" s="81">
        <f t="shared" si="99"/>
        <v>0</v>
      </c>
      <c r="AH98" s="85" t="str">
        <f t="shared" si="100"/>
        <v/>
      </c>
      <c r="AI98" s="11"/>
      <c r="AJ98" s="81">
        <f t="shared" si="101"/>
        <v>0</v>
      </c>
    </row>
    <row r="99" ht="13.5" customHeight="1">
      <c r="A99" s="83" t="s">
        <v>167</v>
      </c>
      <c r="B99" s="81">
        <v>0.0</v>
      </c>
      <c r="C99" s="81">
        <v>0.0</v>
      </c>
      <c r="D99" s="81">
        <v>0.0</v>
      </c>
      <c r="E99" s="81">
        <v>0.0</v>
      </c>
      <c r="F99" s="81">
        <v>0.0</v>
      </c>
      <c r="G99" s="81">
        <v>0.0</v>
      </c>
      <c r="H99" s="81">
        <v>0.0</v>
      </c>
      <c r="I99" s="81">
        <v>0.0</v>
      </c>
      <c r="J99" s="93">
        <v>0.0</v>
      </c>
      <c r="K99" s="93">
        <v>0.0</v>
      </c>
      <c r="L99" s="93">
        <v>0.0</v>
      </c>
      <c r="M99" s="93">
        <v>0.0</v>
      </c>
      <c r="N99" s="81">
        <f t="shared" si="96"/>
        <v>0</v>
      </c>
      <c r="O99" s="85" t="str">
        <f t="shared" si="97"/>
        <v/>
      </c>
      <c r="P99" s="81"/>
      <c r="Q99" s="81"/>
      <c r="R99" s="86" t="s">
        <v>80</v>
      </c>
      <c r="S99" s="87">
        <v>0.0</v>
      </c>
      <c r="T99" s="88">
        <v>0.05</v>
      </c>
      <c r="U99" s="84">
        <f t="shared" ref="U99:AF99" si="118">IF($R99="Manual","",IFERROR(IF($R99="YOY Growth",$N99*(1+$T99)/12,$S99/12),""))</f>
        <v>0</v>
      </c>
      <c r="V99" s="84">
        <f t="shared" si="118"/>
        <v>0</v>
      </c>
      <c r="W99" s="84">
        <f t="shared" si="118"/>
        <v>0</v>
      </c>
      <c r="X99" s="84">
        <f t="shared" si="118"/>
        <v>0</v>
      </c>
      <c r="Y99" s="84">
        <f t="shared" si="118"/>
        <v>0</v>
      </c>
      <c r="Z99" s="84">
        <f t="shared" si="118"/>
        <v>0</v>
      </c>
      <c r="AA99" s="84">
        <f t="shared" si="118"/>
        <v>0</v>
      </c>
      <c r="AB99" s="84">
        <f t="shared" si="118"/>
        <v>0</v>
      </c>
      <c r="AC99" s="84">
        <f t="shared" si="118"/>
        <v>0</v>
      </c>
      <c r="AD99" s="84">
        <f t="shared" si="118"/>
        <v>0</v>
      </c>
      <c r="AE99" s="84">
        <f t="shared" si="118"/>
        <v>0</v>
      </c>
      <c r="AF99" s="84">
        <f t="shared" si="118"/>
        <v>0</v>
      </c>
      <c r="AG99" s="81">
        <f t="shared" si="99"/>
        <v>0</v>
      </c>
      <c r="AH99" s="85" t="str">
        <f t="shared" si="100"/>
        <v/>
      </c>
      <c r="AI99" s="11"/>
      <c r="AJ99" s="81">
        <f t="shared" si="101"/>
        <v>0</v>
      </c>
    </row>
    <row r="100" ht="13.5" customHeight="1">
      <c r="A100" s="83" t="s">
        <v>168</v>
      </c>
      <c r="B100" s="81">
        <v>0.0</v>
      </c>
      <c r="C100" s="81">
        <v>0.0</v>
      </c>
      <c r="D100" s="81">
        <v>930.0</v>
      </c>
      <c r="E100" s="81">
        <v>450.0</v>
      </c>
      <c r="F100" s="81">
        <v>450.0</v>
      </c>
      <c r="G100" s="81">
        <v>450.0</v>
      </c>
      <c r="H100" s="81">
        <v>450.0</v>
      </c>
      <c r="I100" s="81">
        <v>450.0</v>
      </c>
      <c r="J100" s="93">
        <v>450.0</v>
      </c>
      <c r="K100" s="93">
        <v>450.0</v>
      </c>
      <c r="L100" s="93">
        <v>450.0</v>
      </c>
      <c r="M100" s="93">
        <v>450.0</v>
      </c>
      <c r="N100" s="81">
        <f t="shared" si="96"/>
        <v>4980</v>
      </c>
      <c r="O100" s="85" t="str">
        <f t="shared" si="97"/>
        <v/>
      </c>
      <c r="P100" s="81"/>
      <c r="Q100" s="81"/>
      <c r="R100" s="86" t="s">
        <v>80</v>
      </c>
      <c r="S100" s="87">
        <v>0.0</v>
      </c>
      <c r="T100" s="88">
        <v>0.05</v>
      </c>
      <c r="U100" s="84">
        <f t="shared" ref="U100:AF100" si="119">IF($R100="Manual","",IFERROR(IF($R100="YOY Growth",$N100*(1+$T100)/12,$S100/12),""))</f>
        <v>0</v>
      </c>
      <c r="V100" s="84">
        <f t="shared" si="119"/>
        <v>0</v>
      </c>
      <c r="W100" s="84">
        <f t="shared" si="119"/>
        <v>0</v>
      </c>
      <c r="X100" s="84">
        <f t="shared" si="119"/>
        <v>0</v>
      </c>
      <c r="Y100" s="84">
        <f t="shared" si="119"/>
        <v>0</v>
      </c>
      <c r="Z100" s="84">
        <f t="shared" si="119"/>
        <v>0</v>
      </c>
      <c r="AA100" s="84">
        <f t="shared" si="119"/>
        <v>0</v>
      </c>
      <c r="AB100" s="84">
        <f t="shared" si="119"/>
        <v>0</v>
      </c>
      <c r="AC100" s="84">
        <f t="shared" si="119"/>
        <v>0</v>
      </c>
      <c r="AD100" s="84">
        <f t="shared" si="119"/>
        <v>0</v>
      </c>
      <c r="AE100" s="84">
        <f t="shared" si="119"/>
        <v>0</v>
      </c>
      <c r="AF100" s="84">
        <f t="shared" si="119"/>
        <v>0</v>
      </c>
      <c r="AG100" s="81">
        <f t="shared" si="99"/>
        <v>0</v>
      </c>
      <c r="AH100" s="85" t="str">
        <f t="shared" si="100"/>
        <v/>
      </c>
      <c r="AI100" s="11"/>
      <c r="AJ100" s="81">
        <f t="shared" si="101"/>
        <v>4980</v>
      </c>
    </row>
    <row r="101" ht="13.5" customHeight="1">
      <c r="A101" s="83" t="s">
        <v>169</v>
      </c>
      <c r="B101" s="81">
        <v>0.0</v>
      </c>
      <c r="C101" s="81">
        <v>0.0</v>
      </c>
      <c r="D101" s="81">
        <v>0.0</v>
      </c>
      <c r="E101" s="81">
        <v>0.0</v>
      </c>
      <c r="F101" s="81">
        <v>0.0</v>
      </c>
      <c r="G101" s="81">
        <v>0.0</v>
      </c>
      <c r="H101" s="81">
        <v>0.0</v>
      </c>
      <c r="I101" s="81">
        <v>0.0</v>
      </c>
      <c r="J101" s="93">
        <v>0.0</v>
      </c>
      <c r="K101" s="93">
        <v>0.0</v>
      </c>
      <c r="L101" s="93">
        <v>0.0</v>
      </c>
      <c r="M101" s="93">
        <v>0.0</v>
      </c>
      <c r="N101" s="81">
        <f t="shared" si="96"/>
        <v>0</v>
      </c>
      <c r="O101" s="85" t="str">
        <f t="shared" si="97"/>
        <v/>
      </c>
      <c r="P101" s="81"/>
      <c r="Q101" s="81"/>
      <c r="R101" s="86" t="s">
        <v>80</v>
      </c>
      <c r="S101" s="87">
        <v>0.0</v>
      </c>
      <c r="T101" s="88">
        <v>0.05</v>
      </c>
      <c r="U101" s="84">
        <f t="shared" ref="U101:AF101" si="120">IF($R101="Manual","",IFERROR(IF($R101="YOY Growth",$N101*(1+$T101)/12,$S101/12),""))</f>
        <v>0</v>
      </c>
      <c r="V101" s="84">
        <f t="shared" si="120"/>
        <v>0</v>
      </c>
      <c r="W101" s="84">
        <f t="shared" si="120"/>
        <v>0</v>
      </c>
      <c r="X101" s="84">
        <f t="shared" si="120"/>
        <v>0</v>
      </c>
      <c r="Y101" s="84">
        <f t="shared" si="120"/>
        <v>0</v>
      </c>
      <c r="Z101" s="84">
        <f t="shared" si="120"/>
        <v>0</v>
      </c>
      <c r="AA101" s="84">
        <f t="shared" si="120"/>
        <v>0</v>
      </c>
      <c r="AB101" s="84">
        <f t="shared" si="120"/>
        <v>0</v>
      </c>
      <c r="AC101" s="84">
        <f t="shared" si="120"/>
        <v>0</v>
      </c>
      <c r="AD101" s="84">
        <f t="shared" si="120"/>
        <v>0</v>
      </c>
      <c r="AE101" s="84">
        <f t="shared" si="120"/>
        <v>0</v>
      </c>
      <c r="AF101" s="84">
        <f t="shared" si="120"/>
        <v>0</v>
      </c>
      <c r="AG101" s="81">
        <f t="shared" si="99"/>
        <v>0</v>
      </c>
      <c r="AH101" s="85" t="str">
        <f t="shared" si="100"/>
        <v/>
      </c>
      <c r="AI101" s="11"/>
      <c r="AJ101" s="81">
        <f t="shared" si="101"/>
        <v>0</v>
      </c>
    </row>
    <row r="102" ht="13.5" customHeight="1">
      <c r="A102" s="83" t="s">
        <v>170</v>
      </c>
      <c r="B102" s="81">
        <v>0.0</v>
      </c>
      <c r="C102" s="81">
        <v>79.8</v>
      </c>
      <c r="D102" s="81">
        <v>0.0</v>
      </c>
      <c r="E102" s="81">
        <v>0.0</v>
      </c>
      <c r="F102" s="81">
        <v>0.0</v>
      </c>
      <c r="G102" s="81">
        <v>0.0</v>
      </c>
      <c r="H102" s="81">
        <v>0.0</v>
      </c>
      <c r="I102" s="81">
        <v>203.28</v>
      </c>
      <c r="J102" s="93">
        <v>50.0</v>
      </c>
      <c r="K102" s="93">
        <v>50.0</v>
      </c>
      <c r="L102" s="93">
        <v>50.0</v>
      </c>
      <c r="M102" s="93">
        <v>50.0</v>
      </c>
      <c r="N102" s="81">
        <f t="shared" si="96"/>
        <v>483.08</v>
      </c>
      <c r="O102" s="85" t="str">
        <f t="shared" si="97"/>
        <v/>
      </c>
      <c r="P102" s="81"/>
      <c r="Q102" s="81"/>
      <c r="R102" s="86" t="s">
        <v>80</v>
      </c>
      <c r="S102" s="87">
        <v>0.0</v>
      </c>
      <c r="T102" s="88">
        <v>0.05</v>
      </c>
      <c r="U102" s="84">
        <f t="shared" ref="U102:AF102" si="121">IF($R102="Manual","",IFERROR(IF($R102="YOY Growth",$N102*(1+$T102)/12,$S102/12),""))</f>
        <v>0</v>
      </c>
      <c r="V102" s="84">
        <f t="shared" si="121"/>
        <v>0</v>
      </c>
      <c r="W102" s="84">
        <f t="shared" si="121"/>
        <v>0</v>
      </c>
      <c r="X102" s="84">
        <f t="shared" si="121"/>
        <v>0</v>
      </c>
      <c r="Y102" s="84">
        <f t="shared" si="121"/>
        <v>0</v>
      </c>
      <c r="Z102" s="84">
        <f t="shared" si="121"/>
        <v>0</v>
      </c>
      <c r="AA102" s="84">
        <f t="shared" si="121"/>
        <v>0</v>
      </c>
      <c r="AB102" s="84">
        <f t="shared" si="121"/>
        <v>0</v>
      </c>
      <c r="AC102" s="84">
        <f t="shared" si="121"/>
        <v>0</v>
      </c>
      <c r="AD102" s="84">
        <f t="shared" si="121"/>
        <v>0</v>
      </c>
      <c r="AE102" s="84">
        <f t="shared" si="121"/>
        <v>0</v>
      </c>
      <c r="AF102" s="84">
        <f t="shared" si="121"/>
        <v>0</v>
      </c>
      <c r="AG102" s="81">
        <f t="shared" si="99"/>
        <v>0</v>
      </c>
      <c r="AH102" s="85" t="str">
        <f t="shared" si="100"/>
        <v/>
      </c>
      <c r="AI102" s="11"/>
      <c r="AJ102" s="81">
        <f t="shared" si="101"/>
        <v>483.08</v>
      </c>
    </row>
    <row r="103" ht="13.5" customHeight="1">
      <c r="A103" s="83" t="s">
        <v>171</v>
      </c>
      <c r="B103" s="81">
        <v>0.0</v>
      </c>
      <c r="C103" s="81">
        <v>0.0</v>
      </c>
      <c r="D103" s="81">
        <v>0.0</v>
      </c>
      <c r="E103" s="81">
        <v>0.0</v>
      </c>
      <c r="F103" s="81">
        <v>0.0</v>
      </c>
      <c r="G103" s="81">
        <v>0.0</v>
      </c>
      <c r="H103" s="81">
        <v>0.0</v>
      </c>
      <c r="I103" s="81">
        <v>0.0</v>
      </c>
      <c r="J103" s="93">
        <v>0.0</v>
      </c>
      <c r="K103" s="93">
        <v>0.0</v>
      </c>
      <c r="L103" s="93">
        <v>0.0</v>
      </c>
      <c r="M103" s="93">
        <v>0.0</v>
      </c>
      <c r="N103" s="81">
        <f t="shared" si="96"/>
        <v>0</v>
      </c>
      <c r="O103" s="85" t="str">
        <f t="shared" si="97"/>
        <v/>
      </c>
      <c r="P103" s="81"/>
      <c r="Q103" s="81"/>
      <c r="R103" s="86" t="s">
        <v>80</v>
      </c>
      <c r="S103" s="87">
        <v>0.0</v>
      </c>
      <c r="T103" s="88">
        <v>0.05</v>
      </c>
      <c r="U103" s="84">
        <f t="shared" ref="U103:AF103" si="122">IF($R103="Manual","",IFERROR(IF($R103="YOY Growth",$N103*(1+$T103)/12,$S103/12),""))</f>
        <v>0</v>
      </c>
      <c r="V103" s="84">
        <f t="shared" si="122"/>
        <v>0</v>
      </c>
      <c r="W103" s="84">
        <f t="shared" si="122"/>
        <v>0</v>
      </c>
      <c r="X103" s="84">
        <f t="shared" si="122"/>
        <v>0</v>
      </c>
      <c r="Y103" s="84">
        <f t="shared" si="122"/>
        <v>0</v>
      </c>
      <c r="Z103" s="84">
        <f t="shared" si="122"/>
        <v>0</v>
      </c>
      <c r="AA103" s="84">
        <f t="shared" si="122"/>
        <v>0</v>
      </c>
      <c r="AB103" s="84">
        <f t="shared" si="122"/>
        <v>0</v>
      </c>
      <c r="AC103" s="84">
        <f t="shared" si="122"/>
        <v>0</v>
      </c>
      <c r="AD103" s="84">
        <f t="shared" si="122"/>
        <v>0</v>
      </c>
      <c r="AE103" s="84">
        <f t="shared" si="122"/>
        <v>0</v>
      </c>
      <c r="AF103" s="84">
        <f t="shared" si="122"/>
        <v>0</v>
      </c>
      <c r="AG103" s="81">
        <f t="shared" si="99"/>
        <v>0</v>
      </c>
      <c r="AH103" s="85" t="str">
        <f t="shared" si="100"/>
        <v/>
      </c>
      <c r="AI103" s="11"/>
      <c r="AJ103" s="81">
        <f t="shared" si="101"/>
        <v>0</v>
      </c>
    </row>
    <row r="104" ht="13.5" customHeight="1">
      <c r="A104" s="83" t="s">
        <v>172</v>
      </c>
      <c r="B104" s="81">
        <v>0.0</v>
      </c>
      <c r="C104" s="81">
        <v>0.0</v>
      </c>
      <c r="D104" s="81">
        <v>0.0</v>
      </c>
      <c r="E104" s="81">
        <v>0.0</v>
      </c>
      <c r="F104" s="81">
        <v>0.0</v>
      </c>
      <c r="G104" s="81">
        <v>300.13</v>
      </c>
      <c r="H104" s="81">
        <v>0.0</v>
      </c>
      <c r="I104" s="81">
        <v>0.0</v>
      </c>
      <c r="J104" s="93">
        <v>0.0</v>
      </c>
      <c r="K104" s="93">
        <v>0.0</v>
      </c>
      <c r="L104" s="93">
        <v>0.0</v>
      </c>
      <c r="M104" s="93">
        <v>0.0</v>
      </c>
      <c r="N104" s="81">
        <f t="shared" si="96"/>
        <v>300.13</v>
      </c>
      <c r="O104" s="85" t="str">
        <f t="shared" si="97"/>
        <v/>
      </c>
      <c r="P104" s="81"/>
      <c r="Q104" s="81"/>
      <c r="R104" s="86" t="s">
        <v>80</v>
      </c>
      <c r="S104" s="87">
        <v>0.0</v>
      </c>
      <c r="T104" s="88">
        <v>0.05</v>
      </c>
      <c r="U104" s="84">
        <f t="shared" ref="U104:AF104" si="123">IF($R104="Manual","",IFERROR(IF($R104="YOY Growth",$N104*(1+$T104)/12,$S104/12),""))</f>
        <v>0</v>
      </c>
      <c r="V104" s="84">
        <f t="shared" si="123"/>
        <v>0</v>
      </c>
      <c r="W104" s="84">
        <f t="shared" si="123"/>
        <v>0</v>
      </c>
      <c r="X104" s="84">
        <f t="shared" si="123"/>
        <v>0</v>
      </c>
      <c r="Y104" s="84">
        <f t="shared" si="123"/>
        <v>0</v>
      </c>
      <c r="Z104" s="84">
        <f t="shared" si="123"/>
        <v>0</v>
      </c>
      <c r="AA104" s="84">
        <f t="shared" si="123"/>
        <v>0</v>
      </c>
      <c r="AB104" s="84">
        <f t="shared" si="123"/>
        <v>0</v>
      </c>
      <c r="AC104" s="84">
        <f t="shared" si="123"/>
        <v>0</v>
      </c>
      <c r="AD104" s="84">
        <f t="shared" si="123"/>
        <v>0</v>
      </c>
      <c r="AE104" s="84">
        <f t="shared" si="123"/>
        <v>0</v>
      </c>
      <c r="AF104" s="84">
        <f t="shared" si="123"/>
        <v>0</v>
      </c>
      <c r="AG104" s="81">
        <f t="shared" si="99"/>
        <v>0</v>
      </c>
      <c r="AH104" s="85" t="str">
        <f t="shared" si="100"/>
        <v/>
      </c>
      <c r="AI104" s="11"/>
      <c r="AJ104" s="81">
        <f t="shared" si="101"/>
        <v>300.13</v>
      </c>
    </row>
    <row r="105" ht="13.5" customHeight="1">
      <c r="A105" s="83" t="s">
        <v>173</v>
      </c>
      <c r="B105" s="81">
        <v>0.0</v>
      </c>
      <c r="C105" s="81">
        <v>0.0</v>
      </c>
      <c r="D105" s="81">
        <v>0.0</v>
      </c>
      <c r="E105" s="81">
        <v>0.0</v>
      </c>
      <c r="F105" s="81">
        <v>0.0</v>
      </c>
      <c r="G105" s="81">
        <v>0.0</v>
      </c>
      <c r="H105" s="81">
        <v>0.0</v>
      </c>
      <c r="I105" s="81">
        <v>0.0</v>
      </c>
      <c r="J105" s="93">
        <v>0.0</v>
      </c>
      <c r="K105" s="93">
        <v>0.0</v>
      </c>
      <c r="L105" s="93">
        <v>0.0</v>
      </c>
      <c r="M105" s="93">
        <v>0.0</v>
      </c>
      <c r="N105" s="81">
        <f t="shared" si="96"/>
        <v>0</v>
      </c>
      <c r="O105" s="85" t="str">
        <f t="shared" si="97"/>
        <v/>
      </c>
      <c r="P105" s="81"/>
      <c r="Q105" s="81"/>
      <c r="R105" s="86" t="s">
        <v>80</v>
      </c>
      <c r="S105" s="87">
        <v>0.0</v>
      </c>
      <c r="T105" s="88">
        <v>0.05</v>
      </c>
      <c r="U105" s="84">
        <f t="shared" ref="U105:AF105" si="124">IF($R105="Manual","",IFERROR(IF($R105="YOY Growth",$N105*(1+$T105)/12,$S105/12),""))</f>
        <v>0</v>
      </c>
      <c r="V105" s="84">
        <f t="shared" si="124"/>
        <v>0</v>
      </c>
      <c r="W105" s="84">
        <f t="shared" si="124"/>
        <v>0</v>
      </c>
      <c r="X105" s="84">
        <f t="shared" si="124"/>
        <v>0</v>
      </c>
      <c r="Y105" s="84">
        <f t="shared" si="124"/>
        <v>0</v>
      </c>
      <c r="Z105" s="84">
        <f t="shared" si="124"/>
        <v>0</v>
      </c>
      <c r="AA105" s="84">
        <f t="shared" si="124"/>
        <v>0</v>
      </c>
      <c r="AB105" s="84">
        <f t="shared" si="124"/>
        <v>0</v>
      </c>
      <c r="AC105" s="84">
        <f t="shared" si="124"/>
        <v>0</v>
      </c>
      <c r="AD105" s="84">
        <f t="shared" si="124"/>
        <v>0</v>
      </c>
      <c r="AE105" s="84">
        <f t="shared" si="124"/>
        <v>0</v>
      </c>
      <c r="AF105" s="84">
        <f t="shared" si="124"/>
        <v>0</v>
      </c>
      <c r="AG105" s="81">
        <f t="shared" si="99"/>
        <v>0</v>
      </c>
      <c r="AH105" s="85" t="str">
        <f t="shared" si="100"/>
        <v/>
      </c>
      <c r="AI105" s="11"/>
      <c r="AJ105" s="81">
        <f t="shared" si="101"/>
        <v>0</v>
      </c>
    </row>
    <row r="106" ht="13.5" customHeight="1">
      <c r="A106" s="83" t="s">
        <v>174</v>
      </c>
      <c r="B106" s="81">
        <v>0.0</v>
      </c>
      <c r="C106" s="81">
        <v>5564.86</v>
      </c>
      <c r="D106" s="81">
        <v>0.0</v>
      </c>
      <c r="E106" s="81">
        <v>5954.4</v>
      </c>
      <c r="F106" s="81">
        <v>0.0</v>
      </c>
      <c r="G106" s="81">
        <v>0.0</v>
      </c>
      <c r="H106" s="81">
        <v>0.0</v>
      </c>
      <c r="I106" s="81">
        <v>0.0</v>
      </c>
      <c r="J106" s="93">
        <v>2000.0</v>
      </c>
      <c r="K106" s="93">
        <v>2000.0</v>
      </c>
      <c r="L106" s="93">
        <v>2000.0</v>
      </c>
      <c r="M106" s="93">
        <v>2000.0</v>
      </c>
      <c r="N106" s="81">
        <f t="shared" si="96"/>
        <v>19519.26</v>
      </c>
      <c r="O106" s="85" t="str">
        <f t="shared" si="97"/>
        <v/>
      </c>
      <c r="P106" s="81"/>
      <c r="Q106" s="81"/>
      <c r="R106" s="86" t="s">
        <v>80</v>
      </c>
      <c r="S106" s="87">
        <v>0.0</v>
      </c>
      <c r="T106" s="88">
        <v>0.05</v>
      </c>
      <c r="U106" s="84">
        <f t="shared" ref="U106:AF106" si="125">IF($R106="Manual","",IFERROR(IF($R106="YOY Growth",$N106*(1+$T106)/12,$S106/12),""))</f>
        <v>0</v>
      </c>
      <c r="V106" s="84">
        <f t="shared" si="125"/>
        <v>0</v>
      </c>
      <c r="W106" s="84">
        <f t="shared" si="125"/>
        <v>0</v>
      </c>
      <c r="X106" s="84">
        <f t="shared" si="125"/>
        <v>0</v>
      </c>
      <c r="Y106" s="84">
        <f t="shared" si="125"/>
        <v>0</v>
      </c>
      <c r="Z106" s="84">
        <f t="shared" si="125"/>
        <v>0</v>
      </c>
      <c r="AA106" s="84">
        <f t="shared" si="125"/>
        <v>0</v>
      </c>
      <c r="AB106" s="84">
        <f t="shared" si="125"/>
        <v>0</v>
      </c>
      <c r="AC106" s="84">
        <f t="shared" si="125"/>
        <v>0</v>
      </c>
      <c r="AD106" s="84">
        <f t="shared" si="125"/>
        <v>0</v>
      </c>
      <c r="AE106" s="84">
        <f t="shared" si="125"/>
        <v>0</v>
      </c>
      <c r="AF106" s="84">
        <f t="shared" si="125"/>
        <v>0</v>
      </c>
      <c r="AG106" s="81">
        <f t="shared" si="99"/>
        <v>0</v>
      </c>
      <c r="AH106" s="85" t="str">
        <f t="shared" si="100"/>
        <v/>
      </c>
      <c r="AI106" s="11"/>
      <c r="AJ106" s="81">
        <f t="shared" si="101"/>
        <v>19519.26</v>
      </c>
    </row>
    <row r="107" ht="13.5" customHeight="1">
      <c r="A107" s="83" t="s">
        <v>175</v>
      </c>
      <c r="B107" s="81">
        <v>0.0</v>
      </c>
      <c r="C107" s="81">
        <v>0.0</v>
      </c>
      <c r="D107" s="81">
        <v>0.0</v>
      </c>
      <c r="E107" s="81">
        <v>0.0</v>
      </c>
      <c r="F107" s="81">
        <v>0.0</v>
      </c>
      <c r="G107" s="81">
        <v>0.0</v>
      </c>
      <c r="H107" s="81">
        <v>0.0</v>
      </c>
      <c r="I107" s="81">
        <v>0.0</v>
      </c>
      <c r="J107" s="93">
        <v>0.0</v>
      </c>
      <c r="K107" s="93">
        <v>0.0</v>
      </c>
      <c r="L107" s="93">
        <v>0.0</v>
      </c>
      <c r="M107" s="93">
        <v>0.0</v>
      </c>
      <c r="N107" s="81">
        <f t="shared" si="96"/>
        <v>0</v>
      </c>
      <c r="O107" s="85" t="str">
        <f t="shared" si="97"/>
        <v/>
      </c>
      <c r="P107" s="81"/>
      <c r="Q107" s="81"/>
      <c r="R107" s="86" t="s">
        <v>80</v>
      </c>
      <c r="S107" s="87">
        <v>0.0</v>
      </c>
      <c r="T107" s="88">
        <v>0.05</v>
      </c>
      <c r="U107" s="84">
        <f t="shared" ref="U107:AF107" si="126">IF($R107="Manual","",IFERROR(IF($R107="YOY Growth",$N107*(1+$T107)/12,$S107/12),""))</f>
        <v>0</v>
      </c>
      <c r="V107" s="84">
        <f t="shared" si="126"/>
        <v>0</v>
      </c>
      <c r="W107" s="84">
        <f t="shared" si="126"/>
        <v>0</v>
      </c>
      <c r="X107" s="84">
        <f t="shared" si="126"/>
        <v>0</v>
      </c>
      <c r="Y107" s="84">
        <f t="shared" si="126"/>
        <v>0</v>
      </c>
      <c r="Z107" s="84">
        <f t="shared" si="126"/>
        <v>0</v>
      </c>
      <c r="AA107" s="84">
        <f t="shared" si="126"/>
        <v>0</v>
      </c>
      <c r="AB107" s="84">
        <f t="shared" si="126"/>
        <v>0</v>
      </c>
      <c r="AC107" s="84">
        <f t="shared" si="126"/>
        <v>0</v>
      </c>
      <c r="AD107" s="84">
        <f t="shared" si="126"/>
        <v>0</v>
      </c>
      <c r="AE107" s="84">
        <f t="shared" si="126"/>
        <v>0</v>
      </c>
      <c r="AF107" s="84">
        <f t="shared" si="126"/>
        <v>0</v>
      </c>
      <c r="AG107" s="81">
        <f t="shared" si="99"/>
        <v>0</v>
      </c>
      <c r="AH107" s="85" t="str">
        <f t="shared" si="100"/>
        <v/>
      </c>
      <c r="AI107" s="11"/>
      <c r="AJ107" s="81">
        <f t="shared" si="101"/>
        <v>0</v>
      </c>
    </row>
    <row r="108" ht="13.5" customHeight="1">
      <c r="A108" s="83" t="s">
        <v>176</v>
      </c>
      <c r="B108" s="81">
        <v>0.0</v>
      </c>
      <c r="C108" s="81">
        <v>0.0</v>
      </c>
      <c r="D108" s="81">
        <v>0.0</v>
      </c>
      <c r="E108" s="81">
        <v>0.0</v>
      </c>
      <c r="F108" s="81">
        <v>0.0</v>
      </c>
      <c r="G108" s="81">
        <v>0.0</v>
      </c>
      <c r="H108" s="81">
        <v>0.0</v>
      </c>
      <c r="I108" s="81">
        <v>0.0</v>
      </c>
      <c r="J108" s="93">
        <v>0.0</v>
      </c>
      <c r="K108" s="93">
        <v>0.0</v>
      </c>
      <c r="L108" s="93">
        <v>0.0</v>
      </c>
      <c r="M108" s="93">
        <v>0.0</v>
      </c>
      <c r="N108" s="81">
        <f t="shared" si="96"/>
        <v>0</v>
      </c>
      <c r="O108" s="85" t="str">
        <f t="shared" si="97"/>
        <v/>
      </c>
      <c r="P108" s="81"/>
      <c r="Q108" s="81"/>
      <c r="R108" s="86" t="s">
        <v>80</v>
      </c>
      <c r="S108" s="87">
        <v>0.0</v>
      </c>
      <c r="T108" s="88">
        <v>0.05</v>
      </c>
      <c r="U108" s="84">
        <f t="shared" ref="U108:AF108" si="127">IF($R108="Manual","",IFERROR(IF($R108="YOY Growth",$N108*(1+$T108)/12,$S108/12),""))</f>
        <v>0</v>
      </c>
      <c r="V108" s="84">
        <f t="shared" si="127"/>
        <v>0</v>
      </c>
      <c r="W108" s="84">
        <f t="shared" si="127"/>
        <v>0</v>
      </c>
      <c r="X108" s="84">
        <f t="shared" si="127"/>
        <v>0</v>
      </c>
      <c r="Y108" s="84">
        <f t="shared" si="127"/>
        <v>0</v>
      </c>
      <c r="Z108" s="84">
        <f t="shared" si="127"/>
        <v>0</v>
      </c>
      <c r="AA108" s="84">
        <f t="shared" si="127"/>
        <v>0</v>
      </c>
      <c r="AB108" s="84">
        <f t="shared" si="127"/>
        <v>0</v>
      </c>
      <c r="AC108" s="84">
        <f t="shared" si="127"/>
        <v>0</v>
      </c>
      <c r="AD108" s="84">
        <f t="shared" si="127"/>
        <v>0</v>
      </c>
      <c r="AE108" s="84">
        <f t="shared" si="127"/>
        <v>0</v>
      </c>
      <c r="AF108" s="84">
        <f t="shared" si="127"/>
        <v>0</v>
      </c>
      <c r="AG108" s="81">
        <f t="shared" si="99"/>
        <v>0</v>
      </c>
      <c r="AH108" s="85" t="str">
        <f t="shared" si="100"/>
        <v/>
      </c>
      <c r="AI108" s="11"/>
      <c r="AJ108" s="81">
        <f t="shared" si="101"/>
        <v>0</v>
      </c>
    </row>
    <row r="109" ht="13.5" customHeight="1">
      <c r="A109" s="83" t="s">
        <v>177</v>
      </c>
      <c r="B109" s="81">
        <v>0.0</v>
      </c>
      <c r="C109" s="81">
        <v>0.0</v>
      </c>
      <c r="D109" s="81">
        <v>0.0</v>
      </c>
      <c r="E109" s="81">
        <v>0.0</v>
      </c>
      <c r="F109" s="81">
        <v>0.0</v>
      </c>
      <c r="G109" s="81">
        <v>0.0</v>
      </c>
      <c r="H109" s="81">
        <v>0.0</v>
      </c>
      <c r="I109" s="81">
        <v>0.0</v>
      </c>
      <c r="J109" s="93">
        <v>0.0</v>
      </c>
      <c r="K109" s="93">
        <v>0.0</v>
      </c>
      <c r="L109" s="93">
        <v>0.0</v>
      </c>
      <c r="M109" s="93">
        <v>0.0</v>
      </c>
      <c r="N109" s="81">
        <f t="shared" si="96"/>
        <v>0</v>
      </c>
      <c r="O109" s="85" t="str">
        <f t="shared" si="97"/>
        <v/>
      </c>
      <c r="P109" s="81"/>
      <c r="Q109" s="81"/>
      <c r="R109" s="86" t="s">
        <v>80</v>
      </c>
      <c r="S109" s="87">
        <v>0.0</v>
      </c>
      <c r="T109" s="88">
        <v>0.05</v>
      </c>
      <c r="U109" s="84">
        <f t="shared" ref="U109:AF109" si="128">IF($R109="Manual","",IFERROR(IF($R109="YOY Growth",$N109*(1+$T109)/12,$S109/12),""))</f>
        <v>0</v>
      </c>
      <c r="V109" s="84">
        <f t="shared" si="128"/>
        <v>0</v>
      </c>
      <c r="W109" s="84">
        <f t="shared" si="128"/>
        <v>0</v>
      </c>
      <c r="X109" s="84">
        <f t="shared" si="128"/>
        <v>0</v>
      </c>
      <c r="Y109" s="84">
        <f t="shared" si="128"/>
        <v>0</v>
      </c>
      <c r="Z109" s="84">
        <f t="shared" si="128"/>
        <v>0</v>
      </c>
      <c r="AA109" s="84">
        <f t="shared" si="128"/>
        <v>0</v>
      </c>
      <c r="AB109" s="84">
        <f t="shared" si="128"/>
        <v>0</v>
      </c>
      <c r="AC109" s="84">
        <f t="shared" si="128"/>
        <v>0</v>
      </c>
      <c r="AD109" s="84">
        <f t="shared" si="128"/>
        <v>0</v>
      </c>
      <c r="AE109" s="84">
        <f t="shared" si="128"/>
        <v>0</v>
      </c>
      <c r="AF109" s="84">
        <f t="shared" si="128"/>
        <v>0</v>
      </c>
      <c r="AG109" s="81">
        <f t="shared" si="99"/>
        <v>0</v>
      </c>
      <c r="AH109" s="85" t="str">
        <f t="shared" si="100"/>
        <v/>
      </c>
      <c r="AI109" s="11"/>
      <c r="AJ109" s="81">
        <f t="shared" si="101"/>
        <v>0</v>
      </c>
    </row>
    <row r="110" ht="13.5" customHeight="1">
      <c r="A110" s="83" t="s">
        <v>178</v>
      </c>
      <c r="B110" s="81">
        <v>0.0</v>
      </c>
      <c r="C110" s="81">
        <v>0.0</v>
      </c>
      <c r="D110" s="81">
        <v>0.0</v>
      </c>
      <c r="E110" s="81">
        <v>5.0</v>
      </c>
      <c r="F110" s="81">
        <v>0.0</v>
      </c>
      <c r="G110" s="81">
        <v>0.0</v>
      </c>
      <c r="H110" s="81">
        <v>3900.0</v>
      </c>
      <c r="I110" s="81">
        <v>3900.0</v>
      </c>
      <c r="J110" s="93">
        <v>0.0</v>
      </c>
      <c r="K110" s="93">
        <v>0.0</v>
      </c>
      <c r="L110" s="93">
        <v>0.0</v>
      </c>
      <c r="M110" s="93">
        <v>0.0</v>
      </c>
      <c r="N110" s="81">
        <f t="shared" si="96"/>
        <v>7805</v>
      </c>
      <c r="O110" s="85" t="str">
        <f t="shared" si="97"/>
        <v/>
      </c>
      <c r="P110" s="81"/>
      <c r="Q110" s="81"/>
      <c r="R110" s="86" t="s">
        <v>80</v>
      </c>
      <c r="S110" s="87">
        <v>0.0</v>
      </c>
      <c r="T110" s="88">
        <v>0.05</v>
      </c>
      <c r="U110" s="84">
        <f t="shared" ref="U110:AF110" si="129">IF($R110="Manual","",IFERROR(IF($R110="YOY Growth",$N110*(1+$T110)/12,$S110/12),""))</f>
        <v>0</v>
      </c>
      <c r="V110" s="84">
        <f t="shared" si="129"/>
        <v>0</v>
      </c>
      <c r="W110" s="84">
        <f t="shared" si="129"/>
        <v>0</v>
      </c>
      <c r="X110" s="84">
        <f t="shared" si="129"/>
        <v>0</v>
      </c>
      <c r="Y110" s="84">
        <f t="shared" si="129"/>
        <v>0</v>
      </c>
      <c r="Z110" s="84">
        <f t="shared" si="129"/>
        <v>0</v>
      </c>
      <c r="AA110" s="84">
        <f t="shared" si="129"/>
        <v>0</v>
      </c>
      <c r="AB110" s="84">
        <f t="shared" si="129"/>
        <v>0</v>
      </c>
      <c r="AC110" s="84">
        <f t="shared" si="129"/>
        <v>0</v>
      </c>
      <c r="AD110" s="84">
        <f t="shared" si="129"/>
        <v>0</v>
      </c>
      <c r="AE110" s="84">
        <f t="shared" si="129"/>
        <v>0</v>
      </c>
      <c r="AF110" s="84">
        <f t="shared" si="129"/>
        <v>0</v>
      </c>
      <c r="AG110" s="81">
        <f t="shared" si="99"/>
        <v>0</v>
      </c>
      <c r="AH110" s="85" t="str">
        <f t="shared" si="100"/>
        <v/>
      </c>
      <c r="AI110" s="11"/>
      <c r="AJ110" s="81">
        <f t="shared" si="101"/>
        <v>7805</v>
      </c>
    </row>
    <row r="111" ht="13.5" customHeight="1">
      <c r="A111" s="83" t="s">
        <v>179</v>
      </c>
      <c r="B111" s="81">
        <v>0.0</v>
      </c>
      <c r="C111" s="81">
        <v>0.0</v>
      </c>
      <c r="D111" s="81">
        <v>0.0</v>
      </c>
      <c r="E111" s="81">
        <v>0.0</v>
      </c>
      <c r="F111" s="81">
        <v>0.0</v>
      </c>
      <c r="G111" s="81">
        <v>0.0</v>
      </c>
      <c r="H111" s="81">
        <v>0.0</v>
      </c>
      <c r="I111" s="81">
        <v>0.0</v>
      </c>
      <c r="J111" s="93">
        <v>0.0</v>
      </c>
      <c r="K111" s="93">
        <v>0.0</v>
      </c>
      <c r="L111" s="93">
        <v>0.0</v>
      </c>
      <c r="M111" s="93">
        <v>0.0</v>
      </c>
      <c r="N111" s="81">
        <f t="shared" si="96"/>
        <v>0</v>
      </c>
      <c r="O111" s="85" t="str">
        <f t="shared" si="97"/>
        <v/>
      </c>
      <c r="P111" s="81"/>
      <c r="Q111" s="81"/>
      <c r="R111" s="86" t="s">
        <v>80</v>
      </c>
      <c r="S111" s="87">
        <v>0.0</v>
      </c>
      <c r="T111" s="88">
        <v>0.05</v>
      </c>
      <c r="U111" s="84">
        <f t="shared" ref="U111:AF111" si="130">IF($R111="Manual","",IFERROR(IF($R111="YOY Growth",$N111*(1+$T111)/12,$S111/12),""))</f>
        <v>0</v>
      </c>
      <c r="V111" s="84">
        <f t="shared" si="130"/>
        <v>0</v>
      </c>
      <c r="W111" s="84">
        <f t="shared" si="130"/>
        <v>0</v>
      </c>
      <c r="X111" s="84">
        <f t="shared" si="130"/>
        <v>0</v>
      </c>
      <c r="Y111" s="84">
        <f t="shared" si="130"/>
        <v>0</v>
      </c>
      <c r="Z111" s="84">
        <f t="shared" si="130"/>
        <v>0</v>
      </c>
      <c r="AA111" s="84">
        <f t="shared" si="130"/>
        <v>0</v>
      </c>
      <c r="AB111" s="84">
        <f t="shared" si="130"/>
        <v>0</v>
      </c>
      <c r="AC111" s="84">
        <f t="shared" si="130"/>
        <v>0</v>
      </c>
      <c r="AD111" s="84">
        <f t="shared" si="130"/>
        <v>0</v>
      </c>
      <c r="AE111" s="84">
        <f t="shared" si="130"/>
        <v>0</v>
      </c>
      <c r="AF111" s="84">
        <f t="shared" si="130"/>
        <v>0</v>
      </c>
      <c r="AG111" s="81">
        <f t="shared" si="99"/>
        <v>0</v>
      </c>
      <c r="AH111" s="85" t="str">
        <f t="shared" si="100"/>
        <v/>
      </c>
      <c r="AI111" s="11"/>
      <c r="AJ111" s="81">
        <f t="shared" si="101"/>
        <v>0</v>
      </c>
    </row>
    <row r="112" ht="13.5" customHeight="1">
      <c r="A112" s="83" t="s">
        <v>180</v>
      </c>
      <c r="B112" s="81">
        <v>0.0</v>
      </c>
      <c r="C112" s="81">
        <v>0.0</v>
      </c>
      <c r="D112" s="81">
        <v>0.0</v>
      </c>
      <c r="E112" s="81">
        <v>0.0</v>
      </c>
      <c r="F112" s="81">
        <v>0.0</v>
      </c>
      <c r="G112" s="81">
        <v>0.0</v>
      </c>
      <c r="H112" s="81">
        <v>0.0</v>
      </c>
      <c r="I112" s="81">
        <v>0.0</v>
      </c>
      <c r="J112" s="93">
        <v>0.0</v>
      </c>
      <c r="K112" s="93">
        <v>0.0</v>
      </c>
      <c r="L112" s="93">
        <v>0.0</v>
      </c>
      <c r="M112" s="93">
        <v>0.0</v>
      </c>
      <c r="N112" s="81">
        <f t="shared" si="96"/>
        <v>0</v>
      </c>
      <c r="O112" s="85" t="str">
        <f t="shared" si="97"/>
        <v/>
      </c>
      <c r="P112" s="81"/>
      <c r="Q112" s="81"/>
      <c r="R112" s="86" t="s">
        <v>80</v>
      </c>
      <c r="S112" s="87">
        <v>0.0</v>
      </c>
      <c r="T112" s="88">
        <v>0.05</v>
      </c>
      <c r="U112" s="84">
        <f t="shared" ref="U112:AF112" si="131">IF($R112="Manual","",IFERROR(IF($R112="YOY Growth",$N112*(1+$T112)/12,$S112/12),""))</f>
        <v>0</v>
      </c>
      <c r="V112" s="84">
        <f t="shared" si="131"/>
        <v>0</v>
      </c>
      <c r="W112" s="84">
        <f t="shared" si="131"/>
        <v>0</v>
      </c>
      <c r="X112" s="84">
        <f t="shared" si="131"/>
        <v>0</v>
      </c>
      <c r="Y112" s="84">
        <f t="shared" si="131"/>
        <v>0</v>
      </c>
      <c r="Z112" s="84">
        <f t="shared" si="131"/>
        <v>0</v>
      </c>
      <c r="AA112" s="84">
        <f t="shared" si="131"/>
        <v>0</v>
      </c>
      <c r="AB112" s="84">
        <f t="shared" si="131"/>
        <v>0</v>
      </c>
      <c r="AC112" s="84">
        <f t="shared" si="131"/>
        <v>0</v>
      </c>
      <c r="AD112" s="84">
        <f t="shared" si="131"/>
        <v>0</v>
      </c>
      <c r="AE112" s="84">
        <f t="shared" si="131"/>
        <v>0</v>
      </c>
      <c r="AF112" s="84">
        <f t="shared" si="131"/>
        <v>0</v>
      </c>
      <c r="AG112" s="81">
        <f t="shared" si="99"/>
        <v>0</v>
      </c>
      <c r="AH112" s="85" t="str">
        <f t="shared" si="100"/>
        <v/>
      </c>
      <c r="AI112" s="11"/>
      <c r="AJ112" s="81">
        <f t="shared" si="101"/>
        <v>0</v>
      </c>
    </row>
    <row r="113" ht="13.5" customHeight="1">
      <c r="A113" s="83" t="s">
        <v>181</v>
      </c>
      <c r="B113" s="81">
        <v>0.0</v>
      </c>
      <c r="C113" s="81">
        <v>0.0</v>
      </c>
      <c r="D113" s="81">
        <v>0.0</v>
      </c>
      <c r="E113" s="81">
        <v>0.0</v>
      </c>
      <c r="F113" s="81">
        <v>0.0</v>
      </c>
      <c r="G113" s="81">
        <v>0.0</v>
      </c>
      <c r="H113" s="81">
        <v>0.0</v>
      </c>
      <c r="I113" s="81">
        <v>0.0</v>
      </c>
      <c r="J113" s="93">
        <v>0.0</v>
      </c>
      <c r="K113" s="93">
        <v>0.0</v>
      </c>
      <c r="L113" s="93">
        <v>0.0</v>
      </c>
      <c r="M113" s="93">
        <v>0.0</v>
      </c>
      <c r="N113" s="81">
        <f t="shared" si="96"/>
        <v>0</v>
      </c>
      <c r="O113" s="85" t="str">
        <f t="shared" si="97"/>
        <v/>
      </c>
      <c r="P113" s="81"/>
      <c r="Q113" s="81"/>
      <c r="R113" s="86" t="s">
        <v>80</v>
      </c>
      <c r="S113" s="87">
        <v>0.0</v>
      </c>
      <c r="T113" s="88">
        <v>0.05</v>
      </c>
      <c r="U113" s="84">
        <f t="shared" ref="U113:AF113" si="132">IF($R113="Manual","",IFERROR(IF($R113="YOY Growth",$N113*(1+$T113)/12,$S113/12),""))</f>
        <v>0</v>
      </c>
      <c r="V113" s="84">
        <f t="shared" si="132"/>
        <v>0</v>
      </c>
      <c r="W113" s="84">
        <f t="shared" si="132"/>
        <v>0</v>
      </c>
      <c r="X113" s="84">
        <f t="shared" si="132"/>
        <v>0</v>
      </c>
      <c r="Y113" s="84">
        <f t="shared" si="132"/>
        <v>0</v>
      </c>
      <c r="Z113" s="84">
        <f t="shared" si="132"/>
        <v>0</v>
      </c>
      <c r="AA113" s="84">
        <f t="shared" si="132"/>
        <v>0</v>
      </c>
      <c r="AB113" s="84">
        <f t="shared" si="132"/>
        <v>0</v>
      </c>
      <c r="AC113" s="84">
        <f t="shared" si="132"/>
        <v>0</v>
      </c>
      <c r="AD113" s="84">
        <f t="shared" si="132"/>
        <v>0</v>
      </c>
      <c r="AE113" s="84">
        <f t="shared" si="132"/>
        <v>0</v>
      </c>
      <c r="AF113" s="84">
        <f t="shared" si="132"/>
        <v>0</v>
      </c>
      <c r="AG113" s="81">
        <f t="shared" si="99"/>
        <v>0</v>
      </c>
      <c r="AH113" s="85" t="str">
        <f t="shared" si="100"/>
        <v/>
      </c>
      <c r="AI113" s="11"/>
      <c r="AJ113" s="81">
        <f t="shared" si="101"/>
        <v>0</v>
      </c>
    </row>
    <row r="114" ht="13.5" customHeight="1">
      <c r="A114" s="83" t="s">
        <v>182</v>
      </c>
      <c r="B114" s="81">
        <v>0.0</v>
      </c>
      <c r="C114" s="81">
        <v>0.0</v>
      </c>
      <c r="D114" s="81">
        <v>0.0</v>
      </c>
      <c r="E114" s="81">
        <v>0.0</v>
      </c>
      <c r="F114" s="81">
        <v>0.0</v>
      </c>
      <c r="G114" s="81">
        <v>0.0</v>
      </c>
      <c r="H114" s="81">
        <v>0.0</v>
      </c>
      <c r="I114" s="81">
        <v>0.0</v>
      </c>
      <c r="J114" s="93">
        <v>0.0</v>
      </c>
      <c r="K114" s="93">
        <v>0.0</v>
      </c>
      <c r="L114" s="93">
        <v>0.0</v>
      </c>
      <c r="M114" s="93">
        <v>0.0</v>
      </c>
      <c r="N114" s="81">
        <f t="shared" si="96"/>
        <v>0</v>
      </c>
      <c r="O114" s="85" t="str">
        <f t="shared" si="97"/>
        <v/>
      </c>
      <c r="P114" s="81"/>
      <c r="Q114" s="81"/>
      <c r="R114" s="86" t="s">
        <v>80</v>
      </c>
      <c r="S114" s="87">
        <v>0.0</v>
      </c>
      <c r="T114" s="88">
        <v>0.05</v>
      </c>
      <c r="U114" s="84">
        <f t="shared" ref="U114:AF114" si="133">IF($R114="Manual","",IFERROR(IF($R114="YOY Growth",$N114*(1+$T114)/12,$S114/12),""))</f>
        <v>0</v>
      </c>
      <c r="V114" s="84">
        <f t="shared" si="133"/>
        <v>0</v>
      </c>
      <c r="W114" s="84">
        <f t="shared" si="133"/>
        <v>0</v>
      </c>
      <c r="X114" s="84">
        <f t="shared" si="133"/>
        <v>0</v>
      </c>
      <c r="Y114" s="84">
        <f t="shared" si="133"/>
        <v>0</v>
      </c>
      <c r="Z114" s="84">
        <f t="shared" si="133"/>
        <v>0</v>
      </c>
      <c r="AA114" s="84">
        <f t="shared" si="133"/>
        <v>0</v>
      </c>
      <c r="AB114" s="84">
        <f t="shared" si="133"/>
        <v>0</v>
      </c>
      <c r="AC114" s="84">
        <f t="shared" si="133"/>
        <v>0</v>
      </c>
      <c r="AD114" s="84">
        <f t="shared" si="133"/>
        <v>0</v>
      </c>
      <c r="AE114" s="84">
        <f t="shared" si="133"/>
        <v>0</v>
      </c>
      <c r="AF114" s="84">
        <f t="shared" si="133"/>
        <v>0</v>
      </c>
      <c r="AG114" s="81">
        <f t="shared" si="99"/>
        <v>0</v>
      </c>
      <c r="AH114" s="85" t="str">
        <f t="shared" si="100"/>
        <v/>
      </c>
      <c r="AI114" s="11"/>
      <c r="AJ114" s="81">
        <f t="shared" si="101"/>
        <v>0</v>
      </c>
    </row>
    <row r="115" ht="13.5" customHeight="1">
      <c r="A115" s="83" t="s">
        <v>183</v>
      </c>
      <c r="B115" s="81">
        <v>0.0</v>
      </c>
      <c r="C115" s="81">
        <v>0.0</v>
      </c>
      <c r="D115" s="81">
        <v>0.0</v>
      </c>
      <c r="E115" s="81">
        <v>0.0</v>
      </c>
      <c r="F115" s="81">
        <v>0.0</v>
      </c>
      <c r="G115" s="81">
        <v>0.0</v>
      </c>
      <c r="H115" s="81">
        <v>0.0</v>
      </c>
      <c r="I115" s="81">
        <v>0.0</v>
      </c>
      <c r="J115" s="93">
        <v>0.0</v>
      </c>
      <c r="K115" s="93">
        <v>0.0</v>
      </c>
      <c r="L115" s="93">
        <v>0.0</v>
      </c>
      <c r="M115" s="93">
        <v>0.0</v>
      </c>
      <c r="N115" s="81">
        <f t="shared" si="96"/>
        <v>0</v>
      </c>
      <c r="O115" s="85" t="str">
        <f t="shared" si="97"/>
        <v/>
      </c>
      <c r="P115" s="81"/>
      <c r="Q115" s="81"/>
      <c r="R115" s="86" t="s">
        <v>80</v>
      </c>
      <c r="S115" s="87">
        <v>0.0</v>
      </c>
      <c r="T115" s="88">
        <v>0.05</v>
      </c>
      <c r="U115" s="84">
        <f t="shared" ref="U115:AF115" si="134">IF($R115="Manual","",IFERROR(IF($R115="YOY Growth",$N115*(1+$T115)/12,$S115/12),""))</f>
        <v>0</v>
      </c>
      <c r="V115" s="84">
        <f t="shared" si="134"/>
        <v>0</v>
      </c>
      <c r="W115" s="84">
        <f t="shared" si="134"/>
        <v>0</v>
      </c>
      <c r="X115" s="84">
        <f t="shared" si="134"/>
        <v>0</v>
      </c>
      <c r="Y115" s="84">
        <f t="shared" si="134"/>
        <v>0</v>
      </c>
      <c r="Z115" s="84">
        <f t="shared" si="134"/>
        <v>0</v>
      </c>
      <c r="AA115" s="84">
        <f t="shared" si="134"/>
        <v>0</v>
      </c>
      <c r="AB115" s="84">
        <f t="shared" si="134"/>
        <v>0</v>
      </c>
      <c r="AC115" s="84">
        <f t="shared" si="134"/>
        <v>0</v>
      </c>
      <c r="AD115" s="84">
        <f t="shared" si="134"/>
        <v>0</v>
      </c>
      <c r="AE115" s="84">
        <f t="shared" si="134"/>
        <v>0</v>
      </c>
      <c r="AF115" s="84">
        <f t="shared" si="134"/>
        <v>0</v>
      </c>
      <c r="AG115" s="81">
        <f t="shared" si="99"/>
        <v>0</v>
      </c>
      <c r="AH115" s="85" t="str">
        <f t="shared" si="100"/>
        <v/>
      </c>
      <c r="AI115" s="11"/>
      <c r="AJ115" s="81">
        <f t="shared" si="101"/>
        <v>0</v>
      </c>
    </row>
    <row r="116" ht="13.5" customHeight="1">
      <c r="A116" s="89" t="s">
        <v>184</v>
      </c>
      <c r="B116" s="90">
        <f t="shared" ref="B116:M116" si="135">B73+SUM(B74:B80)+B87+SUM(B88:B115)</f>
        <v>35995.85</v>
      </c>
      <c r="C116" s="90">
        <f t="shared" si="135"/>
        <v>27174.95</v>
      </c>
      <c r="D116" s="90">
        <f t="shared" si="135"/>
        <v>38485.09</v>
      </c>
      <c r="E116" s="90">
        <f t="shared" si="135"/>
        <v>12323.71</v>
      </c>
      <c r="F116" s="90">
        <f t="shared" si="135"/>
        <v>2999.31</v>
      </c>
      <c r="G116" s="90">
        <f t="shared" si="135"/>
        <v>46686.32</v>
      </c>
      <c r="H116" s="90">
        <f t="shared" si="135"/>
        <v>16079.14</v>
      </c>
      <c r="I116" s="90">
        <f t="shared" si="135"/>
        <v>13698.13</v>
      </c>
      <c r="J116" s="90">
        <f t="shared" si="135"/>
        <v>5950</v>
      </c>
      <c r="K116" s="90">
        <f t="shared" si="135"/>
        <v>5950</v>
      </c>
      <c r="L116" s="90">
        <f t="shared" si="135"/>
        <v>5950</v>
      </c>
      <c r="M116" s="90">
        <f t="shared" si="135"/>
        <v>5950</v>
      </c>
      <c r="N116" s="90">
        <f t="shared" si="96"/>
        <v>217242.5</v>
      </c>
      <c r="O116" s="91" t="str">
        <f t="shared" si="97"/>
        <v/>
      </c>
      <c r="P116" s="81"/>
      <c r="Q116" s="81"/>
      <c r="R116" s="92"/>
      <c r="S116" s="92"/>
      <c r="T116" s="92"/>
      <c r="U116" s="90">
        <f t="shared" ref="U116:AF116" si="136">U73+SUM(U74:U80)+U87+SUM(U88:U115)</f>
        <v>0</v>
      </c>
      <c r="V116" s="90">
        <f t="shared" si="136"/>
        <v>0</v>
      </c>
      <c r="W116" s="90">
        <f t="shared" si="136"/>
        <v>0</v>
      </c>
      <c r="X116" s="90">
        <f t="shared" si="136"/>
        <v>0</v>
      </c>
      <c r="Y116" s="90">
        <f t="shared" si="136"/>
        <v>0</v>
      </c>
      <c r="Z116" s="90">
        <f t="shared" si="136"/>
        <v>0</v>
      </c>
      <c r="AA116" s="90">
        <f t="shared" si="136"/>
        <v>0</v>
      </c>
      <c r="AB116" s="90">
        <f t="shared" si="136"/>
        <v>0</v>
      </c>
      <c r="AC116" s="90">
        <f t="shared" si="136"/>
        <v>0</v>
      </c>
      <c r="AD116" s="90">
        <f t="shared" si="136"/>
        <v>0</v>
      </c>
      <c r="AE116" s="90">
        <f t="shared" si="136"/>
        <v>0</v>
      </c>
      <c r="AF116" s="90">
        <f t="shared" si="136"/>
        <v>0</v>
      </c>
      <c r="AG116" s="90">
        <f t="shared" si="99"/>
        <v>0</v>
      </c>
      <c r="AH116" s="91" t="str">
        <f t="shared" si="100"/>
        <v/>
      </c>
      <c r="AI116" s="11"/>
      <c r="AJ116" s="90">
        <f t="shared" si="101"/>
        <v>217242.5</v>
      </c>
    </row>
    <row r="117" ht="13.5" customHeight="1">
      <c r="A117" s="104" t="s">
        <v>185</v>
      </c>
      <c r="B117" s="90">
        <f t="shared" ref="B117:M117" si="137">B64-B116</f>
        <v>-153934.95</v>
      </c>
      <c r="C117" s="90">
        <f t="shared" si="137"/>
        <v>-107839.52</v>
      </c>
      <c r="D117" s="90">
        <f t="shared" si="137"/>
        <v>-190961.69</v>
      </c>
      <c r="E117" s="90">
        <f t="shared" si="137"/>
        <v>-144233.65</v>
      </c>
      <c r="F117" s="90">
        <f t="shared" si="137"/>
        <v>-168942.74</v>
      </c>
      <c r="G117" s="90">
        <f t="shared" si="137"/>
        <v>-189851.83</v>
      </c>
      <c r="H117" s="90">
        <f t="shared" si="137"/>
        <v>-178369.86</v>
      </c>
      <c r="I117" s="90">
        <f t="shared" si="137"/>
        <v>-164186.55</v>
      </c>
      <c r="J117" s="90">
        <f t="shared" si="137"/>
        <v>-216558</v>
      </c>
      <c r="K117" s="90">
        <f t="shared" si="137"/>
        <v>-218928</v>
      </c>
      <c r="L117" s="90">
        <f t="shared" si="137"/>
        <v>-222771</v>
      </c>
      <c r="M117" s="90">
        <f t="shared" si="137"/>
        <v>-228245</v>
      </c>
      <c r="N117" s="90">
        <f t="shared" si="96"/>
        <v>-2184822.79</v>
      </c>
      <c r="O117" s="91" t="str">
        <f t="shared" si="97"/>
        <v/>
      </c>
      <c r="P117" s="81"/>
      <c r="Q117" s="81"/>
      <c r="R117" s="92"/>
      <c r="S117" s="92"/>
      <c r="T117" s="92"/>
      <c r="U117" s="90">
        <f t="shared" ref="U117:AF117" si="138">U64-U116</f>
        <v>-306876.6993</v>
      </c>
      <c r="V117" s="90">
        <f t="shared" si="138"/>
        <v>-280077.9541</v>
      </c>
      <c r="W117" s="90">
        <f t="shared" si="138"/>
        <v>-307087.7341</v>
      </c>
      <c r="X117" s="90">
        <f t="shared" si="138"/>
        <v>-427288.1898</v>
      </c>
      <c r="Y117" s="90">
        <f t="shared" si="138"/>
        <v>-456563.2107</v>
      </c>
      <c r="Z117" s="90">
        <f t="shared" si="138"/>
        <v>-541109.8377</v>
      </c>
      <c r="AA117" s="90">
        <f t="shared" si="138"/>
        <v>-591954.976</v>
      </c>
      <c r="AB117" s="90">
        <f t="shared" si="138"/>
        <v>-673202.1117</v>
      </c>
      <c r="AC117" s="90">
        <f t="shared" si="138"/>
        <v>-778201.0535</v>
      </c>
      <c r="AD117" s="90">
        <f t="shared" si="138"/>
        <v>-883360.7015</v>
      </c>
      <c r="AE117" s="90">
        <f t="shared" si="138"/>
        <v>-1004946.669</v>
      </c>
      <c r="AF117" s="90">
        <f t="shared" si="138"/>
        <v>-1096830.466</v>
      </c>
      <c r="AG117" s="90">
        <f t="shared" si="99"/>
        <v>-7347499.604</v>
      </c>
      <c r="AH117" s="91" t="str">
        <f t="shared" si="100"/>
        <v/>
      </c>
      <c r="AI117" s="11"/>
      <c r="AJ117" s="90">
        <f>AG117-N117</f>
        <v>-5162676.814</v>
      </c>
    </row>
    <row r="118" ht="13.5" customHeight="1">
      <c r="A118" s="80" t="s">
        <v>186</v>
      </c>
      <c r="B118" s="81"/>
      <c r="C118" s="81"/>
      <c r="D118" s="81"/>
      <c r="E118" s="81"/>
      <c r="F118" s="81"/>
      <c r="G118" s="81"/>
      <c r="H118" s="81"/>
      <c r="I118" s="81"/>
      <c r="J118" s="81"/>
      <c r="K118" s="81"/>
      <c r="L118" s="81"/>
      <c r="M118" s="81"/>
      <c r="N118" s="81"/>
      <c r="O118" s="85"/>
      <c r="P118" s="81"/>
      <c r="Q118" s="81"/>
      <c r="R118" s="92"/>
      <c r="S118" s="92"/>
      <c r="T118" s="92"/>
      <c r="U118" s="81"/>
      <c r="V118" s="81"/>
      <c r="W118" s="81"/>
      <c r="X118" s="81"/>
      <c r="Y118" s="81"/>
      <c r="Z118" s="81"/>
      <c r="AA118" s="81"/>
      <c r="AB118" s="81"/>
      <c r="AC118" s="81"/>
      <c r="AD118" s="81"/>
      <c r="AE118" s="81"/>
      <c r="AF118" s="81"/>
      <c r="AG118" s="81"/>
      <c r="AH118" s="85"/>
      <c r="AI118" s="11"/>
      <c r="AJ118" s="81"/>
    </row>
    <row r="119" ht="13.5" customHeight="1">
      <c r="A119" s="82" t="s">
        <v>187</v>
      </c>
      <c r="B119" s="81"/>
      <c r="C119" s="81"/>
      <c r="D119" s="81"/>
      <c r="E119" s="81"/>
      <c r="F119" s="81"/>
      <c r="G119" s="81"/>
      <c r="H119" s="81"/>
      <c r="I119" s="81"/>
      <c r="J119" s="81"/>
      <c r="K119" s="81"/>
      <c r="L119" s="81"/>
      <c r="M119" s="81"/>
      <c r="N119" s="81"/>
      <c r="O119" s="85"/>
      <c r="P119" s="81"/>
      <c r="Q119" s="81"/>
      <c r="R119" s="92"/>
      <c r="S119" s="92"/>
      <c r="T119" s="92"/>
      <c r="U119" s="81"/>
      <c r="V119" s="81"/>
      <c r="W119" s="81"/>
      <c r="X119" s="81"/>
      <c r="Y119" s="81"/>
      <c r="Z119" s="81"/>
      <c r="AA119" s="81"/>
      <c r="AB119" s="81"/>
      <c r="AC119" s="81"/>
      <c r="AD119" s="81"/>
      <c r="AE119" s="81"/>
      <c r="AF119" s="81"/>
      <c r="AG119" s="81"/>
      <c r="AH119" s="85"/>
      <c r="AI119" s="11"/>
      <c r="AJ119" s="81"/>
    </row>
    <row r="120" ht="13.5" customHeight="1">
      <c r="A120" s="83" t="s">
        <v>188</v>
      </c>
      <c r="B120" s="81">
        <v>0.0</v>
      </c>
      <c r="C120" s="81">
        <v>0.0</v>
      </c>
      <c r="D120" s="81">
        <v>0.0</v>
      </c>
      <c r="E120" s="81">
        <v>0.0</v>
      </c>
      <c r="F120" s="81">
        <v>0.0</v>
      </c>
      <c r="G120" s="81">
        <v>0.0</v>
      </c>
      <c r="H120" s="81">
        <v>0.0</v>
      </c>
      <c r="I120" s="81">
        <v>0.0</v>
      </c>
      <c r="J120" s="93">
        <v>0.0</v>
      </c>
      <c r="K120" s="93">
        <v>0.0</v>
      </c>
      <c r="L120" s="93">
        <v>0.0</v>
      </c>
      <c r="M120" s="93">
        <v>0.0</v>
      </c>
      <c r="N120" s="81">
        <f t="shared" ref="N120:N122" si="140">SUM(B120:M120)</f>
        <v>0</v>
      </c>
      <c r="O120" s="85" t="str">
        <f t="shared" ref="O120:O122" si="141">IFERROR(N120/N$16,"")</f>
        <v/>
      </c>
      <c r="P120" s="81"/>
      <c r="Q120" s="81"/>
      <c r="R120" s="86" t="s">
        <v>80</v>
      </c>
      <c r="S120" s="87">
        <v>0.0</v>
      </c>
      <c r="T120" s="88">
        <v>0.05</v>
      </c>
      <c r="U120" s="84">
        <f t="shared" ref="U120:AF120" si="139">IF($R120="Manual","",IFERROR(IF($R120="YOY Growth",$N120*(1+$T120)/12,$S120/12),""))</f>
        <v>0</v>
      </c>
      <c r="V120" s="84">
        <f t="shared" si="139"/>
        <v>0</v>
      </c>
      <c r="W120" s="84">
        <f t="shared" si="139"/>
        <v>0</v>
      </c>
      <c r="X120" s="84">
        <f t="shared" si="139"/>
        <v>0</v>
      </c>
      <c r="Y120" s="84">
        <f t="shared" si="139"/>
        <v>0</v>
      </c>
      <c r="Z120" s="84">
        <f t="shared" si="139"/>
        <v>0</v>
      </c>
      <c r="AA120" s="84">
        <f t="shared" si="139"/>
        <v>0</v>
      </c>
      <c r="AB120" s="84">
        <f t="shared" si="139"/>
        <v>0</v>
      </c>
      <c r="AC120" s="84">
        <f t="shared" si="139"/>
        <v>0</v>
      </c>
      <c r="AD120" s="84">
        <f t="shared" si="139"/>
        <v>0</v>
      </c>
      <c r="AE120" s="84">
        <f t="shared" si="139"/>
        <v>0</v>
      </c>
      <c r="AF120" s="84">
        <f t="shared" si="139"/>
        <v>0</v>
      </c>
      <c r="AG120" s="81">
        <f t="shared" ref="AG120:AG122" si="143">SUM(U120:AF120)</f>
        <v>0</v>
      </c>
      <c r="AH120" s="85" t="str">
        <f t="shared" ref="AH120:AH122" si="144">IFERROR(AG120/AG$16,"")</f>
        <v/>
      </c>
      <c r="AI120" s="11"/>
      <c r="AJ120" s="81">
        <f t="shared" ref="AJ120:AJ122" si="145">AG120-N120</f>
        <v>0</v>
      </c>
    </row>
    <row r="121" ht="13.5" customHeight="1">
      <c r="A121" s="83" t="s">
        <v>189</v>
      </c>
      <c r="B121" s="81">
        <v>0.0</v>
      </c>
      <c r="C121" s="81">
        <v>0.0</v>
      </c>
      <c r="D121" s="81">
        <v>0.0</v>
      </c>
      <c r="E121" s="81">
        <v>0.0</v>
      </c>
      <c r="F121" s="81">
        <v>0.0</v>
      </c>
      <c r="G121" s="81">
        <v>0.0</v>
      </c>
      <c r="H121" s="81">
        <v>0.0</v>
      </c>
      <c r="I121" s="81">
        <v>0.0</v>
      </c>
      <c r="J121" s="93">
        <v>0.0</v>
      </c>
      <c r="K121" s="93">
        <v>0.0</v>
      </c>
      <c r="L121" s="93">
        <v>0.0</v>
      </c>
      <c r="M121" s="93">
        <v>0.0</v>
      </c>
      <c r="N121" s="81">
        <f t="shared" si="140"/>
        <v>0</v>
      </c>
      <c r="O121" s="85" t="str">
        <f t="shared" si="141"/>
        <v/>
      </c>
      <c r="P121" s="81"/>
      <c r="Q121" s="81"/>
      <c r="R121" s="86" t="s">
        <v>80</v>
      </c>
      <c r="S121" s="87">
        <v>0.0</v>
      </c>
      <c r="T121" s="88">
        <v>0.05</v>
      </c>
      <c r="U121" s="84">
        <f t="shared" ref="U121:AF121" si="142">IF($R121="Manual","",IFERROR(IF($R121="YOY Growth",$N121*(1+$T121)/12,$S121/12),""))</f>
        <v>0</v>
      </c>
      <c r="V121" s="84">
        <f t="shared" si="142"/>
        <v>0</v>
      </c>
      <c r="W121" s="84">
        <f t="shared" si="142"/>
        <v>0</v>
      </c>
      <c r="X121" s="84">
        <f t="shared" si="142"/>
        <v>0</v>
      </c>
      <c r="Y121" s="84">
        <f t="shared" si="142"/>
        <v>0</v>
      </c>
      <c r="Z121" s="84">
        <f t="shared" si="142"/>
        <v>0</v>
      </c>
      <c r="AA121" s="84">
        <f t="shared" si="142"/>
        <v>0</v>
      </c>
      <c r="AB121" s="84">
        <f t="shared" si="142"/>
        <v>0</v>
      </c>
      <c r="AC121" s="84">
        <f t="shared" si="142"/>
        <v>0</v>
      </c>
      <c r="AD121" s="84">
        <f t="shared" si="142"/>
        <v>0</v>
      </c>
      <c r="AE121" s="84">
        <f t="shared" si="142"/>
        <v>0</v>
      </c>
      <c r="AF121" s="84">
        <f t="shared" si="142"/>
        <v>0</v>
      </c>
      <c r="AG121" s="81">
        <f t="shared" si="143"/>
        <v>0</v>
      </c>
      <c r="AH121" s="85" t="str">
        <f t="shared" si="144"/>
        <v/>
      </c>
      <c r="AI121" s="11"/>
      <c r="AJ121" s="81">
        <f t="shared" si="145"/>
        <v>0</v>
      </c>
    </row>
    <row r="122" ht="13.5" customHeight="1">
      <c r="A122" s="89" t="s">
        <v>190</v>
      </c>
      <c r="B122" s="90">
        <f t="shared" ref="B122:M122" si="146">SUM(B120:B121)</f>
        <v>0</v>
      </c>
      <c r="C122" s="90">
        <f t="shared" si="146"/>
        <v>0</v>
      </c>
      <c r="D122" s="90">
        <f t="shared" si="146"/>
        <v>0</v>
      </c>
      <c r="E122" s="90">
        <f t="shared" si="146"/>
        <v>0</v>
      </c>
      <c r="F122" s="90">
        <f t="shared" si="146"/>
        <v>0</v>
      </c>
      <c r="G122" s="90">
        <f t="shared" si="146"/>
        <v>0</v>
      </c>
      <c r="H122" s="90">
        <f t="shared" si="146"/>
        <v>0</v>
      </c>
      <c r="I122" s="90">
        <f t="shared" si="146"/>
        <v>0</v>
      </c>
      <c r="J122" s="90">
        <f t="shared" si="146"/>
        <v>0</v>
      </c>
      <c r="K122" s="90">
        <f t="shared" si="146"/>
        <v>0</v>
      </c>
      <c r="L122" s="90">
        <f t="shared" si="146"/>
        <v>0</v>
      </c>
      <c r="M122" s="90">
        <f t="shared" si="146"/>
        <v>0</v>
      </c>
      <c r="N122" s="90">
        <f t="shared" si="140"/>
        <v>0</v>
      </c>
      <c r="O122" s="91" t="str">
        <f t="shared" si="141"/>
        <v/>
      </c>
      <c r="P122" s="81"/>
      <c r="Q122" s="81"/>
      <c r="R122" s="92"/>
      <c r="S122" s="92"/>
      <c r="T122" s="92"/>
      <c r="U122" s="90">
        <f t="shared" ref="U122:AF122" si="147">SUM(U120:U121)</f>
        <v>0</v>
      </c>
      <c r="V122" s="90">
        <f t="shared" si="147"/>
        <v>0</v>
      </c>
      <c r="W122" s="90">
        <f t="shared" si="147"/>
        <v>0</v>
      </c>
      <c r="X122" s="90">
        <f t="shared" si="147"/>
        <v>0</v>
      </c>
      <c r="Y122" s="90">
        <f t="shared" si="147"/>
        <v>0</v>
      </c>
      <c r="Z122" s="90">
        <f t="shared" si="147"/>
        <v>0</v>
      </c>
      <c r="AA122" s="90">
        <f t="shared" si="147"/>
        <v>0</v>
      </c>
      <c r="AB122" s="90">
        <f t="shared" si="147"/>
        <v>0</v>
      </c>
      <c r="AC122" s="90">
        <f t="shared" si="147"/>
        <v>0</v>
      </c>
      <c r="AD122" s="90">
        <f t="shared" si="147"/>
        <v>0</v>
      </c>
      <c r="AE122" s="90">
        <f t="shared" si="147"/>
        <v>0</v>
      </c>
      <c r="AF122" s="90">
        <f t="shared" si="147"/>
        <v>0</v>
      </c>
      <c r="AG122" s="90">
        <f t="shared" si="143"/>
        <v>0</v>
      </c>
      <c r="AH122" s="91" t="str">
        <f t="shared" si="144"/>
        <v/>
      </c>
      <c r="AI122" s="11"/>
      <c r="AJ122" s="90">
        <f t="shared" si="145"/>
        <v>0</v>
      </c>
    </row>
    <row r="123" ht="13.5" customHeight="1">
      <c r="A123" s="82" t="s">
        <v>191</v>
      </c>
      <c r="B123" s="81"/>
      <c r="C123" s="81"/>
      <c r="D123" s="81"/>
      <c r="E123" s="81"/>
      <c r="F123" s="81"/>
      <c r="G123" s="81"/>
      <c r="H123" s="81"/>
      <c r="I123" s="81"/>
      <c r="J123" s="81"/>
      <c r="K123" s="81"/>
      <c r="L123" s="81"/>
      <c r="M123" s="81"/>
      <c r="N123" s="81"/>
      <c r="O123" s="85"/>
      <c r="P123" s="81"/>
      <c r="Q123" s="81"/>
      <c r="R123" s="92"/>
      <c r="S123" s="92"/>
      <c r="T123" s="92"/>
      <c r="U123" s="81"/>
      <c r="V123" s="81"/>
      <c r="W123" s="81"/>
      <c r="X123" s="81"/>
      <c r="Y123" s="81"/>
      <c r="Z123" s="81"/>
      <c r="AA123" s="81"/>
      <c r="AB123" s="81"/>
      <c r="AC123" s="81"/>
      <c r="AD123" s="81"/>
      <c r="AE123" s="81"/>
      <c r="AF123" s="81"/>
      <c r="AG123" s="81"/>
      <c r="AH123" s="85"/>
      <c r="AI123" s="11"/>
      <c r="AJ123" s="81"/>
    </row>
    <row r="124" ht="13.5" customHeight="1">
      <c r="A124" s="101" t="s">
        <v>192</v>
      </c>
      <c r="B124" s="81">
        <v>0.0</v>
      </c>
      <c r="C124" s="81">
        <v>0.0</v>
      </c>
      <c r="D124" s="81">
        <v>0.0</v>
      </c>
      <c r="E124" s="81">
        <v>0.0</v>
      </c>
      <c r="F124" s="81">
        <v>0.0</v>
      </c>
      <c r="G124" s="81">
        <v>0.0</v>
      </c>
      <c r="H124" s="81">
        <v>0.0</v>
      </c>
      <c r="I124" s="81">
        <v>0.0</v>
      </c>
      <c r="J124" s="93"/>
      <c r="K124" s="93"/>
      <c r="L124" s="93"/>
      <c r="M124" s="93"/>
      <c r="N124" s="81">
        <v>0.0</v>
      </c>
      <c r="O124" s="85" t="str">
        <f t="shared" ref="O124:O126" si="149">IFERROR(N124/N$16,"")</f>
        <v/>
      </c>
      <c r="P124" s="81"/>
      <c r="Q124" s="81"/>
      <c r="R124" s="86" t="s">
        <v>80</v>
      </c>
      <c r="S124" s="87">
        <v>0.0</v>
      </c>
      <c r="T124" s="88">
        <v>0.05</v>
      </c>
      <c r="U124" s="84">
        <f t="shared" ref="U124:AF124" si="148">IF($R124="Manual","",IFERROR(IF($R124="YOY Growth",$N124*(1+$T124)/12,$S124/12),""))</f>
        <v>0</v>
      </c>
      <c r="V124" s="84">
        <f t="shared" si="148"/>
        <v>0</v>
      </c>
      <c r="W124" s="84">
        <f t="shared" si="148"/>
        <v>0</v>
      </c>
      <c r="X124" s="84">
        <f t="shared" si="148"/>
        <v>0</v>
      </c>
      <c r="Y124" s="84">
        <f t="shared" si="148"/>
        <v>0</v>
      </c>
      <c r="Z124" s="84">
        <f t="shared" si="148"/>
        <v>0</v>
      </c>
      <c r="AA124" s="84">
        <f t="shared" si="148"/>
        <v>0</v>
      </c>
      <c r="AB124" s="84">
        <f t="shared" si="148"/>
        <v>0</v>
      </c>
      <c r="AC124" s="84">
        <f t="shared" si="148"/>
        <v>0</v>
      </c>
      <c r="AD124" s="84">
        <f t="shared" si="148"/>
        <v>0</v>
      </c>
      <c r="AE124" s="84">
        <f t="shared" si="148"/>
        <v>0</v>
      </c>
      <c r="AF124" s="84">
        <f t="shared" si="148"/>
        <v>0</v>
      </c>
      <c r="AG124" s="81">
        <f t="shared" ref="AG124:AG126" si="151">SUM(U124:AF124)</f>
        <v>0</v>
      </c>
      <c r="AH124" s="85" t="str">
        <f t="shared" ref="AH124:AH126" si="152">IFERROR(AG124/AG$16,"")</f>
        <v/>
      </c>
      <c r="AI124" s="11"/>
      <c r="AJ124" s="81">
        <f t="shared" ref="AJ124:AJ126" si="153">N124-AG124</f>
        <v>0</v>
      </c>
    </row>
    <row r="125" ht="13.5" customHeight="1">
      <c r="A125" s="83" t="s">
        <v>193</v>
      </c>
      <c r="B125" s="81">
        <v>0.0</v>
      </c>
      <c r="C125" s="81">
        <v>0.0</v>
      </c>
      <c r="D125" s="81">
        <v>0.0</v>
      </c>
      <c r="E125" s="81">
        <v>0.0</v>
      </c>
      <c r="F125" s="81">
        <v>0.0</v>
      </c>
      <c r="G125" s="81">
        <v>0.0</v>
      </c>
      <c r="H125" s="81">
        <v>0.0</v>
      </c>
      <c r="I125" s="81">
        <v>0.0</v>
      </c>
      <c r="J125" s="93">
        <v>0.0</v>
      </c>
      <c r="K125" s="93">
        <v>0.0</v>
      </c>
      <c r="L125" s="93">
        <v>0.0</v>
      </c>
      <c r="M125" s="93">
        <v>0.0</v>
      </c>
      <c r="N125" s="81">
        <f t="shared" ref="N125:N126" si="154">SUM(B125:M125)</f>
        <v>0</v>
      </c>
      <c r="O125" s="85" t="str">
        <f t="shared" si="149"/>
        <v/>
      </c>
      <c r="P125" s="81"/>
      <c r="Q125" s="81"/>
      <c r="R125" s="86" t="s">
        <v>80</v>
      </c>
      <c r="S125" s="87">
        <v>0.0</v>
      </c>
      <c r="T125" s="88">
        <v>0.05</v>
      </c>
      <c r="U125" s="84">
        <f t="shared" ref="U125:AF125" si="150">IF($R125="Manual","",IFERROR(IF($R125="YOY Growth",$N125*(1+$T125)/12,$S125/12),""))</f>
        <v>0</v>
      </c>
      <c r="V125" s="84">
        <f t="shared" si="150"/>
        <v>0</v>
      </c>
      <c r="W125" s="84">
        <f t="shared" si="150"/>
        <v>0</v>
      </c>
      <c r="X125" s="84">
        <f t="shared" si="150"/>
        <v>0</v>
      </c>
      <c r="Y125" s="84">
        <f t="shared" si="150"/>
        <v>0</v>
      </c>
      <c r="Z125" s="84">
        <f t="shared" si="150"/>
        <v>0</v>
      </c>
      <c r="AA125" s="84">
        <f t="shared" si="150"/>
        <v>0</v>
      </c>
      <c r="AB125" s="84">
        <f t="shared" si="150"/>
        <v>0</v>
      </c>
      <c r="AC125" s="84">
        <f t="shared" si="150"/>
        <v>0</v>
      </c>
      <c r="AD125" s="84">
        <f t="shared" si="150"/>
        <v>0</v>
      </c>
      <c r="AE125" s="84">
        <f t="shared" si="150"/>
        <v>0</v>
      </c>
      <c r="AF125" s="84">
        <f t="shared" si="150"/>
        <v>0</v>
      </c>
      <c r="AG125" s="81">
        <f t="shared" si="151"/>
        <v>0</v>
      </c>
      <c r="AH125" s="85" t="str">
        <f t="shared" si="152"/>
        <v/>
      </c>
      <c r="AI125" s="11"/>
      <c r="AJ125" s="81">
        <f t="shared" si="153"/>
        <v>0</v>
      </c>
    </row>
    <row r="126" ht="13.5" customHeight="1">
      <c r="A126" s="83" t="s">
        <v>194</v>
      </c>
      <c r="B126" s="81">
        <v>0.0</v>
      </c>
      <c r="C126" s="81">
        <v>0.0</v>
      </c>
      <c r="D126" s="81">
        <v>0.0</v>
      </c>
      <c r="E126" s="81">
        <v>0.0</v>
      </c>
      <c r="F126" s="81">
        <v>0.0</v>
      </c>
      <c r="G126" s="81">
        <v>0.0</v>
      </c>
      <c r="H126" s="81">
        <v>0.0</v>
      </c>
      <c r="I126" s="81">
        <v>0.0</v>
      </c>
      <c r="J126" s="93">
        <v>0.0</v>
      </c>
      <c r="K126" s="93">
        <v>0.0</v>
      </c>
      <c r="L126" s="93">
        <v>0.0</v>
      </c>
      <c r="M126" s="93">
        <v>0.0</v>
      </c>
      <c r="N126" s="81">
        <f t="shared" si="154"/>
        <v>0</v>
      </c>
      <c r="O126" s="85" t="str">
        <f t="shared" si="149"/>
        <v/>
      </c>
      <c r="P126" s="81"/>
      <c r="Q126" s="81"/>
      <c r="R126" s="86" t="s">
        <v>80</v>
      </c>
      <c r="S126" s="87">
        <v>0.0</v>
      </c>
      <c r="T126" s="88">
        <v>0.05</v>
      </c>
      <c r="U126" s="84">
        <f t="shared" ref="U126:AF126" si="155">IF($R126="Manual","",IFERROR(IF($R126="YOY Growth",$N126*(1+$T126)/12,$S126/12),""))</f>
        <v>0</v>
      </c>
      <c r="V126" s="84">
        <f t="shared" si="155"/>
        <v>0</v>
      </c>
      <c r="W126" s="84">
        <f t="shared" si="155"/>
        <v>0</v>
      </c>
      <c r="X126" s="84">
        <f t="shared" si="155"/>
        <v>0</v>
      </c>
      <c r="Y126" s="84">
        <f t="shared" si="155"/>
        <v>0</v>
      </c>
      <c r="Z126" s="84">
        <f t="shared" si="155"/>
        <v>0</v>
      </c>
      <c r="AA126" s="84">
        <f t="shared" si="155"/>
        <v>0</v>
      </c>
      <c r="AB126" s="84">
        <f t="shared" si="155"/>
        <v>0</v>
      </c>
      <c r="AC126" s="84">
        <f t="shared" si="155"/>
        <v>0</v>
      </c>
      <c r="AD126" s="84">
        <f t="shared" si="155"/>
        <v>0</v>
      </c>
      <c r="AE126" s="84">
        <f t="shared" si="155"/>
        <v>0</v>
      </c>
      <c r="AF126" s="84">
        <f t="shared" si="155"/>
        <v>0</v>
      </c>
      <c r="AG126" s="81">
        <f t="shared" si="151"/>
        <v>0</v>
      </c>
      <c r="AH126" s="85" t="str">
        <f t="shared" si="152"/>
        <v/>
      </c>
      <c r="AI126" s="11"/>
      <c r="AJ126" s="81">
        <f t="shared" si="153"/>
        <v>0</v>
      </c>
    </row>
    <row r="127" ht="13.5" customHeight="1">
      <c r="A127" s="83" t="s">
        <v>195</v>
      </c>
      <c r="B127" s="81">
        <v>0.0</v>
      </c>
      <c r="C127" s="81">
        <v>0.0</v>
      </c>
      <c r="D127" s="81">
        <v>0.0</v>
      </c>
      <c r="E127" s="81">
        <v>0.0</v>
      </c>
      <c r="F127" s="81">
        <v>0.0</v>
      </c>
      <c r="G127" s="81">
        <v>0.0</v>
      </c>
      <c r="H127" s="81">
        <v>0.0</v>
      </c>
      <c r="I127" s="81">
        <v>0.0</v>
      </c>
      <c r="J127" s="93"/>
      <c r="K127" s="93"/>
      <c r="L127" s="93"/>
      <c r="M127" s="93"/>
      <c r="N127" s="81"/>
      <c r="O127" s="85"/>
      <c r="P127" s="81"/>
      <c r="Q127" s="81"/>
      <c r="R127" s="86" t="s">
        <v>80</v>
      </c>
      <c r="S127" s="87">
        <v>0.0</v>
      </c>
      <c r="T127" s="88">
        <v>0.05</v>
      </c>
      <c r="U127" s="84">
        <f t="shared" ref="U127:AF127" si="156">IF($R127="Manual","",IFERROR(IF($R127="YOY Growth",$N127*(1+$T127)/12,$S127/12),""))</f>
        <v>0</v>
      </c>
      <c r="V127" s="84">
        <f t="shared" si="156"/>
        <v>0</v>
      </c>
      <c r="W127" s="84">
        <f t="shared" si="156"/>
        <v>0</v>
      </c>
      <c r="X127" s="84">
        <f t="shared" si="156"/>
        <v>0</v>
      </c>
      <c r="Y127" s="84">
        <f t="shared" si="156"/>
        <v>0</v>
      </c>
      <c r="Z127" s="84">
        <f t="shared" si="156"/>
        <v>0</v>
      </c>
      <c r="AA127" s="84">
        <f t="shared" si="156"/>
        <v>0</v>
      </c>
      <c r="AB127" s="84">
        <f t="shared" si="156"/>
        <v>0</v>
      </c>
      <c r="AC127" s="84">
        <f t="shared" si="156"/>
        <v>0</v>
      </c>
      <c r="AD127" s="84">
        <f t="shared" si="156"/>
        <v>0</v>
      </c>
      <c r="AE127" s="84">
        <f t="shared" si="156"/>
        <v>0</v>
      </c>
      <c r="AF127" s="84">
        <f t="shared" si="156"/>
        <v>0</v>
      </c>
      <c r="AG127" s="81"/>
      <c r="AH127" s="85"/>
      <c r="AI127" s="11"/>
      <c r="AJ127" s="81"/>
    </row>
    <row r="128" ht="13.5" customHeight="1">
      <c r="A128" s="83" t="s">
        <v>196</v>
      </c>
      <c r="B128" s="81">
        <v>0.0</v>
      </c>
      <c r="C128" s="81">
        <v>0.0</v>
      </c>
      <c r="D128" s="81">
        <v>0.0</v>
      </c>
      <c r="E128" s="81">
        <v>0.0</v>
      </c>
      <c r="F128" s="81">
        <v>0.0</v>
      </c>
      <c r="G128" s="81">
        <v>0.0</v>
      </c>
      <c r="H128" s="81">
        <v>0.0</v>
      </c>
      <c r="I128" s="81">
        <v>0.0</v>
      </c>
      <c r="J128" s="93">
        <v>0.0</v>
      </c>
      <c r="K128" s="93">
        <v>0.0</v>
      </c>
      <c r="L128" s="93">
        <v>0.0</v>
      </c>
      <c r="M128" s="93">
        <v>0.0</v>
      </c>
      <c r="N128" s="81">
        <f t="shared" ref="N128:N132" si="158">SUM(B128:M128)</f>
        <v>0</v>
      </c>
      <c r="O128" s="85" t="str">
        <f t="shared" ref="O128:O132" si="159">IFERROR(N128/N$16,"")</f>
        <v/>
      </c>
      <c r="P128" s="81"/>
      <c r="Q128" s="81"/>
      <c r="R128" s="86" t="s">
        <v>80</v>
      </c>
      <c r="S128" s="87">
        <v>0.0</v>
      </c>
      <c r="T128" s="88">
        <v>0.05</v>
      </c>
      <c r="U128" s="84">
        <f t="shared" ref="U128:AF128" si="157">IF($R128="Manual","",IFERROR(IF($R128="YOY Growth",$N128*(1+$T128)/12,$S128/12),""))</f>
        <v>0</v>
      </c>
      <c r="V128" s="84">
        <f t="shared" si="157"/>
        <v>0</v>
      </c>
      <c r="W128" s="84">
        <f t="shared" si="157"/>
        <v>0</v>
      </c>
      <c r="X128" s="84">
        <f t="shared" si="157"/>
        <v>0</v>
      </c>
      <c r="Y128" s="84">
        <f t="shared" si="157"/>
        <v>0</v>
      </c>
      <c r="Z128" s="84">
        <f t="shared" si="157"/>
        <v>0</v>
      </c>
      <c r="AA128" s="84">
        <f t="shared" si="157"/>
        <v>0</v>
      </c>
      <c r="AB128" s="84">
        <f t="shared" si="157"/>
        <v>0</v>
      </c>
      <c r="AC128" s="84">
        <f t="shared" si="157"/>
        <v>0</v>
      </c>
      <c r="AD128" s="84">
        <f t="shared" si="157"/>
        <v>0</v>
      </c>
      <c r="AE128" s="84">
        <f t="shared" si="157"/>
        <v>0</v>
      </c>
      <c r="AF128" s="84">
        <f t="shared" si="157"/>
        <v>0</v>
      </c>
      <c r="AG128" s="81">
        <f t="shared" ref="AG128:AG132" si="161">SUM(U128:AF128)</f>
        <v>0</v>
      </c>
      <c r="AH128" s="85" t="str">
        <f t="shared" ref="AH128:AH132" si="162">IFERROR(AG128/AG$16,"")</f>
        <v/>
      </c>
      <c r="AI128" s="11"/>
      <c r="AJ128" s="81">
        <f t="shared" ref="AJ128:AJ130" si="163">N128-AG128</f>
        <v>0</v>
      </c>
    </row>
    <row r="129" ht="13.5" customHeight="1">
      <c r="A129" s="83" t="s">
        <v>197</v>
      </c>
      <c r="B129" s="81">
        <v>0.0</v>
      </c>
      <c r="C129" s="81">
        <v>0.0</v>
      </c>
      <c r="D129" s="81">
        <v>0.0</v>
      </c>
      <c r="E129" s="81">
        <v>0.0</v>
      </c>
      <c r="F129" s="81">
        <v>0.0</v>
      </c>
      <c r="G129" s="81">
        <v>0.0</v>
      </c>
      <c r="H129" s="81">
        <v>0.0</v>
      </c>
      <c r="I129" s="81">
        <v>0.0</v>
      </c>
      <c r="J129" s="93">
        <v>0.0</v>
      </c>
      <c r="K129" s="93">
        <v>0.0</v>
      </c>
      <c r="L129" s="93">
        <v>0.0</v>
      </c>
      <c r="M129" s="93">
        <v>0.0</v>
      </c>
      <c r="N129" s="81">
        <f t="shared" si="158"/>
        <v>0</v>
      </c>
      <c r="O129" s="85" t="str">
        <f t="shared" si="159"/>
        <v/>
      </c>
      <c r="P129" s="81"/>
      <c r="Q129" s="81"/>
      <c r="R129" s="86" t="s">
        <v>80</v>
      </c>
      <c r="S129" s="87">
        <v>0.0</v>
      </c>
      <c r="T129" s="88">
        <v>0.05</v>
      </c>
      <c r="U129" s="84">
        <f t="shared" ref="U129:AF129" si="160">IF($R129="Manual","",IFERROR(IF($R129="YOY Growth",$N129*(1+$T129)/12,$S129/12),""))</f>
        <v>0</v>
      </c>
      <c r="V129" s="84">
        <f t="shared" si="160"/>
        <v>0</v>
      </c>
      <c r="W129" s="84">
        <f t="shared" si="160"/>
        <v>0</v>
      </c>
      <c r="X129" s="84">
        <f t="shared" si="160"/>
        <v>0</v>
      </c>
      <c r="Y129" s="84">
        <f t="shared" si="160"/>
        <v>0</v>
      </c>
      <c r="Z129" s="84">
        <f t="shared" si="160"/>
        <v>0</v>
      </c>
      <c r="AA129" s="84">
        <f t="shared" si="160"/>
        <v>0</v>
      </c>
      <c r="AB129" s="84">
        <f t="shared" si="160"/>
        <v>0</v>
      </c>
      <c r="AC129" s="84">
        <f t="shared" si="160"/>
        <v>0</v>
      </c>
      <c r="AD129" s="84">
        <f t="shared" si="160"/>
        <v>0</v>
      </c>
      <c r="AE129" s="84">
        <f t="shared" si="160"/>
        <v>0</v>
      </c>
      <c r="AF129" s="84">
        <f t="shared" si="160"/>
        <v>0</v>
      </c>
      <c r="AG129" s="81">
        <f t="shared" si="161"/>
        <v>0</v>
      </c>
      <c r="AH129" s="85" t="str">
        <f t="shared" si="162"/>
        <v/>
      </c>
      <c r="AI129" s="11"/>
      <c r="AJ129" s="81">
        <f t="shared" si="163"/>
        <v>0</v>
      </c>
    </row>
    <row r="130" ht="13.5" customHeight="1">
      <c r="A130" s="89" t="s">
        <v>198</v>
      </c>
      <c r="B130" s="90">
        <f t="shared" ref="B130:M130" si="164">SUM(B124:B129)</f>
        <v>0</v>
      </c>
      <c r="C130" s="90">
        <f t="shared" si="164"/>
        <v>0</v>
      </c>
      <c r="D130" s="90">
        <f t="shared" si="164"/>
        <v>0</v>
      </c>
      <c r="E130" s="90">
        <f t="shared" si="164"/>
        <v>0</v>
      </c>
      <c r="F130" s="90">
        <f t="shared" si="164"/>
        <v>0</v>
      </c>
      <c r="G130" s="90">
        <f t="shared" si="164"/>
        <v>0</v>
      </c>
      <c r="H130" s="90">
        <f t="shared" si="164"/>
        <v>0</v>
      </c>
      <c r="I130" s="90">
        <f t="shared" si="164"/>
        <v>0</v>
      </c>
      <c r="J130" s="90">
        <f t="shared" si="164"/>
        <v>0</v>
      </c>
      <c r="K130" s="90">
        <f t="shared" si="164"/>
        <v>0</v>
      </c>
      <c r="L130" s="90">
        <f t="shared" si="164"/>
        <v>0</v>
      </c>
      <c r="M130" s="90">
        <f t="shared" si="164"/>
        <v>0</v>
      </c>
      <c r="N130" s="90">
        <f t="shared" si="158"/>
        <v>0</v>
      </c>
      <c r="O130" s="91" t="str">
        <f t="shared" si="159"/>
        <v/>
      </c>
      <c r="P130" s="81"/>
      <c r="Q130" s="81"/>
      <c r="R130" s="92"/>
      <c r="S130" s="92"/>
      <c r="T130" s="92"/>
      <c r="U130" s="90">
        <f t="shared" ref="U130:AF130" si="165">SUM(U124:U129)</f>
        <v>0</v>
      </c>
      <c r="V130" s="90">
        <f t="shared" si="165"/>
        <v>0</v>
      </c>
      <c r="W130" s="90">
        <f t="shared" si="165"/>
        <v>0</v>
      </c>
      <c r="X130" s="90">
        <f t="shared" si="165"/>
        <v>0</v>
      </c>
      <c r="Y130" s="90">
        <f t="shared" si="165"/>
        <v>0</v>
      </c>
      <c r="Z130" s="90">
        <f t="shared" si="165"/>
        <v>0</v>
      </c>
      <c r="AA130" s="90">
        <f t="shared" si="165"/>
        <v>0</v>
      </c>
      <c r="AB130" s="90">
        <f t="shared" si="165"/>
        <v>0</v>
      </c>
      <c r="AC130" s="90">
        <f t="shared" si="165"/>
        <v>0</v>
      </c>
      <c r="AD130" s="90">
        <f t="shared" si="165"/>
        <v>0</v>
      </c>
      <c r="AE130" s="90">
        <f t="shared" si="165"/>
        <v>0</v>
      </c>
      <c r="AF130" s="90">
        <f t="shared" si="165"/>
        <v>0</v>
      </c>
      <c r="AG130" s="90">
        <f t="shared" si="161"/>
        <v>0</v>
      </c>
      <c r="AH130" s="91" t="str">
        <f t="shared" si="162"/>
        <v/>
      </c>
      <c r="AI130" s="11"/>
      <c r="AJ130" s="90">
        <f t="shared" si="163"/>
        <v>0</v>
      </c>
    </row>
    <row r="131" ht="13.5" customHeight="1">
      <c r="A131" s="104" t="s">
        <v>199</v>
      </c>
      <c r="B131" s="90">
        <f t="shared" ref="B131:M131" si="166">B122-B130</f>
        <v>0</v>
      </c>
      <c r="C131" s="90">
        <f t="shared" si="166"/>
        <v>0</v>
      </c>
      <c r="D131" s="90">
        <f t="shared" si="166"/>
        <v>0</v>
      </c>
      <c r="E131" s="90">
        <f t="shared" si="166"/>
        <v>0</v>
      </c>
      <c r="F131" s="90">
        <f t="shared" si="166"/>
        <v>0</v>
      </c>
      <c r="G131" s="90">
        <f t="shared" si="166"/>
        <v>0</v>
      </c>
      <c r="H131" s="90">
        <f t="shared" si="166"/>
        <v>0</v>
      </c>
      <c r="I131" s="90">
        <f t="shared" si="166"/>
        <v>0</v>
      </c>
      <c r="J131" s="90">
        <f t="shared" si="166"/>
        <v>0</v>
      </c>
      <c r="K131" s="90">
        <f t="shared" si="166"/>
        <v>0</v>
      </c>
      <c r="L131" s="90">
        <f t="shared" si="166"/>
        <v>0</v>
      </c>
      <c r="M131" s="90">
        <f t="shared" si="166"/>
        <v>0</v>
      </c>
      <c r="N131" s="90">
        <f t="shared" si="158"/>
        <v>0</v>
      </c>
      <c r="O131" s="91" t="str">
        <f t="shared" si="159"/>
        <v/>
      </c>
      <c r="P131" s="81"/>
      <c r="Q131" s="81"/>
      <c r="R131" s="92"/>
      <c r="S131" s="92"/>
      <c r="T131" s="92"/>
      <c r="U131" s="90">
        <f t="shared" ref="U131:AF131" si="167">U122-U130</f>
        <v>0</v>
      </c>
      <c r="V131" s="90">
        <f t="shared" si="167"/>
        <v>0</v>
      </c>
      <c r="W131" s="90">
        <f t="shared" si="167"/>
        <v>0</v>
      </c>
      <c r="X131" s="90">
        <f t="shared" si="167"/>
        <v>0</v>
      </c>
      <c r="Y131" s="90">
        <f t="shared" si="167"/>
        <v>0</v>
      </c>
      <c r="Z131" s="90">
        <f t="shared" si="167"/>
        <v>0</v>
      </c>
      <c r="AA131" s="90">
        <f t="shared" si="167"/>
        <v>0</v>
      </c>
      <c r="AB131" s="90">
        <f t="shared" si="167"/>
        <v>0</v>
      </c>
      <c r="AC131" s="90">
        <f t="shared" si="167"/>
        <v>0</v>
      </c>
      <c r="AD131" s="90">
        <f t="shared" si="167"/>
        <v>0</v>
      </c>
      <c r="AE131" s="90">
        <f t="shared" si="167"/>
        <v>0</v>
      </c>
      <c r="AF131" s="90">
        <f t="shared" si="167"/>
        <v>0</v>
      </c>
      <c r="AG131" s="90">
        <f t="shared" si="161"/>
        <v>0</v>
      </c>
      <c r="AH131" s="91" t="str">
        <f t="shared" si="162"/>
        <v/>
      </c>
      <c r="AI131" s="11"/>
      <c r="AJ131" s="90">
        <f t="shared" ref="AJ131:AJ132" si="170">AG131-N131</f>
        <v>0</v>
      </c>
    </row>
    <row r="132" ht="13.5" customHeight="1">
      <c r="A132" s="104" t="s">
        <v>200</v>
      </c>
      <c r="B132" s="105">
        <f t="shared" ref="B132:M132" si="168">B117+B131</f>
        <v>-153934.95</v>
      </c>
      <c r="C132" s="105">
        <f t="shared" si="168"/>
        <v>-107839.52</v>
      </c>
      <c r="D132" s="105">
        <f t="shared" si="168"/>
        <v>-190961.69</v>
      </c>
      <c r="E132" s="105">
        <f t="shared" si="168"/>
        <v>-144233.65</v>
      </c>
      <c r="F132" s="105">
        <f t="shared" si="168"/>
        <v>-168942.74</v>
      </c>
      <c r="G132" s="105">
        <f t="shared" si="168"/>
        <v>-189851.83</v>
      </c>
      <c r="H132" s="105">
        <f t="shared" si="168"/>
        <v>-178369.86</v>
      </c>
      <c r="I132" s="105">
        <f t="shared" si="168"/>
        <v>-164186.55</v>
      </c>
      <c r="J132" s="105">
        <f t="shared" si="168"/>
        <v>-216558</v>
      </c>
      <c r="K132" s="105">
        <f t="shared" si="168"/>
        <v>-218928</v>
      </c>
      <c r="L132" s="105">
        <f t="shared" si="168"/>
        <v>-222771</v>
      </c>
      <c r="M132" s="105">
        <f t="shared" si="168"/>
        <v>-228245</v>
      </c>
      <c r="N132" s="105">
        <f t="shared" si="158"/>
        <v>-2184822.79</v>
      </c>
      <c r="O132" s="106" t="str">
        <f t="shared" si="159"/>
        <v/>
      </c>
      <c r="P132" s="81"/>
      <c r="Q132" s="81"/>
      <c r="R132" s="92"/>
      <c r="S132" s="92"/>
      <c r="T132" s="92"/>
      <c r="U132" s="105">
        <f t="shared" ref="U132:AF132" si="169">U117+U131</f>
        <v>-306876.6993</v>
      </c>
      <c r="V132" s="105">
        <f t="shared" si="169"/>
        <v>-280077.9541</v>
      </c>
      <c r="W132" s="105">
        <f t="shared" si="169"/>
        <v>-307087.7341</v>
      </c>
      <c r="X132" s="105">
        <f t="shared" si="169"/>
        <v>-427288.1898</v>
      </c>
      <c r="Y132" s="105">
        <f t="shared" si="169"/>
        <v>-456563.2107</v>
      </c>
      <c r="Z132" s="105">
        <f t="shared" si="169"/>
        <v>-541109.8377</v>
      </c>
      <c r="AA132" s="105">
        <f t="shared" si="169"/>
        <v>-591954.976</v>
      </c>
      <c r="AB132" s="105">
        <f t="shared" si="169"/>
        <v>-673202.1117</v>
      </c>
      <c r="AC132" s="105">
        <f t="shared" si="169"/>
        <v>-778201.0535</v>
      </c>
      <c r="AD132" s="105">
        <f t="shared" si="169"/>
        <v>-883360.7015</v>
      </c>
      <c r="AE132" s="105">
        <f t="shared" si="169"/>
        <v>-1004946.669</v>
      </c>
      <c r="AF132" s="105">
        <f t="shared" si="169"/>
        <v>-1096830.466</v>
      </c>
      <c r="AG132" s="105">
        <f t="shared" si="161"/>
        <v>-7347499.604</v>
      </c>
      <c r="AH132" s="106" t="str">
        <f t="shared" si="162"/>
        <v/>
      </c>
      <c r="AI132" s="11"/>
      <c r="AJ132" s="105">
        <f t="shared" si="170"/>
        <v>-5162676.814</v>
      </c>
    </row>
    <row r="133" ht="13.5" customHeight="1">
      <c r="A133" s="11"/>
      <c r="B133" s="107"/>
      <c r="C133" s="107"/>
      <c r="D133" s="107"/>
      <c r="E133" s="107"/>
      <c r="F133" s="107"/>
      <c r="G133" s="107"/>
      <c r="H133" s="107"/>
      <c r="I133" s="107"/>
      <c r="J133" s="107"/>
      <c r="K133" s="107"/>
      <c r="L133" s="107"/>
      <c r="M133" s="107"/>
      <c r="N133" s="107"/>
      <c r="O133" s="107"/>
      <c r="P133" s="107"/>
      <c r="Q133" s="107"/>
      <c r="R133" s="92"/>
      <c r="S133" s="92"/>
      <c r="T133" s="92"/>
      <c r="U133" s="107"/>
      <c r="V133" s="107"/>
      <c r="W133" s="107"/>
      <c r="X133" s="107"/>
      <c r="Y133" s="107"/>
      <c r="Z133" s="107"/>
      <c r="AA133" s="107"/>
      <c r="AB133" s="107"/>
      <c r="AC133" s="107"/>
      <c r="AD133" s="107"/>
      <c r="AE133" s="107"/>
      <c r="AF133" s="107"/>
      <c r="AG133" s="85"/>
      <c r="AH133" s="81"/>
      <c r="AI133" s="11"/>
      <c r="AJ133" s="11"/>
    </row>
    <row r="134" ht="13.5" customHeight="1">
      <c r="A134" s="11"/>
      <c r="B134" s="81"/>
      <c r="C134" s="81"/>
      <c r="D134" s="81"/>
      <c r="E134" s="81"/>
      <c r="F134" s="81"/>
      <c r="G134" s="81"/>
      <c r="H134" s="81"/>
      <c r="I134" s="81"/>
      <c r="J134" s="81"/>
      <c r="K134" s="81"/>
      <c r="L134" s="81"/>
      <c r="M134" s="81"/>
      <c r="N134" s="81"/>
      <c r="O134" s="85"/>
      <c r="P134" s="81"/>
      <c r="Q134" s="81"/>
      <c r="R134" s="92"/>
      <c r="S134" s="92"/>
      <c r="T134" s="92"/>
      <c r="U134" s="81"/>
      <c r="V134" s="81"/>
      <c r="W134" s="81"/>
      <c r="X134" s="81"/>
      <c r="Y134" s="81"/>
      <c r="Z134" s="81"/>
      <c r="AA134" s="81"/>
      <c r="AB134" s="81"/>
      <c r="AC134" s="81"/>
      <c r="AD134" s="81"/>
      <c r="AE134" s="81"/>
      <c r="AF134" s="81"/>
      <c r="AG134" s="81"/>
      <c r="AH134" s="81"/>
      <c r="AI134" s="11"/>
      <c r="AJ134" s="11"/>
    </row>
    <row r="135" ht="13.5" customHeight="1">
      <c r="A135" s="11"/>
      <c r="B135" s="81"/>
      <c r="C135" s="81"/>
      <c r="D135" s="81"/>
      <c r="E135" s="81"/>
      <c r="F135" s="81"/>
      <c r="G135" s="81"/>
      <c r="H135" s="81"/>
      <c r="I135" s="81"/>
      <c r="J135" s="81"/>
      <c r="K135" s="81"/>
      <c r="L135" s="81"/>
      <c r="M135" s="81"/>
      <c r="N135" s="81"/>
      <c r="O135" s="85"/>
      <c r="P135" s="81"/>
      <c r="Q135" s="81"/>
      <c r="R135" s="92"/>
      <c r="S135" s="92"/>
      <c r="T135" s="92"/>
      <c r="U135" s="81"/>
      <c r="V135" s="81"/>
      <c r="W135" s="81"/>
      <c r="X135" s="81"/>
      <c r="Y135" s="81"/>
      <c r="Z135" s="81"/>
      <c r="AA135" s="81"/>
      <c r="AB135" s="81"/>
      <c r="AC135" s="81"/>
      <c r="AD135" s="81"/>
      <c r="AE135" s="81"/>
      <c r="AF135" s="81"/>
      <c r="AG135" s="81"/>
      <c r="AH135" s="81"/>
      <c r="AI135" s="11"/>
      <c r="AJ135" s="11"/>
    </row>
    <row r="136" ht="13.5" customHeight="1">
      <c r="A136" s="11"/>
      <c r="B136" s="81"/>
      <c r="C136" s="81"/>
      <c r="D136" s="81"/>
      <c r="E136" s="81"/>
      <c r="F136" s="81"/>
      <c r="G136" s="81"/>
      <c r="H136" s="81"/>
      <c r="I136" s="81"/>
      <c r="J136" s="81"/>
      <c r="K136" s="81"/>
      <c r="L136" s="81"/>
      <c r="M136" s="81"/>
      <c r="N136" s="81"/>
      <c r="O136" s="85"/>
      <c r="P136" s="81"/>
      <c r="Q136" s="81"/>
      <c r="R136" s="92"/>
      <c r="S136" s="92"/>
      <c r="T136" s="92"/>
      <c r="U136" s="81"/>
      <c r="V136" s="81"/>
      <c r="W136" s="81"/>
      <c r="X136" s="81"/>
      <c r="Y136" s="81"/>
      <c r="Z136" s="81"/>
      <c r="AA136" s="81"/>
      <c r="AB136" s="81"/>
      <c r="AC136" s="81"/>
      <c r="AD136" s="81"/>
      <c r="AE136" s="81"/>
      <c r="AF136" s="81"/>
      <c r="AG136" s="81"/>
      <c r="AH136" s="81"/>
      <c r="AI136" s="11"/>
      <c r="AJ136" s="11"/>
    </row>
    <row r="137" ht="13.5" customHeight="1">
      <c r="A137" s="83" t="s">
        <v>201</v>
      </c>
      <c r="B137" s="81">
        <f t="shared" ref="B137:N137" si="171">SUMIF($A$9:$A$132,"*"&amp;$A137&amp;"*",B$9:B$132)</f>
        <v>70558.34</v>
      </c>
      <c r="C137" s="81">
        <f t="shared" si="171"/>
        <v>36169.81</v>
      </c>
      <c r="D137" s="81">
        <f t="shared" si="171"/>
        <v>68774.92</v>
      </c>
      <c r="E137" s="81">
        <f t="shared" si="171"/>
        <v>77202.08</v>
      </c>
      <c r="F137" s="81">
        <f t="shared" si="171"/>
        <v>72865.8</v>
      </c>
      <c r="G137" s="81">
        <f t="shared" si="171"/>
        <v>64701.68</v>
      </c>
      <c r="H137" s="81">
        <f t="shared" si="171"/>
        <v>82139.24</v>
      </c>
      <c r="I137" s="81">
        <f t="shared" si="171"/>
        <v>79454.55</v>
      </c>
      <c r="J137" s="81">
        <f t="shared" si="171"/>
        <v>90000</v>
      </c>
      <c r="K137" s="81">
        <f t="shared" si="171"/>
        <v>92700</v>
      </c>
      <c r="L137" s="81">
        <f t="shared" si="171"/>
        <v>95800</v>
      </c>
      <c r="M137" s="81">
        <f t="shared" si="171"/>
        <v>96900</v>
      </c>
      <c r="N137" s="81">
        <f t="shared" si="171"/>
        <v>927266.42</v>
      </c>
      <c r="O137" s="85"/>
      <c r="P137" s="11"/>
      <c r="Q137" s="11"/>
      <c r="R137" s="92"/>
      <c r="S137" s="92"/>
      <c r="T137" s="92"/>
      <c r="U137" s="81">
        <f t="shared" ref="U137:AG137" si="172">SUMIF($A$9:$A$132,"*"&amp;$A137&amp;"*",U$9:U$132)</f>
        <v>120126.25</v>
      </c>
      <c r="V137" s="81">
        <f t="shared" si="172"/>
        <v>116126.25</v>
      </c>
      <c r="W137" s="81">
        <f t="shared" si="172"/>
        <v>154626.25</v>
      </c>
      <c r="X137" s="81">
        <f t="shared" si="172"/>
        <v>166376.25</v>
      </c>
      <c r="Y137" s="81">
        <f t="shared" si="172"/>
        <v>196626.25</v>
      </c>
      <c r="Z137" s="81">
        <f t="shared" si="172"/>
        <v>222876.25</v>
      </c>
      <c r="AA137" s="81">
        <f t="shared" si="172"/>
        <v>265876.25</v>
      </c>
      <c r="AB137" s="81">
        <f t="shared" si="172"/>
        <v>302626.25</v>
      </c>
      <c r="AC137" s="81">
        <f t="shared" si="172"/>
        <v>339376.25</v>
      </c>
      <c r="AD137" s="81">
        <f t="shared" si="172"/>
        <v>404465.0375</v>
      </c>
      <c r="AE137" s="81">
        <f t="shared" si="172"/>
        <v>449715.0375</v>
      </c>
      <c r="AF137" s="81">
        <f t="shared" si="172"/>
        <v>499215.0375</v>
      </c>
      <c r="AG137" s="81">
        <f t="shared" si="172"/>
        <v>3238031.363</v>
      </c>
      <c r="AH137" s="85"/>
      <c r="AI137" s="11"/>
      <c r="AJ137" s="81"/>
    </row>
    <row r="138" ht="13.5" customHeight="1">
      <c r="A138" s="83" t="s">
        <v>202</v>
      </c>
      <c r="B138" s="81">
        <f t="shared" ref="B138:N138" si="173">SUMIF($A$9:$A$132,"*"&amp;$A138&amp;"*",B$9:B$132)</f>
        <v>0</v>
      </c>
      <c r="C138" s="81">
        <f t="shared" si="173"/>
        <v>0</v>
      </c>
      <c r="D138" s="81">
        <f t="shared" si="173"/>
        <v>0</v>
      </c>
      <c r="E138" s="81">
        <f t="shared" si="173"/>
        <v>0</v>
      </c>
      <c r="F138" s="81">
        <f t="shared" si="173"/>
        <v>0</v>
      </c>
      <c r="G138" s="81">
        <f t="shared" si="173"/>
        <v>0</v>
      </c>
      <c r="H138" s="81">
        <f t="shared" si="173"/>
        <v>0</v>
      </c>
      <c r="I138" s="81">
        <f t="shared" si="173"/>
        <v>0</v>
      </c>
      <c r="J138" s="81">
        <f t="shared" si="173"/>
        <v>0</v>
      </c>
      <c r="K138" s="81">
        <f t="shared" si="173"/>
        <v>0</v>
      </c>
      <c r="L138" s="81">
        <f t="shared" si="173"/>
        <v>0</v>
      </c>
      <c r="M138" s="81">
        <f t="shared" si="173"/>
        <v>0</v>
      </c>
      <c r="N138" s="81">
        <f t="shared" si="173"/>
        <v>0</v>
      </c>
      <c r="O138" s="81"/>
      <c r="P138" s="81"/>
      <c r="Q138" s="81"/>
      <c r="R138" s="92"/>
      <c r="S138" s="92"/>
      <c r="T138" s="92"/>
      <c r="U138" s="81">
        <f t="shared" ref="U138:AG138" si="174">SUMIF($A$9:$A$132,"*"&amp;$A138&amp;"*",U$9:U$132)</f>
        <v>0</v>
      </c>
      <c r="V138" s="81">
        <f t="shared" si="174"/>
        <v>0</v>
      </c>
      <c r="W138" s="81">
        <f t="shared" si="174"/>
        <v>0</v>
      </c>
      <c r="X138" s="81">
        <f t="shared" si="174"/>
        <v>0</v>
      </c>
      <c r="Y138" s="81">
        <f t="shared" si="174"/>
        <v>0</v>
      </c>
      <c r="Z138" s="81">
        <f t="shared" si="174"/>
        <v>0</v>
      </c>
      <c r="AA138" s="81">
        <f t="shared" si="174"/>
        <v>0</v>
      </c>
      <c r="AB138" s="81">
        <f t="shared" si="174"/>
        <v>0</v>
      </c>
      <c r="AC138" s="81">
        <f t="shared" si="174"/>
        <v>0</v>
      </c>
      <c r="AD138" s="81">
        <f t="shared" si="174"/>
        <v>0</v>
      </c>
      <c r="AE138" s="81">
        <f t="shared" si="174"/>
        <v>0</v>
      </c>
      <c r="AF138" s="81">
        <f t="shared" si="174"/>
        <v>0</v>
      </c>
      <c r="AG138" s="81">
        <f t="shared" si="174"/>
        <v>0</v>
      </c>
      <c r="AH138" s="81"/>
      <c r="AI138" s="11"/>
      <c r="AJ138" s="11"/>
    </row>
    <row r="139" ht="13.5" customHeight="1">
      <c r="A139" s="83" t="s">
        <v>203</v>
      </c>
      <c r="B139" s="81">
        <f t="shared" ref="B139:N139" si="175">SUMIF($A$9:$A$132,"*"&amp;$A139&amp;"*",B$9:B$132)</f>
        <v>5777.74</v>
      </c>
      <c r="C139" s="81">
        <f t="shared" si="175"/>
        <v>3251.23</v>
      </c>
      <c r="D139" s="81">
        <f t="shared" si="175"/>
        <v>4737.21</v>
      </c>
      <c r="E139" s="81">
        <f t="shared" si="175"/>
        <v>5152.42</v>
      </c>
      <c r="F139" s="81">
        <f t="shared" si="175"/>
        <v>4827.71</v>
      </c>
      <c r="G139" s="81">
        <f t="shared" si="175"/>
        <v>4403.72</v>
      </c>
      <c r="H139" s="81">
        <f t="shared" si="175"/>
        <v>5573.24</v>
      </c>
      <c r="I139" s="81">
        <f t="shared" si="175"/>
        <v>5853.77</v>
      </c>
      <c r="J139" s="81">
        <f t="shared" si="175"/>
        <v>5850</v>
      </c>
      <c r="K139" s="81">
        <f t="shared" si="175"/>
        <v>6026</v>
      </c>
      <c r="L139" s="81">
        <f t="shared" si="175"/>
        <v>6227</v>
      </c>
      <c r="M139" s="81">
        <f t="shared" si="175"/>
        <v>6299</v>
      </c>
      <c r="N139" s="81">
        <f t="shared" si="175"/>
        <v>63979.04</v>
      </c>
      <c r="O139" s="81"/>
      <c r="P139" s="81"/>
      <c r="Q139" s="81"/>
      <c r="R139" s="92"/>
      <c r="S139" s="92"/>
      <c r="T139" s="92"/>
      <c r="U139" s="81">
        <f t="shared" ref="U139:AG139" si="176">SUMIF($A$9:$A$132,"*"&amp;$A139&amp;"*",U$9:U$132)</f>
        <v>7896.585</v>
      </c>
      <c r="V139" s="81">
        <f t="shared" si="176"/>
        <v>7896.585</v>
      </c>
      <c r="W139" s="81">
        <f t="shared" si="176"/>
        <v>9834.585</v>
      </c>
      <c r="X139" s="81">
        <f t="shared" si="176"/>
        <v>10905.585</v>
      </c>
      <c r="Y139" s="81">
        <f t="shared" si="176"/>
        <v>12690.585</v>
      </c>
      <c r="Z139" s="81">
        <f t="shared" si="176"/>
        <v>14475.585</v>
      </c>
      <c r="AA139" s="81">
        <f t="shared" si="176"/>
        <v>17127.585</v>
      </c>
      <c r="AB139" s="81">
        <f t="shared" si="176"/>
        <v>19626.585</v>
      </c>
      <c r="AC139" s="81">
        <f t="shared" si="176"/>
        <v>22125.585</v>
      </c>
      <c r="AD139" s="81">
        <f t="shared" si="176"/>
        <v>26143.62255</v>
      </c>
      <c r="AE139" s="81">
        <f t="shared" si="176"/>
        <v>29356.62255</v>
      </c>
      <c r="AF139" s="81">
        <f t="shared" si="176"/>
        <v>32722.62255</v>
      </c>
      <c r="AG139" s="81">
        <f t="shared" si="176"/>
        <v>210802.1327</v>
      </c>
      <c r="AH139" s="81"/>
      <c r="AI139" s="11"/>
      <c r="AJ139" s="81"/>
    </row>
    <row r="140" ht="13.5" customHeight="1">
      <c r="A140" s="83" t="s">
        <v>204</v>
      </c>
      <c r="B140" s="81">
        <f t="shared" ref="B140:N140" si="177">SUMIF($A$9:$A$132,"*"&amp;$A140&amp;"*",B$9:B$132)</f>
        <v>30858.44</v>
      </c>
      <c r="C140" s="81">
        <f t="shared" si="177"/>
        <v>21649.75</v>
      </c>
      <c r="D140" s="81">
        <f t="shared" si="177"/>
        <v>9095.03</v>
      </c>
      <c r="E140" s="81">
        <f t="shared" si="177"/>
        <v>12493.8</v>
      </c>
      <c r="F140" s="81">
        <f t="shared" si="177"/>
        <v>12115.76</v>
      </c>
      <c r="G140" s="81">
        <f t="shared" si="177"/>
        <v>16324.25</v>
      </c>
      <c r="H140" s="81">
        <f t="shared" si="177"/>
        <v>13014.13</v>
      </c>
      <c r="I140" s="81">
        <f t="shared" si="177"/>
        <v>17324.26</v>
      </c>
      <c r="J140" s="81">
        <f t="shared" si="177"/>
        <v>10800</v>
      </c>
      <c r="K140" s="81">
        <f t="shared" si="177"/>
        <v>11124</v>
      </c>
      <c r="L140" s="81">
        <f t="shared" si="177"/>
        <v>11496</v>
      </c>
      <c r="M140" s="81">
        <f t="shared" si="177"/>
        <v>11628</v>
      </c>
      <c r="N140" s="81">
        <f t="shared" si="177"/>
        <v>177923.42</v>
      </c>
      <c r="O140" s="81"/>
      <c r="P140" s="81"/>
      <c r="Q140" s="81"/>
      <c r="R140" s="92"/>
      <c r="S140" s="92"/>
      <c r="T140" s="92"/>
      <c r="U140" s="81">
        <f t="shared" ref="U140:AG140" si="178">SUMIF($A$9:$A$132,"*"&amp;$A140&amp;"*",U$9:U$132)</f>
        <v>19044.705</v>
      </c>
      <c r="V140" s="81">
        <f t="shared" si="178"/>
        <v>19044.705</v>
      </c>
      <c r="W140" s="81">
        <f t="shared" si="178"/>
        <v>23718.705</v>
      </c>
      <c r="X140" s="81">
        <f t="shared" si="178"/>
        <v>26301.705</v>
      </c>
      <c r="Y140" s="81">
        <f t="shared" si="178"/>
        <v>30606.705</v>
      </c>
      <c r="Z140" s="81">
        <f t="shared" si="178"/>
        <v>34911.705</v>
      </c>
      <c r="AA140" s="81">
        <f t="shared" si="178"/>
        <v>41307.705</v>
      </c>
      <c r="AB140" s="81">
        <f t="shared" si="178"/>
        <v>47334.705</v>
      </c>
      <c r="AC140" s="81">
        <f t="shared" si="178"/>
        <v>53361.705</v>
      </c>
      <c r="AD140" s="81">
        <f t="shared" si="178"/>
        <v>63052.26615</v>
      </c>
      <c r="AE140" s="81">
        <f t="shared" si="178"/>
        <v>70801.26615</v>
      </c>
      <c r="AF140" s="81">
        <f t="shared" si="178"/>
        <v>78919.26615</v>
      </c>
      <c r="AG140" s="81">
        <f t="shared" si="178"/>
        <v>508405.1435</v>
      </c>
      <c r="AH140" s="81"/>
      <c r="AI140" s="11"/>
      <c r="AJ140" s="81"/>
    </row>
    <row r="141" ht="13.5" customHeight="1">
      <c r="A141" s="11" t="s">
        <v>205</v>
      </c>
      <c r="B141" s="85">
        <f t="shared" ref="B141:N141" si="179">IFERROR(SUM(B139:B140)/SUM(B137:B138),"")</f>
        <v>0.5192324536</v>
      </c>
      <c r="C141" s="85">
        <f t="shared" si="179"/>
        <v>0.6884465249</v>
      </c>
      <c r="D141" s="85">
        <f t="shared" si="179"/>
        <v>0.2011233165</v>
      </c>
      <c r="E141" s="85">
        <f t="shared" si="179"/>
        <v>0.2285718209</v>
      </c>
      <c r="F141" s="85">
        <f t="shared" si="179"/>
        <v>0.2325298014</v>
      </c>
      <c r="G141" s="85">
        <f t="shared" si="179"/>
        <v>0.3203621606</v>
      </c>
      <c r="H141" s="85">
        <f t="shared" si="179"/>
        <v>0.2262909908</v>
      </c>
      <c r="I141" s="85">
        <f t="shared" si="179"/>
        <v>0.2917143197</v>
      </c>
      <c r="J141" s="85">
        <f t="shared" si="179"/>
        <v>0.185</v>
      </c>
      <c r="K141" s="85">
        <f t="shared" si="179"/>
        <v>0.1850053937</v>
      </c>
      <c r="L141" s="85">
        <f t="shared" si="179"/>
        <v>0.185</v>
      </c>
      <c r="M141" s="85">
        <f t="shared" si="179"/>
        <v>0.18500516</v>
      </c>
      <c r="N141" s="85">
        <f t="shared" si="179"/>
        <v>0.2608769764</v>
      </c>
      <c r="O141" s="85"/>
      <c r="P141" s="85"/>
      <c r="Q141" s="85"/>
      <c r="R141" s="92"/>
      <c r="S141" s="92"/>
      <c r="T141" s="92"/>
      <c r="U141" s="85">
        <f t="shared" ref="U141:AG141" si="180">IFERROR(SUM(U139:U140)/SUM(U137:U138),"")</f>
        <v>0.2242747942</v>
      </c>
      <c r="V141" s="85">
        <f t="shared" si="180"/>
        <v>0.232</v>
      </c>
      <c r="W141" s="85">
        <f t="shared" si="180"/>
        <v>0.2169960793</v>
      </c>
      <c r="X141" s="85">
        <f t="shared" si="180"/>
        <v>0.2236334212</v>
      </c>
      <c r="Y141" s="85">
        <f t="shared" si="180"/>
        <v>0.220200965</v>
      </c>
      <c r="Z141" s="85">
        <f t="shared" si="180"/>
        <v>0.2215906361</v>
      </c>
      <c r="AA141" s="85">
        <f t="shared" si="180"/>
        <v>0.2197837904</v>
      </c>
      <c r="AB141" s="85">
        <f t="shared" si="180"/>
        <v>0.2212672893</v>
      </c>
      <c r="AC141" s="85">
        <f t="shared" si="180"/>
        <v>0.2224295012</v>
      </c>
      <c r="AD141" s="85">
        <f t="shared" si="180"/>
        <v>0.2205280566</v>
      </c>
      <c r="AE141" s="85">
        <f t="shared" si="180"/>
        <v>0.2227141197</v>
      </c>
      <c r="AF141" s="85">
        <f t="shared" si="180"/>
        <v>0.2236348674</v>
      </c>
      <c r="AG141" s="85">
        <f t="shared" si="180"/>
        <v>0.2221125108</v>
      </c>
      <c r="AH141" s="85"/>
      <c r="AI141" s="85"/>
      <c r="AJ141" s="85"/>
    </row>
    <row r="142" ht="13.5" customHeight="1">
      <c r="A142" s="11"/>
      <c r="B142" s="81"/>
      <c r="C142" s="81"/>
      <c r="D142" s="81"/>
      <c r="E142" s="81"/>
      <c r="F142" s="81"/>
      <c r="G142" s="81"/>
      <c r="H142" s="81"/>
      <c r="I142" s="81"/>
      <c r="J142" s="81"/>
      <c r="K142" s="81"/>
      <c r="L142" s="81"/>
      <c r="M142" s="81"/>
      <c r="N142" s="81"/>
      <c r="O142" s="85"/>
      <c r="P142" s="81"/>
      <c r="Q142" s="81"/>
      <c r="R142" s="92"/>
      <c r="S142" s="92"/>
      <c r="T142" s="92"/>
      <c r="U142" s="81"/>
      <c r="V142" s="81"/>
      <c r="W142" s="81"/>
      <c r="X142" s="81"/>
      <c r="Y142" s="81"/>
      <c r="Z142" s="81"/>
      <c r="AA142" s="81"/>
      <c r="AB142" s="81"/>
      <c r="AC142" s="81"/>
      <c r="AD142" s="81"/>
      <c r="AE142" s="81"/>
      <c r="AF142" s="81"/>
      <c r="AG142" s="81"/>
      <c r="AH142" s="81"/>
      <c r="AI142" s="81"/>
      <c r="AJ142" s="11"/>
    </row>
    <row r="143" ht="13.5" customHeight="1">
      <c r="A143" s="11"/>
      <c r="B143" s="81"/>
      <c r="C143" s="81"/>
      <c r="D143" s="81"/>
      <c r="E143" s="81"/>
      <c r="F143" s="81"/>
      <c r="G143" s="81"/>
      <c r="H143" s="81"/>
      <c r="I143" s="81"/>
      <c r="J143" s="81"/>
      <c r="K143" s="81"/>
      <c r="L143" s="81"/>
      <c r="M143" s="81"/>
      <c r="N143" s="81"/>
      <c r="O143" s="85"/>
      <c r="P143" s="81"/>
      <c r="Q143" s="81"/>
      <c r="R143" s="92"/>
      <c r="S143" s="92"/>
      <c r="T143" s="92"/>
      <c r="U143" s="81"/>
      <c r="V143" s="81"/>
      <c r="W143" s="81"/>
      <c r="X143" s="81"/>
      <c r="Y143" s="81"/>
      <c r="Z143" s="81"/>
      <c r="AA143" s="81"/>
      <c r="AB143" s="81"/>
      <c r="AC143" s="81"/>
      <c r="AD143" s="81"/>
      <c r="AE143" s="81"/>
      <c r="AF143" s="81"/>
      <c r="AG143" s="81"/>
      <c r="AH143" s="81"/>
      <c r="AI143" s="11"/>
      <c r="AJ143" s="11"/>
    </row>
    <row r="144" ht="13.5" customHeight="1">
      <c r="A144" s="11"/>
      <c r="B144" s="11"/>
      <c r="C144" s="11"/>
      <c r="D144" s="11"/>
      <c r="E144" s="11"/>
      <c r="F144" s="11"/>
      <c r="G144" s="11"/>
      <c r="H144" s="11"/>
      <c r="I144" s="11"/>
      <c r="J144" s="11"/>
      <c r="K144" s="11"/>
      <c r="L144" s="11"/>
      <c r="M144" s="11"/>
      <c r="N144" s="11"/>
      <c r="O144" s="85"/>
      <c r="P144" s="11"/>
      <c r="Q144" s="11"/>
      <c r="R144" s="108"/>
      <c r="S144" s="108"/>
      <c r="T144" s="108"/>
      <c r="U144" s="11"/>
      <c r="V144" s="11"/>
      <c r="W144" s="11"/>
      <c r="X144" s="11"/>
      <c r="Y144" s="11"/>
      <c r="Z144" s="11"/>
      <c r="AA144" s="11"/>
      <c r="AB144" s="11"/>
      <c r="AC144" s="11"/>
      <c r="AD144" s="11"/>
      <c r="AE144" s="11"/>
      <c r="AF144" s="11"/>
      <c r="AG144" s="11"/>
      <c r="AH144" s="11"/>
      <c r="AI144" s="11"/>
      <c r="AJ144" s="11"/>
    </row>
    <row r="145" ht="13.5" customHeight="1">
      <c r="A145" s="11"/>
      <c r="B145" s="11"/>
      <c r="C145" s="11"/>
      <c r="D145" s="11"/>
      <c r="E145" s="11"/>
      <c r="F145" s="11"/>
      <c r="G145" s="11"/>
      <c r="H145" s="11"/>
      <c r="I145" s="11"/>
      <c r="J145" s="11"/>
      <c r="K145" s="11"/>
      <c r="L145" s="11"/>
      <c r="M145" s="11"/>
      <c r="N145" s="11"/>
      <c r="O145" s="85"/>
      <c r="P145" s="11"/>
      <c r="Q145" s="11"/>
      <c r="R145" s="108"/>
      <c r="S145" s="108"/>
      <c r="T145" s="108"/>
      <c r="U145" s="11"/>
      <c r="V145" s="11"/>
      <c r="W145" s="11"/>
      <c r="X145" s="11"/>
      <c r="Y145" s="11"/>
      <c r="Z145" s="11"/>
      <c r="AA145" s="11"/>
      <c r="AB145" s="11"/>
      <c r="AC145" s="11"/>
      <c r="AD145" s="11"/>
      <c r="AE145" s="11"/>
      <c r="AF145" s="11"/>
      <c r="AG145" s="11"/>
      <c r="AH145" s="11"/>
      <c r="AI145" s="11"/>
      <c r="AJ145" s="11"/>
    </row>
    <row r="146" ht="13.5" customHeight="1">
      <c r="A146" s="11"/>
      <c r="B146" s="11"/>
      <c r="C146" s="11"/>
      <c r="D146" s="11"/>
      <c r="E146" s="11"/>
      <c r="F146" s="11"/>
      <c r="G146" s="11"/>
      <c r="H146" s="11"/>
      <c r="I146" s="11"/>
      <c r="J146" s="11"/>
      <c r="K146" s="11"/>
      <c r="L146" s="11"/>
      <c r="M146" s="11"/>
      <c r="N146" s="11"/>
      <c r="O146" s="85"/>
      <c r="P146" s="11"/>
      <c r="Q146" s="11"/>
      <c r="R146" s="108"/>
      <c r="S146" s="108"/>
      <c r="T146" s="108"/>
      <c r="U146" s="11"/>
      <c r="V146" s="11"/>
      <c r="W146" s="11"/>
      <c r="X146" s="11"/>
      <c r="Y146" s="11"/>
      <c r="Z146" s="11"/>
      <c r="AA146" s="11"/>
      <c r="AB146" s="11"/>
      <c r="AC146" s="11"/>
      <c r="AD146" s="11"/>
      <c r="AE146" s="11"/>
      <c r="AF146" s="11"/>
      <c r="AG146" s="11"/>
      <c r="AH146" s="11"/>
      <c r="AI146" s="11"/>
      <c r="AJ146" s="11"/>
    </row>
    <row r="147" ht="13.5" customHeight="1">
      <c r="A147" s="11"/>
      <c r="B147" s="11"/>
      <c r="C147" s="11"/>
      <c r="D147" s="11"/>
      <c r="E147" s="11"/>
      <c r="F147" s="11"/>
      <c r="G147" s="11"/>
      <c r="H147" s="11"/>
      <c r="I147" s="11"/>
      <c r="J147" s="11"/>
      <c r="K147" s="11"/>
      <c r="L147" s="11"/>
      <c r="M147" s="11"/>
      <c r="N147" s="11"/>
      <c r="O147" s="85"/>
      <c r="P147" s="11"/>
      <c r="Q147" s="11"/>
      <c r="R147" s="108"/>
      <c r="S147" s="108"/>
      <c r="T147" s="108"/>
      <c r="U147" s="11"/>
      <c r="V147" s="11"/>
      <c r="W147" s="11"/>
      <c r="X147" s="11"/>
      <c r="Y147" s="11"/>
      <c r="Z147" s="11"/>
      <c r="AA147" s="11"/>
      <c r="AB147" s="11"/>
      <c r="AC147" s="11"/>
      <c r="AD147" s="11"/>
      <c r="AE147" s="11"/>
      <c r="AF147" s="11"/>
      <c r="AG147" s="11"/>
      <c r="AH147" s="11"/>
      <c r="AI147" s="11"/>
      <c r="AJ147" s="11"/>
    </row>
    <row r="148" ht="13.5" customHeight="1">
      <c r="A148" s="11"/>
      <c r="B148" s="11"/>
      <c r="C148" s="11"/>
      <c r="D148" s="11"/>
      <c r="E148" s="11"/>
      <c r="F148" s="11"/>
      <c r="G148" s="11"/>
      <c r="H148" s="11"/>
      <c r="I148" s="11"/>
      <c r="J148" s="11"/>
      <c r="K148" s="11"/>
      <c r="L148" s="11"/>
      <c r="M148" s="11"/>
      <c r="N148" s="11"/>
      <c r="O148" s="85"/>
      <c r="P148" s="11"/>
      <c r="Q148" s="11"/>
      <c r="R148" s="108"/>
      <c r="S148" s="108"/>
      <c r="T148" s="108"/>
      <c r="U148" s="11"/>
      <c r="V148" s="11"/>
      <c r="W148" s="11"/>
      <c r="X148" s="11"/>
      <c r="Y148" s="11"/>
      <c r="Z148" s="11"/>
      <c r="AA148" s="11"/>
      <c r="AB148" s="11"/>
      <c r="AC148" s="11"/>
      <c r="AD148" s="11"/>
      <c r="AE148" s="11"/>
      <c r="AF148" s="11"/>
      <c r="AG148" s="11"/>
      <c r="AH148" s="11"/>
      <c r="AI148" s="11"/>
      <c r="AJ148" s="11"/>
    </row>
    <row r="149" ht="13.5" customHeight="1">
      <c r="A149" s="11"/>
      <c r="B149" s="11"/>
      <c r="C149" s="11"/>
      <c r="D149" s="11"/>
      <c r="E149" s="11"/>
      <c r="F149" s="11"/>
      <c r="G149" s="11"/>
      <c r="H149" s="11"/>
      <c r="I149" s="11"/>
      <c r="J149" s="11"/>
      <c r="K149" s="11"/>
      <c r="L149" s="11"/>
      <c r="M149" s="11"/>
      <c r="N149" s="11"/>
      <c r="O149" s="85"/>
      <c r="P149" s="11"/>
      <c r="Q149" s="11"/>
      <c r="R149" s="108"/>
      <c r="S149" s="108"/>
      <c r="T149" s="108"/>
      <c r="U149" s="11"/>
      <c r="V149" s="11"/>
      <c r="W149" s="11"/>
      <c r="X149" s="11"/>
      <c r="Y149" s="11"/>
      <c r="Z149" s="11"/>
      <c r="AA149" s="11"/>
      <c r="AB149" s="11"/>
      <c r="AC149" s="11"/>
      <c r="AD149" s="11"/>
      <c r="AE149" s="11"/>
      <c r="AF149" s="11"/>
      <c r="AG149" s="11"/>
      <c r="AH149" s="11"/>
      <c r="AI149" s="11"/>
      <c r="AJ149" s="11"/>
    </row>
    <row r="150" ht="13.5" customHeight="1">
      <c r="A150" s="11"/>
      <c r="B150" s="11"/>
      <c r="C150" s="11"/>
      <c r="D150" s="11"/>
      <c r="E150" s="11"/>
      <c r="F150" s="11"/>
      <c r="G150" s="11"/>
      <c r="H150" s="11"/>
      <c r="I150" s="11"/>
      <c r="J150" s="11"/>
      <c r="K150" s="11"/>
      <c r="L150" s="11"/>
      <c r="M150" s="11"/>
      <c r="N150" s="11"/>
      <c r="O150" s="85"/>
      <c r="P150" s="11"/>
      <c r="Q150" s="11"/>
      <c r="R150" s="108"/>
      <c r="S150" s="108"/>
      <c r="T150" s="108"/>
      <c r="U150" s="11"/>
      <c r="V150" s="11"/>
      <c r="W150" s="11"/>
      <c r="X150" s="11"/>
      <c r="Y150" s="11"/>
      <c r="Z150" s="11"/>
      <c r="AA150" s="11"/>
      <c r="AB150" s="11"/>
      <c r="AC150" s="11"/>
      <c r="AD150" s="11"/>
      <c r="AE150" s="11"/>
      <c r="AF150" s="11"/>
      <c r="AG150" s="11"/>
      <c r="AH150" s="11"/>
      <c r="AI150" s="11"/>
      <c r="AJ150" s="11"/>
    </row>
    <row r="151" ht="13.5" customHeight="1">
      <c r="A151" s="11"/>
      <c r="B151" s="11"/>
      <c r="C151" s="11"/>
      <c r="D151" s="11"/>
      <c r="E151" s="11"/>
      <c r="F151" s="11"/>
      <c r="G151" s="11"/>
      <c r="H151" s="11"/>
      <c r="I151" s="11"/>
      <c r="J151" s="11"/>
      <c r="K151" s="11"/>
      <c r="L151" s="11"/>
      <c r="M151" s="11"/>
      <c r="N151" s="11"/>
      <c r="O151" s="85"/>
      <c r="P151" s="11"/>
      <c r="Q151" s="11"/>
      <c r="R151" s="108"/>
      <c r="S151" s="108"/>
      <c r="T151" s="108"/>
      <c r="U151" s="11"/>
      <c r="V151" s="11"/>
      <c r="W151" s="11"/>
      <c r="X151" s="11"/>
      <c r="Y151" s="11"/>
      <c r="Z151" s="11"/>
      <c r="AA151" s="11"/>
      <c r="AB151" s="11"/>
      <c r="AC151" s="11"/>
      <c r="AD151" s="11"/>
      <c r="AE151" s="11"/>
      <c r="AF151" s="11"/>
      <c r="AG151" s="11"/>
      <c r="AH151" s="11"/>
      <c r="AI151" s="11"/>
      <c r="AJ151" s="11"/>
    </row>
    <row r="152" ht="13.5" customHeight="1">
      <c r="A152" s="11"/>
      <c r="B152" s="11"/>
      <c r="C152" s="11"/>
      <c r="D152" s="11"/>
      <c r="E152" s="11"/>
      <c r="F152" s="11"/>
      <c r="G152" s="11"/>
      <c r="H152" s="11"/>
      <c r="I152" s="11"/>
      <c r="J152" s="11"/>
      <c r="K152" s="11"/>
      <c r="L152" s="11"/>
      <c r="M152" s="11"/>
      <c r="N152" s="11"/>
      <c r="O152" s="85"/>
      <c r="P152" s="11"/>
      <c r="Q152" s="11"/>
      <c r="R152" s="108"/>
      <c r="S152" s="108"/>
      <c r="T152" s="108"/>
      <c r="U152" s="11"/>
      <c r="V152" s="11"/>
      <c r="W152" s="11"/>
      <c r="X152" s="11"/>
      <c r="Y152" s="11"/>
      <c r="Z152" s="11"/>
      <c r="AA152" s="11"/>
      <c r="AB152" s="11"/>
      <c r="AC152" s="11"/>
      <c r="AD152" s="11"/>
      <c r="AE152" s="11"/>
      <c r="AF152" s="11"/>
      <c r="AG152" s="11"/>
      <c r="AH152" s="11"/>
      <c r="AI152" s="11"/>
      <c r="AJ152" s="11"/>
    </row>
    <row r="153" ht="13.5" customHeight="1">
      <c r="A153" s="11"/>
      <c r="B153" s="11"/>
      <c r="C153" s="11"/>
      <c r="D153" s="11"/>
      <c r="E153" s="11"/>
      <c r="F153" s="11"/>
      <c r="G153" s="11"/>
      <c r="H153" s="11"/>
      <c r="I153" s="11"/>
      <c r="J153" s="11"/>
      <c r="K153" s="11"/>
      <c r="L153" s="11"/>
      <c r="M153" s="11"/>
      <c r="N153" s="11"/>
      <c r="O153" s="85"/>
      <c r="P153" s="11"/>
      <c r="Q153" s="11"/>
      <c r="R153" s="108"/>
      <c r="S153" s="108"/>
      <c r="T153" s="108"/>
      <c r="U153" s="11"/>
      <c r="V153" s="11"/>
      <c r="W153" s="11"/>
      <c r="X153" s="11"/>
      <c r="Y153" s="11"/>
      <c r="Z153" s="11"/>
      <c r="AA153" s="11"/>
      <c r="AB153" s="11"/>
      <c r="AC153" s="11"/>
      <c r="AD153" s="11"/>
      <c r="AE153" s="11"/>
      <c r="AF153" s="11"/>
      <c r="AG153" s="11"/>
      <c r="AH153" s="11"/>
      <c r="AI153" s="11"/>
      <c r="AJ153" s="11"/>
    </row>
    <row r="154" ht="13.5" customHeight="1">
      <c r="A154" s="11"/>
      <c r="B154" s="11"/>
      <c r="C154" s="11"/>
      <c r="D154" s="11"/>
      <c r="E154" s="11"/>
      <c r="F154" s="11"/>
      <c r="G154" s="11"/>
      <c r="H154" s="11"/>
      <c r="I154" s="11"/>
      <c r="J154" s="11"/>
      <c r="K154" s="11"/>
      <c r="L154" s="11"/>
      <c r="M154" s="11"/>
      <c r="N154" s="11"/>
      <c r="O154" s="85"/>
      <c r="P154" s="11"/>
      <c r="Q154" s="11"/>
      <c r="R154" s="108"/>
      <c r="S154" s="108"/>
      <c r="T154" s="108"/>
      <c r="U154" s="11"/>
      <c r="V154" s="11"/>
      <c r="W154" s="11"/>
      <c r="X154" s="11"/>
      <c r="Y154" s="11"/>
      <c r="Z154" s="11"/>
      <c r="AA154" s="11"/>
      <c r="AB154" s="11"/>
      <c r="AC154" s="11"/>
      <c r="AD154" s="11"/>
      <c r="AE154" s="11"/>
      <c r="AF154" s="11"/>
      <c r="AG154" s="11"/>
      <c r="AH154" s="11"/>
      <c r="AI154" s="11"/>
      <c r="AJ154" s="11"/>
    </row>
    <row r="155" ht="13.5" customHeight="1">
      <c r="A155" s="11"/>
      <c r="B155" s="11"/>
      <c r="C155" s="11"/>
      <c r="D155" s="11"/>
      <c r="E155" s="11"/>
      <c r="F155" s="11"/>
      <c r="G155" s="11"/>
      <c r="H155" s="11"/>
      <c r="I155" s="11"/>
      <c r="J155" s="11"/>
      <c r="K155" s="11"/>
      <c r="L155" s="11"/>
      <c r="M155" s="11"/>
      <c r="N155" s="11"/>
      <c r="O155" s="85"/>
      <c r="P155" s="11"/>
      <c r="Q155" s="11"/>
      <c r="R155" s="108"/>
      <c r="S155" s="108"/>
      <c r="T155" s="108"/>
      <c r="U155" s="11"/>
      <c r="V155" s="11"/>
      <c r="W155" s="11"/>
      <c r="X155" s="11"/>
      <c r="Y155" s="11"/>
      <c r="Z155" s="11"/>
      <c r="AA155" s="11"/>
      <c r="AB155" s="11"/>
      <c r="AC155" s="11"/>
      <c r="AD155" s="11"/>
      <c r="AE155" s="11"/>
      <c r="AF155" s="11"/>
      <c r="AG155" s="11"/>
      <c r="AH155" s="11"/>
      <c r="AI155" s="11"/>
      <c r="AJ155" s="11"/>
    </row>
    <row r="156" ht="13.5" customHeight="1">
      <c r="A156" s="11"/>
      <c r="B156" s="11"/>
      <c r="C156" s="11"/>
      <c r="D156" s="11"/>
      <c r="E156" s="11"/>
      <c r="F156" s="11"/>
      <c r="G156" s="11"/>
      <c r="H156" s="11"/>
      <c r="I156" s="11"/>
      <c r="J156" s="11"/>
      <c r="K156" s="11"/>
      <c r="L156" s="11"/>
      <c r="M156" s="11"/>
      <c r="N156" s="11"/>
      <c r="O156" s="85"/>
      <c r="P156" s="11"/>
      <c r="Q156" s="11"/>
      <c r="R156" s="108"/>
      <c r="S156" s="108"/>
      <c r="T156" s="108"/>
      <c r="U156" s="11"/>
      <c r="V156" s="11"/>
      <c r="W156" s="11"/>
      <c r="X156" s="11"/>
      <c r="Y156" s="11"/>
      <c r="Z156" s="11"/>
      <c r="AA156" s="11"/>
      <c r="AB156" s="11"/>
      <c r="AC156" s="11"/>
      <c r="AD156" s="11"/>
      <c r="AE156" s="11"/>
      <c r="AF156" s="11"/>
      <c r="AG156" s="11"/>
      <c r="AH156" s="11"/>
      <c r="AI156" s="11"/>
      <c r="AJ156" s="11"/>
    </row>
    <row r="157" ht="13.5" customHeight="1">
      <c r="A157" s="11"/>
      <c r="B157" s="11"/>
      <c r="C157" s="11"/>
      <c r="D157" s="11"/>
      <c r="E157" s="11"/>
      <c r="F157" s="11"/>
      <c r="G157" s="11"/>
      <c r="H157" s="11"/>
      <c r="I157" s="11"/>
      <c r="J157" s="11"/>
      <c r="K157" s="11"/>
      <c r="L157" s="11"/>
      <c r="M157" s="11"/>
      <c r="N157" s="11"/>
      <c r="O157" s="85"/>
      <c r="P157" s="11"/>
      <c r="Q157" s="11"/>
      <c r="R157" s="108"/>
      <c r="S157" s="108"/>
      <c r="T157" s="108"/>
      <c r="U157" s="11"/>
      <c r="V157" s="11"/>
      <c r="W157" s="11"/>
      <c r="X157" s="11"/>
      <c r="Y157" s="11"/>
      <c r="Z157" s="11"/>
      <c r="AA157" s="11"/>
      <c r="AB157" s="11"/>
      <c r="AC157" s="11"/>
      <c r="AD157" s="11"/>
      <c r="AE157" s="11"/>
      <c r="AF157" s="11"/>
      <c r="AG157" s="11"/>
      <c r="AH157" s="11"/>
      <c r="AI157" s="11"/>
      <c r="AJ157" s="11"/>
    </row>
    <row r="158" ht="13.5" customHeight="1">
      <c r="A158" s="11"/>
      <c r="B158" s="11"/>
      <c r="C158" s="11"/>
      <c r="D158" s="11"/>
      <c r="E158" s="11"/>
      <c r="F158" s="11"/>
      <c r="G158" s="11"/>
      <c r="H158" s="11"/>
      <c r="I158" s="11"/>
      <c r="J158" s="11"/>
      <c r="K158" s="11"/>
      <c r="L158" s="11"/>
      <c r="M158" s="11"/>
      <c r="N158" s="11"/>
      <c r="O158" s="85"/>
      <c r="P158" s="11"/>
      <c r="Q158" s="11"/>
      <c r="R158" s="108"/>
      <c r="S158" s="108"/>
      <c r="T158" s="108"/>
      <c r="U158" s="11"/>
      <c r="V158" s="11"/>
      <c r="W158" s="11"/>
      <c r="X158" s="11"/>
      <c r="Y158" s="11"/>
      <c r="Z158" s="11"/>
      <c r="AA158" s="11"/>
      <c r="AB158" s="11"/>
      <c r="AC158" s="11"/>
      <c r="AD158" s="11"/>
      <c r="AE158" s="11"/>
      <c r="AF158" s="11"/>
      <c r="AG158" s="11"/>
      <c r="AH158" s="11"/>
      <c r="AI158" s="11"/>
      <c r="AJ158" s="11"/>
    </row>
    <row r="159" ht="13.5" customHeight="1">
      <c r="A159" s="11"/>
      <c r="B159" s="11"/>
      <c r="C159" s="11"/>
      <c r="D159" s="11"/>
      <c r="E159" s="11"/>
      <c r="F159" s="11"/>
      <c r="G159" s="11"/>
      <c r="H159" s="11"/>
      <c r="I159" s="11"/>
      <c r="J159" s="11"/>
      <c r="K159" s="11"/>
      <c r="L159" s="11"/>
      <c r="M159" s="11"/>
      <c r="N159" s="11"/>
      <c r="O159" s="85"/>
      <c r="P159" s="11"/>
      <c r="Q159" s="11"/>
      <c r="R159" s="108"/>
      <c r="S159" s="108"/>
      <c r="T159" s="108"/>
      <c r="U159" s="11"/>
      <c r="V159" s="11"/>
      <c r="W159" s="11"/>
      <c r="X159" s="11"/>
      <c r="Y159" s="11"/>
      <c r="Z159" s="11"/>
      <c r="AA159" s="11"/>
      <c r="AB159" s="11"/>
      <c r="AC159" s="11"/>
      <c r="AD159" s="11"/>
      <c r="AE159" s="11"/>
      <c r="AF159" s="11"/>
      <c r="AG159" s="11"/>
      <c r="AH159" s="11"/>
      <c r="AI159" s="11"/>
      <c r="AJ159" s="11"/>
    </row>
    <row r="160" ht="13.5" customHeight="1">
      <c r="A160" s="11"/>
      <c r="B160" s="11"/>
      <c r="C160" s="11"/>
      <c r="D160" s="11"/>
      <c r="E160" s="11"/>
      <c r="F160" s="11"/>
      <c r="G160" s="11"/>
      <c r="H160" s="11"/>
      <c r="I160" s="11"/>
      <c r="J160" s="11"/>
      <c r="K160" s="11"/>
      <c r="L160" s="11"/>
      <c r="M160" s="11"/>
      <c r="N160" s="11"/>
      <c r="O160" s="85"/>
      <c r="P160" s="11"/>
      <c r="Q160" s="11"/>
      <c r="R160" s="108"/>
      <c r="S160" s="108"/>
      <c r="T160" s="108"/>
      <c r="U160" s="11"/>
      <c r="V160" s="11"/>
      <c r="W160" s="11"/>
      <c r="X160" s="11"/>
      <c r="Y160" s="11"/>
      <c r="Z160" s="11"/>
      <c r="AA160" s="11"/>
      <c r="AB160" s="11"/>
      <c r="AC160" s="11"/>
      <c r="AD160" s="11"/>
      <c r="AE160" s="11"/>
      <c r="AF160" s="11"/>
      <c r="AG160" s="11"/>
      <c r="AH160" s="11"/>
      <c r="AI160" s="11"/>
      <c r="AJ160" s="11"/>
    </row>
    <row r="161" ht="13.5" customHeight="1">
      <c r="A161" s="11"/>
      <c r="B161" s="11"/>
      <c r="C161" s="11"/>
      <c r="D161" s="11"/>
      <c r="E161" s="11"/>
      <c r="F161" s="11"/>
      <c r="G161" s="11"/>
      <c r="H161" s="11"/>
      <c r="I161" s="11"/>
      <c r="J161" s="11"/>
      <c r="K161" s="11"/>
      <c r="L161" s="11"/>
      <c r="M161" s="11"/>
      <c r="N161" s="11"/>
      <c r="O161" s="85"/>
      <c r="P161" s="11"/>
      <c r="Q161" s="11"/>
      <c r="R161" s="108"/>
      <c r="S161" s="108"/>
      <c r="T161" s="108"/>
      <c r="U161" s="11"/>
      <c r="V161" s="11"/>
      <c r="W161" s="11"/>
      <c r="X161" s="11"/>
      <c r="Y161" s="11"/>
      <c r="Z161" s="11"/>
      <c r="AA161" s="11"/>
      <c r="AB161" s="11"/>
      <c r="AC161" s="11"/>
      <c r="AD161" s="11"/>
      <c r="AE161" s="11"/>
      <c r="AF161" s="11"/>
      <c r="AG161" s="11"/>
      <c r="AH161" s="11"/>
      <c r="AI161" s="11"/>
      <c r="AJ161" s="11"/>
    </row>
    <row r="162" ht="13.5" customHeight="1">
      <c r="A162" s="11"/>
      <c r="B162" s="11"/>
      <c r="C162" s="11"/>
      <c r="D162" s="11"/>
      <c r="E162" s="11"/>
      <c r="F162" s="11"/>
      <c r="G162" s="11"/>
      <c r="H162" s="11"/>
      <c r="I162" s="11"/>
      <c r="J162" s="11"/>
      <c r="K162" s="11"/>
      <c r="L162" s="11"/>
      <c r="M162" s="11"/>
      <c r="N162" s="11"/>
      <c r="O162" s="85"/>
      <c r="P162" s="11"/>
      <c r="Q162" s="11"/>
      <c r="R162" s="108"/>
      <c r="S162" s="108"/>
      <c r="T162" s="108"/>
      <c r="U162" s="11"/>
      <c r="V162" s="11"/>
      <c r="W162" s="11"/>
      <c r="X162" s="11"/>
      <c r="Y162" s="11"/>
      <c r="Z162" s="11"/>
      <c r="AA162" s="11"/>
      <c r="AB162" s="11"/>
      <c r="AC162" s="11"/>
      <c r="AD162" s="11"/>
      <c r="AE162" s="11"/>
      <c r="AF162" s="11"/>
      <c r="AG162" s="11"/>
      <c r="AH162" s="11"/>
      <c r="AI162" s="11"/>
      <c r="AJ162" s="11"/>
    </row>
    <row r="163" ht="13.5" customHeight="1">
      <c r="A163" s="11"/>
      <c r="B163" s="11"/>
      <c r="C163" s="11"/>
      <c r="D163" s="11"/>
      <c r="E163" s="11"/>
      <c r="F163" s="11"/>
      <c r="G163" s="11"/>
      <c r="H163" s="11"/>
      <c r="I163" s="11"/>
      <c r="J163" s="11"/>
      <c r="K163" s="11"/>
      <c r="L163" s="11"/>
      <c r="M163" s="11"/>
      <c r="N163" s="11"/>
      <c r="O163" s="85"/>
      <c r="P163" s="11"/>
      <c r="Q163" s="11"/>
      <c r="R163" s="108"/>
      <c r="S163" s="108"/>
      <c r="T163" s="108"/>
      <c r="U163" s="11"/>
      <c r="V163" s="11"/>
      <c r="W163" s="11"/>
      <c r="X163" s="11"/>
      <c r="Y163" s="11"/>
      <c r="Z163" s="11"/>
      <c r="AA163" s="11"/>
      <c r="AB163" s="11"/>
      <c r="AC163" s="11"/>
      <c r="AD163" s="11"/>
      <c r="AE163" s="11"/>
      <c r="AF163" s="11"/>
      <c r="AG163" s="11"/>
      <c r="AH163" s="11"/>
      <c r="AI163" s="11"/>
      <c r="AJ163" s="11"/>
    </row>
    <row r="164" ht="13.5" customHeight="1">
      <c r="A164" s="11"/>
      <c r="B164" s="11"/>
      <c r="C164" s="11"/>
      <c r="D164" s="11"/>
      <c r="E164" s="11"/>
      <c r="F164" s="11"/>
      <c r="G164" s="11"/>
      <c r="H164" s="11"/>
      <c r="I164" s="11"/>
      <c r="J164" s="11"/>
      <c r="K164" s="11"/>
      <c r="L164" s="11"/>
      <c r="M164" s="11"/>
      <c r="N164" s="11"/>
      <c r="O164" s="85"/>
      <c r="P164" s="11"/>
      <c r="Q164" s="11"/>
      <c r="R164" s="11"/>
      <c r="S164" s="11"/>
      <c r="T164" s="11"/>
      <c r="U164" s="11"/>
      <c r="V164" s="11"/>
      <c r="W164" s="11"/>
      <c r="X164" s="11"/>
      <c r="Y164" s="11"/>
      <c r="Z164" s="11"/>
      <c r="AA164" s="11"/>
      <c r="AB164" s="11"/>
      <c r="AC164" s="11"/>
      <c r="AD164" s="11"/>
      <c r="AE164" s="11"/>
      <c r="AF164" s="11"/>
      <c r="AG164" s="11"/>
      <c r="AH164" s="11"/>
      <c r="AI164" s="11"/>
      <c r="AJ164" s="11"/>
    </row>
    <row r="165" ht="13.5" customHeight="1">
      <c r="A165" s="11"/>
      <c r="B165" s="11"/>
      <c r="C165" s="11"/>
      <c r="D165" s="11"/>
      <c r="E165" s="11"/>
      <c r="F165" s="11"/>
      <c r="G165" s="11"/>
      <c r="H165" s="11"/>
      <c r="I165" s="11"/>
      <c r="J165" s="11"/>
      <c r="K165" s="11"/>
      <c r="L165" s="11"/>
      <c r="M165" s="11"/>
      <c r="N165" s="11"/>
      <c r="O165" s="85"/>
      <c r="P165" s="11"/>
      <c r="Q165" s="11"/>
      <c r="R165" s="11"/>
      <c r="S165" s="11"/>
      <c r="T165" s="11"/>
      <c r="U165" s="11"/>
      <c r="V165" s="11"/>
      <c r="W165" s="11"/>
      <c r="X165" s="11"/>
      <c r="Y165" s="11"/>
      <c r="Z165" s="11"/>
      <c r="AA165" s="11"/>
      <c r="AB165" s="11"/>
      <c r="AC165" s="11"/>
      <c r="AD165" s="11"/>
      <c r="AE165" s="11"/>
      <c r="AF165" s="11"/>
      <c r="AG165" s="11"/>
      <c r="AH165" s="11"/>
      <c r="AI165" s="11"/>
      <c r="AJ165" s="11"/>
    </row>
    <row r="166" ht="13.5" customHeight="1">
      <c r="A166" s="11"/>
      <c r="B166" s="11"/>
      <c r="C166" s="11"/>
      <c r="D166" s="11"/>
      <c r="E166" s="11"/>
      <c r="F166" s="11"/>
      <c r="G166" s="11"/>
      <c r="H166" s="11"/>
      <c r="I166" s="11"/>
      <c r="J166" s="11"/>
      <c r="K166" s="11"/>
      <c r="L166" s="11"/>
      <c r="M166" s="11"/>
      <c r="N166" s="11"/>
      <c r="O166" s="85"/>
      <c r="P166" s="11"/>
      <c r="Q166" s="11"/>
      <c r="R166" s="11"/>
      <c r="S166" s="11"/>
      <c r="T166" s="11"/>
      <c r="U166" s="11"/>
      <c r="V166" s="11"/>
      <c r="W166" s="11"/>
      <c r="X166" s="11"/>
      <c r="Y166" s="11"/>
      <c r="Z166" s="11"/>
      <c r="AA166" s="11"/>
      <c r="AB166" s="11"/>
      <c r="AC166" s="11"/>
      <c r="AD166" s="11"/>
      <c r="AE166" s="11"/>
      <c r="AF166" s="11"/>
      <c r="AG166" s="11"/>
      <c r="AH166" s="11"/>
      <c r="AI166" s="11"/>
      <c r="AJ166" s="11"/>
    </row>
    <row r="167" ht="13.5" customHeight="1">
      <c r="A167" s="11"/>
      <c r="B167" s="11"/>
      <c r="C167" s="11"/>
      <c r="D167" s="11"/>
      <c r="E167" s="11"/>
      <c r="F167" s="11"/>
      <c r="G167" s="11"/>
      <c r="H167" s="11"/>
      <c r="I167" s="11"/>
      <c r="J167" s="11"/>
      <c r="K167" s="11"/>
      <c r="L167" s="11"/>
      <c r="M167" s="11"/>
      <c r="N167" s="11"/>
      <c r="O167" s="85"/>
      <c r="P167" s="11"/>
      <c r="Q167" s="11"/>
      <c r="R167" s="11"/>
      <c r="S167" s="11"/>
      <c r="T167" s="11"/>
      <c r="U167" s="11"/>
      <c r="V167" s="11"/>
      <c r="W167" s="11"/>
      <c r="X167" s="11"/>
      <c r="Y167" s="11"/>
      <c r="Z167" s="11"/>
      <c r="AA167" s="11"/>
      <c r="AB167" s="11"/>
      <c r="AC167" s="11"/>
      <c r="AD167" s="11"/>
      <c r="AE167" s="11"/>
      <c r="AF167" s="11"/>
      <c r="AG167" s="11"/>
      <c r="AH167" s="11"/>
      <c r="AI167" s="11"/>
      <c r="AJ167" s="11"/>
    </row>
    <row r="168" ht="13.5" customHeight="1">
      <c r="A168" s="11"/>
      <c r="B168" s="11"/>
      <c r="C168" s="11"/>
      <c r="D168" s="11"/>
      <c r="E168" s="11"/>
      <c r="F168" s="11"/>
      <c r="G168" s="11"/>
      <c r="H168" s="11"/>
      <c r="I168" s="11"/>
      <c r="J168" s="11"/>
      <c r="K168" s="11"/>
      <c r="L168" s="11"/>
      <c r="M168" s="11"/>
      <c r="N168" s="11"/>
      <c r="O168" s="85"/>
      <c r="P168" s="11"/>
      <c r="Q168" s="11"/>
      <c r="R168" s="11"/>
      <c r="S168" s="11"/>
      <c r="T168" s="11"/>
      <c r="U168" s="11"/>
      <c r="V168" s="11"/>
      <c r="W168" s="11"/>
      <c r="X168" s="11"/>
      <c r="Y168" s="11"/>
      <c r="Z168" s="11"/>
      <c r="AA168" s="11"/>
      <c r="AB168" s="11"/>
      <c r="AC168" s="11"/>
      <c r="AD168" s="11"/>
      <c r="AE168" s="11"/>
      <c r="AF168" s="11"/>
      <c r="AG168" s="11"/>
      <c r="AH168" s="11"/>
      <c r="AI168" s="11"/>
      <c r="AJ168" s="11"/>
    </row>
    <row r="169" ht="13.5" customHeight="1">
      <c r="A169" s="11"/>
      <c r="B169" s="11"/>
      <c r="C169" s="11"/>
      <c r="D169" s="11"/>
      <c r="E169" s="11"/>
      <c r="F169" s="11"/>
      <c r="G169" s="11"/>
      <c r="H169" s="11"/>
      <c r="I169" s="11"/>
      <c r="J169" s="11"/>
      <c r="K169" s="11"/>
      <c r="L169" s="11"/>
      <c r="M169" s="11"/>
      <c r="N169" s="11"/>
      <c r="O169" s="85"/>
      <c r="P169" s="11"/>
      <c r="Q169" s="11"/>
      <c r="R169" s="11"/>
      <c r="S169" s="11"/>
      <c r="T169" s="11"/>
      <c r="U169" s="11"/>
      <c r="V169" s="11"/>
      <c r="W169" s="11"/>
      <c r="X169" s="11"/>
      <c r="Y169" s="11"/>
      <c r="Z169" s="11"/>
      <c r="AA169" s="11"/>
      <c r="AB169" s="11"/>
      <c r="AC169" s="11"/>
      <c r="AD169" s="11"/>
      <c r="AE169" s="11"/>
      <c r="AF169" s="11"/>
      <c r="AG169" s="11"/>
      <c r="AH169" s="11"/>
      <c r="AI169" s="11"/>
      <c r="AJ169" s="11"/>
    </row>
    <row r="170" ht="13.5" customHeight="1">
      <c r="A170" s="11"/>
      <c r="B170" s="11"/>
      <c r="C170" s="11"/>
      <c r="D170" s="11"/>
      <c r="E170" s="11"/>
      <c r="F170" s="11"/>
      <c r="G170" s="11"/>
      <c r="H170" s="11"/>
      <c r="I170" s="11"/>
      <c r="J170" s="11"/>
      <c r="K170" s="11"/>
      <c r="L170" s="11"/>
      <c r="M170" s="11"/>
      <c r="N170" s="11"/>
      <c r="O170" s="85"/>
      <c r="P170" s="11"/>
      <c r="Q170" s="11"/>
      <c r="R170" s="11"/>
      <c r="S170" s="11"/>
      <c r="T170" s="11"/>
      <c r="U170" s="11"/>
      <c r="V170" s="11"/>
      <c r="W170" s="11"/>
      <c r="X170" s="11"/>
      <c r="Y170" s="11"/>
      <c r="Z170" s="11"/>
      <c r="AA170" s="11"/>
      <c r="AB170" s="11"/>
      <c r="AC170" s="11"/>
      <c r="AD170" s="11"/>
      <c r="AE170" s="11"/>
      <c r="AF170" s="11"/>
      <c r="AG170" s="11"/>
      <c r="AH170" s="11"/>
      <c r="AI170" s="11"/>
      <c r="AJ170" s="11"/>
    </row>
    <row r="171" ht="13.5" customHeight="1">
      <c r="A171" s="11"/>
      <c r="B171" s="11"/>
      <c r="C171" s="11"/>
      <c r="D171" s="11"/>
      <c r="E171" s="11"/>
      <c r="F171" s="11"/>
      <c r="G171" s="11"/>
      <c r="H171" s="11"/>
      <c r="I171" s="11"/>
      <c r="J171" s="11"/>
      <c r="K171" s="11"/>
      <c r="L171" s="11"/>
      <c r="M171" s="11"/>
      <c r="N171" s="11"/>
      <c r="O171" s="85"/>
      <c r="P171" s="11"/>
      <c r="Q171" s="11"/>
      <c r="R171" s="11"/>
      <c r="S171" s="11"/>
      <c r="T171" s="11"/>
      <c r="U171" s="11"/>
      <c r="V171" s="11"/>
      <c r="W171" s="11"/>
      <c r="X171" s="11"/>
      <c r="Y171" s="11"/>
      <c r="Z171" s="11"/>
      <c r="AA171" s="11"/>
      <c r="AB171" s="11"/>
      <c r="AC171" s="11"/>
      <c r="AD171" s="11"/>
      <c r="AE171" s="11"/>
      <c r="AF171" s="11"/>
      <c r="AG171" s="11"/>
      <c r="AH171" s="11"/>
      <c r="AI171" s="11"/>
      <c r="AJ171" s="11"/>
    </row>
    <row r="172" ht="13.5" customHeight="1">
      <c r="A172" s="11"/>
      <c r="B172" s="11"/>
      <c r="C172" s="11"/>
      <c r="D172" s="11"/>
      <c r="E172" s="11"/>
      <c r="F172" s="11"/>
      <c r="G172" s="11"/>
      <c r="H172" s="11"/>
      <c r="I172" s="11"/>
      <c r="J172" s="11"/>
      <c r="K172" s="11"/>
      <c r="L172" s="11"/>
      <c r="M172" s="11"/>
      <c r="N172" s="11"/>
      <c r="O172" s="85"/>
      <c r="P172" s="11"/>
      <c r="Q172" s="11"/>
      <c r="R172" s="11"/>
      <c r="S172" s="11"/>
      <c r="T172" s="11"/>
      <c r="U172" s="11"/>
      <c r="V172" s="11"/>
      <c r="W172" s="11"/>
      <c r="X172" s="11"/>
      <c r="Y172" s="11"/>
      <c r="Z172" s="11"/>
      <c r="AA172" s="11"/>
      <c r="AB172" s="11"/>
      <c r="AC172" s="11"/>
      <c r="AD172" s="11"/>
      <c r="AE172" s="11"/>
      <c r="AF172" s="11"/>
      <c r="AG172" s="11"/>
      <c r="AH172" s="11"/>
      <c r="AI172" s="11"/>
      <c r="AJ172" s="11"/>
    </row>
    <row r="173" ht="13.5" customHeight="1">
      <c r="A173" s="11"/>
      <c r="B173" s="11"/>
      <c r="C173" s="11"/>
      <c r="D173" s="11"/>
      <c r="E173" s="11"/>
      <c r="F173" s="11"/>
      <c r="G173" s="11"/>
      <c r="H173" s="11"/>
      <c r="I173" s="11"/>
      <c r="J173" s="11"/>
      <c r="K173" s="11"/>
      <c r="L173" s="11"/>
      <c r="M173" s="11"/>
      <c r="N173" s="11"/>
      <c r="O173" s="85"/>
      <c r="P173" s="11"/>
      <c r="Q173" s="11"/>
      <c r="R173" s="11"/>
      <c r="S173" s="11"/>
      <c r="T173" s="11"/>
      <c r="U173" s="11"/>
      <c r="V173" s="11"/>
      <c r="W173" s="11"/>
      <c r="X173" s="11"/>
      <c r="Y173" s="11"/>
      <c r="Z173" s="11"/>
      <c r="AA173" s="11"/>
      <c r="AB173" s="11"/>
      <c r="AC173" s="11"/>
      <c r="AD173" s="11"/>
      <c r="AE173" s="11"/>
      <c r="AF173" s="11"/>
      <c r="AG173" s="11"/>
      <c r="AH173" s="11"/>
      <c r="AI173" s="11"/>
      <c r="AJ173" s="11"/>
    </row>
    <row r="174" ht="13.5" customHeight="1">
      <c r="A174" s="11"/>
      <c r="B174" s="11"/>
      <c r="C174" s="11"/>
      <c r="D174" s="11"/>
      <c r="E174" s="11"/>
      <c r="F174" s="11"/>
      <c r="G174" s="11"/>
      <c r="H174" s="11"/>
      <c r="I174" s="11"/>
      <c r="J174" s="11"/>
      <c r="K174" s="11"/>
      <c r="L174" s="11"/>
      <c r="M174" s="11"/>
      <c r="N174" s="11"/>
      <c r="O174" s="85"/>
      <c r="P174" s="11"/>
      <c r="Q174" s="11"/>
      <c r="R174" s="11"/>
      <c r="S174" s="11"/>
      <c r="T174" s="11"/>
      <c r="U174" s="11"/>
      <c r="V174" s="11"/>
      <c r="W174" s="11"/>
      <c r="X174" s="11"/>
      <c r="Y174" s="11"/>
      <c r="Z174" s="11"/>
      <c r="AA174" s="11"/>
      <c r="AB174" s="11"/>
      <c r="AC174" s="11"/>
      <c r="AD174" s="11"/>
      <c r="AE174" s="11"/>
      <c r="AF174" s="11"/>
      <c r="AG174" s="11"/>
      <c r="AH174" s="11"/>
      <c r="AI174" s="11"/>
      <c r="AJ174" s="11"/>
    </row>
    <row r="175" ht="13.5" customHeight="1">
      <c r="A175" s="11"/>
      <c r="B175" s="11"/>
      <c r="C175" s="11"/>
      <c r="D175" s="11"/>
      <c r="E175" s="11"/>
      <c r="F175" s="11"/>
      <c r="G175" s="11"/>
      <c r="H175" s="11"/>
      <c r="I175" s="11"/>
      <c r="J175" s="11"/>
      <c r="K175" s="11"/>
      <c r="L175" s="11"/>
      <c r="M175" s="11"/>
      <c r="N175" s="11"/>
      <c r="O175" s="85"/>
      <c r="P175" s="11"/>
      <c r="Q175" s="11"/>
      <c r="R175" s="11"/>
      <c r="S175" s="11"/>
      <c r="T175" s="11"/>
      <c r="U175" s="11"/>
      <c r="V175" s="11"/>
      <c r="W175" s="11"/>
      <c r="X175" s="11"/>
      <c r="Y175" s="11"/>
      <c r="Z175" s="11"/>
      <c r="AA175" s="11"/>
      <c r="AB175" s="11"/>
      <c r="AC175" s="11"/>
      <c r="AD175" s="11"/>
      <c r="AE175" s="11"/>
      <c r="AF175" s="11"/>
      <c r="AG175" s="11"/>
      <c r="AH175" s="11"/>
      <c r="AI175" s="11"/>
      <c r="AJ175" s="11"/>
    </row>
    <row r="176" ht="13.5" customHeight="1">
      <c r="A176" s="11"/>
      <c r="B176" s="11"/>
      <c r="C176" s="11"/>
      <c r="D176" s="11"/>
      <c r="E176" s="11"/>
      <c r="F176" s="11"/>
      <c r="G176" s="11"/>
      <c r="H176" s="11"/>
      <c r="I176" s="11"/>
      <c r="J176" s="11"/>
      <c r="K176" s="11"/>
      <c r="L176" s="11"/>
      <c r="M176" s="11"/>
      <c r="N176" s="11"/>
      <c r="O176" s="85"/>
      <c r="P176" s="11"/>
      <c r="Q176" s="11"/>
      <c r="R176" s="11"/>
      <c r="S176" s="11"/>
      <c r="T176" s="11"/>
      <c r="U176" s="11"/>
      <c r="V176" s="11"/>
      <c r="W176" s="11"/>
      <c r="X176" s="11"/>
      <c r="Y176" s="11"/>
      <c r="Z176" s="11"/>
      <c r="AA176" s="11"/>
      <c r="AB176" s="11"/>
      <c r="AC176" s="11"/>
      <c r="AD176" s="11"/>
      <c r="AE176" s="11"/>
      <c r="AF176" s="11"/>
      <c r="AG176" s="11"/>
      <c r="AH176" s="11"/>
      <c r="AI176" s="11"/>
      <c r="AJ176" s="11"/>
    </row>
    <row r="177" ht="13.5" customHeight="1">
      <c r="A177" s="11"/>
      <c r="B177" s="11"/>
      <c r="C177" s="11"/>
      <c r="D177" s="11"/>
      <c r="E177" s="11"/>
      <c r="F177" s="11"/>
      <c r="G177" s="11"/>
      <c r="H177" s="11"/>
      <c r="I177" s="11"/>
      <c r="J177" s="11"/>
      <c r="K177" s="11"/>
      <c r="L177" s="11"/>
      <c r="M177" s="11"/>
      <c r="N177" s="11"/>
      <c r="O177" s="85"/>
      <c r="P177" s="11"/>
      <c r="Q177" s="11"/>
      <c r="R177" s="11"/>
      <c r="S177" s="11"/>
      <c r="T177" s="11"/>
      <c r="U177" s="11"/>
      <c r="V177" s="11"/>
      <c r="W177" s="11"/>
      <c r="X177" s="11"/>
      <c r="Y177" s="11"/>
      <c r="Z177" s="11"/>
      <c r="AA177" s="11"/>
      <c r="AB177" s="11"/>
      <c r="AC177" s="11"/>
      <c r="AD177" s="11"/>
      <c r="AE177" s="11"/>
      <c r="AF177" s="11"/>
      <c r="AG177" s="11"/>
      <c r="AH177" s="11"/>
      <c r="AI177" s="11"/>
      <c r="AJ177" s="11"/>
    </row>
    <row r="178" ht="13.5" customHeight="1">
      <c r="A178" s="11"/>
      <c r="B178" s="11"/>
      <c r="C178" s="11"/>
      <c r="D178" s="11"/>
      <c r="E178" s="11"/>
      <c r="F178" s="11"/>
      <c r="G178" s="11"/>
      <c r="H178" s="11"/>
      <c r="I178" s="11"/>
      <c r="J178" s="11"/>
      <c r="K178" s="11"/>
      <c r="L178" s="11"/>
      <c r="M178" s="11"/>
      <c r="N178" s="11"/>
      <c r="O178" s="85"/>
      <c r="P178" s="11"/>
      <c r="Q178" s="11"/>
      <c r="R178" s="11"/>
      <c r="S178" s="11"/>
      <c r="T178" s="11"/>
      <c r="U178" s="11"/>
      <c r="V178" s="11"/>
      <c r="W178" s="11"/>
      <c r="X178" s="11"/>
      <c r="Y178" s="11"/>
      <c r="Z178" s="11"/>
      <c r="AA178" s="11"/>
      <c r="AB178" s="11"/>
      <c r="AC178" s="11"/>
      <c r="AD178" s="11"/>
      <c r="AE178" s="11"/>
      <c r="AF178" s="11"/>
      <c r="AG178" s="11"/>
      <c r="AH178" s="11"/>
      <c r="AI178" s="11"/>
      <c r="AJ178" s="11"/>
    </row>
    <row r="179" ht="13.5" customHeight="1">
      <c r="A179" s="11"/>
      <c r="B179" s="11"/>
      <c r="C179" s="11"/>
      <c r="D179" s="11"/>
      <c r="E179" s="11"/>
      <c r="F179" s="11"/>
      <c r="G179" s="11"/>
      <c r="H179" s="11"/>
      <c r="I179" s="11"/>
      <c r="J179" s="11"/>
      <c r="K179" s="11"/>
      <c r="L179" s="11"/>
      <c r="M179" s="11"/>
      <c r="N179" s="11"/>
      <c r="O179" s="85"/>
      <c r="P179" s="11"/>
      <c r="Q179" s="11"/>
      <c r="R179" s="11"/>
      <c r="S179" s="11"/>
      <c r="T179" s="11"/>
      <c r="U179" s="11"/>
      <c r="V179" s="11"/>
      <c r="W179" s="11"/>
      <c r="X179" s="11"/>
      <c r="Y179" s="11"/>
      <c r="Z179" s="11"/>
      <c r="AA179" s="11"/>
      <c r="AB179" s="11"/>
      <c r="AC179" s="11"/>
      <c r="AD179" s="11"/>
      <c r="AE179" s="11"/>
      <c r="AF179" s="11"/>
      <c r="AG179" s="11"/>
      <c r="AH179" s="11"/>
      <c r="AI179" s="11"/>
      <c r="AJ179" s="11"/>
    </row>
    <row r="180" ht="13.5" customHeight="1">
      <c r="A180" s="11"/>
      <c r="B180" s="11"/>
      <c r="C180" s="11"/>
      <c r="D180" s="11"/>
      <c r="E180" s="11"/>
      <c r="F180" s="11"/>
      <c r="G180" s="11"/>
      <c r="H180" s="11"/>
      <c r="I180" s="11"/>
      <c r="J180" s="11"/>
      <c r="K180" s="11"/>
      <c r="L180" s="11"/>
      <c r="M180" s="11"/>
      <c r="N180" s="11"/>
      <c r="O180" s="85"/>
      <c r="P180" s="11"/>
      <c r="Q180" s="11"/>
      <c r="R180" s="11"/>
      <c r="S180" s="11"/>
      <c r="T180" s="11"/>
      <c r="U180" s="11"/>
      <c r="V180" s="11"/>
      <c r="W180" s="11"/>
      <c r="X180" s="11"/>
      <c r="Y180" s="11"/>
      <c r="Z180" s="11"/>
      <c r="AA180" s="11"/>
      <c r="AB180" s="11"/>
      <c r="AC180" s="11"/>
      <c r="AD180" s="11"/>
      <c r="AE180" s="11"/>
      <c r="AF180" s="11"/>
      <c r="AG180" s="11"/>
      <c r="AH180" s="11"/>
      <c r="AI180" s="11"/>
      <c r="AJ180" s="11"/>
    </row>
    <row r="181" ht="13.5" customHeight="1">
      <c r="A181" s="11"/>
      <c r="B181" s="11"/>
      <c r="C181" s="11"/>
      <c r="D181" s="11"/>
      <c r="E181" s="11"/>
      <c r="F181" s="11"/>
      <c r="G181" s="11"/>
      <c r="H181" s="11"/>
      <c r="I181" s="11"/>
      <c r="J181" s="11"/>
      <c r="K181" s="11"/>
      <c r="L181" s="11"/>
      <c r="M181" s="11"/>
      <c r="N181" s="11"/>
      <c r="O181" s="85"/>
      <c r="P181" s="11"/>
      <c r="Q181" s="11"/>
      <c r="R181" s="11"/>
      <c r="S181" s="11"/>
      <c r="T181" s="11"/>
      <c r="U181" s="11"/>
      <c r="V181" s="11"/>
      <c r="W181" s="11"/>
      <c r="X181" s="11"/>
      <c r="Y181" s="11"/>
      <c r="Z181" s="11"/>
      <c r="AA181" s="11"/>
      <c r="AB181" s="11"/>
      <c r="AC181" s="11"/>
      <c r="AD181" s="11"/>
      <c r="AE181" s="11"/>
      <c r="AF181" s="11"/>
      <c r="AG181" s="11"/>
      <c r="AH181" s="11"/>
      <c r="AI181" s="11"/>
      <c r="AJ181" s="11"/>
    </row>
    <row r="182" ht="13.5" customHeight="1">
      <c r="A182" s="11"/>
      <c r="B182" s="11"/>
      <c r="C182" s="11"/>
      <c r="D182" s="11"/>
      <c r="E182" s="11"/>
      <c r="F182" s="11"/>
      <c r="G182" s="11"/>
      <c r="H182" s="11"/>
      <c r="I182" s="11"/>
      <c r="J182" s="11"/>
      <c r="K182" s="11"/>
      <c r="L182" s="11"/>
      <c r="M182" s="11"/>
      <c r="N182" s="11"/>
      <c r="O182" s="85"/>
      <c r="P182" s="11"/>
      <c r="Q182" s="11"/>
      <c r="R182" s="11"/>
      <c r="S182" s="11"/>
      <c r="T182" s="11"/>
      <c r="U182" s="11"/>
      <c r="V182" s="11"/>
      <c r="W182" s="11"/>
      <c r="X182" s="11"/>
      <c r="Y182" s="11"/>
      <c r="Z182" s="11"/>
      <c r="AA182" s="11"/>
      <c r="AB182" s="11"/>
      <c r="AC182" s="11"/>
      <c r="AD182" s="11"/>
      <c r="AE182" s="11"/>
      <c r="AF182" s="11"/>
      <c r="AG182" s="11"/>
      <c r="AH182" s="11"/>
      <c r="AI182" s="11"/>
      <c r="AJ182" s="11"/>
    </row>
    <row r="183" ht="13.5" customHeight="1">
      <c r="A183" s="11"/>
      <c r="B183" s="11"/>
      <c r="C183" s="11"/>
      <c r="D183" s="11"/>
      <c r="E183" s="11"/>
      <c r="F183" s="11"/>
      <c r="G183" s="11"/>
      <c r="H183" s="11"/>
      <c r="I183" s="11"/>
      <c r="J183" s="11"/>
      <c r="K183" s="11"/>
      <c r="L183" s="11"/>
      <c r="M183" s="11"/>
      <c r="N183" s="11"/>
      <c r="O183" s="85"/>
      <c r="P183" s="11"/>
      <c r="Q183" s="11"/>
      <c r="R183" s="11"/>
      <c r="S183" s="11"/>
      <c r="T183" s="11"/>
      <c r="U183" s="11"/>
      <c r="V183" s="11"/>
      <c r="W183" s="11"/>
      <c r="X183" s="11"/>
      <c r="Y183" s="11"/>
      <c r="Z183" s="11"/>
      <c r="AA183" s="11"/>
      <c r="AB183" s="11"/>
      <c r="AC183" s="11"/>
      <c r="AD183" s="11"/>
      <c r="AE183" s="11"/>
      <c r="AF183" s="11"/>
      <c r="AG183" s="11"/>
      <c r="AH183" s="11"/>
      <c r="AI183" s="11"/>
      <c r="AJ183" s="11"/>
    </row>
    <row r="184" ht="13.5" customHeight="1">
      <c r="A184" s="11"/>
      <c r="B184" s="11"/>
      <c r="C184" s="11"/>
      <c r="D184" s="11"/>
      <c r="E184" s="11"/>
      <c r="F184" s="11"/>
      <c r="G184" s="11"/>
      <c r="H184" s="11"/>
      <c r="I184" s="11"/>
      <c r="J184" s="11"/>
      <c r="K184" s="11"/>
      <c r="L184" s="11"/>
      <c r="M184" s="11"/>
      <c r="N184" s="11"/>
      <c r="O184" s="85"/>
      <c r="P184" s="11"/>
      <c r="Q184" s="11"/>
      <c r="R184" s="11"/>
      <c r="S184" s="11"/>
      <c r="T184" s="11"/>
      <c r="U184" s="11"/>
      <c r="V184" s="11"/>
      <c r="W184" s="11"/>
      <c r="X184" s="11"/>
      <c r="Y184" s="11"/>
      <c r="Z184" s="11"/>
      <c r="AA184" s="11"/>
      <c r="AB184" s="11"/>
      <c r="AC184" s="11"/>
      <c r="AD184" s="11"/>
      <c r="AE184" s="11"/>
      <c r="AF184" s="11"/>
      <c r="AG184" s="11"/>
      <c r="AH184" s="11"/>
      <c r="AI184" s="11"/>
      <c r="AJ184" s="11"/>
    </row>
    <row r="185" ht="13.5" customHeight="1">
      <c r="A185" s="11"/>
      <c r="B185" s="11"/>
      <c r="C185" s="11"/>
      <c r="D185" s="11"/>
      <c r="E185" s="11"/>
      <c r="F185" s="11"/>
      <c r="G185" s="11"/>
      <c r="H185" s="11"/>
      <c r="I185" s="11"/>
      <c r="J185" s="11"/>
      <c r="K185" s="11"/>
      <c r="L185" s="11"/>
      <c r="M185" s="11"/>
      <c r="N185" s="11"/>
      <c r="O185" s="85"/>
      <c r="P185" s="11"/>
      <c r="Q185" s="11"/>
      <c r="R185" s="11"/>
      <c r="S185" s="11"/>
      <c r="T185" s="11"/>
      <c r="U185" s="11"/>
      <c r="V185" s="11"/>
      <c r="W185" s="11"/>
      <c r="X185" s="11"/>
      <c r="Y185" s="11"/>
      <c r="Z185" s="11"/>
      <c r="AA185" s="11"/>
      <c r="AB185" s="11"/>
      <c r="AC185" s="11"/>
      <c r="AD185" s="11"/>
      <c r="AE185" s="11"/>
      <c r="AF185" s="11"/>
      <c r="AG185" s="11"/>
      <c r="AH185" s="11"/>
      <c r="AI185" s="11"/>
      <c r="AJ185" s="11"/>
    </row>
    <row r="186" ht="13.5" customHeight="1">
      <c r="A186" s="11"/>
      <c r="B186" s="11"/>
      <c r="C186" s="11"/>
      <c r="D186" s="11"/>
      <c r="E186" s="11"/>
      <c r="F186" s="11"/>
      <c r="G186" s="11"/>
      <c r="H186" s="11"/>
      <c r="I186" s="11"/>
      <c r="J186" s="11"/>
      <c r="K186" s="11"/>
      <c r="L186" s="11"/>
      <c r="M186" s="11"/>
      <c r="N186" s="11"/>
      <c r="O186" s="85"/>
      <c r="P186" s="11"/>
      <c r="Q186" s="11"/>
      <c r="R186" s="11"/>
      <c r="S186" s="11"/>
      <c r="T186" s="11"/>
      <c r="U186" s="11"/>
      <c r="V186" s="11"/>
      <c r="W186" s="11"/>
      <c r="X186" s="11"/>
      <c r="Y186" s="11"/>
      <c r="Z186" s="11"/>
      <c r="AA186" s="11"/>
      <c r="AB186" s="11"/>
      <c r="AC186" s="11"/>
      <c r="AD186" s="11"/>
      <c r="AE186" s="11"/>
      <c r="AF186" s="11"/>
      <c r="AG186" s="11"/>
      <c r="AH186" s="11"/>
      <c r="AI186" s="11"/>
      <c r="AJ186" s="11"/>
    </row>
    <row r="187" ht="13.5" customHeight="1">
      <c r="A187" s="11"/>
      <c r="B187" s="11"/>
      <c r="C187" s="11"/>
      <c r="D187" s="11"/>
      <c r="E187" s="11"/>
      <c r="F187" s="11"/>
      <c r="G187" s="11"/>
      <c r="H187" s="11"/>
      <c r="I187" s="11"/>
      <c r="J187" s="11"/>
      <c r="K187" s="11"/>
      <c r="L187" s="11"/>
      <c r="M187" s="11"/>
      <c r="N187" s="11"/>
      <c r="O187" s="85"/>
      <c r="P187" s="11"/>
      <c r="Q187" s="11"/>
      <c r="R187" s="11"/>
      <c r="S187" s="11"/>
      <c r="T187" s="11"/>
      <c r="U187" s="11"/>
      <c r="V187" s="11"/>
      <c r="W187" s="11"/>
      <c r="X187" s="11"/>
      <c r="Y187" s="11"/>
      <c r="Z187" s="11"/>
      <c r="AA187" s="11"/>
      <c r="AB187" s="11"/>
      <c r="AC187" s="11"/>
      <c r="AD187" s="11"/>
      <c r="AE187" s="11"/>
      <c r="AF187" s="11"/>
      <c r="AG187" s="11"/>
      <c r="AH187" s="11"/>
      <c r="AI187" s="11"/>
      <c r="AJ187" s="11"/>
    </row>
    <row r="188" ht="13.5" customHeight="1">
      <c r="A188" s="11"/>
      <c r="B188" s="11"/>
      <c r="C188" s="11"/>
      <c r="D188" s="11"/>
      <c r="E188" s="11"/>
      <c r="F188" s="11"/>
      <c r="G188" s="11"/>
      <c r="H188" s="11"/>
      <c r="I188" s="11"/>
      <c r="J188" s="11"/>
      <c r="K188" s="11"/>
      <c r="L188" s="11"/>
      <c r="M188" s="11"/>
      <c r="N188" s="11"/>
      <c r="O188" s="85"/>
      <c r="P188" s="11"/>
      <c r="Q188" s="11"/>
      <c r="R188" s="11"/>
      <c r="S188" s="11"/>
      <c r="T188" s="11"/>
      <c r="U188" s="11"/>
      <c r="V188" s="11"/>
      <c r="W188" s="11"/>
      <c r="X188" s="11"/>
      <c r="Y188" s="11"/>
      <c r="Z188" s="11"/>
      <c r="AA188" s="11"/>
      <c r="AB188" s="11"/>
      <c r="AC188" s="11"/>
      <c r="AD188" s="11"/>
      <c r="AE188" s="11"/>
      <c r="AF188" s="11"/>
      <c r="AG188" s="11"/>
      <c r="AH188" s="11"/>
      <c r="AI188" s="11"/>
      <c r="AJ188" s="11"/>
    </row>
    <row r="189" ht="13.5" customHeight="1">
      <c r="A189" s="11"/>
      <c r="B189" s="11"/>
      <c r="C189" s="11"/>
      <c r="D189" s="11"/>
      <c r="E189" s="11"/>
      <c r="F189" s="11"/>
      <c r="G189" s="11"/>
      <c r="H189" s="11"/>
      <c r="I189" s="11"/>
      <c r="J189" s="11"/>
      <c r="K189" s="11"/>
      <c r="L189" s="11"/>
      <c r="M189" s="11"/>
      <c r="N189" s="11"/>
      <c r="O189" s="85"/>
      <c r="P189" s="11"/>
      <c r="Q189" s="11"/>
      <c r="R189" s="11"/>
      <c r="S189" s="11"/>
      <c r="T189" s="11"/>
      <c r="U189" s="11"/>
      <c r="V189" s="11"/>
      <c r="W189" s="11"/>
      <c r="X189" s="11"/>
      <c r="Y189" s="11"/>
      <c r="Z189" s="11"/>
      <c r="AA189" s="11"/>
      <c r="AB189" s="11"/>
      <c r="AC189" s="11"/>
      <c r="AD189" s="11"/>
      <c r="AE189" s="11"/>
      <c r="AF189" s="11"/>
      <c r="AG189" s="11"/>
      <c r="AH189" s="11"/>
      <c r="AI189" s="11"/>
      <c r="AJ189" s="11"/>
    </row>
    <row r="190" ht="13.5" customHeight="1">
      <c r="A190" s="11"/>
      <c r="B190" s="11"/>
      <c r="C190" s="11"/>
      <c r="D190" s="11"/>
      <c r="E190" s="11"/>
      <c r="F190" s="11"/>
      <c r="G190" s="11"/>
      <c r="H190" s="11"/>
      <c r="I190" s="11"/>
      <c r="J190" s="11"/>
      <c r="K190" s="11"/>
      <c r="L190" s="11"/>
      <c r="M190" s="11"/>
      <c r="N190" s="11"/>
      <c r="O190" s="85"/>
      <c r="P190" s="11"/>
      <c r="Q190" s="11"/>
      <c r="R190" s="11"/>
      <c r="S190" s="11"/>
      <c r="T190" s="11"/>
      <c r="U190" s="11"/>
      <c r="V190" s="11"/>
      <c r="W190" s="11"/>
      <c r="X190" s="11"/>
      <c r="Y190" s="11"/>
      <c r="Z190" s="11"/>
      <c r="AA190" s="11"/>
      <c r="AB190" s="11"/>
      <c r="AC190" s="11"/>
      <c r="AD190" s="11"/>
      <c r="AE190" s="11"/>
      <c r="AF190" s="11"/>
      <c r="AG190" s="11"/>
      <c r="AH190" s="11"/>
      <c r="AI190" s="11"/>
      <c r="AJ190" s="11"/>
    </row>
    <row r="191" ht="13.5" customHeight="1">
      <c r="A191" s="11"/>
      <c r="B191" s="11"/>
      <c r="C191" s="11"/>
      <c r="D191" s="11"/>
      <c r="E191" s="11"/>
      <c r="F191" s="11"/>
      <c r="G191" s="11"/>
      <c r="H191" s="11"/>
      <c r="I191" s="11"/>
      <c r="J191" s="11"/>
      <c r="K191" s="11"/>
      <c r="L191" s="11"/>
      <c r="M191" s="11"/>
      <c r="N191" s="11"/>
      <c r="O191" s="85"/>
      <c r="P191" s="11"/>
      <c r="Q191" s="11"/>
      <c r="R191" s="11"/>
      <c r="S191" s="11"/>
      <c r="T191" s="11"/>
      <c r="U191" s="11"/>
      <c r="V191" s="11"/>
      <c r="W191" s="11"/>
      <c r="X191" s="11"/>
      <c r="Y191" s="11"/>
      <c r="Z191" s="11"/>
      <c r="AA191" s="11"/>
      <c r="AB191" s="11"/>
      <c r="AC191" s="11"/>
      <c r="AD191" s="11"/>
      <c r="AE191" s="11"/>
      <c r="AF191" s="11"/>
      <c r="AG191" s="11"/>
      <c r="AH191" s="11"/>
      <c r="AI191" s="11"/>
      <c r="AJ191" s="11"/>
    </row>
    <row r="192" ht="13.5" customHeight="1">
      <c r="A192" s="11"/>
      <c r="B192" s="11"/>
      <c r="C192" s="11"/>
      <c r="D192" s="11"/>
      <c r="E192" s="11"/>
      <c r="F192" s="11"/>
      <c r="G192" s="11"/>
      <c r="H192" s="11"/>
      <c r="I192" s="11"/>
      <c r="J192" s="11"/>
      <c r="K192" s="11"/>
      <c r="L192" s="11"/>
      <c r="M192" s="11"/>
      <c r="N192" s="11"/>
      <c r="O192" s="85"/>
      <c r="P192" s="11"/>
      <c r="Q192" s="11"/>
      <c r="R192" s="11"/>
      <c r="S192" s="11"/>
      <c r="T192" s="11"/>
      <c r="U192" s="11"/>
      <c r="V192" s="11"/>
      <c r="W192" s="11"/>
      <c r="X192" s="11"/>
      <c r="Y192" s="11"/>
      <c r="Z192" s="11"/>
      <c r="AA192" s="11"/>
      <c r="AB192" s="11"/>
      <c r="AC192" s="11"/>
      <c r="AD192" s="11"/>
      <c r="AE192" s="11"/>
      <c r="AF192" s="11"/>
      <c r="AG192" s="11"/>
      <c r="AH192" s="11"/>
      <c r="AI192" s="11"/>
      <c r="AJ192" s="11"/>
    </row>
    <row r="193" ht="13.5" customHeight="1">
      <c r="A193" s="11"/>
      <c r="B193" s="11"/>
      <c r="C193" s="11"/>
      <c r="D193" s="11"/>
      <c r="E193" s="11"/>
      <c r="F193" s="11"/>
      <c r="G193" s="11"/>
      <c r="H193" s="11"/>
      <c r="I193" s="11"/>
      <c r="J193" s="11"/>
      <c r="K193" s="11"/>
      <c r="L193" s="11"/>
      <c r="M193" s="11"/>
      <c r="N193" s="11"/>
      <c r="O193" s="85"/>
      <c r="P193" s="11"/>
      <c r="Q193" s="11"/>
      <c r="R193" s="11"/>
      <c r="S193" s="11"/>
      <c r="T193" s="11"/>
      <c r="U193" s="11"/>
      <c r="V193" s="11"/>
      <c r="W193" s="11"/>
      <c r="X193" s="11"/>
      <c r="Y193" s="11"/>
      <c r="Z193" s="11"/>
      <c r="AA193" s="11"/>
      <c r="AB193" s="11"/>
      <c r="AC193" s="11"/>
      <c r="AD193" s="11"/>
      <c r="AE193" s="11"/>
      <c r="AF193" s="11"/>
      <c r="AG193" s="11"/>
      <c r="AH193" s="11"/>
      <c r="AI193" s="11"/>
      <c r="AJ193" s="11"/>
    </row>
    <row r="194" ht="13.5" customHeight="1">
      <c r="A194" s="11"/>
      <c r="B194" s="11"/>
      <c r="C194" s="11"/>
      <c r="D194" s="11"/>
      <c r="E194" s="11"/>
      <c r="F194" s="11"/>
      <c r="G194" s="11"/>
      <c r="H194" s="11"/>
      <c r="I194" s="11"/>
      <c r="J194" s="11"/>
      <c r="K194" s="11"/>
      <c r="L194" s="11"/>
      <c r="M194" s="11"/>
      <c r="N194" s="11"/>
      <c r="O194" s="85"/>
      <c r="P194" s="11"/>
      <c r="Q194" s="11"/>
      <c r="R194" s="11"/>
      <c r="S194" s="11"/>
      <c r="T194" s="11"/>
      <c r="U194" s="11"/>
      <c r="V194" s="11"/>
      <c r="W194" s="11"/>
      <c r="X194" s="11"/>
      <c r="Y194" s="11"/>
      <c r="Z194" s="11"/>
      <c r="AA194" s="11"/>
      <c r="AB194" s="11"/>
      <c r="AC194" s="11"/>
      <c r="AD194" s="11"/>
      <c r="AE194" s="11"/>
      <c r="AF194" s="11"/>
      <c r="AG194" s="11"/>
      <c r="AH194" s="11"/>
      <c r="AI194" s="11"/>
      <c r="AJ194" s="11"/>
    </row>
    <row r="195" ht="13.5" customHeight="1">
      <c r="A195" s="11"/>
      <c r="B195" s="11"/>
      <c r="C195" s="11"/>
      <c r="D195" s="11"/>
      <c r="E195" s="11"/>
      <c r="F195" s="11"/>
      <c r="G195" s="11"/>
      <c r="H195" s="11"/>
      <c r="I195" s="11"/>
      <c r="J195" s="11"/>
      <c r="K195" s="11"/>
      <c r="L195" s="11"/>
      <c r="M195" s="11"/>
      <c r="N195" s="11"/>
      <c r="O195" s="85"/>
      <c r="P195" s="11"/>
      <c r="Q195" s="11"/>
      <c r="R195" s="11"/>
      <c r="S195" s="11"/>
      <c r="T195" s="11"/>
      <c r="U195" s="11"/>
      <c r="V195" s="11"/>
      <c r="W195" s="11"/>
      <c r="X195" s="11"/>
      <c r="Y195" s="11"/>
      <c r="Z195" s="11"/>
      <c r="AA195" s="11"/>
      <c r="AB195" s="11"/>
      <c r="AC195" s="11"/>
      <c r="AD195" s="11"/>
      <c r="AE195" s="11"/>
      <c r="AF195" s="11"/>
      <c r="AG195" s="11"/>
      <c r="AH195" s="11"/>
      <c r="AI195" s="11"/>
      <c r="AJ195" s="11"/>
    </row>
    <row r="196" ht="13.5" customHeight="1">
      <c r="A196" s="11"/>
      <c r="B196" s="11"/>
      <c r="C196" s="11"/>
      <c r="D196" s="11"/>
      <c r="E196" s="11"/>
      <c r="F196" s="11"/>
      <c r="G196" s="11"/>
      <c r="H196" s="11"/>
      <c r="I196" s="11"/>
      <c r="J196" s="11"/>
      <c r="K196" s="11"/>
      <c r="L196" s="11"/>
      <c r="M196" s="11"/>
      <c r="N196" s="11"/>
      <c r="O196" s="85"/>
      <c r="P196" s="11"/>
      <c r="Q196" s="11"/>
      <c r="R196" s="11"/>
      <c r="S196" s="11"/>
      <c r="T196" s="11"/>
      <c r="U196" s="11"/>
      <c r="V196" s="11"/>
      <c r="W196" s="11"/>
      <c r="X196" s="11"/>
      <c r="Y196" s="11"/>
      <c r="Z196" s="11"/>
      <c r="AA196" s="11"/>
      <c r="AB196" s="11"/>
      <c r="AC196" s="11"/>
      <c r="AD196" s="11"/>
      <c r="AE196" s="11"/>
      <c r="AF196" s="11"/>
      <c r="AG196" s="11"/>
      <c r="AH196" s="11"/>
      <c r="AI196" s="11"/>
      <c r="AJ196" s="11"/>
    </row>
    <row r="197" ht="13.5" customHeight="1">
      <c r="A197" s="11"/>
      <c r="B197" s="11"/>
      <c r="C197" s="11"/>
      <c r="D197" s="11"/>
      <c r="E197" s="11"/>
      <c r="F197" s="11"/>
      <c r="G197" s="11"/>
      <c r="H197" s="11"/>
      <c r="I197" s="11"/>
      <c r="J197" s="11"/>
      <c r="K197" s="11"/>
      <c r="L197" s="11"/>
      <c r="M197" s="11"/>
      <c r="N197" s="11"/>
      <c r="O197" s="85"/>
      <c r="P197" s="11"/>
      <c r="Q197" s="11"/>
      <c r="R197" s="11"/>
      <c r="S197" s="11"/>
      <c r="T197" s="11"/>
      <c r="U197" s="11"/>
      <c r="V197" s="11"/>
      <c r="W197" s="11"/>
      <c r="X197" s="11"/>
      <c r="Y197" s="11"/>
      <c r="Z197" s="11"/>
      <c r="AA197" s="11"/>
      <c r="AB197" s="11"/>
      <c r="AC197" s="11"/>
      <c r="AD197" s="11"/>
      <c r="AE197" s="11"/>
      <c r="AF197" s="11"/>
      <c r="AG197" s="11"/>
      <c r="AH197" s="11"/>
      <c r="AI197" s="11"/>
      <c r="AJ197" s="11"/>
    </row>
    <row r="198" ht="13.5" customHeight="1">
      <c r="A198" s="11"/>
      <c r="B198" s="11"/>
      <c r="C198" s="11"/>
      <c r="D198" s="11"/>
      <c r="E198" s="11"/>
      <c r="F198" s="11"/>
      <c r="G198" s="11"/>
      <c r="H198" s="11"/>
      <c r="I198" s="11"/>
      <c r="J198" s="11"/>
      <c r="K198" s="11"/>
      <c r="L198" s="11"/>
      <c r="M198" s="11"/>
      <c r="N198" s="11"/>
      <c r="O198" s="85"/>
      <c r="P198" s="11"/>
      <c r="Q198" s="11"/>
      <c r="R198" s="11"/>
      <c r="S198" s="11"/>
      <c r="T198" s="11"/>
      <c r="U198" s="11"/>
      <c r="V198" s="11"/>
      <c r="W198" s="11"/>
      <c r="X198" s="11"/>
      <c r="Y198" s="11"/>
      <c r="Z198" s="11"/>
      <c r="AA198" s="11"/>
      <c r="AB198" s="11"/>
      <c r="AC198" s="11"/>
      <c r="AD198" s="11"/>
      <c r="AE198" s="11"/>
      <c r="AF198" s="11"/>
      <c r="AG198" s="11"/>
      <c r="AH198" s="11"/>
      <c r="AI198" s="11"/>
      <c r="AJ198" s="11"/>
    </row>
    <row r="199" ht="13.5" customHeight="1">
      <c r="A199" s="11"/>
      <c r="B199" s="11"/>
      <c r="C199" s="11"/>
      <c r="D199" s="11"/>
      <c r="E199" s="11"/>
      <c r="F199" s="11"/>
      <c r="G199" s="11"/>
      <c r="H199" s="11"/>
      <c r="I199" s="11"/>
      <c r="J199" s="11"/>
      <c r="K199" s="11"/>
      <c r="L199" s="11"/>
      <c r="M199" s="11"/>
      <c r="N199" s="11"/>
      <c r="O199" s="85"/>
      <c r="P199" s="11"/>
      <c r="Q199" s="11"/>
      <c r="R199" s="11"/>
      <c r="S199" s="11"/>
      <c r="T199" s="11"/>
      <c r="U199" s="11"/>
      <c r="V199" s="11"/>
      <c r="W199" s="11"/>
      <c r="X199" s="11"/>
      <c r="Y199" s="11"/>
      <c r="Z199" s="11"/>
      <c r="AA199" s="11"/>
      <c r="AB199" s="11"/>
      <c r="AC199" s="11"/>
      <c r="AD199" s="11"/>
      <c r="AE199" s="11"/>
      <c r="AF199" s="11"/>
      <c r="AG199" s="11"/>
      <c r="AH199" s="11"/>
      <c r="AI199" s="11"/>
      <c r="AJ199" s="11"/>
    </row>
    <row r="200" ht="13.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row>
  </sheetData>
  <conditionalFormatting sqref="S12:S13">
    <cfRule type="expression" dxfId="0" priority="1">
      <formula>AND(NOT(ISFORMULA(S12)),ISNUMBER(S12))</formula>
    </cfRule>
  </conditionalFormatting>
  <conditionalFormatting sqref="S15">
    <cfRule type="expression" dxfId="0" priority="2">
      <formula>AND(NOT(ISFORMULA(S15)),ISNUMBER(S15))</formula>
    </cfRule>
  </conditionalFormatting>
  <conditionalFormatting sqref="S19:S22">
    <cfRule type="expression" dxfId="0" priority="3">
      <formula>AND(NOT(ISFORMULA(S19)),ISNUMBER(S19))</formula>
    </cfRule>
  </conditionalFormatting>
  <conditionalFormatting sqref="S24:S26">
    <cfRule type="expression" dxfId="0" priority="4">
      <formula>AND(NOT(ISFORMULA(S24)),ISNUMBER(S24))</formula>
    </cfRule>
  </conditionalFormatting>
  <conditionalFormatting sqref="S28:S31">
    <cfRule type="expression" dxfId="0" priority="5">
      <formula>AND(NOT(ISFORMULA(S28)),ISNUMBER(S28))</formula>
    </cfRule>
  </conditionalFormatting>
  <conditionalFormatting sqref="S38:S42">
    <cfRule type="expression" dxfId="0" priority="6">
      <formula>AND(NOT(ISFORMULA(S38)),ISNUMBER(S38))</formula>
    </cfRule>
  </conditionalFormatting>
  <conditionalFormatting sqref="S44:S50">
    <cfRule type="expression" dxfId="0" priority="7">
      <formula>AND(NOT(ISFORMULA(S44)),ISNUMBER(S44))</formula>
    </cfRule>
  </conditionalFormatting>
  <conditionalFormatting sqref="S58:S60">
    <cfRule type="expression" dxfId="0" priority="8">
      <formula>AND(NOT(ISFORMULA(S58)),ISNUMBER(S58))</formula>
    </cfRule>
  </conditionalFormatting>
  <conditionalFormatting sqref="S62">
    <cfRule type="expression" dxfId="0" priority="9">
      <formula>AND(NOT(ISFORMULA(S62)),ISNUMBER(S62))</formula>
    </cfRule>
  </conditionalFormatting>
  <conditionalFormatting sqref="S70:S72">
    <cfRule type="expression" dxfId="0" priority="10">
      <formula>AND(NOT(ISFORMULA(S70)),ISNUMBER(S70))</formula>
    </cfRule>
  </conditionalFormatting>
  <conditionalFormatting sqref="S74:S80">
    <cfRule type="expression" dxfId="0" priority="11">
      <formula>AND(NOT(ISFORMULA(S74)),ISNUMBER(S74))</formula>
    </cfRule>
  </conditionalFormatting>
  <conditionalFormatting sqref="S82:S86">
    <cfRule type="expression" dxfId="0" priority="12">
      <formula>AND(NOT(ISFORMULA(S82)),ISNUMBER(S82))</formula>
    </cfRule>
  </conditionalFormatting>
  <conditionalFormatting sqref="S88:S115">
    <cfRule type="expression" dxfId="0" priority="13">
      <formula>AND(NOT(ISFORMULA(S88)),ISNUMBER(S88))</formula>
    </cfRule>
  </conditionalFormatting>
  <conditionalFormatting sqref="S120:S121">
    <cfRule type="expression" dxfId="0" priority="14">
      <formula>AND(NOT(ISFORMULA(S120)),ISNUMBER(S120))</formula>
    </cfRule>
  </conditionalFormatting>
  <conditionalFormatting sqref="S124:S129">
    <cfRule type="expression" dxfId="0" priority="15">
      <formula>AND(NOT(ISFORMULA(S124)),ISNUMBER(S124))</formula>
    </cfRule>
  </conditionalFormatting>
  <dataValidations>
    <dataValidation type="decimal" allowBlank="1" showInputMessage="1" showErrorMessage="1" prompt="Numbers only - Please enter a number (no text)." sqref="S12:AF13 S15:AF15 S19:AF22 S24:AF26 S28:AF31 S38:AF42 S44:AF50 S58:AF60 S62:AF62 S70:AF72 S74:AF80 S82:AF86 S88:AF115 S120:AF121 S124:AF129">
      <formula1>-1.0E15</formula1>
      <formula2>1.0E15</formula2>
    </dataValidation>
    <dataValidation type="list" allowBlank="1" showErrorMessage="1" sqref="R12:R13 R15 R19:R22 R24:R26 R28:R31 R38:R42 R44:R50 R58:R60 R62 R70:R72 R74:R80 R82:R86 R88:R115 R120:R121 R124:R129">
      <formula1>"Even,YOY Growth,Manual"</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3E5A1"/>
    <pageSetUpPr/>
  </sheetPr>
  <sheetViews>
    <sheetView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outlineLevelCol="1"/>
  <cols>
    <col customWidth="1" min="1" max="1" width="47.88"/>
    <col customWidth="1" min="2" max="13" width="9.88" outlineLevel="1"/>
    <col customWidth="1" min="14" max="14" width="12.5"/>
    <col customWidth="1" min="15" max="15" width="11.13"/>
    <col customWidth="1" min="16" max="17" width="6.63"/>
    <col customWidth="1" min="18" max="18" width="13.13"/>
    <col customWidth="1" min="19" max="19" width="12.0"/>
    <col customWidth="1" min="20" max="20" width="11.13"/>
    <col customWidth="1" min="21" max="32" width="9.88" outlineLevel="1"/>
    <col customWidth="1" min="33" max="33" width="12.5"/>
    <col customWidth="1" min="34" max="34" width="11.13"/>
    <col customWidth="1" min="35" max="35" width="6.5"/>
    <col customWidth="1" min="36" max="36" width="11.5"/>
  </cols>
  <sheetData>
    <row r="1" ht="13.5" customHeight="1">
      <c r="A1" s="65" t="s">
        <v>206</v>
      </c>
      <c r="B1" s="11"/>
      <c r="C1" s="11"/>
      <c r="D1" s="11"/>
      <c r="E1" s="11"/>
      <c r="F1" s="11"/>
      <c r="G1" s="11"/>
      <c r="H1" s="11"/>
      <c r="I1" s="11"/>
      <c r="J1" s="11"/>
      <c r="K1" s="11"/>
      <c r="L1" s="11"/>
      <c r="M1" s="11"/>
      <c r="N1" s="11"/>
      <c r="O1" s="11"/>
      <c r="P1" s="11"/>
      <c r="Q1" s="11"/>
      <c r="R1" s="11"/>
      <c r="S1" s="11"/>
      <c r="T1" s="11"/>
      <c r="U1" s="66"/>
      <c r="V1" s="66"/>
      <c r="W1" s="66"/>
      <c r="X1" s="66"/>
      <c r="Y1" s="66"/>
      <c r="Z1" s="66"/>
      <c r="AA1" s="66"/>
      <c r="AB1" s="66"/>
      <c r="AC1" s="66"/>
      <c r="AD1" s="66"/>
      <c r="AE1" s="66"/>
      <c r="AF1" s="66"/>
      <c r="AG1" s="11"/>
      <c r="AH1" s="11"/>
      <c r="AI1" s="11"/>
      <c r="AJ1" s="11"/>
    </row>
    <row r="2" ht="13.5" customHeight="1">
      <c r="A2" s="67" t="s">
        <v>51</v>
      </c>
      <c r="B2" s="11"/>
      <c r="C2" s="11"/>
      <c r="D2" s="11"/>
      <c r="E2" s="11"/>
      <c r="F2" s="11"/>
      <c r="G2" s="11"/>
      <c r="H2" s="11"/>
      <c r="I2" s="11"/>
      <c r="J2" s="11"/>
      <c r="K2" s="11"/>
      <c r="L2" s="11"/>
      <c r="M2" s="11"/>
      <c r="N2" s="11"/>
      <c r="O2" s="11"/>
      <c r="P2" s="11"/>
      <c r="Q2" s="11"/>
      <c r="R2" s="11"/>
      <c r="S2" s="11"/>
      <c r="T2" s="11"/>
      <c r="U2" s="66"/>
      <c r="V2" s="66"/>
      <c r="W2" s="66"/>
      <c r="X2" s="66"/>
      <c r="Y2" s="66"/>
      <c r="Z2" s="66"/>
      <c r="AA2" s="66"/>
      <c r="AB2" s="66"/>
      <c r="AC2" s="66"/>
      <c r="AD2" s="66"/>
      <c r="AE2" s="66"/>
      <c r="AF2" s="66"/>
      <c r="AG2" s="11"/>
      <c r="AH2" s="11"/>
      <c r="AI2" s="11"/>
      <c r="AJ2" s="11"/>
    </row>
    <row r="3" ht="13.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row>
    <row r="4" ht="13.5" customHeight="1">
      <c r="A4" s="2"/>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row>
    <row r="5" ht="13.5" customHeight="1">
      <c r="A5" s="11"/>
      <c r="B5" s="11"/>
      <c r="C5" s="11"/>
      <c r="D5" s="11"/>
      <c r="E5" s="11"/>
      <c r="F5" s="11"/>
      <c r="G5" s="11"/>
      <c r="H5" s="11"/>
      <c r="I5" s="11"/>
      <c r="J5" s="11"/>
      <c r="K5" s="11"/>
      <c r="L5" s="11"/>
      <c r="M5" s="11"/>
      <c r="N5" s="11"/>
      <c r="O5" s="11"/>
      <c r="P5" s="11"/>
      <c r="Q5" s="11"/>
      <c r="R5" s="11"/>
      <c r="S5" s="11"/>
      <c r="T5" s="11"/>
      <c r="U5" s="68"/>
      <c r="V5" s="68"/>
      <c r="W5" s="68"/>
      <c r="X5" s="68"/>
      <c r="Y5" s="68"/>
      <c r="Z5" s="68"/>
      <c r="AA5" s="68"/>
      <c r="AB5" s="68"/>
      <c r="AC5" s="68"/>
      <c r="AD5" s="68"/>
      <c r="AE5" s="68"/>
      <c r="AF5" s="68"/>
      <c r="AG5" s="11"/>
      <c r="AH5" s="11"/>
      <c r="AI5" s="11"/>
      <c r="AJ5" s="11"/>
    </row>
    <row r="6" ht="13.5"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row>
    <row r="7" ht="13.5" customHeight="1">
      <c r="A7" s="69"/>
      <c r="B7" s="70" t="s">
        <v>52</v>
      </c>
      <c r="C7" s="70" t="s">
        <v>52</v>
      </c>
      <c r="D7" s="70" t="s">
        <v>52</v>
      </c>
      <c r="E7" s="70" t="s">
        <v>52</v>
      </c>
      <c r="F7" s="70" t="s">
        <v>52</v>
      </c>
      <c r="G7" s="70" t="s">
        <v>52</v>
      </c>
      <c r="H7" s="70" t="s">
        <v>52</v>
      </c>
      <c r="I7" s="70" t="s">
        <v>52</v>
      </c>
      <c r="J7" s="71" t="s">
        <v>53</v>
      </c>
      <c r="K7" s="71" t="s">
        <v>53</v>
      </c>
      <c r="L7" s="71" t="s">
        <v>53</v>
      </c>
      <c r="M7" s="71" t="s">
        <v>53</v>
      </c>
      <c r="N7" s="71" t="s">
        <v>53</v>
      </c>
      <c r="O7" s="71" t="s">
        <v>53</v>
      </c>
      <c r="P7" s="11"/>
      <c r="Q7" s="11"/>
      <c r="R7" s="72"/>
      <c r="S7" s="73" t="s">
        <v>54</v>
      </c>
      <c r="T7" s="73" t="s">
        <v>55</v>
      </c>
      <c r="U7" s="74" t="s">
        <v>56</v>
      </c>
      <c r="V7" s="74" t="s">
        <v>56</v>
      </c>
      <c r="W7" s="74" t="s">
        <v>56</v>
      </c>
      <c r="X7" s="74" t="s">
        <v>56</v>
      </c>
      <c r="Y7" s="74" t="s">
        <v>56</v>
      </c>
      <c r="Z7" s="74" t="s">
        <v>56</v>
      </c>
      <c r="AA7" s="74" t="s">
        <v>56</v>
      </c>
      <c r="AB7" s="74" t="s">
        <v>56</v>
      </c>
      <c r="AC7" s="74" t="s">
        <v>56</v>
      </c>
      <c r="AD7" s="74" t="s">
        <v>56</v>
      </c>
      <c r="AE7" s="74" t="s">
        <v>56</v>
      </c>
      <c r="AF7" s="74" t="s">
        <v>56</v>
      </c>
      <c r="AG7" s="74" t="s">
        <v>56</v>
      </c>
      <c r="AH7" s="74" t="s">
        <v>56</v>
      </c>
      <c r="AI7" s="11"/>
      <c r="AJ7" s="75" t="s">
        <v>55</v>
      </c>
    </row>
    <row r="8" ht="13.5" customHeight="1">
      <c r="A8" s="69" t="s">
        <v>57</v>
      </c>
      <c r="B8" s="76" t="s">
        <v>58</v>
      </c>
      <c r="C8" s="76" t="s">
        <v>59</v>
      </c>
      <c r="D8" s="76" t="s">
        <v>60</v>
      </c>
      <c r="E8" s="76" t="s">
        <v>61</v>
      </c>
      <c r="F8" s="76" t="s">
        <v>62</v>
      </c>
      <c r="G8" s="76" t="s">
        <v>63</v>
      </c>
      <c r="H8" s="76" t="s">
        <v>64</v>
      </c>
      <c r="I8" s="76" t="s">
        <v>65</v>
      </c>
      <c r="J8" s="76" t="s">
        <v>66</v>
      </c>
      <c r="K8" s="76" t="s">
        <v>67</v>
      </c>
      <c r="L8" s="76" t="s">
        <v>68</v>
      </c>
      <c r="M8" s="76" t="s">
        <v>69</v>
      </c>
      <c r="N8" s="70">
        <v>2026.0</v>
      </c>
      <c r="O8" s="70" t="s">
        <v>70</v>
      </c>
      <c r="P8" s="11"/>
      <c r="Q8" s="11"/>
      <c r="R8" s="72" t="s">
        <v>71</v>
      </c>
      <c r="S8" s="73" t="s">
        <v>72</v>
      </c>
      <c r="T8" s="73" t="s">
        <v>73</v>
      </c>
      <c r="U8" s="77" t="s">
        <v>58</v>
      </c>
      <c r="V8" s="77" t="s">
        <v>59</v>
      </c>
      <c r="W8" s="77" t="s">
        <v>60</v>
      </c>
      <c r="X8" s="77" t="s">
        <v>61</v>
      </c>
      <c r="Y8" s="77" t="s">
        <v>62</v>
      </c>
      <c r="Z8" s="77" t="s">
        <v>63</v>
      </c>
      <c r="AA8" s="77" t="s">
        <v>64</v>
      </c>
      <c r="AB8" s="77" t="s">
        <v>65</v>
      </c>
      <c r="AC8" s="77" t="s">
        <v>66</v>
      </c>
      <c r="AD8" s="77" t="s">
        <v>67</v>
      </c>
      <c r="AE8" s="77" t="s">
        <v>68</v>
      </c>
      <c r="AF8" s="77" t="s">
        <v>69</v>
      </c>
      <c r="AG8" s="78" t="s">
        <v>74</v>
      </c>
      <c r="AH8" s="74" t="s">
        <v>70</v>
      </c>
      <c r="AI8" s="11"/>
      <c r="AJ8" s="79" t="s">
        <v>75</v>
      </c>
    </row>
    <row r="9" ht="13.5" customHeight="1">
      <c r="A9" s="80" t="s">
        <v>76</v>
      </c>
      <c r="B9" s="81"/>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11"/>
      <c r="AI9" s="11"/>
      <c r="AJ9" s="11"/>
    </row>
    <row r="10" ht="13.5" customHeight="1">
      <c r="A10" s="82" t="s">
        <v>77</v>
      </c>
      <c r="B10" s="81"/>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11"/>
      <c r="AI10" s="11"/>
      <c r="AJ10" s="11"/>
    </row>
    <row r="11" ht="13.5" customHeight="1">
      <c r="A11" s="82" t="s">
        <v>78</v>
      </c>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11"/>
      <c r="AI11" s="11"/>
      <c r="AJ11" s="11"/>
    </row>
    <row r="12" ht="13.5" customHeight="1">
      <c r="A12" s="83" t="s">
        <v>79</v>
      </c>
      <c r="B12" s="81">
        <v>0.0</v>
      </c>
      <c r="C12" s="81">
        <v>0.0</v>
      </c>
      <c r="D12" s="81">
        <v>0.0</v>
      </c>
      <c r="E12" s="81">
        <v>0.0</v>
      </c>
      <c r="F12" s="81">
        <v>0.0</v>
      </c>
      <c r="G12" s="81">
        <v>0.0</v>
      </c>
      <c r="H12" s="81">
        <v>0.0</v>
      </c>
      <c r="I12" s="81">
        <v>0.0</v>
      </c>
      <c r="J12" s="84"/>
      <c r="K12" s="84"/>
      <c r="L12" s="84"/>
      <c r="M12" s="84"/>
      <c r="N12" s="81">
        <f t="shared" ref="N12:N16" si="2">SUM(B12:M12)</f>
        <v>0</v>
      </c>
      <c r="O12" s="85" t="str">
        <f t="shared" ref="O12:O13" si="3">IFERROR(N12/N$16,"")</f>
        <v/>
      </c>
      <c r="P12" s="81"/>
      <c r="Q12" s="81"/>
      <c r="R12" s="86" t="s">
        <v>80</v>
      </c>
      <c r="S12" s="87"/>
      <c r="T12" s="88">
        <v>0.05</v>
      </c>
      <c r="U12" s="84">
        <f t="shared" ref="U12:AF12" si="1">IF($R12="Manual","",IFERROR(IF($R12="YOY Growth",$N12*(1+$T12)/12,$S12/12),""))</f>
        <v>0</v>
      </c>
      <c r="V12" s="84">
        <f t="shared" si="1"/>
        <v>0</v>
      </c>
      <c r="W12" s="84">
        <f t="shared" si="1"/>
        <v>0</v>
      </c>
      <c r="X12" s="84">
        <f t="shared" si="1"/>
        <v>0</v>
      </c>
      <c r="Y12" s="84">
        <f t="shared" si="1"/>
        <v>0</v>
      </c>
      <c r="Z12" s="84">
        <f t="shared" si="1"/>
        <v>0</v>
      </c>
      <c r="AA12" s="84">
        <f t="shared" si="1"/>
        <v>0</v>
      </c>
      <c r="AB12" s="84">
        <f t="shared" si="1"/>
        <v>0</v>
      </c>
      <c r="AC12" s="84">
        <f t="shared" si="1"/>
        <v>0</v>
      </c>
      <c r="AD12" s="84">
        <f t="shared" si="1"/>
        <v>0</v>
      </c>
      <c r="AE12" s="84">
        <f t="shared" si="1"/>
        <v>0</v>
      </c>
      <c r="AF12" s="84">
        <f t="shared" si="1"/>
        <v>0</v>
      </c>
      <c r="AG12" s="81">
        <f t="shared" ref="AG12:AG16" si="5">SUM(U12:AF12)</f>
        <v>0</v>
      </c>
      <c r="AH12" s="85" t="str">
        <f t="shared" ref="AH12:AH13" si="6">IFERROR(AG12/AG$16,"")</f>
        <v/>
      </c>
      <c r="AI12" s="11"/>
      <c r="AJ12" s="81">
        <f t="shared" ref="AJ12:AJ16" si="7">AG12-N12</f>
        <v>0</v>
      </c>
    </row>
    <row r="13" ht="13.5" customHeight="1">
      <c r="A13" s="83" t="s">
        <v>81</v>
      </c>
      <c r="B13" s="81">
        <v>0.0</v>
      </c>
      <c r="C13" s="81">
        <v>0.0</v>
      </c>
      <c r="D13" s="81">
        <v>0.0</v>
      </c>
      <c r="E13" s="81">
        <v>0.0</v>
      </c>
      <c r="F13" s="81">
        <v>0.0</v>
      </c>
      <c r="G13" s="81">
        <v>0.0</v>
      </c>
      <c r="H13" s="81">
        <v>0.0</v>
      </c>
      <c r="I13" s="81">
        <v>0.0</v>
      </c>
      <c r="J13" s="84"/>
      <c r="K13" s="84"/>
      <c r="L13" s="84"/>
      <c r="M13" s="84"/>
      <c r="N13" s="81">
        <f t="shared" si="2"/>
        <v>0</v>
      </c>
      <c r="O13" s="85" t="str">
        <f t="shared" si="3"/>
        <v/>
      </c>
      <c r="P13" s="81"/>
      <c r="Q13" s="81"/>
      <c r="R13" s="86" t="s">
        <v>80</v>
      </c>
      <c r="S13" s="87">
        <v>0.0</v>
      </c>
      <c r="T13" s="88">
        <v>0.05</v>
      </c>
      <c r="U13" s="84">
        <f t="shared" ref="U13:AF13" si="4">IF($R13="Manual","",IFERROR(IF($R13="YOY Growth",$N13*(1+$T13)/12,$S13/12),""))</f>
        <v>0</v>
      </c>
      <c r="V13" s="84">
        <f t="shared" si="4"/>
        <v>0</v>
      </c>
      <c r="W13" s="84">
        <f t="shared" si="4"/>
        <v>0</v>
      </c>
      <c r="X13" s="84">
        <f t="shared" si="4"/>
        <v>0</v>
      </c>
      <c r="Y13" s="84">
        <f t="shared" si="4"/>
        <v>0</v>
      </c>
      <c r="Z13" s="84">
        <f t="shared" si="4"/>
        <v>0</v>
      </c>
      <c r="AA13" s="84">
        <f t="shared" si="4"/>
        <v>0</v>
      </c>
      <c r="AB13" s="84">
        <f t="shared" si="4"/>
        <v>0</v>
      </c>
      <c r="AC13" s="84">
        <f t="shared" si="4"/>
        <v>0</v>
      </c>
      <c r="AD13" s="84">
        <f t="shared" si="4"/>
        <v>0</v>
      </c>
      <c r="AE13" s="84">
        <f t="shared" si="4"/>
        <v>0</v>
      </c>
      <c r="AF13" s="84">
        <f t="shared" si="4"/>
        <v>0</v>
      </c>
      <c r="AG13" s="81">
        <f t="shared" si="5"/>
        <v>0</v>
      </c>
      <c r="AH13" s="85" t="str">
        <f t="shared" si="6"/>
        <v/>
      </c>
      <c r="AI13" s="11"/>
      <c r="AJ13" s="81">
        <f t="shared" si="7"/>
        <v>0</v>
      </c>
    </row>
    <row r="14" ht="13.5" customHeight="1">
      <c r="A14" s="89" t="s">
        <v>82</v>
      </c>
      <c r="B14" s="90">
        <f t="shared" ref="B14:M14" si="8">SUM(B12:B13)</f>
        <v>0</v>
      </c>
      <c r="C14" s="90">
        <f t="shared" si="8"/>
        <v>0</v>
      </c>
      <c r="D14" s="90">
        <f t="shared" si="8"/>
        <v>0</v>
      </c>
      <c r="E14" s="90">
        <f t="shared" si="8"/>
        <v>0</v>
      </c>
      <c r="F14" s="90">
        <f t="shared" si="8"/>
        <v>0</v>
      </c>
      <c r="G14" s="90">
        <f t="shared" si="8"/>
        <v>0</v>
      </c>
      <c r="H14" s="90">
        <f t="shared" si="8"/>
        <v>0</v>
      </c>
      <c r="I14" s="90">
        <f t="shared" si="8"/>
        <v>0</v>
      </c>
      <c r="J14" s="90">
        <f t="shared" si="8"/>
        <v>0</v>
      </c>
      <c r="K14" s="90">
        <f t="shared" si="8"/>
        <v>0</v>
      </c>
      <c r="L14" s="90">
        <f t="shared" si="8"/>
        <v>0</v>
      </c>
      <c r="M14" s="90">
        <f t="shared" si="8"/>
        <v>0</v>
      </c>
      <c r="N14" s="90">
        <f t="shared" si="2"/>
        <v>0</v>
      </c>
      <c r="O14" s="91">
        <f>SUM(O12:O13)</f>
        <v>0</v>
      </c>
      <c r="P14" s="81"/>
      <c r="Q14" s="81"/>
      <c r="R14" s="92"/>
      <c r="S14" s="92"/>
      <c r="T14" s="92"/>
      <c r="U14" s="90">
        <f t="shared" ref="U14:AF14" si="9">SUM(U12:U13)</f>
        <v>0</v>
      </c>
      <c r="V14" s="90">
        <f t="shared" si="9"/>
        <v>0</v>
      </c>
      <c r="W14" s="90">
        <f t="shared" si="9"/>
        <v>0</v>
      </c>
      <c r="X14" s="90">
        <f t="shared" si="9"/>
        <v>0</v>
      </c>
      <c r="Y14" s="90">
        <f t="shared" si="9"/>
        <v>0</v>
      </c>
      <c r="Z14" s="90">
        <f t="shared" si="9"/>
        <v>0</v>
      </c>
      <c r="AA14" s="90">
        <f t="shared" si="9"/>
        <v>0</v>
      </c>
      <c r="AB14" s="90">
        <f t="shared" si="9"/>
        <v>0</v>
      </c>
      <c r="AC14" s="90">
        <f t="shared" si="9"/>
        <v>0</v>
      </c>
      <c r="AD14" s="90">
        <f t="shared" si="9"/>
        <v>0</v>
      </c>
      <c r="AE14" s="90">
        <f t="shared" si="9"/>
        <v>0</v>
      </c>
      <c r="AF14" s="90">
        <f t="shared" si="9"/>
        <v>0</v>
      </c>
      <c r="AG14" s="90">
        <f t="shared" si="5"/>
        <v>0</v>
      </c>
      <c r="AH14" s="91">
        <f>SUM(AH12:AH13)</f>
        <v>0</v>
      </c>
      <c r="AI14" s="11"/>
      <c r="AJ14" s="90">
        <f t="shared" si="7"/>
        <v>0</v>
      </c>
    </row>
    <row r="15" ht="13.5" customHeight="1">
      <c r="A15" s="83" t="s">
        <v>83</v>
      </c>
      <c r="B15" s="81">
        <v>0.0</v>
      </c>
      <c r="C15" s="81">
        <v>0.0</v>
      </c>
      <c r="D15" s="81">
        <v>0.0</v>
      </c>
      <c r="E15" s="81">
        <v>0.0</v>
      </c>
      <c r="F15" s="81">
        <v>0.0</v>
      </c>
      <c r="G15" s="81">
        <v>0.0</v>
      </c>
      <c r="H15" s="81">
        <v>0.0</v>
      </c>
      <c r="I15" s="81">
        <v>0.0</v>
      </c>
      <c r="J15" s="84"/>
      <c r="K15" s="84"/>
      <c r="L15" s="84"/>
      <c r="M15" s="84"/>
      <c r="N15" s="81">
        <f t="shared" si="2"/>
        <v>0</v>
      </c>
      <c r="O15" s="85" t="str">
        <f>IFERROR(N15/N$16,"")</f>
        <v/>
      </c>
      <c r="P15" s="81"/>
      <c r="Q15" s="81"/>
      <c r="R15" s="86" t="s">
        <v>80</v>
      </c>
      <c r="S15" s="87">
        <v>0.0</v>
      </c>
      <c r="T15" s="88">
        <v>0.05</v>
      </c>
      <c r="U15" s="84">
        <f t="shared" ref="U15:AF15" si="10">IF($R15="Manual","",IFERROR(IF($R15="YOY Growth",$N15*(1+$T15)/12,$S15/12),""))</f>
        <v>0</v>
      </c>
      <c r="V15" s="84">
        <f t="shared" si="10"/>
        <v>0</v>
      </c>
      <c r="W15" s="84">
        <f t="shared" si="10"/>
        <v>0</v>
      </c>
      <c r="X15" s="84">
        <f t="shared" si="10"/>
        <v>0</v>
      </c>
      <c r="Y15" s="84">
        <f t="shared" si="10"/>
        <v>0</v>
      </c>
      <c r="Z15" s="84">
        <f t="shared" si="10"/>
        <v>0</v>
      </c>
      <c r="AA15" s="84">
        <f t="shared" si="10"/>
        <v>0</v>
      </c>
      <c r="AB15" s="84">
        <f t="shared" si="10"/>
        <v>0</v>
      </c>
      <c r="AC15" s="84">
        <f t="shared" si="10"/>
        <v>0</v>
      </c>
      <c r="AD15" s="84">
        <f t="shared" si="10"/>
        <v>0</v>
      </c>
      <c r="AE15" s="84">
        <f t="shared" si="10"/>
        <v>0</v>
      </c>
      <c r="AF15" s="84">
        <f t="shared" si="10"/>
        <v>0</v>
      </c>
      <c r="AG15" s="81">
        <f t="shared" si="5"/>
        <v>0</v>
      </c>
      <c r="AH15" s="85" t="str">
        <f>IFERROR(AG15/AG$16,"")</f>
        <v/>
      </c>
      <c r="AI15" s="11"/>
      <c r="AJ15" s="81">
        <f t="shared" si="7"/>
        <v>0</v>
      </c>
    </row>
    <row r="16" ht="13.5" customHeight="1">
      <c r="A16" s="89" t="s">
        <v>84</v>
      </c>
      <c r="B16" s="90">
        <f t="shared" ref="B16:M16" si="11">B14+B15</f>
        <v>0</v>
      </c>
      <c r="C16" s="90">
        <f t="shared" si="11"/>
        <v>0</v>
      </c>
      <c r="D16" s="90">
        <f t="shared" si="11"/>
        <v>0</v>
      </c>
      <c r="E16" s="90">
        <f t="shared" si="11"/>
        <v>0</v>
      </c>
      <c r="F16" s="90">
        <f t="shared" si="11"/>
        <v>0</v>
      </c>
      <c r="G16" s="90">
        <f t="shared" si="11"/>
        <v>0</v>
      </c>
      <c r="H16" s="90">
        <f t="shared" si="11"/>
        <v>0</v>
      </c>
      <c r="I16" s="90">
        <f t="shared" si="11"/>
        <v>0</v>
      </c>
      <c r="J16" s="90">
        <f t="shared" si="11"/>
        <v>0</v>
      </c>
      <c r="K16" s="90">
        <f t="shared" si="11"/>
        <v>0</v>
      </c>
      <c r="L16" s="90">
        <f t="shared" si="11"/>
        <v>0</v>
      </c>
      <c r="M16" s="90">
        <f t="shared" si="11"/>
        <v>0</v>
      </c>
      <c r="N16" s="90">
        <f t="shared" si="2"/>
        <v>0</v>
      </c>
      <c r="O16" s="91">
        <f>SUM(O14:O15)</f>
        <v>0</v>
      </c>
      <c r="P16" s="81"/>
      <c r="Q16" s="81"/>
      <c r="R16" s="92"/>
      <c r="S16" s="92"/>
      <c r="T16" s="92"/>
      <c r="U16" s="90">
        <f t="shared" ref="U16:AF16" si="12">U14+U15</f>
        <v>0</v>
      </c>
      <c r="V16" s="90">
        <f t="shared" si="12"/>
        <v>0</v>
      </c>
      <c r="W16" s="90">
        <f t="shared" si="12"/>
        <v>0</v>
      </c>
      <c r="X16" s="90">
        <f t="shared" si="12"/>
        <v>0</v>
      </c>
      <c r="Y16" s="90">
        <f t="shared" si="12"/>
        <v>0</v>
      </c>
      <c r="Z16" s="90">
        <f t="shared" si="12"/>
        <v>0</v>
      </c>
      <c r="AA16" s="90">
        <f t="shared" si="12"/>
        <v>0</v>
      </c>
      <c r="AB16" s="90">
        <f t="shared" si="12"/>
        <v>0</v>
      </c>
      <c r="AC16" s="90">
        <f t="shared" si="12"/>
        <v>0</v>
      </c>
      <c r="AD16" s="90">
        <f t="shared" si="12"/>
        <v>0</v>
      </c>
      <c r="AE16" s="90">
        <f t="shared" si="12"/>
        <v>0</v>
      </c>
      <c r="AF16" s="90">
        <f t="shared" si="12"/>
        <v>0</v>
      </c>
      <c r="AG16" s="90">
        <f t="shared" si="5"/>
        <v>0</v>
      </c>
      <c r="AH16" s="91">
        <f>SUM(AH14:AH15)</f>
        <v>0</v>
      </c>
      <c r="AI16" s="11"/>
      <c r="AJ16" s="90">
        <f t="shared" si="7"/>
        <v>0</v>
      </c>
    </row>
    <row r="17" ht="13.5" customHeight="1">
      <c r="A17" s="82" t="s">
        <v>85</v>
      </c>
      <c r="B17" s="81"/>
      <c r="C17" s="81"/>
      <c r="D17" s="81"/>
      <c r="E17" s="81"/>
      <c r="F17" s="81"/>
      <c r="G17" s="81"/>
      <c r="H17" s="81"/>
      <c r="I17" s="81"/>
      <c r="J17" s="81"/>
      <c r="K17" s="81"/>
      <c r="L17" s="81"/>
      <c r="M17" s="81"/>
      <c r="N17" s="81"/>
      <c r="O17" s="85"/>
      <c r="P17" s="81"/>
      <c r="Q17" s="81"/>
      <c r="R17" s="92"/>
      <c r="S17" s="92"/>
      <c r="T17" s="92"/>
      <c r="U17" s="81"/>
      <c r="V17" s="81"/>
      <c r="W17" s="81"/>
      <c r="X17" s="81"/>
      <c r="Y17" s="81"/>
      <c r="Z17" s="81"/>
      <c r="AA17" s="81"/>
      <c r="AB17" s="81"/>
      <c r="AC17" s="81"/>
      <c r="AD17" s="81"/>
      <c r="AE17" s="81"/>
      <c r="AF17" s="81"/>
      <c r="AG17" s="81"/>
      <c r="AH17" s="85"/>
      <c r="AI17" s="11"/>
      <c r="AJ17" s="81"/>
    </row>
    <row r="18" ht="13.5" customHeight="1">
      <c r="A18" s="82" t="s">
        <v>86</v>
      </c>
      <c r="B18" s="81"/>
      <c r="C18" s="81"/>
      <c r="D18" s="81"/>
      <c r="E18" s="81"/>
      <c r="F18" s="81"/>
      <c r="G18" s="81"/>
      <c r="H18" s="81"/>
      <c r="I18" s="81"/>
      <c r="J18" s="81"/>
      <c r="K18" s="81"/>
      <c r="L18" s="81"/>
      <c r="M18" s="81"/>
      <c r="N18" s="81"/>
      <c r="O18" s="85"/>
      <c r="P18" s="81"/>
      <c r="Q18" s="81"/>
      <c r="R18" s="92"/>
      <c r="S18" s="92"/>
      <c r="T18" s="92"/>
      <c r="U18" s="81"/>
      <c r="V18" s="81"/>
      <c r="W18" s="81"/>
      <c r="X18" s="81"/>
      <c r="Y18" s="81"/>
      <c r="Z18" s="81"/>
      <c r="AA18" s="81"/>
      <c r="AB18" s="81"/>
      <c r="AC18" s="81"/>
      <c r="AD18" s="81"/>
      <c r="AE18" s="81"/>
      <c r="AF18" s="81"/>
      <c r="AG18" s="81"/>
      <c r="AH18" s="85"/>
      <c r="AI18" s="11"/>
      <c r="AJ18" s="81"/>
    </row>
    <row r="19" ht="13.5" customHeight="1">
      <c r="A19" s="83" t="s">
        <v>87</v>
      </c>
      <c r="B19" s="81">
        <v>0.0</v>
      </c>
      <c r="C19" s="81">
        <v>0.0</v>
      </c>
      <c r="D19" s="81">
        <v>0.0</v>
      </c>
      <c r="E19" s="81">
        <v>0.0</v>
      </c>
      <c r="F19" s="81">
        <v>0.0</v>
      </c>
      <c r="G19" s="81">
        <v>0.0</v>
      </c>
      <c r="H19" s="81">
        <v>0.0</v>
      </c>
      <c r="I19" s="81">
        <v>0.0</v>
      </c>
      <c r="J19" s="84"/>
      <c r="K19" s="84"/>
      <c r="L19" s="84"/>
      <c r="M19" s="84"/>
      <c r="N19" s="81">
        <f t="shared" ref="N19:N22" si="14">SUM(B19:M19)</f>
        <v>0</v>
      </c>
      <c r="O19" s="85" t="str">
        <f t="shared" ref="O19:O22" si="15">IFERROR(N19/N$16,"")</f>
        <v/>
      </c>
      <c r="P19" s="81"/>
      <c r="Q19" s="81"/>
      <c r="R19" s="86" t="s">
        <v>80</v>
      </c>
      <c r="S19" s="87">
        <v>0.0</v>
      </c>
      <c r="T19" s="88">
        <v>0.05</v>
      </c>
      <c r="U19" s="84">
        <f t="shared" ref="U19:AF19" si="13">IF($R19="Manual","",IFERROR(IF($R19="YOY Growth",$N19*(1+$T19)/12,$S19/12),""))</f>
        <v>0</v>
      </c>
      <c r="V19" s="84">
        <f t="shared" si="13"/>
        <v>0</v>
      </c>
      <c r="W19" s="84">
        <f t="shared" si="13"/>
        <v>0</v>
      </c>
      <c r="X19" s="84">
        <f t="shared" si="13"/>
        <v>0</v>
      </c>
      <c r="Y19" s="84">
        <f t="shared" si="13"/>
        <v>0</v>
      </c>
      <c r="Z19" s="84">
        <f t="shared" si="13"/>
        <v>0</v>
      </c>
      <c r="AA19" s="84">
        <f t="shared" si="13"/>
        <v>0</v>
      </c>
      <c r="AB19" s="84">
        <f t="shared" si="13"/>
        <v>0</v>
      </c>
      <c r="AC19" s="84">
        <f t="shared" si="13"/>
        <v>0</v>
      </c>
      <c r="AD19" s="84">
        <f t="shared" si="13"/>
        <v>0</v>
      </c>
      <c r="AE19" s="84">
        <f t="shared" si="13"/>
        <v>0</v>
      </c>
      <c r="AF19" s="84">
        <f t="shared" si="13"/>
        <v>0</v>
      </c>
      <c r="AG19" s="81">
        <f t="shared" ref="AG19:AG22" si="17">SUM(U19:AF19)</f>
        <v>0</v>
      </c>
      <c r="AH19" s="85" t="str">
        <f t="shared" ref="AH19:AH22" si="18">IFERROR(AG19/AG$16,"")</f>
        <v/>
      </c>
      <c r="AI19" s="11"/>
      <c r="AJ19" s="81">
        <f t="shared" ref="AJ19:AJ22" si="19">N19-AG19</f>
        <v>0</v>
      </c>
    </row>
    <row r="20" ht="13.5" customHeight="1">
      <c r="A20" s="83" t="s">
        <v>88</v>
      </c>
      <c r="B20" s="81">
        <v>0.0</v>
      </c>
      <c r="C20" s="81">
        <v>0.0</v>
      </c>
      <c r="D20" s="81">
        <v>0.0</v>
      </c>
      <c r="E20" s="81">
        <v>0.0</v>
      </c>
      <c r="F20" s="81">
        <v>0.0</v>
      </c>
      <c r="G20" s="81">
        <v>0.0</v>
      </c>
      <c r="H20" s="81">
        <v>0.0</v>
      </c>
      <c r="I20" s="81">
        <v>0.0</v>
      </c>
      <c r="J20" s="84"/>
      <c r="K20" s="84"/>
      <c r="L20" s="84"/>
      <c r="M20" s="84"/>
      <c r="N20" s="81">
        <f t="shared" si="14"/>
        <v>0</v>
      </c>
      <c r="O20" s="85" t="str">
        <f t="shared" si="15"/>
        <v/>
      </c>
      <c r="P20" s="81"/>
      <c r="Q20" s="81"/>
      <c r="R20" s="86" t="s">
        <v>80</v>
      </c>
      <c r="S20" s="87">
        <v>0.0</v>
      </c>
      <c r="T20" s="88">
        <v>0.05</v>
      </c>
      <c r="U20" s="84">
        <f t="shared" ref="U20:AF20" si="16">IF($R20="Manual","",IFERROR(IF($R20="YOY Growth",$N20*(1+$T20)/12,$S20/12),""))</f>
        <v>0</v>
      </c>
      <c r="V20" s="84">
        <f t="shared" si="16"/>
        <v>0</v>
      </c>
      <c r="W20" s="84">
        <f t="shared" si="16"/>
        <v>0</v>
      </c>
      <c r="X20" s="84">
        <f t="shared" si="16"/>
        <v>0</v>
      </c>
      <c r="Y20" s="84">
        <f t="shared" si="16"/>
        <v>0</v>
      </c>
      <c r="Z20" s="84">
        <f t="shared" si="16"/>
        <v>0</v>
      </c>
      <c r="AA20" s="84">
        <f t="shared" si="16"/>
        <v>0</v>
      </c>
      <c r="AB20" s="84">
        <f t="shared" si="16"/>
        <v>0</v>
      </c>
      <c r="AC20" s="84">
        <f t="shared" si="16"/>
        <v>0</v>
      </c>
      <c r="AD20" s="84">
        <f t="shared" si="16"/>
        <v>0</v>
      </c>
      <c r="AE20" s="84">
        <f t="shared" si="16"/>
        <v>0</v>
      </c>
      <c r="AF20" s="84">
        <f t="shared" si="16"/>
        <v>0</v>
      </c>
      <c r="AG20" s="81">
        <f t="shared" si="17"/>
        <v>0</v>
      </c>
      <c r="AH20" s="85" t="str">
        <f t="shared" si="18"/>
        <v/>
      </c>
      <c r="AI20" s="11"/>
      <c r="AJ20" s="81">
        <f t="shared" si="19"/>
        <v>0</v>
      </c>
    </row>
    <row r="21" ht="13.5" customHeight="1">
      <c r="A21" s="83" t="s">
        <v>89</v>
      </c>
      <c r="B21" s="81">
        <v>0.0</v>
      </c>
      <c r="C21" s="81">
        <v>0.0</v>
      </c>
      <c r="D21" s="81">
        <v>0.0</v>
      </c>
      <c r="E21" s="81">
        <v>0.0</v>
      </c>
      <c r="F21" s="81">
        <v>0.0</v>
      </c>
      <c r="G21" s="81">
        <v>0.0</v>
      </c>
      <c r="H21" s="81">
        <v>0.0</v>
      </c>
      <c r="I21" s="81">
        <v>0.0</v>
      </c>
      <c r="J21" s="84"/>
      <c r="K21" s="84"/>
      <c r="L21" s="84"/>
      <c r="M21" s="84"/>
      <c r="N21" s="81">
        <f t="shared" si="14"/>
        <v>0</v>
      </c>
      <c r="O21" s="85" t="str">
        <f t="shared" si="15"/>
        <v/>
      </c>
      <c r="P21" s="81"/>
      <c r="Q21" s="81"/>
      <c r="R21" s="86" t="s">
        <v>80</v>
      </c>
      <c r="S21" s="87">
        <v>0.0</v>
      </c>
      <c r="T21" s="88">
        <v>0.05</v>
      </c>
      <c r="U21" s="84">
        <f t="shared" ref="U21:AF21" si="20">IF($R21="Manual","",IFERROR(IF($R21="YOY Growth",$N21*(1+$T21)/12,$S21/12),""))</f>
        <v>0</v>
      </c>
      <c r="V21" s="84">
        <f t="shared" si="20"/>
        <v>0</v>
      </c>
      <c r="W21" s="84">
        <f t="shared" si="20"/>
        <v>0</v>
      </c>
      <c r="X21" s="84">
        <f t="shared" si="20"/>
        <v>0</v>
      </c>
      <c r="Y21" s="84">
        <f t="shared" si="20"/>
        <v>0</v>
      </c>
      <c r="Z21" s="84">
        <f t="shared" si="20"/>
        <v>0</v>
      </c>
      <c r="AA21" s="84">
        <f t="shared" si="20"/>
        <v>0</v>
      </c>
      <c r="AB21" s="84">
        <f t="shared" si="20"/>
        <v>0</v>
      </c>
      <c r="AC21" s="84">
        <f t="shared" si="20"/>
        <v>0</v>
      </c>
      <c r="AD21" s="84">
        <f t="shared" si="20"/>
        <v>0</v>
      </c>
      <c r="AE21" s="84">
        <f t="shared" si="20"/>
        <v>0</v>
      </c>
      <c r="AF21" s="84">
        <f t="shared" si="20"/>
        <v>0</v>
      </c>
      <c r="AG21" s="81">
        <f t="shared" si="17"/>
        <v>0</v>
      </c>
      <c r="AH21" s="85" t="str">
        <f t="shared" si="18"/>
        <v/>
      </c>
      <c r="AI21" s="11"/>
      <c r="AJ21" s="81">
        <f t="shared" si="19"/>
        <v>0</v>
      </c>
    </row>
    <row r="22" ht="13.5" customHeight="1">
      <c r="A22" s="83" t="s">
        <v>90</v>
      </c>
      <c r="B22" s="81">
        <v>0.0</v>
      </c>
      <c r="C22" s="81">
        <v>0.0</v>
      </c>
      <c r="D22" s="81">
        <v>0.0</v>
      </c>
      <c r="E22" s="81">
        <v>0.0</v>
      </c>
      <c r="F22" s="81">
        <v>0.0</v>
      </c>
      <c r="G22" s="81">
        <v>0.0</v>
      </c>
      <c r="H22" s="81">
        <v>0.0</v>
      </c>
      <c r="I22" s="81">
        <v>0.0</v>
      </c>
      <c r="J22" s="84"/>
      <c r="K22" s="84"/>
      <c r="L22" s="84"/>
      <c r="M22" s="84"/>
      <c r="N22" s="81">
        <f t="shared" si="14"/>
        <v>0</v>
      </c>
      <c r="O22" s="85" t="str">
        <f t="shared" si="15"/>
        <v/>
      </c>
      <c r="P22" s="81"/>
      <c r="Q22" s="81"/>
      <c r="R22" s="86" t="s">
        <v>80</v>
      </c>
      <c r="S22" s="87">
        <v>0.0</v>
      </c>
      <c r="T22" s="88">
        <v>0.05</v>
      </c>
      <c r="U22" s="84">
        <f t="shared" ref="U22:AF22" si="21">IF($R22="Manual","",IFERROR(IF($R22="YOY Growth",$N22*(1+$T22)/12,$S22/12),""))</f>
        <v>0</v>
      </c>
      <c r="V22" s="84">
        <f t="shared" si="21"/>
        <v>0</v>
      </c>
      <c r="W22" s="84">
        <f t="shared" si="21"/>
        <v>0</v>
      </c>
      <c r="X22" s="84">
        <f t="shared" si="21"/>
        <v>0</v>
      </c>
      <c r="Y22" s="84">
        <f t="shared" si="21"/>
        <v>0</v>
      </c>
      <c r="Z22" s="84">
        <f t="shared" si="21"/>
        <v>0</v>
      </c>
      <c r="AA22" s="84">
        <f t="shared" si="21"/>
        <v>0</v>
      </c>
      <c r="AB22" s="84">
        <f t="shared" si="21"/>
        <v>0</v>
      </c>
      <c r="AC22" s="84">
        <f t="shared" si="21"/>
        <v>0</v>
      </c>
      <c r="AD22" s="84">
        <f t="shared" si="21"/>
        <v>0</v>
      </c>
      <c r="AE22" s="84">
        <f t="shared" si="21"/>
        <v>0</v>
      </c>
      <c r="AF22" s="84">
        <f t="shared" si="21"/>
        <v>0</v>
      </c>
      <c r="AG22" s="81">
        <f t="shared" si="17"/>
        <v>0</v>
      </c>
      <c r="AH22" s="85" t="str">
        <f t="shared" si="18"/>
        <v/>
      </c>
      <c r="AI22" s="11"/>
      <c r="AJ22" s="81">
        <f t="shared" si="19"/>
        <v>0</v>
      </c>
    </row>
    <row r="23" ht="13.5" customHeight="1">
      <c r="A23" s="82" t="s">
        <v>91</v>
      </c>
      <c r="B23" s="81"/>
      <c r="C23" s="81"/>
      <c r="D23" s="81"/>
      <c r="E23" s="81"/>
      <c r="F23" s="81"/>
      <c r="G23" s="81"/>
      <c r="H23" s="81"/>
      <c r="I23" s="81"/>
      <c r="J23" s="81"/>
      <c r="K23" s="81"/>
      <c r="L23" s="81"/>
      <c r="M23" s="81"/>
      <c r="N23" s="81"/>
      <c r="O23" s="85"/>
      <c r="P23" s="81"/>
      <c r="Q23" s="81"/>
      <c r="R23" s="92"/>
      <c r="S23" s="92"/>
      <c r="T23" s="92"/>
      <c r="U23" s="81"/>
      <c r="V23" s="81"/>
      <c r="W23" s="81"/>
      <c r="X23" s="81"/>
      <c r="Y23" s="81"/>
      <c r="Z23" s="81"/>
      <c r="AA23" s="81"/>
      <c r="AB23" s="81"/>
      <c r="AC23" s="81"/>
      <c r="AD23" s="81"/>
      <c r="AE23" s="81"/>
      <c r="AF23" s="81"/>
      <c r="AG23" s="81"/>
      <c r="AH23" s="85"/>
      <c r="AI23" s="11"/>
      <c r="AJ23" s="81"/>
    </row>
    <row r="24" ht="13.5" customHeight="1">
      <c r="A24" s="83" t="s">
        <v>91</v>
      </c>
      <c r="B24" s="81">
        <v>0.0</v>
      </c>
      <c r="C24" s="81">
        <v>0.0</v>
      </c>
      <c r="D24" s="81">
        <v>0.0</v>
      </c>
      <c r="E24" s="81">
        <v>0.0</v>
      </c>
      <c r="F24" s="81">
        <v>0.0</v>
      </c>
      <c r="G24" s="81">
        <v>0.0</v>
      </c>
      <c r="H24" s="81">
        <v>0.0</v>
      </c>
      <c r="I24" s="81">
        <v>0.0</v>
      </c>
      <c r="J24" s="93">
        <v>0.0</v>
      </c>
      <c r="K24" s="93">
        <v>0.0</v>
      </c>
      <c r="L24" s="93">
        <v>0.0</v>
      </c>
      <c r="M24" s="93">
        <v>0.0</v>
      </c>
      <c r="N24" s="81">
        <f t="shared" ref="N24:N31" si="23">SUM(B24:M24)</f>
        <v>0</v>
      </c>
      <c r="O24" s="85" t="str">
        <f t="shared" ref="O24:O31" si="24">IFERROR(N24/N$16,"")</f>
        <v/>
      </c>
      <c r="P24" s="81"/>
      <c r="Q24" s="81"/>
      <c r="R24" s="86" t="s">
        <v>80</v>
      </c>
      <c r="S24" s="87">
        <v>0.0</v>
      </c>
      <c r="T24" s="88">
        <v>0.05</v>
      </c>
      <c r="U24" s="84">
        <f t="shared" ref="U24:AF24" si="22">IF($R24="Manual","",IFERROR(IF($R24="YOY Growth",$N24*(1+$T24)/12,$S24/12),""))</f>
        <v>0</v>
      </c>
      <c r="V24" s="84">
        <f t="shared" si="22"/>
        <v>0</v>
      </c>
      <c r="W24" s="84">
        <f t="shared" si="22"/>
        <v>0</v>
      </c>
      <c r="X24" s="84">
        <f t="shared" si="22"/>
        <v>0</v>
      </c>
      <c r="Y24" s="84">
        <f t="shared" si="22"/>
        <v>0</v>
      </c>
      <c r="Z24" s="84">
        <f t="shared" si="22"/>
        <v>0</v>
      </c>
      <c r="AA24" s="84">
        <f t="shared" si="22"/>
        <v>0</v>
      </c>
      <c r="AB24" s="84">
        <f t="shared" si="22"/>
        <v>0</v>
      </c>
      <c r="AC24" s="84">
        <f t="shared" si="22"/>
        <v>0</v>
      </c>
      <c r="AD24" s="84">
        <f t="shared" si="22"/>
        <v>0</v>
      </c>
      <c r="AE24" s="84">
        <f t="shared" si="22"/>
        <v>0</v>
      </c>
      <c r="AF24" s="84">
        <f t="shared" si="22"/>
        <v>0</v>
      </c>
      <c r="AG24" s="81">
        <f t="shared" ref="AG24:AG31" si="26">SUM(U24:AF24)</f>
        <v>0</v>
      </c>
      <c r="AH24" s="85" t="str">
        <f t="shared" ref="AH24:AH31" si="27">IFERROR(AG24/AG$16,"")</f>
        <v/>
      </c>
      <c r="AI24" s="11"/>
      <c r="AJ24" s="81">
        <f t="shared" ref="AJ24:AJ31" si="28">N24-AG24</f>
        <v>0</v>
      </c>
    </row>
    <row r="25" ht="13.5" customHeight="1">
      <c r="A25" s="83" t="s">
        <v>92</v>
      </c>
      <c r="B25" s="81">
        <v>0.0</v>
      </c>
      <c r="C25" s="81">
        <v>0.0</v>
      </c>
      <c r="D25" s="81">
        <v>0.0</v>
      </c>
      <c r="E25" s="81">
        <v>0.0</v>
      </c>
      <c r="F25" s="81">
        <v>0.0</v>
      </c>
      <c r="G25" s="81">
        <v>0.0</v>
      </c>
      <c r="H25" s="81">
        <v>0.0</v>
      </c>
      <c r="I25" s="81">
        <v>0.0</v>
      </c>
      <c r="J25" s="93">
        <v>0.0</v>
      </c>
      <c r="K25" s="93">
        <v>0.0</v>
      </c>
      <c r="L25" s="93">
        <v>0.0</v>
      </c>
      <c r="M25" s="93">
        <v>0.0</v>
      </c>
      <c r="N25" s="81">
        <f t="shared" si="23"/>
        <v>0</v>
      </c>
      <c r="O25" s="85" t="str">
        <f t="shared" si="24"/>
        <v/>
      </c>
      <c r="P25" s="81"/>
      <c r="Q25" s="81"/>
      <c r="R25" s="86" t="s">
        <v>80</v>
      </c>
      <c r="S25" s="87">
        <v>0.0</v>
      </c>
      <c r="T25" s="88">
        <v>0.05</v>
      </c>
      <c r="U25" s="84">
        <f t="shared" ref="U25:AF25" si="25">IF($R25="Manual","",IFERROR(IF($R25="YOY Growth",$N25*(1+$T25)/12,$S25/12),""))</f>
        <v>0</v>
      </c>
      <c r="V25" s="84">
        <f t="shared" si="25"/>
        <v>0</v>
      </c>
      <c r="W25" s="84">
        <f t="shared" si="25"/>
        <v>0</v>
      </c>
      <c r="X25" s="84">
        <f t="shared" si="25"/>
        <v>0</v>
      </c>
      <c r="Y25" s="84">
        <f t="shared" si="25"/>
        <v>0</v>
      </c>
      <c r="Z25" s="84">
        <f t="shared" si="25"/>
        <v>0</v>
      </c>
      <c r="AA25" s="84">
        <f t="shared" si="25"/>
        <v>0</v>
      </c>
      <c r="AB25" s="84">
        <f t="shared" si="25"/>
        <v>0</v>
      </c>
      <c r="AC25" s="84">
        <f t="shared" si="25"/>
        <v>0</v>
      </c>
      <c r="AD25" s="84">
        <f t="shared" si="25"/>
        <v>0</v>
      </c>
      <c r="AE25" s="84">
        <f t="shared" si="25"/>
        <v>0</v>
      </c>
      <c r="AF25" s="84">
        <f t="shared" si="25"/>
        <v>0</v>
      </c>
      <c r="AG25" s="81">
        <f t="shared" si="26"/>
        <v>0</v>
      </c>
      <c r="AH25" s="85" t="str">
        <f t="shared" si="27"/>
        <v/>
      </c>
      <c r="AI25" s="11"/>
      <c r="AJ25" s="81">
        <f t="shared" si="28"/>
        <v>0</v>
      </c>
    </row>
    <row r="26" ht="13.5" customHeight="1">
      <c r="A26" s="83" t="s">
        <v>93</v>
      </c>
      <c r="B26" s="81">
        <v>0.0</v>
      </c>
      <c r="C26" s="81">
        <v>0.0</v>
      </c>
      <c r="D26" s="81">
        <v>0.0</v>
      </c>
      <c r="E26" s="81">
        <v>0.0</v>
      </c>
      <c r="F26" s="81">
        <v>0.0</v>
      </c>
      <c r="G26" s="81">
        <v>0.0</v>
      </c>
      <c r="H26" s="81">
        <v>0.0</v>
      </c>
      <c r="I26" s="81">
        <v>0.0</v>
      </c>
      <c r="J26" s="93">
        <v>0.0</v>
      </c>
      <c r="K26" s="93">
        <v>0.0</v>
      </c>
      <c r="L26" s="93">
        <v>0.0</v>
      </c>
      <c r="M26" s="93">
        <v>0.0</v>
      </c>
      <c r="N26" s="81">
        <f t="shared" si="23"/>
        <v>0</v>
      </c>
      <c r="O26" s="85" t="str">
        <f t="shared" si="24"/>
        <v/>
      </c>
      <c r="P26" s="81"/>
      <c r="Q26" s="81"/>
      <c r="R26" s="86" t="s">
        <v>80</v>
      </c>
      <c r="S26" s="87">
        <v>0.0</v>
      </c>
      <c r="T26" s="88">
        <v>0.05</v>
      </c>
      <c r="U26" s="84">
        <f t="shared" ref="U26:AF26" si="29">IF($R26="Manual","",IFERROR(IF($R26="YOY Growth",$N26*(1+$T26)/12,$S26/12),""))</f>
        <v>0</v>
      </c>
      <c r="V26" s="84">
        <f t="shared" si="29"/>
        <v>0</v>
      </c>
      <c r="W26" s="84">
        <f t="shared" si="29"/>
        <v>0</v>
      </c>
      <c r="X26" s="84">
        <f t="shared" si="29"/>
        <v>0</v>
      </c>
      <c r="Y26" s="84">
        <f t="shared" si="29"/>
        <v>0</v>
      </c>
      <c r="Z26" s="84">
        <f t="shared" si="29"/>
        <v>0</v>
      </c>
      <c r="AA26" s="84">
        <f t="shared" si="29"/>
        <v>0</v>
      </c>
      <c r="AB26" s="84">
        <f t="shared" si="29"/>
        <v>0</v>
      </c>
      <c r="AC26" s="84">
        <f t="shared" si="29"/>
        <v>0</v>
      </c>
      <c r="AD26" s="84">
        <f t="shared" si="29"/>
        <v>0</v>
      </c>
      <c r="AE26" s="84">
        <f t="shared" si="29"/>
        <v>0</v>
      </c>
      <c r="AF26" s="84">
        <f t="shared" si="29"/>
        <v>0</v>
      </c>
      <c r="AG26" s="81">
        <f t="shared" si="26"/>
        <v>0</v>
      </c>
      <c r="AH26" s="85" t="str">
        <f t="shared" si="27"/>
        <v/>
      </c>
      <c r="AI26" s="11"/>
      <c r="AJ26" s="81">
        <f t="shared" si="28"/>
        <v>0</v>
      </c>
    </row>
    <row r="27" ht="13.5" customHeight="1">
      <c r="A27" s="89" t="s">
        <v>94</v>
      </c>
      <c r="B27" s="90">
        <f t="shared" ref="B27:M27" si="30">SUM(B24:B26)</f>
        <v>0</v>
      </c>
      <c r="C27" s="90">
        <f t="shared" si="30"/>
        <v>0</v>
      </c>
      <c r="D27" s="90">
        <f t="shared" si="30"/>
        <v>0</v>
      </c>
      <c r="E27" s="90">
        <f t="shared" si="30"/>
        <v>0</v>
      </c>
      <c r="F27" s="90">
        <f t="shared" si="30"/>
        <v>0</v>
      </c>
      <c r="G27" s="90">
        <f t="shared" si="30"/>
        <v>0</v>
      </c>
      <c r="H27" s="90">
        <f t="shared" si="30"/>
        <v>0</v>
      </c>
      <c r="I27" s="90">
        <f t="shared" si="30"/>
        <v>0</v>
      </c>
      <c r="J27" s="90">
        <f t="shared" si="30"/>
        <v>0</v>
      </c>
      <c r="K27" s="90">
        <f t="shared" si="30"/>
        <v>0</v>
      </c>
      <c r="L27" s="90">
        <f t="shared" si="30"/>
        <v>0</v>
      </c>
      <c r="M27" s="90">
        <f t="shared" si="30"/>
        <v>0</v>
      </c>
      <c r="N27" s="90">
        <f t="shared" si="23"/>
        <v>0</v>
      </c>
      <c r="O27" s="91" t="str">
        <f t="shared" si="24"/>
        <v/>
      </c>
      <c r="P27" s="81"/>
      <c r="Q27" s="81"/>
      <c r="R27" s="92"/>
      <c r="S27" s="92"/>
      <c r="T27" s="92"/>
      <c r="U27" s="90">
        <f t="shared" ref="U27:AF27" si="31">SUM(U24:U26)</f>
        <v>0</v>
      </c>
      <c r="V27" s="90">
        <f t="shared" si="31"/>
        <v>0</v>
      </c>
      <c r="W27" s="90">
        <f t="shared" si="31"/>
        <v>0</v>
      </c>
      <c r="X27" s="90">
        <f t="shared" si="31"/>
        <v>0</v>
      </c>
      <c r="Y27" s="90">
        <f t="shared" si="31"/>
        <v>0</v>
      </c>
      <c r="Z27" s="90">
        <f t="shared" si="31"/>
        <v>0</v>
      </c>
      <c r="AA27" s="90">
        <f t="shared" si="31"/>
        <v>0</v>
      </c>
      <c r="AB27" s="90">
        <f t="shared" si="31"/>
        <v>0</v>
      </c>
      <c r="AC27" s="90">
        <f t="shared" si="31"/>
        <v>0</v>
      </c>
      <c r="AD27" s="90">
        <f t="shared" si="31"/>
        <v>0</v>
      </c>
      <c r="AE27" s="90">
        <f t="shared" si="31"/>
        <v>0</v>
      </c>
      <c r="AF27" s="90">
        <f t="shared" si="31"/>
        <v>0</v>
      </c>
      <c r="AG27" s="90">
        <f t="shared" si="26"/>
        <v>0</v>
      </c>
      <c r="AH27" s="91" t="str">
        <f t="shared" si="27"/>
        <v/>
      </c>
      <c r="AI27" s="11"/>
      <c r="AJ27" s="90">
        <f t="shared" si="28"/>
        <v>0</v>
      </c>
    </row>
    <row r="28" ht="13.5" customHeight="1">
      <c r="A28" s="83" t="s">
        <v>95</v>
      </c>
      <c r="B28" s="81">
        <v>0.0</v>
      </c>
      <c r="C28" s="81">
        <v>0.0</v>
      </c>
      <c r="D28" s="81">
        <v>0.0</v>
      </c>
      <c r="E28" s="81">
        <v>1312.33</v>
      </c>
      <c r="F28" s="81">
        <v>0.0</v>
      </c>
      <c r="G28" s="81">
        <v>0.0</v>
      </c>
      <c r="H28" s="81">
        <v>0.0</v>
      </c>
      <c r="I28" s="81">
        <v>0.0</v>
      </c>
      <c r="J28" s="93">
        <v>0.0</v>
      </c>
      <c r="K28" s="93">
        <v>0.0</v>
      </c>
      <c r="L28" s="93">
        <v>0.0</v>
      </c>
      <c r="M28" s="93">
        <v>0.0</v>
      </c>
      <c r="N28" s="81">
        <f t="shared" si="23"/>
        <v>1312.33</v>
      </c>
      <c r="O28" s="85" t="str">
        <f t="shared" si="24"/>
        <v/>
      </c>
      <c r="P28" s="81"/>
      <c r="Q28" s="81"/>
      <c r="R28" s="86" t="s">
        <v>80</v>
      </c>
      <c r="S28" s="87">
        <v>0.0</v>
      </c>
      <c r="T28" s="88">
        <v>0.05</v>
      </c>
      <c r="U28" s="84">
        <f t="shared" ref="U28:AF28" si="32">IF($R28="Manual","",IFERROR(IF($R28="YOY Growth",$N28*(1+$T28)/12,$S28/12),""))</f>
        <v>0</v>
      </c>
      <c r="V28" s="84">
        <f t="shared" si="32"/>
        <v>0</v>
      </c>
      <c r="W28" s="84">
        <f t="shared" si="32"/>
        <v>0</v>
      </c>
      <c r="X28" s="84">
        <f t="shared" si="32"/>
        <v>0</v>
      </c>
      <c r="Y28" s="84">
        <f t="shared" si="32"/>
        <v>0</v>
      </c>
      <c r="Z28" s="84">
        <f t="shared" si="32"/>
        <v>0</v>
      </c>
      <c r="AA28" s="84">
        <f t="shared" si="32"/>
        <v>0</v>
      </c>
      <c r="AB28" s="84">
        <f t="shared" si="32"/>
        <v>0</v>
      </c>
      <c r="AC28" s="84">
        <f t="shared" si="32"/>
        <v>0</v>
      </c>
      <c r="AD28" s="84">
        <f t="shared" si="32"/>
        <v>0</v>
      </c>
      <c r="AE28" s="84">
        <f t="shared" si="32"/>
        <v>0</v>
      </c>
      <c r="AF28" s="84">
        <f t="shared" si="32"/>
        <v>0</v>
      </c>
      <c r="AG28" s="81">
        <f t="shared" si="26"/>
        <v>0</v>
      </c>
      <c r="AH28" s="85" t="str">
        <f t="shared" si="27"/>
        <v/>
      </c>
      <c r="AI28" s="11"/>
      <c r="AJ28" s="81">
        <f t="shared" si="28"/>
        <v>1312.33</v>
      </c>
    </row>
    <row r="29" ht="13.5" customHeight="1">
      <c r="A29" s="83" t="s">
        <v>96</v>
      </c>
      <c r="B29" s="81">
        <v>118.63</v>
      </c>
      <c r="C29" s="81">
        <v>0.0</v>
      </c>
      <c r="D29" s="81">
        <v>0.0</v>
      </c>
      <c r="E29" s="81">
        <v>0.0</v>
      </c>
      <c r="F29" s="81">
        <v>14.38</v>
      </c>
      <c r="G29" s="81">
        <v>0.0</v>
      </c>
      <c r="H29" s="81">
        <v>0.0</v>
      </c>
      <c r="I29" s="81">
        <v>0.0</v>
      </c>
      <c r="J29" s="93">
        <v>0.0</v>
      </c>
      <c r="K29" s="93">
        <v>0.0</v>
      </c>
      <c r="L29" s="93">
        <v>0.0</v>
      </c>
      <c r="M29" s="93">
        <v>0.0</v>
      </c>
      <c r="N29" s="81">
        <f t="shared" si="23"/>
        <v>133.01</v>
      </c>
      <c r="O29" s="85" t="str">
        <f t="shared" si="24"/>
        <v/>
      </c>
      <c r="P29" s="81"/>
      <c r="Q29" s="81"/>
      <c r="R29" s="86" t="s">
        <v>80</v>
      </c>
      <c r="S29" s="87">
        <v>0.0</v>
      </c>
      <c r="T29" s="88">
        <v>0.05</v>
      </c>
      <c r="U29" s="84">
        <f t="shared" ref="U29:AF29" si="33">IF($R29="Manual","",IFERROR(IF($R29="YOY Growth",$N29*(1+$T29)/12,$S29/12),""))</f>
        <v>0</v>
      </c>
      <c r="V29" s="84">
        <f t="shared" si="33"/>
        <v>0</v>
      </c>
      <c r="W29" s="84">
        <f t="shared" si="33"/>
        <v>0</v>
      </c>
      <c r="X29" s="84">
        <f t="shared" si="33"/>
        <v>0</v>
      </c>
      <c r="Y29" s="84">
        <f t="shared" si="33"/>
        <v>0</v>
      </c>
      <c r="Z29" s="84">
        <f t="shared" si="33"/>
        <v>0</v>
      </c>
      <c r="AA29" s="84">
        <f t="shared" si="33"/>
        <v>0</v>
      </c>
      <c r="AB29" s="84">
        <f t="shared" si="33"/>
        <v>0</v>
      </c>
      <c r="AC29" s="84">
        <f t="shared" si="33"/>
        <v>0</v>
      </c>
      <c r="AD29" s="84">
        <f t="shared" si="33"/>
        <v>0</v>
      </c>
      <c r="AE29" s="84">
        <f t="shared" si="33"/>
        <v>0</v>
      </c>
      <c r="AF29" s="84">
        <f t="shared" si="33"/>
        <v>0</v>
      </c>
      <c r="AG29" s="81">
        <f t="shared" si="26"/>
        <v>0</v>
      </c>
      <c r="AH29" s="85" t="str">
        <f t="shared" si="27"/>
        <v/>
      </c>
      <c r="AI29" s="11"/>
      <c r="AJ29" s="81">
        <f t="shared" si="28"/>
        <v>133.01</v>
      </c>
    </row>
    <row r="30" ht="13.5" customHeight="1">
      <c r="A30" s="109" t="s">
        <v>98</v>
      </c>
      <c r="B30" s="81">
        <v>6093.31</v>
      </c>
      <c r="C30" s="81">
        <v>3188.15</v>
      </c>
      <c r="D30" s="81">
        <v>6516.64</v>
      </c>
      <c r="E30" s="81">
        <v>4232.23</v>
      </c>
      <c r="F30" s="81">
        <v>13531.9</v>
      </c>
      <c r="G30" s="81">
        <v>2938.06</v>
      </c>
      <c r="H30" s="81">
        <v>3402.48</v>
      </c>
      <c r="I30" s="81">
        <v>5552.25</v>
      </c>
      <c r="J30" s="93">
        <v>13000.0</v>
      </c>
      <c r="K30" s="93">
        <v>13000.0</v>
      </c>
      <c r="L30" s="93">
        <v>9000.0</v>
      </c>
      <c r="M30" s="93">
        <v>7000.0</v>
      </c>
      <c r="N30" s="81">
        <f t="shared" si="23"/>
        <v>87455.02</v>
      </c>
      <c r="O30" s="85" t="str">
        <f t="shared" si="24"/>
        <v/>
      </c>
      <c r="P30" s="81"/>
      <c r="Q30" s="81"/>
      <c r="R30" s="94" t="s">
        <v>97</v>
      </c>
      <c r="S30" s="87">
        <v>0.0</v>
      </c>
      <c r="T30" s="88">
        <v>0.05</v>
      </c>
      <c r="U30" s="95">
        <f>'Fld Eng Budget'!B74</f>
        <v>16558.91079</v>
      </c>
      <c r="V30" s="95">
        <f>'Fld Eng Budget'!C74</f>
        <v>11039.27386</v>
      </c>
      <c r="W30" s="95">
        <f>'Fld Eng Budget'!D74</f>
        <v>0</v>
      </c>
      <c r="X30" s="95">
        <f>'Fld Eng Budget'!E74</f>
        <v>26052.68631</v>
      </c>
      <c r="Y30" s="95">
        <f>'Fld Eng Budget'!F74</f>
        <v>20533.04938</v>
      </c>
      <c r="Z30" s="95">
        <f>'Fld Eng Budget'!G74</f>
        <v>30026.8249</v>
      </c>
      <c r="AA30" s="95">
        <f>'Fld Eng Budget'!H74</f>
        <v>26052.68631</v>
      </c>
      <c r="AB30" s="95">
        <f>'Fld Eng Budget'!I74</f>
        <v>31572.32324</v>
      </c>
      <c r="AC30" s="95">
        <f>'Fld Eng Budget'!J74</f>
        <v>41066.09875</v>
      </c>
      <c r="AD30" s="95">
        <f>'Fld Eng Budget'!K74</f>
        <v>41066.09875</v>
      </c>
      <c r="AE30" s="95">
        <f>'Fld Eng Budget'!L74</f>
        <v>50559.87427</v>
      </c>
      <c r="AF30" s="95">
        <f>'Fld Eng Budget'!M74</f>
        <v>52105.37261</v>
      </c>
      <c r="AG30" s="81">
        <f t="shared" si="26"/>
        <v>346633.1992</v>
      </c>
      <c r="AH30" s="85" t="str">
        <f t="shared" si="27"/>
        <v/>
      </c>
      <c r="AI30" s="11"/>
      <c r="AJ30" s="81">
        <f t="shared" si="28"/>
        <v>-259178.1792</v>
      </c>
    </row>
    <row r="31" ht="13.5" customHeight="1">
      <c r="A31" s="109" t="s">
        <v>99</v>
      </c>
      <c r="B31" s="81">
        <v>623.1</v>
      </c>
      <c r="C31" s="81">
        <v>491.08</v>
      </c>
      <c r="D31" s="81">
        <v>878.77</v>
      </c>
      <c r="E31" s="81">
        <v>846.11</v>
      </c>
      <c r="F31" s="81">
        <v>1479.8</v>
      </c>
      <c r="G31" s="81">
        <v>235.83</v>
      </c>
      <c r="H31" s="81">
        <v>436.9</v>
      </c>
      <c r="I31" s="81">
        <v>721.59</v>
      </c>
      <c r="J31" s="93">
        <v>1400.0</v>
      </c>
      <c r="K31" s="93">
        <v>1400.0</v>
      </c>
      <c r="L31" s="93">
        <v>1000.0</v>
      </c>
      <c r="M31" s="93">
        <v>800.0</v>
      </c>
      <c r="N31" s="81">
        <f t="shared" si="23"/>
        <v>10313.18</v>
      </c>
      <c r="O31" s="85" t="str">
        <f t="shared" si="24"/>
        <v/>
      </c>
      <c r="P31" s="81"/>
      <c r="Q31" s="81"/>
      <c r="R31" s="94" t="s">
        <v>97</v>
      </c>
      <c r="S31" s="87">
        <v>0.0</v>
      </c>
      <c r="T31" s="88">
        <v>0.05</v>
      </c>
      <c r="U31" s="95">
        <f>'Fld Eng Budget'!B75</f>
        <v>2014.993974</v>
      </c>
      <c r="V31" s="95">
        <f>'Fld Eng Budget'!C75</f>
        <v>1343.329316</v>
      </c>
      <c r="W31" s="95">
        <f>'Fld Eng Budget'!D75</f>
        <v>0</v>
      </c>
      <c r="X31" s="95">
        <f>'Fld Eng Budget'!E75</f>
        <v>3170.257185</v>
      </c>
      <c r="Y31" s="95">
        <f>'Fld Eng Budget'!F75</f>
        <v>2498.592528</v>
      </c>
      <c r="Z31" s="95">
        <f>'Fld Eng Budget'!G75</f>
        <v>3653.855739</v>
      </c>
      <c r="AA31" s="95">
        <f>'Fld Eng Budget'!H75</f>
        <v>3170.257185</v>
      </c>
      <c r="AB31" s="95">
        <f>'Fld Eng Budget'!I75</f>
        <v>3841.921843</v>
      </c>
      <c r="AC31" s="95">
        <f>'Fld Eng Budget'!J75</f>
        <v>4997.185055</v>
      </c>
      <c r="AD31" s="95">
        <f>'Fld Eng Budget'!K75</f>
        <v>4997.185055</v>
      </c>
      <c r="AE31" s="95">
        <f>'Fld Eng Budget'!L75</f>
        <v>6152.448267</v>
      </c>
      <c r="AF31" s="95">
        <f>'Fld Eng Budget'!M75</f>
        <v>6340.514371</v>
      </c>
      <c r="AG31" s="81">
        <f t="shared" si="26"/>
        <v>42180.54052</v>
      </c>
      <c r="AH31" s="85" t="str">
        <f t="shared" si="27"/>
        <v/>
      </c>
      <c r="AI31" s="11"/>
      <c r="AJ31" s="81">
        <f t="shared" si="28"/>
        <v>-31867.36052</v>
      </c>
    </row>
    <row r="32" ht="13.5" customHeight="1">
      <c r="A32" s="82" t="s">
        <v>100</v>
      </c>
      <c r="B32" s="81"/>
      <c r="C32" s="81"/>
      <c r="D32" s="81"/>
      <c r="E32" s="81"/>
      <c r="F32" s="81"/>
      <c r="G32" s="81"/>
      <c r="H32" s="81"/>
      <c r="I32" s="81"/>
      <c r="J32" s="81"/>
      <c r="K32" s="81"/>
      <c r="L32" s="81"/>
      <c r="M32" s="81"/>
      <c r="N32" s="81"/>
      <c r="O32" s="85"/>
      <c r="P32" s="81"/>
      <c r="Q32" s="81"/>
      <c r="R32" s="92"/>
      <c r="S32" s="92"/>
      <c r="T32" s="92"/>
      <c r="U32" s="81"/>
      <c r="V32" s="81"/>
      <c r="W32" s="81"/>
      <c r="X32" s="81"/>
      <c r="Y32" s="81"/>
      <c r="Z32" s="81"/>
      <c r="AA32" s="81"/>
      <c r="AB32" s="81"/>
      <c r="AC32" s="81"/>
      <c r="AD32" s="81"/>
      <c r="AE32" s="81"/>
      <c r="AF32" s="81"/>
      <c r="AG32" s="81"/>
      <c r="AH32" s="85"/>
      <c r="AI32" s="11"/>
      <c r="AJ32" s="81"/>
    </row>
    <row r="33" ht="13.5" customHeight="1">
      <c r="A33" s="83" t="s">
        <v>101</v>
      </c>
      <c r="B33" s="81">
        <v>0.0</v>
      </c>
      <c r="C33" s="81">
        <v>0.0</v>
      </c>
      <c r="D33" s="81">
        <v>0.0</v>
      </c>
      <c r="E33" s="81">
        <v>0.0</v>
      </c>
      <c r="F33" s="81">
        <v>0.0</v>
      </c>
      <c r="G33" s="81">
        <v>0.0</v>
      </c>
      <c r="H33" s="81">
        <v>0.0</v>
      </c>
      <c r="I33" s="81">
        <v>0.0</v>
      </c>
      <c r="J33" s="93">
        <v>0.0</v>
      </c>
      <c r="K33" s="93">
        <v>0.0</v>
      </c>
      <c r="L33" s="93">
        <v>0.0</v>
      </c>
      <c r="M33" s="93">
        <v>0.0</v>
      </c>
      <c r="N33" s="81">
        <f t="shared" ref="N33:N42" si="34">SUM(B33:M33)</f>
        <v>0</v>
      </c>
      <c r="O33" s="85" t="str">
        <f t="shared" ref="O33:O42" si="35">IFERROR(N33/N$16,"")</f>
        <v/>
      </c>
      <c r="P33" s="81"/>
      <c r="Q33" s="81"/>
      <c r="R33" s="92"/>
      <c r="S33" s="92"/>
      <c r="T33" s="92"/>
      <c r="U33" s="96"/>
      <c r="V33" s="96"/>
      <c r="W33" s="96"/>
      <c r="X33" s="96"/>
      <c r="Y33" s="96"/>
      <c r="Z33" s="96"/>
      <c r="AA33" s="96"/>
      <c r="AB33" s="96"/>
      <c r="AC33" s="96"/>
      <c r="AD33" s="96"/>
      <c r="AE33" s="96"/>
      <c r="AF33" s="96"/>
      <c r="AG33" s="81">
        <f t="shared" ref="AG33:AG42" si="36">SUM(U33:AF33)</f>
        <v>0</v>
      </c>
      <c r="AH33" s="85" t="str">
        <f t="shared" ref="AH33:AH42" si="37">IFERROR(AG33/AG$16,"")</f>
        <v/>
      </c>
      <c r="AI33" s="11"/>
      <c r="AJ33" s="81">
        <f t="shared" ref="AJ33:AJ42" si="38">N33-AG33</f>
        <v>0</v>
      </c>
    </row>
    <row r="34" ht="13.5" customHeight="1">
      <c r="A34" s="83" t="s">
        <v>102</v>
      </c>
      <c r="B34" s="81">
        <v>0.0</v>
      </c>
      <c r="C34" s="81">
        <v>0.0</v>
      </c>
      <c r="D34" s="81">
        <v>0.0</v>
      </c>
      <c r="E34" s="81">
        <v>0.0</v>
      </c>
      <c r="F34" s="81">
        <v>0.0</v>
      </c>
      <c r="G34" s="81">
        <v>0.0</v>
      </c>
      <c r="H34" s="81">
        <v>0.0</v>
      </c>
      <c r="I34" s="81">
        <v>0.0</v>
      </c>
      <c r="J34" s="93">
        <v>0.0</v>
      </c>
      <c r="K34" s="93">
        <v>0.0</v>
      </c>
      <c r="L34" s="93">
        <v>0.0</v>
      </c>
      <c r="M34" s="93">
        <v>0.0</v>
      </c>
      <c r="N34" s="81">
        <f t="shared" si="34"/>
        <v>0</v>
      </c>
      <c r="O34" s="85" t="str">
        <f t="shared" si="35"/>
        <v/>
      </c>
      <c r="P34" s="81"/>
      <c r="Q34" s="81"/>
      <c r="R34" s="92"/>
      <c r="S34" s="92"/>
      <c r="T34" s="92"/>
      <c r="U34" s="96"/>
      <c r="V34" s="96"/>
      <c r="W34" s="96"/>
      <c r="X34" s="96"/>
      <c r="Y34" s="96"/>
      <c r="Z34" s="96"/>
      <c r="AA34" s="96"/>
      <c r="AB34" s="96"/>
      <c r="AC34" s="96"/>
      <c r="AD34" s="96"/>
      <c r="AE34" s="96"/>
      <c r="AF34" s="96"/>
      <c r="AG34" s="81">
        <f t="shared" si="36"/>
        <v>0</v>
      </c>
      <c r="AH34" s="85" t="str">
        <f t="shared" si="37"/>
        <v/>
      </c>
      <c r="AI34" s="11"/>
      <c r="AJ34" s="81">
        <f t="shared" si="38"/>
        <v>0</v>
      </c>
    </row>
    <row r="35" ht="13.5" customHeight="1">
      <c r="A35" s="83" t="s">
        <v>103</v>
      </c>
      <c r="B35" s="81">
        <v>0.0</v>
      </c>
      <c r="C35" s="81">
        <v>0.0</v>
      </c>
      <c r="D35" s="81">
        <v>0.0</v>
      </c>
      <c r="E35" s="81">
        <v>0.0</v>
      </c>
      <c r="F35" s="81">
        <v>0.0</v>
      </c>
      <c r="G35" s="81">
        <v>0.0</v>
      </c>
      <c r="H35" s="81">
        <v>0.0</v>
      </c>
      <c r="I35" s="81">
        <v>0.0</v>
      </c>
      <c r="J35" s="93">
        <v>0.0</v>
      </c>
      <c r="K35" s="93">
        <v>0.0</v>
      </c>
      <c r="L35" s="93">
        <v>0.0</v>
      </c>
      <c r="M35" s="93">
        <v>0.0</v>
      </c>
      <c r="N35" s="81">
        <f t="shared" si="34"/>
        <v>0</v>
      </c>
      <c r="O35" s="85" t="str">
        <f t="shared" si="35"/>
        <v/>
      </c>
      <c r="P35" s="81"/>
      <c r="Q35" s="81"/>
      <c r="R35" s="92"/>
      <c r="S35" s="92"/>
      <c r="T35" s="92"/>
      <c r="U35" s="96"/>
      <c r="V35" s="96"/>
      <c r="W35" s="96"/>
      <c r="X35" s="96"/>
      <c r="Y35" s="96"/>
      <c r="Z35" s="96"/>
      <c r="AA35" s="96"/>
      <c r="AB35" s="96"/>
      <c r="AC35" s="96"/>
      <c r="AD35" s="96"/>
      <c r="AE35" s="96"/>
      <c r="AF35" s="96"/>
      <c r="AG35" s="81">
        <f t="shared" si="36"/>
        <v>0</v>
      </c>
      <c r="AH35" s="85" t="str">
        <f t="shared" si="37"/>
        <v/>
      </c>
      <c r="AI35" s="11"/>
      <c r="AJ35" s="81">
        <f t="shared" si="38"/>
        <v>0</v>
      </c>
    </row>
    <row r="36" ht="13.5" customHeight="1">
      <c r="A36" s="89" t="s">
        <v>104</v>
      </c>
      <c r="B36" s="90">
        <f t="shared" ref="B36:M36" si="39">SUM(B33:B35)</f>
        <v>0</v>
      </c>
      <c r="C36" s="90">
        <f t="shared" si="39"/>
        <v>0</v>
      </c>
      <c r="D36" s="90">
        <f t="shared" si="39"/>
        <v>0</v>
      </c>
      <c r="E36" s="90">
        <f t="shared" si="39"/>
        <v>0</v>
      </c>
      <c r="F36" s="90">
        <f t="shared" si="39"/>
        <v>0</v>
      </c>
      <c r="G36" s="90">
        <f t="shared" si="39"/>
        <v>0</v>
      </c>
      <c r="H36" s="90">
        <f t="shared" si="39"/>
        <v>0</v>
      </c>
      <c r="I36" s="90">
        <f t="shared" si="39"/>
        <v>0</v>
      </c>
      <c r="J36" s="90">
        <f t="shared" si="39"/>
        <v>0</v>
      </c>
      <c r="K36" s="90">
        <f t="shared" si="39"/>
        <v>0</v>
      </c>
      <c r="L36" s="90">
        <f t="shared" si="39"/>
        <v>0</v>
      </c>
      <c r="M36" s="90">
        <f t="shared" si="39"/>
        <v>0</v>
      </c>
      <c r="N36" s="90">
        <f t="shared" si="34"/>
        <v>0</v>
      </c>
      <c r="O36" s="91" t="str">
        <f t="shared" si="35"/>
        <v/>
      </c>
      <c r="P36" s="81"/>
      <c r="Q36" s="81"/>
      <c r="R36" s="92"/>
      <c r="S36" s="92"/>
      <c r="T36" s="92"/>
      <c r="U36" s="90">
        <f t="shared" ref="U36:AF36" si="40">SUM(U33:U35)</f>
        <v>0</v>
      </c>
      <c r="V36" s="90">
        <f t="shared" si="40"/>
        <v>0</v>
      </c>
      <c r="W36" s="90">
        <f t="shared" si="40"/>
        <v>0</v>
      </c>
      <c r="X36" s="90">
        <f t="shared" si="40"/>
        <v>0</v>
      </c>
      <c r="Y36" s="90">
        <f t="shared" si="40"/>
        <v>0</v>
      </c>
      <c r="Z36" s="90">
        <f t="shared" si="40"/>
        <v>0</v>
      </c>
      <c r="AA36" s="90">
        <f t="shared" si="40"/>
        <v>0</v>
      </c>
      <c r="AB36" s="90">
        <f t="shared" si="40"/>
        <v>0</v>
      </c>
      <c r="AC36" s="90">
        <f t="shared" si="40"/>
        <v>0</v>
      </c>
      <c r="AD36" s="90">
        <f t="shared" si="40"/>
        <v>0</v>
      </c>
      <c r="AE36" s="90">
        <f t="shared" si="40"/>
        <v>0</v>
      </c>
      <c r="AF36" s="90">
        <f t="shared" si="40"/>
        <v>0</v>
      </c>
      <c r="AG36" s="90">
        <f t="shared" si="36"/>
        <v>0</v>
      </c>
      <c r="AH36" s="91" t="str">
        <f t="shared" si="37"/>
        <v/>
      </c>
      <c r="AI36" s="11"/>
      <c r="AJ36" s="90">
        <f t="shared" si="38"/>
        <v>0</v>
      </c>
    </row>
    <row r="37" ht="13.5" customHeight="1">
      <c r="A37" s="89" t="s">
        <v>105</v>
      </c>
      <c r="B37" s="90">
        <f t="shared" ref="B37:M37" si="41">B19+B22+B27+B28+B29+B30+B31+B36+B20+B21</f>
        <v>6835.04</v>
      </c>
      <c r="C37" s="90">
        <f t="shared" si="41"/>
        <v>3679.23</v>
      </c>
      <c r="D37" s="90">
        <f t="shared" si="41"/>
        <v>7395.41</v>
      </c>
      <c r="E37" s="90">
        <f t="shared" si="41"/>
        <v>6390.67</v>
      </c>
      <c r="F37" s="90">
        <f t="shared" si="41"/>
        <v>15026.08</v>
      </c>
      <c r="G37" s="90">
        <f t="shared" si="41"/>
        <v>3173.89</v>
      </c>
      <c r="H37" s="90">
        <f t="shared" si="41"/>
        <v>3839.38</v>
      </c>
      <c r="I37" s="90">
        <f t="shared" si="41"/>
        <v>6273.84</v>
      </c>
      <c r="J37" s="90">
        <f t="shared" si="41"/>
        <v>14400</v>
      </c>
      <c r="K37" s="90">
        <f t="shared" si="41"/>
        <v>14400</v>
      </c>
      <c r="L37" s="90">
        <f t="shared" si="41"/>
        <v>10000</v>
      </c>
      <c r="M37" s="90">
        <f t="shared" si="41"/>
        <v>7800</v>
      </c>
      <c r="N37" s="90">
        <f t="shared" si="34"/>
        <v>99213.54</v>
      </c>
      <c r="O37" s="91" t="str">
        <f t="shared" si="35"/>
        <v/>
      </c>
      <c r="P37" s="81"/>
      <c r="Q37" s="81"/>
      <c r="R37" s="92"/>
      <c r="S37" s="92"/>
      <c r="T37" s="92"/>
      <c r="U37" s="90">
        <f t="shared" ref="U37:AF37" si="42">U19+U22+U27+U28+U29+U30+U31+U36+U20+U21</f>
        <v>18573.90476</v>
      </c>
      <c r="V37" s="90">
        <f t="shared" si="42"/>
        <v>12382.60317</v>
      </c>
      <c r="W37" s="90">
        <f t="shared" si="42"/>
        <v>0</v>
      </c>
      <c r="X37" s="90">
        <f t="shared" si="42"/>
        <v>29222.94349</v>
      </c>
      <c r="Y37" s="90">
        <f t="shared" si="42"/>
        <v>23031.6419</v>
      </c>
      <c r="Z37" s="90">
        <f t="shared" si="42"/>
        <v>33680.68063</v>
      </c>
      <c r="AA37" s="90">
        <f t="shared" si="42"/>
        <v>29222.94349</v>
      </c>
      <c r="AB37" s="90">
        <f t="shared" si="42"/>
        <v>35414.24508</v>
      </c>
      <c r="AC37" s="90">
        <f t="shared" si="42"/>
        <v>46063.28381</v>
      </c>
      <c r="AD37" s="90">
        <f t="shared" si="42"/>
        <v>46063.28381</v>
      </c>
      <c r="AE37" s="90">
        <f t="shared" si="42"/>
        <v>56712.32254</v>
      </c>
      <c r="AF37" s="90">
        <f t="shared" si="42"/>
        <v>58445.88698</v>
      </c>
      <c r="AG37" s="90">
        <f t="shared" si="36"/>
        <v>388813.7397</v>
      </c>
      <c r="AH37" s="91" t="str">
        <f t="shared" si="37"/>
        <v/>
      </c>
      <c r="AI37" s="11"/>
      <c r="AJ37" s="90">
        <f t="shared" si="38"/>
        <v>-289600.1997</v>
      </c>
    </row>
    <row r="38" ht="13.5" customHeight="1">
      <c r="A38" s="83" t="s">
        <v>106</v>
      </c>
      <c r="B38" s="81">
        <v>0.0</v>
      </c>
      <c r="C38" s="81">
        <v>0.0</v>
      </c>
      <c r="D38" s="81">
        <v>0.0</v>
      </c>
      <c r="E38" s="81">
        <v>0.0</v>
      </c>
      <c r="F38" s="81">
        <v>0.0</v>
      </c>
      <c r="G38" s="81">
        <v>0.0</v>
      </c>
      <c r="H38" s="81">
        <v>0.0</v>
      </c>
      <c r="I38" s="81">
        <v>0.0</v>
      </c>
      <c r="J38" s="93">
        <v>0.0</v>
      </c>
      <c r="K38" s="93">
        <v>0.0</v>
      </c>
      <c r="L38" s="93">
        <v>0.0</v>
      </c>
      <c r="M38" s="93">
        <v>0.0</v>
      </c>
      <c r="N38" s="81">
        <f t="shared" si="34"/>
        <v>0</v>
      </c>
      <c r="O38" s="85" t="str">
        <f t="shared" si="35"/>
        <v/>
      </c>
      <c r="P38" s="81"/>
      <c r="Q38" s="81"/>
      <c r="R38" s="86" t="s">
        <v>80</v>
      </c>
      <c r="S38" s="87">
        <v>0.0</v>
      </c>
      <c r="T38" s="88">
        <v>0.05</v>
      </c>
      <c r="U38" s="84">
        <f t="shared" ref="U38:AF38" si="43">IF($R38="Manual","",IFERROR(IF($R38="YOY Growth",$N38*(1+$T38)/12,$S38/12),""))</f>
        <v>0</v>
      </c>
      <c r="V38" s="84">
        <f t="shared" si="43"/>
        <v>0</v>
      </c>
      <c r="W38" s="84">
        <f t="shared" si="43"/>
        <v>0</v>
      </c>
      <c r="X38" s="84">
        <f t="shared" si="43"/>
        <v>0</v>
      </c>
      <c r="Y38" s="84">
        <f t="shared" si="43"/>
        <v>0</v>
      </c>
      <c r="Z38" s="84">
        <f t="shared" si="43"/>
        <v>0</v>
      </c>
      <c r="AA38" s="84">
        <f t="shared" si="43"/>
        <v>0</v>
      </c>
      <c r="AB38" s="84">
        <f t="shared" si="43"/>
        <v>0</v>
      </c>
      <c r="AC38" s="84">
        <f t="shared" si="43"/>
        <v>0</v>
      </c>
      <c r="AD38" s="84">
        <f t="shared" si="43"/>
        <v>0</v>
      </c>
      <c r="AE38" s="84">
        <f t="shared" si="43"/>
        <v>0</v>
      </c>
      <c r="AF38" s="84">
        <f t="shared" si="43"/>
        <v>0</v>
      </c>
      <c r="AG38" s="81">
        <f t="shared" si="36"/>
        <v>0</v>
      </c>
      <c r="AH38" s="85" t="str">
        <f t="shared" si="37"/>
        <v/>
      </c>
      <c r="AI38" s="11"/>
      <c r="AJ38" s="81">
        <f t="shared" si="38"/>
        <v>0</v>
      </c>
    </row>
    <row r="39" ht="13.5" customHeight="1">
      <c r="A39" s="83" t="s">
        <v>107</v>
      </c>
      <c r="B39" s="81">
        <v>0.0</v>
      </c>
      <c r="C39" s="81">
        <v>0.0</v>
      </c>
      <c r="D39" s="81">
        <v>0.0</v>
      </c>
      <c r="E39" s="81">
        <v>0.0</v>
      </c>
      <c r="F39" s="81">
        <v>0.0</v>
      </c>
      <c r="G39" s="81">
        <v>0.0</v>
      </c>
      <c r="H39" s="81">
        <v>0.0</v>
      </c>
      <c r="I39" s="81">
        <v>0.0</v>
      </c>
      <c r="J39" s="93">
        <v>0.0</v>
      </c>
      <c r="K39" s="93">
        <v>0.0</v>
      </c>
      <c r="L39" s="93">
        <v>0.0</v>
      </c>
      <c r="M39" s="93">
        <v>0.0</v>
      </c>
      <c r="N39" s="81">
        <f t="shared" si="34"/>
        <v>0</v>
      </c>
      <c r="O39" s="85" t="str">
        <f t="shared" si="35"/>
        <v/>
      </c>
      <c r="P39" s="81"/>
      <c r="Q39" s="81"/>
      <c r="R39" s="86" t="s">
        <v>80</v>
      </c>
      <c r="S39" s="87">
        <v>0.0</v>
      </c>
      <c r="T39" s="88">
        <v>0.05</v>
      </c>
      <c r="U39" s="84">
        <f t="shared" ref="U39:AF39" si="44">IF($R39="Manual","",IFERROR(IF($R39="YOY Growth",$N39*(1+$T39)/12,$S39/12),""))</f>
        <v>0</v>
      </c>
      <c r="V39" s="84">
        <f t="shared" si="44"/>
        <v>0</v>
      </c>
      <c r="W39" s="84">
        <f t="shared" si="44"/>
        <v>0</v>
      </c>
      <c r="X39" s="84">
        <f t="shared" si="44"/>
        <v>0</v>
      </c>
      <c r="Y39" s="84">
        <f t="shared" si="44"/>
        <v>0</v>
      </c>
      <c r="Z39" s="84">
        <f t="shared" si="44"/>
        <v>0</v>
      </c>
      <c r="AA39" s="84">
        <f t="shared" si="44"/>
        <v>0</v>
      </c>
      <c r="AB39" s="84">
        <f t="shared" si="44"/>
        <v>0</v>
      </c>
      <c r="AC39" s="84">
        <f t="shared" si="44"/>
        <v>0</v>
      </c>
      <c r="AD39" s="84">
        <f t="shared" si="44"/>
        <v>0</v>
      </c>
      <c r="AE39" s="84">
        <f t="shared" si="44"/>
        <v>0</v>
      </c>
      <c r="AF39" s="84">
        <f t="shared" si="44"/>
        <v>0</v>
      </c>
      <c r="AG39" s="81">
        <f t="shared" si="36"/>
        <v>0</v>
      </c>
      <c r="AH39" s="85" t="str">
        <f t="shared" si="37"/>
        <v/>
      </c>
      <c r="AI39" s="11"/>
      <c r="AJ39" s="81">
        <f t="shared" si="38"/>
        <v>0</v>
      </c>
    </row>
    <row r="40" ht="13.5" customHeight="1">
      <c r="A40" s="83" t="s">
        <v>108</v>
      </c>
      <c r="B40" s="81">
        <v>0.0</v>
      </c>
      <c r="C40" s="81">
        <v>0.0</v>
      </c>
      <c r="D40" s="81">
        <v>0.0</v>
      </c>
      <c r="E40" s="81">
        <v>0.0</v>
      </c>
      <c r="F40" s="81">
        <v>0.0</v>
      </c>
      <c r="G40" s="81">
        <v>0.0</v>
      </c>
      <c r="H40" s="81">
        <v>0.0</v>
      </c>
      <c r="I40" s="81">
        <v>0.0</v>
      </c>
      <c r="J40" s="93">
        <v>0.0</v>
      </c>
      <c r="K40" s="93">
        <v>0.0</v>
      </c>
      <c r="L40" s="93">
        <v>0.0</v>
      </c>
      <c r="M40" s="93">
        <v>0.0</v>
      </c>
      <c r="N40" s="81">
        <f t="shared" si="34"/>
        <v>0</v>
      </c>
      <c r="O40" s="85" t="str">
        <f t="shared" si="35"/>
        <v/>
      </c>
      <c r="P40" s="81"/>
      <c r="Q40" s="81"/>
      <c r="R40" s="86" t="s">
        <v>80</v>
      </c>
      <c r="S40" s="87">
        <v>0.0</v>
      </c>
      <c r="T40" s="88">
        <v>0.05</v>
      </c>
      <c r="U40" s="84">
        <f t="shared" ref="U40:AF40" si="45">IF($R40="Manual","",IFERROR(IF($R40="YOY Growth",$N40*(1+$T40)/12,$S40/12),""))</f>
        <v>0</v>
      </c>
      <c r="V40" s="84">
        <f t="shared" si="45"/>
        <v>0</v>
      </c>
      <c r="W40" s="84">
        <f t="shared" si="45"/>
        <v>0</v>
      </c>
      <c r="X40" s="84">
        <f t="shared" si="45"/>
        <v>0</v>
      </c>
      <c r="Y40" s="84">
        <f t="shared" si="45"/>
        <v>0</v>
      </c>
      <c r="Z40" s="84">
        <f t="shared" si="45"/>
        <v>0</v>
      </c>
      <c r="AA40" s="84">
        <f t="shared" si="45"/>
        <v>0</v>
      </c>
      <c r="AB40" s="84">
        <f t="shared" si="45"/>
        <v>0</v>
      </c>
      <c r="AC40" s="84">
        <f t="shared" si="45"/>
        <v>0</v>
      </c>
      <c r="AD40" s="84">
        <f t="shared" si="45"/>
        <v>0</v>
      </c>
      <c r="AE40" s="84">
        <f t="shared" si="45"/>
        <v>0</v>
      </c>
      <c r="AF40" s="84">
        <f t="shared" si="45"/>
        <v>0</v>
      </c>
      <c r="AG40" s="81">
        <f t="shared" si="36"/>
        <v>0</v>
      </c>
      <c r="AH40" s="85" t="str">
        <f t="shared" si="37"/>
        <v/>
      </c>
      <c r="AI40" s="11"/>
      <c r="AJ40" s="81">
        <f t="shared" si="38"/>
        <v>0</v>
      </c>
    </row>
    <row r="41" ht="13.5" customHeight="1">
      <c r="A41" s="83" t="s">
        <v>109</v>
      </c>
      <c r="B41" s="81">
        <v>0.0</v>
      </c>
      <c r="C41" s="81">
        <v>0.0</v>
      </c>
      <c r="D41" s="81">
        <v>0.0</v>
      </c>
      <c r="E41" s="81">
        <v>0.0</v>
      </c>
      <c r="F41" s="81">
        <v>0.0</v>
      </c>
      <c r="G41" s="81">
        <v>0.0</v>
      </c>
      <c r="H41" s="81">
        <v>0.0</v>
      </c>
      <c r="I41" s="81">
        <v>0.0</v>
      </c>
      <c r="J41" s="93"/>
      <c r="K41" s="93"/>
      <c r="L41" s="93"/>
      <c r="M41" s="93"/>
      <c r="N41" s="81">
        <f t="shared" si="34"/>
        <v>0</v>
      </c>
      <c r="O41" s="85" t="str">
        <f t="shared" si="35"/>
        <v/>
      </c>
      <c r="P41" s="81"/>
      <c r="Q41" s="81"/>
      <c r="R41" s="86" t="s">
        <v>80</v>
      </c>
      <c r="S41" s="87">
        <v>0.0</v>
      </c>
      <c r="T41" s="88">
        <v>0.05</v>
      </c>
      <c r="U41" s="84">
        <f t="shared" ref="U41:AF41" si="46">IF($R41="Manual","",IFERROR(IF($R41="YOY Growth",$N41*(1+$T41)/12,$S41/12),""))</f>
        <v>0</v>
      </c>
      <c r="V41" s="84">
        <f t="shared" si="46"/>
        <v>0</v>
      </c>
      <c r="W41" s="84">
        <f t="shared" si="46"/>
        <v>0</v>
      </c>
      <c r="X41" s="84">
        <f t="shared" si="46"/>
        <v>0</v>
      </c>
      <c r="Y41" s="84">
        <f t="shared" si="46"/>
        <v>0</v>
      </c>
      <c r="Z41" s="84">
        <f t="shared" si="46"/>
        <v>0</v>
      </c>
      <c r="AA41" s="84">
        <f t="shared" si="46"/>
        <v>0</v>
      </c>
      <c r="AB41" s="84">
        <f t="shared" si="46"/>
        <v>0</v>
      </c>
      <c r="AC41" s="84">
        <f t="shared" si="46"/>
        <v>0</v>
      </c>
      <c r="AD41" s="84">
        <f t="shared" si="46"/>
        <v>0</v>
      </c>
      <c r="AE41" s="84">
        <f t="shared" si="46"/>
        <v>0</v>
      </c>
      <c r="AF41" s="84">
        <f t="shared" si="46"/>
        <v>0</v>
      </c>
      <c r="AG41" s="81">
        <f t="shared" si="36"/>
        <v>0</v>
      </c>
      <c r="AH41" s="85" t="str">
        <f t="shared" si="37"/>
        <v/>
      </c>
      <c r="AI41" s="11"/>
      <c r="AJ41" s="81">
        <f t="shared" si="38"/>
        <v>0</v>
      </c>
    </row>
    <row r="42" ht="13.5" customHeight="1">
      <c r="A42" s="83" t="s">
        <v>110</v>
      </c>
      <c r="B42" s="81">
        <v>0.0</v>
      </c>
      <c r="C42" s="81">
        <v>0.0</v>
      </c>
      <c r="D42" s="81">
        <v>0.0</v>
      </c>
      <c r="E42" s="81">
        <v>0.0</v>
      </c>
      <c r="F42" s="81">
        <v>0.0</v>
      </c>
      <c r="G42" s="81">
        <v>0.0</v>
      </c>
      <c r="H42" s="81">
        <v>0.0</v>
      </c>
      <c r="I42" s="81">
        <v>0.0</v>
      </c>
      <c r="J42" s="93">
        <v>0.0</v>
      </c>
      <c r="K42" s="93">
        <v>0.0</v>
      </c>
      <c r="L42" s="93">
        <v>0.0</v>
      </c>
      <c r="M42" s="93">
        <v>0.0</v>
      </c>
      <c r="N42" s="81">
        <f t="shared" si="34"/>
        <v>0</v>
      </c>
      <c r="O42" s="85" t="str">
        <f t="shared" si="35"/>
        <v/>
      </c>
      <c r="P42" s="81"/>
      <c r="Q42" s="81"/>
      <c r="R42" s="86" t="s">
        <v>80</v>
      </c>
      <c r="S42" s="87">
        <v>0.0</v>
      </c>
      <c r="T42" s="88">
        <v>0.05</v>
      </c>
      <c r="U42" s="84">
        <f t="shared" ref="U42:AF42" si="47">IF($R42="Manual","",IFERROR(IF($R42="YOY Growth",$N42*(1+$T42)/12,$S42/12),""))</f>
        <v>0</v>
      </c>
      <c r="V42" s="84">
        <f t="shared" si="47"/>
        <v>0</v>
      </c>
      <c r="W42" s="84">
        <f t="shared" si="47"/>
        <v>0</v>
      </c>
      <c r="X42" s="84">
        <f t="shared" si="47"/>
        <v>0</v>
      </c>
      <c r="Y42" s="84">
        <f t="shared" si="47"/>
        <v>0</v>
      </c>
      <c r="Z42" s="84">
        <f t="shared" si="47"/>
        <v>0</v>
      </c>
      <c r="AA42" s="84">
        <f t="shared" si="47"/>
        <v>0</v>
      </c>
      <c r="AB42" s="84">
        <f t="shared" si="47"/>
        <v>0</v>
      </c>
      <c r="AC42" s="84">
        <f t="shared" si="47"/>
        <v>0</v>
      </c>
      <c r="AD42" s="84">
        <f t="shared" si="47"/>
        <v>0</v>
      </c>
      <c r="AE42" s="84">
        <f t="shared" si="47"/>
        <v>0</v>
      </c>
      <c r="AF42" s="84">
        <f t="shared" si="47"/>
        <v>0</v>
      </c>
      <c r="AG42" s="81">
        <f t="shared" si="36"/>
        <v>0</v>
      </c>
      <c r="AH42" s="85" t="str">
        <f t="shared" si="37"/>
        <v/>
      </c>
      <c r="AI42" s="11"/>
      <c r="AJ42" s="81">
        <f t="shared" si="38"/>
        <v>0</v>
      </c>
    </row>
    <row r="43" ht="13.5" customHeight="1">
      <c r="A43" s="82" t="s">
        <v>111</v>
      </c>
      <c r="B43" s="81"/>
      <c r="C43" s="81"/>
      <c r="D43" s="81"/>
      <c r="E43" s="81"/>
      <c r="F43" s="81"/>
      <c r="G43" s="81"/>
      <c r="H43" s="81"/>
      <c r="I43" s="81"/>
      <c r="J43" s="81"/>
      <c r="K43" s="81"/>
      <c r="L43" s="81"/>
      <c r="M43" s="81"/>
      <c r="N43" s="81"/>
      <c r="O43" s="85"/>
      <c r="P43" s="81"/>
      <c r="Q43" s="81"/>
      <c r="R43" s="92"/>
      <c r="S43" s="92"/>
      <c r="T43" s="92"/>
      <c r="U43" s="81"/>
      <c r="V43" s="81"/>
      <c r="W43" s="81"/>
      <c r="X43" s="81"/>
      <c r="Y43" s="81"/>
      <c r="Z43" s="81"/>
      <c r="AA43" s="81"/>
      <c r="AB43" s="81"/>
      <c r="AC43" s="81"/>
      <c r="AD43" s="81"/>
      <c r="AE43" s="81"/>
      <c r="AF43" s="81"/>
      <c r="AG43" s="81"/>
      <c r="AH43" s="85"/>
      <c r="AI43" s="11"/>
      <c r="AJ43" s="81"/>
    </row>
    <row r="44" ht="13.5" customHeight="1">
      <c r="A44" s="83" t="s">
        <v>112</v>
      </c>
      <c r="B44" s="81">
        <v>0.0</v>
      </c>
      <c r="C44" s="81">
        <v>0.0</v>
      </c>
      <c r="D44" s="81">
        <v>0.0</v>
      </c>
      <c r="E44" s="81">
        <v>0.0</v>
      </c>
      <c r="F44" s="81">
        <v>0.0</v>
      </c>
      <c r="G44" s="81">
        <v>0.0</v>
      </c>
      <c r="H44" s="81">
        <v>0.0</v>
      </c>
      <c r="I44" s="81">
        <v>0.0</v>
      </c>
      <c r="J44" s="93">
        <v>0.0</v>
      </c>
      <c r="K44" s="93">
        <v>0.0</v>
      </c>
      <c r="L44" s="93">
        <v>0.0</v>
      </c>
      <c r="M44" s="93">
        <v>0.0</v>
      </c>
      <c r="N44" s="81">
        <f t="shared" ref="N44:N50" si="49">SUM(B44:M44)</f>
        <v>0</v>
      </c>
      <c r="O44" s="85" t="str">
        <f t="shared" ref="O44:O50" si="50">IFERROR(N44/N$16,"")</f>
        <v/>
      </c>
      <c r="P44" s="81"/>
      <c r="Q44" s="81"/>
      <c r="R44" s="86" t="s">
        <v>80</v>
      </c>
      <c r="S44" s="87">
        <v>0.0</v>
      </c>
      <c r="T44" s="88">
        <v>0.05</v>
      </c>
      <c r="U44" s="84">
        <f t="shared" ref="U44:AF44" si="48">IF($R44="Manual","",IFERROR(IF($R44="YOY Growth",$N44*(1+$T44)/12,$S44/12),""))</f>
        <v>0</v>
      </c>
      <c r="V44" s="84">
        <f t="shared" si="48"/>
        <v>0</v>
      </c>
      <c r="W44" s="84">
        <f t="shared" si="48"/>
        <v>0</v>
      </c>
      <c r="X44" s="84">
        <f t="shared" si="48"/>
        <v>0</v>
      </c>
      <c r="Y44" s="84">
        <f t="shared" si="48"/>
        <v>0</v>
      </c>
      <c r="Z44" s="84">
        <f t="shared" si="48"/>
        <v>0</v>
      </c>
      <c r="AA44" s="84">
        <f t="shared" si="48"/>
        <v>0</v>
      </c>
      <c r="AB44" s="84">
        <f t="shared" si="48"/>
        <v>0</v>
      </c>
      <c r="AC44" s="84">
        <f t="shared" si="48"/>
        <v>0</v>
      </c>
      <c r="AD44" s="84">
        <f t="shared" si="48"/>
        <v>0</v>
      </c>
      <c r="AE44" s="84">
        <f t="shared" si="48"/>
        <v>0</v>
      </c>
      <c r="AF44" s="84">
        <f t="shared" si="48"/>
        <v>0</v>
      </c>
      <c r="AG44" s="81">
        <f t="shared" ref="AG44:AG50" si="52">SUM(U44:AF44)</f>
        <v>0</v>
      </c>
      <c r="AH44" s="85" t="str">
        <f t="shared" ref="AH44:AH50" si="53">IFERROR(AG44/AG$16,"")</f>
        <v/>
      </c>
      <c r="AI44" s="11"/>
      <c r="AJ44" s="81">
        <f t="shared" ref="AJ44:AJ50" si="54">N44-AG44</f>
        <v>0</v>
      </c>
    </row>
    <row r="45" ht="13.5" customHeight="1">
      <c r="A45" s="83" t="s">
        <v>113</v>
      </c>
      <c r="B45" s="81">
        <v>166.17</v>
      </c>
      <c r="C45" s="81">
        <v>0.0</v>
      </c>
      <c r="D45" s="81">
        <v>0.0</v>
      </c>
      <c r="E45" s="81">
        <v>0.0</v>
      </c>
      <c r="F45" s="81">
        <v>0.0</v>
      </c>
      <c r="G45" s="81">
        <v>0.0</v>
      </c>
      <c r="H45" s="81">
        <v>0.0</v>
      </c>
      <c r="I45" s="81">
        <v>0.0</v>
      </c>
      <c r="J45" s="93">
        <v>0.0</v>
      </c>
      <c r="K45" s="93">
        <v>0.0</v>
      </c>
      <c r="L45" s="93">
        <v>0.0</v>
      </c>
      <c r="M45" s="93">
        <v>0.0</v>
      </c>
      <c r="N45" s="81">
        <f t="shared" si="49"/>
        <v>166.17</v>
      </c>
      <c r="O45" s="85" t="str">
        <f t="shared" si="50"/>
        <v/>
      </c>
      <c r="P45" s="81"/>
      <c r="Q45" s="81"/>
      <c r="R45" s="86" t="s">
        <v>80</v>
      </c>
      <c r="S45" s="87">
        <v>0.0</v>
      </c>
      <c r="T45" s="88">
        <v>0.05</v>
      </c>
      <c r="U45" s="84">
        <f t="shared" ref="U45:AF45" si="51">IF($R45="Manual","",IFERROR(IF($R45="YOY Growth",$N45*(1+$T45)/12,$S45/12),""))</f>
        <v>0</v>
      </c>
      <c r="V45" s="84">
        <f t="shared" si="51"/>
        <v>0</v>
      </c>
      <c r="W45" s="84">
        <f t="shared" si="51"/>
        <v>0</v>
      </c>
      <c r="X45" s="84">
        <f t="shared" si="51"/>
        <v>0</v>
      </c>
      <c r="Y45" s="84">
        <f t="shared" si="51"/>
        <v>0</v>
      </c>
      <c r="Z45" s="84">
        <f t="shared" si="51"/>
        <v>0</v>
      </c>
      <c r="AA45" s="84">
        <f t="shared" si="51"/>
        <v>0</v>
      </c>
      <c r="AB45" s="84">
        <f t="shared" si="51"/>
        <v>0</v>
      </c>
      <c r="AC45" s="84">
        <f t="shared" si="51"/>
        <v>0</v>
      </c>
      <c r="AD45" s="84">
        <f t="shared" si="51"/>
        <v>0</v>
      </c>
      <c r="AE45" s="84">
        <f t="shared" si="51"/>
        <v>0</v>
      </c>
      <c r="AF45" s="84">
        <f t="shared" si="51"/>
        <v>0</v>
      </c>
      <c r="AG45" s="81">
        <f t="shared" si="52"/>
        <v>0</v>
      </c>
      <c r="AH45" s="85" t="str">
        <f t="shared" si="53"/>
        <v/>
      </c>
      <c r="AI45" s="11"/>
      <c r="AJ45" s="81">
        <f t="shared" si="54"/>
        <v>166.17</v>
      </c>
    </row>
    <row r="46" ht="13.5" customHeight="1">
      <c r="A46" s="83" t="s">
        <v>114</v>
      </c>
      <c r="B46" s="81">
        <v>2183.21</v>
      </c>
      <c r="C46" s="81">
        <v>1487.15</v>
      </c>
      <c r="D46" s="81">
        <v>1055.56</v>
      </c>
      <c r="E46" s="81">
        <v>37.64</v>
      </c>
      <c r="F46" s="81">
        <v>1945.1</v>
      </c>
      <c r="G46" s="81">
        <v>359.11</v>
      </c>
      <c r="H46" s="81">
        <v>-16.62</v>
      </c>
      <c r="I46" s="81">
        <v>169.57</v>
      </c>
      <c r="J46" s="93">
        <v>1900.0</v>
      </c>
      <c r="K46" s="93">
        <v>1900.0</v>
      </c>
      <c r="L46" s="93">
        <v>1900.0</v>
      </c>
      <c r="M46" s="93">
        <v>1900.0</v>
      </c>
      <c r="N46" s="81">
        <f t="shared" si="49"/>
        <v>14820.72</v>
      </c>
      <c r="O46" s="85" t="str">
        <f t="shared" si="50"/>
        <v/>
      </c>
      <c r="P46" s="81"/>
      <c r="Q46" s="81"/>
      <c r="R46" s="86" t="s">
        <v>80</v>
      </c>
      <c r="S46" s="87">
        <v>0.0</v>
      </c>
      <c r="T46" s="88">
        <v>0.05</v>
      </c>
      <c r="U46" s="84">
        <f t="shared" ref="U46:AF46" si="55">IF($R46="Manual","",IFERROR(IF($R46="YOY Growth",$N46*(1+$T46)/12,$S46/12),""))</f>
        <v>0</v>
      </c>
      <c r="V46" s="84">
        <f t="shared" si="55"/>
        <v>0</v>
      </c>
      <c r="W46" s="84">
        <f t="shared" si="55"/>
        <v>0</v>
      </c>
      <c r="X46" s="84">
        <f t="shared" si="55"/>
        <v>0</v>
      </c>
      <c r="Y46" s="84">
        <f t="shared" si="55"/>
        <v>0</v>
      </c>
      <c r="Z46" s="84">
        <f t="shared" si="55"/>
        <v>0</v>
      </c>
      <c r="AA46" s="84">
        <f t="shared" si="55"/>
        <v>0</v>
      </c>
      <c r="AB46" s="84">
        <f t="shared" si="55"/>
        <v>0</v>
      </c>
      <c r="AC46" s="84">
        <f t="shared" si="55"/>
        <v>0</v>
      </c>
      <c r="AD46" s="84">
        <f t="shared" si="55"/>
        <v>0</v>
      </c>
      <c r="AE46" s="84">
        <f t="shared" si="55"/>
        <v>0</v>
      </c>
      <c r="AF46" s="84">
        <f t="shared" si="55"/>
        <v>0</v>
      </c>
      <c r="AG46" s="81">
        <f t="shared" si="52"/>
        <v>0</v>
      </c>
      <c r="AH46" s="85" t="str">
        <f t="shared" si="53"/>
        <v/>
      </c>
      <c r="AI46" s="11"/>
      <c r="AJ46" s="81">
        <f t="shared" si="54"/>
        <v>14820.72</v>
      </c>
    </row>
    <row r="47" ht="13.5" customHeight="1">
      <c r="A47" s="83" t="s">
        <v>115</v>
      </c>
      <c r="B47" s="81">
        <v>245.8</v>
      </c>
      <c r="C47" s="81">
        <v>0.0</v>
      </c>
      <c r="D47" s="81">
        <v>0.0</v>
      </c>
      <c r="E47" s="81">
        <v>21.59</v>
      </c>
      <c r="F47" s="81">
        <v>12.62</v>
      </c>
      <c r="G47" s="81">
        <v>0.0</v>
      </c>
      <c r="H47" s="81">
        <v>0.0</v>
      </c>
      <c r="I47" s="81">
        <v>73.45</v>
      </c>
      <c r="J47" s="93">
        <v>0.0</v>
      </c>
      <c r="K47" s="93">
        <v>0.0</v>
      </c>
      <c r="L47" s="93">
        <v>0.0</v>
      </c>
      <c r="M47" s="93">
        <v>0.0</v>
      </c>
      <c r="N47" s="81">
        <f t="shared" si="49"/>
        <v>353.46</v>
      </c>
      <c r="O47" s="85" t="str">
        <f t="shared" si="50"/>
        <v/>
      </c>
      <c r="P47" s="81"/>
      <c r="Q47" s="81"/>
      <c r="R47" s="86" t="s">
        <v>80</v>
      </c>
      <c r="S47" s="87">
        <v>0.0</v>
      </c>
      <c r="T47" s="88">
        <v>0.05</v>
      </c>
      <c r="U47" s="84">
        <f t="shared" ref="U47:AF47" si="56">IF($R47="Manual","",IFERROR(IF($R47="YOY Growth",$N47*(1+$T47)/12,$S47/12),""))</f>
        <v>0</v>
      </c>
      <c r="V47" s="84">
        <f t="shared" si="56"/>
        <v>0</v>
      </c>
      <c r="W47" s="84">
        <f t="shared" si="56"/>
        <v>0</v>
      </c>
      <c r="X47" s="84">
        <f t="shared" si="56"/>
        <v>0</v>
      </c>
      <c r="Y47" s="84">
        <f t="shared" si="56"/>
        <v>0</v>
      </c>
      <c r="Z47" s="84">
        <f t="shared" si="56"/>
        <v>0</v>
      </c>
      <c r="AA47" s="84">
        <f t="shared" si="56"/>
        <v>0</v>
      </c>
      <c r="AB47" s="84">
        <f t="shared" si="56"/>
        <v>0</v>
      </c>
      <c r="AC47" s="84">
        <f t="shared" si="56"/>
        <v>0</v>
      </c>
      <c r="AD47" s="84">
        <f t="shared" si="56"/>
        <v>0</v>
      </c>
      <c r="AE47" s="84">
        <f t="shared" si="56"/>
        <v>0</v>
      </c>
      <c r="AF47" s="84">
        <f t="shared" si="56"/>
        <v>0</v>
      </c>
      <c r="AG47" s="81">
        <f t="shared" si="52"/>
        <v>0</v>
      </c>
      <c r="AH47" s="85" t="str">
        <f t="shared" si="53"/>
        <v/>
      </c>
      <c r="AI47" s="11"/>
      <c r="AJ47" s="81">
        <f t="shared" si="54"/>
        <v>353.46</v>
      </c>
    </row>
    <row r="48" ht="13.5" customHeight="1">
      <c r="A48" s="83" t="s">
        <v>116</v>
      </c>
      <c r="B48" s="81">
        <v>0.0</v>
      </c>
      <c r="C48" s="81">
        <v>0.0</v>
      </c>
      <c r="D48" s="81">
        <v>0.0</v>
      </c>
      <c r="E48" s="81">
        <v>0.0</v>
      </c>
      <c r="F48" s="81">
        <v>0.0</v>
      </c>
      <c r="G48" s="81">
        <v>0.0</v>
      </c>
      <c r="H48" s="81">
        <v>0.0</v>
      </c>
      <c r="I48" s="81">
        <v>0.0</v>
      </c>
      <c r="J48" s="93">
        <v>0.0</v>
      </c>
      <c r="K48" s="93">
        <v>0.0</v>
      </c>
      <c r="L48" s="93">
        <v>0.0</v>
      </c>
      <c r="M48" s="93">
        <v>0.0</v>
      </c>
      <c r="N48" s="81">
        <f t="shared" si="49"/>
        <v>0</v>
      </c>
      <c r="O48" s="85" t="str">
        <f t="shared" si="50"/>
        <v/>
      </c>
      <c r="P48" s="81"/>
      <c r="Q48" s="81"/>
      <c r="R48" s="86" t="s">
        <v>80</v>
      </c>
      <c r="S48" s="87">
        <v>0.0</v>
      </c>
      <c r="T48" s="88">
        <v>0.05</v>
      </c>
      <c r="U48" s="84">
        <f t="shared" ref="U48:AF48" si="57">IF($R48="Manual","",IFERROR(IF($R48="YOY Growth",$N48*(1+$T48)/12,$S48/12),""))</f>
        <v>0</v>
      </c>
      <c r="V48" s="84">
        <f t="shared" si="57"/>
        <v>0</v>
      </c>
      <c r="W48" s="84">
        <f t="shared" si="57"/>
        <v>0</v>
      </c>
      <c r="X48" s="84">
        <f t="shared" si="57"/>
        <v>0</v>
      </c>
      <c r="Y48" s="84">
        <f t="shared" si="57"/>
        <v>0</v>
      </c>
      <c r="Z48" s="84">
        <f t="shared" si="57"/>
        <v>0</v>
      </c>
      <c r="AA48" s="84">
        <f t="shared" si="57"/>
        <v>0</v>
      </c>
      <c r="AB48" s="84">
        <f t="shared" si="57"/>
        <v>0</v>
      </c>
      <c r="AC48" s="84">
        <f t="shared" si="57"/>
        <v>0</v>
      </c>
      <c r="AD48" s="84">
        <f t="shared" si="57"/>
        <v>0</v>
      </c>
      <c r="AE48" s="84">
        <f t="shared" si="57"/>
        <v>0</v>
      </c>
      <c r="AF48" s="84">
        <f t="shared" si="57"/>
        <v>0</v>
      </c>
      <c r="AG48" s="81">
        <f t="shared" si="52"/>
        <v>0</v>
      </c>
      <c r="AH48" s="85" t="str">
        <f t="shared" si="53"/>
        <v/>
      </c>
      <c r="AI48" s="11"/>
      <c r="AJ48" s="81">
        <f t="shared" si="54"/>
        <v>0</v>
      </c>
    </row>
    <row r="49" ht="13.5" customHeight="1">
      <c r="A49" s="83" t="s">
        <v>117</v>
      </c>
      <c r="B49" s="81">
        <v>60.0</v>
      </c>
      <c r="C49" s="81">
        <v>0.0</v>
      </c>
      <c r="D49" s="81">
        <v>281.44</v>
      </c>
      <c r="E49" s="81">
        <v>302.03</v>
      </c>
      <c r="F49" s="81">
        <v>0.0</v>
      </c>
      <c r="G49" s="81">
        <v>0.0</v>
      </c>
      <c r="H49" s="81">
        <v>0.0</v>
      </c>
      <c r="I49" s="81">
        <v>471.85</v>
      </c>
      <c r="J49" s="93">
        <v>0.0</v>
      </c>
      <c r="K49" s="93">
        <v>0.0</v>
      </c>
      <c r="L49" s="93">
        <v>0.0</v>
      </c>
      <c r="M49" s="93">
        <v>0.0</v>
      </c>
      <c r="N49" s="81">
        <f t="shared" si="49"/>
        <v>1115.32</v>
      </c>
      <c r="O49" s="85" t="str">
        <f t="shared" si="50"/>
        <v/>
      </c>
      <c r="P49" s="81"/>
      <c r="Q49" s="81"/>
      <c r="R49" s="86" t="s">
        <v>80</v>
      </c>
      <c r="S49" s="87">
        <v>0.0</v>
      </c>
      <c r="T49" s="88">
        <v>0.05</v>
      </c>
      <c r="U49" s="84">
        <f t="shared" ref="U49:AF49" si="58">IF($R49="Manual","",IFERROR(IF($R49="YOY Growth",$N49*(1+$T49)/12,$S49/12),""))</f>
        <v>0</v>
      </c>
      <c r="V49" s="84">
        <f t="shared" si="58"/>
        <v>0</v>
      </c>
      <c r="W49" s="84">
        <f t="shared" si="58"/>
        <v>0</v>
      </c>
      <c r="X49" s="84">
        <f t="shared" si="58"/>
        <v>0</v>
      </c>
      <c r="Y49" s="84">
        <f t="shared" si="58"/>
        <v>0</v>
      </c>
      <c r="Z49" s="84">
        <f t="shared" si="58"/>
        <v>0</v>
      </c>
      <c r="AA49" s="84">
        <f t="shared" si="58"/>
        <v>0</v>
      </c>
      <c r="AB49" s="84">
        <f t="shared" si="58"/>
        <v>0</v>
      </c>
      <c r="AC49" s="84">
        <f t="shared" si="58"/>
        <v>0</v>
      </c>
      <c r="AD49" s="84">
        <f t="shared" si="58"/>
        <v>0</v>
      </c>
      <c r="AE49" s="84">
        <f t="shared" si="58"/>
        <v>0</v>
      </c>
      <c r="AF49" s="84">
        <f t="shared" si="58"/>
        <v>0</v>
      </c>
      <c r="AG49" s="81">
        <f t="shared" si="52"/>
        <v>0</v>
      </c>
      <c r="AH49" s="85" t="str">
        <f t="shared" si="53"/>
        <v/>
      </c>
      <c r="AI49" s="11"/>
      <c r="AJ49" s="81">
        <f t="shared" si="54"/>
        <v>1115.32</v>
      </c>
    </row>
    <row r="50" ht="13.5" customHeight="1">
      <c r="A50" s="83" t="s">
        <v>118</v>
      </c>
      <c r="B50" s="81">
        <v>0.0</v>
      </c>
      <c r="C50" s="81">
        <v>0.0</v>
      </c>
      <c r="D50" s="81">
        <v>160.63</v>
      </c>
      <c r="E50" s="81">
        <v>0.0</v>
      </c>
      <c r="F50" s="81">
        <v>0.0</v>
      </c>
      <c r="G50" s="81">
        <v>0.0</v>
      </c>
      <c r="H50" s="81">
        <v>0.0</v>
      </c>
      <c r="I50" s="81">
        <v>0.0</v>
      </c>
      <c r="J50" s="93">
        <v>0.0</v>
      </c>
      <c r="K50" s="93">
        <v>0.0</v>
      </c>
      <c r="L50" s="93">
        <v>0.0</v>
      </c>
      <c r="M50" s="93">
        <v>0.0</v>
      </c>
      <c r="N50" s="81">
        <f t="shared" si="49"/>
        <v>160.63</v>
      </c>
      <c r="O50" s="85" t="str">
        <f t="shared" si="50"/>
        <v/>
      </c>
      <c r="P50" s="81"/>
      <c r="Q50" s="81"/>
      <c r="R50" s="86" t="s">
        <v>80</v>
      </c>
      <c r="S50" s="87">
        <v>0.0</v>
      </c>
      <c r="T50" s="88">
        <v>0.05</v>
      </c>
      <c r="U50" s="84">
        <f t="shared" ref="U50:AF50" si="59">IF($R50="Manual","",IFERROR(IF($R50="YOY Growth",$N50*(1+$T50)/12,$S50/12),""))</f>
        <v>0</v>
      </c>
      <c r="V50" s="84">
        <f t="shared" si="59"/>
        <v>0</v>
      </c>
      <c r="W50" s="84">
        <f t="shared" si="59"/>
        <v>0</v>
      </c>
      <c r="X50" s="84">
        <f t="shared" si="59"/>
        <v>0</v>
      </c>
      <c r="Y50" s="84">
        <f t="shared" si="59"/>
        <v>0</v>
      </c>
      <c r="Z50" s="84">
        <f t="shared" si="59"/>
        <v>0</v>
      </c>
      <c r="AA50" s="84">
        <f t="shared" si="59"/>
        <v>0</v>
      </c>
      <c r="AB50" s="84">
        <f t="shared" si="59"/>
        <v>0</v>
      </c>
      <c r="AC50" s="84">
        <f t="shared" si="59"/>
        <v>0</v>
      </c>
      <c r="AD50" s="84">
        <f t="shared" si="59"/>
        <v>0</v>
      </c>
      <c r="AE50" s="84">
        <f t="shared" si="59"/>
        <v>0</v>
      </c>
      <c r="AF50" s="84">
        <f t="shared" si="59"/>
        <v>0</v>
      </c>
      <c r="AG50" s="81">
        <f t="shared" si="52"/>
        <v>0</v>
      </c>
      <c r="AH50" s="85" t="str">
        <f t="shared" si="53"/>
        <v/>
      </c>
      <c r="AI50" s="11"/>
      <c r="AJ50" s="81">
        <f t="shared" si="54"/>
        <v>160.63</v>
      </c>
    </row>
    <row r="51" ht="13.5" customHeight="1">
      <c r="A51" s="82" t="s">
        <v>119</v>
      </c>
      <c r="B51" s="81"/>
      <c r="C51" s="81"/>
      <c r="D51" s="81"/>
      <c r="E51" s="81"/>
      <c r="F51" s="81"/>
      <c r="G51" s="81"/>
      <c r="H51" s="81"/>
      <c r="I51" s="81"/>
      <c r="J51" s="81"/>
      <c r="K51" s="81"/>
      <c r="L51" s="81"/>
      <c r="M51" s="81"/>
      <c r="N51" s="81"/>
      <c r="O51" s="85"/>
      <c r="P51" s="81"/>
      <c r="Q51" s="81"/>
      <c r="R51" s="92"/>
      <c r="S51" s="92"/>
      <c r="T51" s="92"/>
      <c r="U51" s="81"/>
      <c r="V51" s="81"/>
      <c r="W51" s="81"/>
      <c r="X51" s="81"/>
      <c r="Y51" s="81"/>
      <c r="Z51" s="81"/>
      <c r="AA51" s="81"/>
      <c r="AB51" s="81"/>
      <c r="AC51" s="81"/>
      <c r="AD51" s="81"/>
      <c r="AE51" s="81"/>
      <c r="AF51" s="81"/>
      <c r="AG51" s="81"/>
      <c r="AH51" s="85"/>
      <c r="AI51" s="11"/>
      <c r="AJ51" s="81"/>
    </row>
    <row r="52" ht="13.5" customHeight="1">
      <c r="A52" s="83" t="s">
        <v>120</v>
      </c>
      <c r="B52" s="81">
        <v>0.0</v>
      </c>
      <c r="C52" s="81">
        <v>0.0</v>
      </c>
      <c r="D52" s="81">
        <v>0.0</v>
      </c>
      <c r="E52" s="81">
        <v>0.0</v>
      </c>
      <c r="F52" s="81">
        <v>0.0</v>
      </c>
      <c r="G52" s="81">
        <v>0.0</v>
      </c>
      <c r="H52" s="81">
        <v>0.0</v>
      </c>
      <c r="I52" s="81">
        <v>0.0</v>
      </c>
      <c r="J52" s="93">
        <v>0.0</v>
      </c>
      <c r="K52" s="93">
        <v>0.0</v>
      </c>
      <c r="L52" s="93">
        <v>0.0</v>
      </c>
      <c r="M52" s="93">
        <v>0.0</v>
      </c>
      <c r="N52" s="81">
        <f t="shared" ref="N52:N56" si="60">SUM(B52:M52)</f>
        <v>0</v>
      </c>
      <c r="O52" s="85" t="str">
        <f t="shared" ref="O52:O56" si="61">IFERROR(N52/N$16,"")</f>
        <v/>
      </c>
      <c r="P52" s="81"/>
      <c r="Q52" s="81"/>
      <c r="R52" s="96"/>
      <c r="S52" s="96"/>
      <c r="T52" s="96"/>
      <c r="U52" s="96"/>
      <c r="V52" s="96"/>
      <c r="W52" s="96"/>
      <c r="X52" s="96"/>
      <c r="Y52" s="96"/>
      <c r="Z52" s="96"/>
      <c r="AA52" s="96"/>
      <c r="AB52" s="96"/>
      <c r="AC52" s="96"/>
      <c r="AD52" s="96"/>
      <c r="AE52" s="96"/>
      <c r="AF52" s="96"/>
      <c r="AG52" s="81">
        <f t="shared" ref="AG52:AG56" si="62">SUM(U52:AF52)</f>
        <v>0</v>
      </c>
      <c r="AH52" s="85" t="str">
        <f t="shared" ref="AH52:AH56" si="63">IFERROR(AG52/AG$16,"")</f>
        <v/>
      </c>
      <c r="AI52" s="11"/>
      <c r="AJ52" s="81">
        <f t="shared" ref="AJ52:AJ56" si="64">N52-AG52</f>
        <v>0</v>
      </c>
    </row>
    <row r="53" ht="13.5" customHeight="1">
      <c r="A53" s="83" t="s">
        <v>121</v>
      </c>
      <c r="B53" s="81">
        <v>0.0</v>
      </c>
      <c r="C53" s="81">
        <v>0.0</v>
      </c>
      <c r="D53" s="81">
        <v>0.0</v>
      </c>
      <c r="E53" s="81">
        <v>0.0</v>
      </c>
      <c r="F53" s="81">
        <v>0.0</v>
      </c>
      <c r="G53" s="81">
        <v>0.0</v>
      </c>
      <c r="H53" s="81">
        <v>0.0</v>
      </c>
      <c r="I53" s="81">
        <v>0.0</v>
      </c>
      <c r="J53" s="93">
        <v>0.0</v>
      </c>
      <c r="K53" s="93">
        <v>0.0</v>
      </c>
      <c r="L53" s="93">
        <v>0.0</v>
      </c>
      <c r="M53" s="93">
        <v>0.0</v>
      </c>
      <c r="N53" s="81">
        <f t="shared" si="60"/>
        <v>0</v>
      </c>
      <c r="O53" s="85" t="str">
        <f t="shared" si="61"/>
        <v/>
      </c>
      <c r="P53" s="81"/>
      <c r="Q53" s="81"/>
      <c r="R53" s="96"/>
      <c r="S53" s="96"/>
      <c r="T53" s="96"/>
      <c r="U53" s="96"/>
      <c r="V53" s="96"/>
      <c r="W53" s="96"/>
      <c r="X53" s="96"/>
      <c r="Y53" s="96"/>
      <c r="Z53" s="96"/>
      <c r="AA53" s="96"/>
      <c r="AB53" s="96"/>
      <c r="AC53" s="96"/>
      <c r="AD53" s="96"/>
      <c r="AE53" s="96"/>
      <c r="AF53" s="96"/>
      <c r="AG53" s="81">
        <f t="shared" si="62"/>
        <v>0</v>
      </c>
      <c r="AH53" s="85" t="str">
        <f t="shared" si="63"/>
        <v/>
      </c>
      <c r="AI53" s="11"/>
      <c r="AJ53" s="81">
        <f t="shared" si="64"/>
        <v>0</v>
      </c>
    </row>
    <row r="54" ht="13.5" customHeight="1">
      <c r="A54" s="83" t="s">
        <v>122</v>
      </c>
      <c r="B54" s="81">
        <v>0.0</v>
      </c>
      <c r="C54" s="81">
        <v>0.0</v>
      </c>
      <c r="D54" s="81">
        <v>0.0</v>
      </c>
      <c r="E54" s="81">
        <v>0.0</v>
      </c>
      <c r="F54" s="81">
        <v>0.0</v>
      </c>
      <c r="G54" s="81">
        <v>0.0</v>
      </c>
      <c r="H54" s="81">
        <v>0.0</v>
      </c>
      <c r="I54" s="81">
        <v>0.0</v>
      </c>
      <c r="J54" s="93">
        <v>0.0</v>
      </c>
      <c r="K54" s="93">
        <v>0.0</v>
      </c>
      <c r="L54" s="93">
        <v>0.0</v>
      </c>
      <c r="M54" s="93">
        <v>0.0</v>
      </c>
      <c r="N54" s="81">
        <f t="shared" si="60"/>
        <v>0</v>
      </c>
      <c r="O54" s="85" t="str">
        <f t="shared" si="61"/>
        <v/>
      </c>
      <c r="P54" s="81"/>
      <c r="Q54" s="81"/>
      <c r="R54" s="96"/>
      <c r="S54" s="96"/>
      <c r="T54" s="96"/>
      <c r="U54" s="96"/>
      <c r="V54" s="96"/>
      <c r="W54" s="96"/>
      <c r="X54" s="96"/>
      <c r="Y54" s="96"/>
      <c r="Z54" s="96"/>
      <c r="AA54" s="96"/>
      <c r="AB54" s="96"/>
      <c r="AC54" s="96"/>
      <c r="AD54" s="96"/>
      <c r="AE54" s="96"/>
      <c r="AF54" s="96"/>
      <c r="AG54" s="81">
        <f t="shared" si="62"/>
        <v>0</v>
      </c>
      <c r="AH54" s="85" t="str">
        <f t="shared" si="63"/>
        <v/>
      </c>
      <c r="AI54" s="11"/>
      <c r="AJ54" s="81">
        <f t="shared" si="64"/>
        <v>0</v>
      </c>
    </row>
    <row r="55" ht="13.5" customHeight="1">
      <c r="A55" s="89" t="s">
        <v>123</v>
      </c>
      <c r="B55" s="90">
        <f t="shared" ref="B55:M55" si="65">SUM(B52:B54)</f>
        <v>0</v>
      </c>
      <c r="C55" s="90">
        <f t="shared" si="65"/>
        <v>0</v>
      </c>
      <c r="D55" s="90">
        <f t="shared" si="65"/>
        <v>0</v>
      </c>
      <c r="E55" s="90">
        <f t="shared" si="65"/>
        <v>0</v>
      </c>
      <c r="F55" s="90">
        <f t="shared" si="65"/>
        <v>0</v>
      </c>
      <c r="G55" s="90">
        <f t="shared" si="65"/>
        <v>0</v>
      </c>
      <c r="H55" s="90">
        <f t="shared" si="65"/>
        <v>0</v>
      </c>
      <c r="I55" s="90">
        <f t="shared" si="65"/>
        <v>0</v>
      </c>
      <c r="J55" s="90">
        <f t="shared" si="65"/>
        <v>0</v>
      </c>
      <c r="K55" s="90">
        <f t="shared" si="65"/>
        <v>0</v>
      </c>
      <c r="L55" s="90">
        <f t="shared" si="65"/>
        <v>0</v>
      </c>
      <c r="M55" s="90">
        <f t="shared" si="65"/>
        <v>0</v>
      </c>
      <c r="N55" s="90">
        <f t="shared" si="60"/>
        <v>0</v>
      </c>
      <c r="O55" s="91" t="str">
        <f t="shared" si="61"/>
        <v/>
      </c>
      <c r="P55" s="81"/>
      <c r="Q55" s="81"/>
      <c r="R55" s="98"/>
      <c r="S55" s="98"/>
      <c r="T55" s="98"/>
      <c r="U55" s="90">
        <f t="shared" ref="U55:AF55" si="66">SUM(U52:U54)</f>
        <v>0</v>
      </c>
      <c r="V55" s="90">
        <f t="shared" si="66"/>
        <v>0</v>
      </c>
      <c r="W55" s="90">
        <f t="shared" si="66"/>
        <v>0</v>
      </c>
      <c r="X55" s="90">
        <f t="shared" si="66"/>
        <v>0</v>
      </c>
      <c r="Y55" s="90">
        <f t="shared" si="66"/>
        <v>0</v>
      </c>
      <c r="Z55" s="90">
        <f t="shared" si="66"/>
        <v>0</v>
      </c>
      <c r="AA55" s="90">
        <f t="shared" si="66"/>
        <v>0</v>
      </c>
      <c r="AB55" s="90">
        <f t="shared" si="66"/>
        <v>0</v>
      </c>
      <c r="AC55" s="90">
        <f t="shared" si="66"/>
        <v>0</v>
      </c>
      <c r="AD55" s="90">
        <f t="shared" si="66"/>
        <v>0</v>
      </c>
      <c r="AE55" s="90">
        <f t="shared" si="66"/>
        <v>0</v>
      </c>
      <c r="AF55" s="90">
        <f t="shared" si="66"/>
        <v>0</v>
      </c>
      <c r="AG55" s="90">
        <f t="shared" si="62"/>
        <v>0</v>
      </c>
      <c r="AH55" s="91" t="str">
        <f t="shared" si="63"/>
        <v/>
      </c>
      <c r="AI55" s="11"/>
      <c r="AJ55" s="90">
        <f t="shared" si="64"/>
        <v>0</v>
      </c>
    </row>
    <row r="56" ht="13.5" customHeight="1">
      <c r="A56" s="89" t="s">
        <v>124</v>
      </c>
      <c r="B56" s="90">
        <f t="shared" ref="B56:M56" si="67">B44+B45+B46+B47+B48+B49+B50+B55</f>
        <v>2655.18</v>
      </c>
      <c r="C56" s="90">
        <f t="shared" si="67"/>
        <v>1487.15</v>
      </c>
      <c r="D56" s="90">
        <f t="shared" si="67"/>
        <v>1497.63</v>
      </c>
      <c r="E56" s="90">
        <f t="shared" si="67"/>
        <v>361.26</v>
      </c>
      <c r="F56" s="90">
        <f t="shared" si="67"/>
        <v>1957.72</v>
      </c>
      <c r="G56" s="90">
        <f t="shared" si="67"/>
        <v>359.11</v>
      </c>
      <c r="H56" s="90">
        <f t="shared" si="67"/>
        <v>-16.62</v>
      </c>
      <c r="I56" s="90">
        <f t="shared" si="67"/>
        <v>714.87</v>
      </c>
      <c r="J56" s="90">
        <f t="shared" si="67"/>
        <v>1900</v>
      </c>
      <c r="K56" s="90">
        <f t="shared" si="67"/>
        <v>1900</v>
      </c>
      <c r="L56" s="90">
        <f t="shared" si="67"/>
        <v>1900</v>
      </c>
      <c r="M56" s="90">
        <f t="shared" si="67"/>
        <v>1900</v>
      </c>
      <c r="N56" s="90">
        <f t="shared" si="60"/>
        <v>16616.3</v>
      </c>
      <c r="O56" s="91" t="str">
        <f t="shared" si="61"/>
        <v/>
      </c>
      <c r="P56" s="81"/>
      <c r="Q56" s="81"/>
      <c r="R56" s="92"/>
      <c r="S56" s="92"/>
      <c r="T56" s="92"/>
      <c r="U56" s="90">
        <f t="shared" ref="U56:AF56" si="68">U44+U45+U46+U47+U48+U49+U50+U55</f>
        <v>0</v>
      </c>
      <c r="V56" s="90">
        <f t="shared" si="68"/>
        <v>0</v>
      </c>
      <c r="W56" s="90">
        <f t="shared" si="68"/>
        <v>0</v>
      </c>
      <c r="X56" s="90">
        <f t="shared" si="68"/>
        <v>0</v>
      </c>
      <c r="Y56" s="90">
        <f t="shared" si="68"/>
        <v>0</v>
      </c>
      <c r="Z56" s="90">
        <f t="shared" si="68"/>
        <v>0</v>
      </c>
      <c r="AA56" s="90">
        <f t="shared" si="68"/>
        <v>0</v>
      </c>
      <c r="AB56" s="90">
        <f t="shared" si="68"/>
        <v>0</v>
      </c>
      <c r="AC56" s="90">
        <f t="shared" si="68"/>
        <v>0</v>
      </c>
      <c r="AD56" s="90">
        <f t="shared" si="68"/>
        <v>0</v>
      </c>
      <c r="AE56" s="90">
        <f t="shared" si="68"/>
        <v>0</v>
      </c>
      <c r="AF56" s="90">
        <f t="shared" si="68"/>
        <v>0</v>
      </c>
      <c r="AG56" s="90">
        <f t="shared" si="62"/>
        <v>0</v>
      </c>
      <c r="AH56" s="91" t="str">
        <f t="shared" si="63"/>
        <v/>
      </c>
      <c r="AI56" s="11"/>
      <c r="AJ56" s="90">
        <f t="shared" si="64"/>
        <v>16616.3</v>
      </c>
    </row>
    <row r="57" ht="13.5" customHeight="1">
      <c r="A57" s="82" t="s">
        <v>125</v>
      </c>
      <c r="B57" s="81"/>
      <c r="C57" s="81"/>
      <c r="D57" s="81"/>
      <c r="E57" s="81"/>
      <c r="F57" s="81"/>
      <c r="G57" s="81"/>
      <c r="H57" s="81"/>
      <c r="I57" s="81"/>
      <c r="J57" s="81"/>
      <c r="K57" s="81"/>
      <c r="L57" s="81"/>
      <c r="M57" s="81"/>
      <c r="N57" s="81"/>
      <c r="O57" s="85"/>
      <c r="P57" s="81"/>
      <c r="Q57" s="81"/>
      <c r="R57" s="92"/>
      <c r="S57" s="92"/>
      <c r="T57" s="92"/>
      <c r="U57" s="81"/>
      <c r="V57" s="81"/>
      <c r="W57" s="81"/>
      <c r="X57" s="81"/>
      <c r="Y57" s="81"/>
      <c r="Z57" s="81"/>
      <c r="AA57" s="81"/>
      <c r="AB57" s="81"/>
      <c r="AC57" s="81"/>
      <c r="AD57" s="81"/>
      <c r="AE57" s="81"/>
      <c r="AF57" s="81"/>
      <c r="AG57" s="81"/>
      <c r="AH57" s="85"/>
      <c r="AI57" s="11"/>
      <c r="AJ57" s="81"/>
    </row>
    <row r="58" ht="13.5" customHeight="1">
      <c r="A58" s="83" t="s">
        <v>126</v>
      </c>
      <c r="B58" s="81">
        <v>0.0</v>
      </c>
      <c r="C58" s="81">
        <v>0.0</v>
      </c>
      <c r="D58" s="81">
        <v>0.0</v>
      </c>
      <c r="E58" s="81">
        <v>0.0</v>
      </c>
      <c r="F58" s="81">
        <v>0.0</v>
      </c>
      <c r="G58" s="81">
        <v>0.0</v>
      </c>
      <c r="H58" s="81">
        <v>0.0</v>
      </c>
      <c r="I58" s="81">
        <v>93.99</v>
      </c>
      <c r="J58" s="93">
        <v>0.0</v>
      </c>
      <c r="K58" s="93">
        <v>0.0</v>
      </c>
      <c r="L58" s="93">
        <v>0.0</v>
      </c>
      <c r="M58" s="93">
        <v>0.0</v>
      </c>
      <c r="N58" s="81">
        <f t="shared" ref="N58:N64" si="70">SUM(B58:M58)</f>
        <v>93.99</v>
      </c>
      <c r="O58" s="85" t="str">
        <f t="shared" ref="O58:O64" si="71">IFERROR(N58/N$16,"")</f>
        <v/>
      </c>
      <c r="P58" s="81"/>
      <c r="Q58" s="81"/>
      <c r="R58" s="86" t="s">
        <v>80</v>
      </c>
      <c r="S58" s="87">
        <v>0.0</v>
      </c>
      <c r="T58" s="88">
        <v>0.05</v>
      </c>
      <c r="U58" s="84">
        <f t="shared" ref="U58:AF58" si="69">IF($R58="Manual","",IFERROR(IF($R58="YOY Growth",$N58*(1+$T58)/12,$S58/12),""))</f>
        <v>0</v>
      </c>
      <c r="V58" s="84">
        <f t="shared" si="69"/>
        <v>0</v>
      </c>
      <c r="W58" s="84">
        <f t="shared" si="69"/>
        <v>0</v>
      </c>
      <c r="X58" s="84">
        <f t="shared" si="69"/>
        <v>0</v>
      </c>
      <c r="Y58" s="84">
        <f t="shared" si="69"/>
        <v>0</v>
      </c>
      <c r="Z58" s="84">
        <f t="shared" si="69"/>
        <v>0</v>
      </c>
      <c r="AA58" s="84">
        <f t="shared" si="69"/>
        <v>0</v>
      </c>
      <c r="AB58" s="84">
        <f t="shared" si="69"/>
        <v>0</v>
      </c>
      <c r="AC58" s="84">
        <f t="shared" si="69"/>
        <v>0</v>
      </c>
      <c r="AD58" s="84">
        <f t="shared" si="69"/>
        <v>0</v>
      </c>
      <c r="AE58" s="84">
        <f t="shared" si="69"/>
        <v>0</v>
      </c>
      <c r="AF58" s="84">
        <f t="shared" si="69"/>
        <v>0</v>
      </c>
      <c r="AG58" s="81">
        <f t="shared" ref="AG58:AG64" si="73">SUM(U58:AF58)</f>
        <v>0</v>
      </c>
      <c r="AH58" s="85" t="str">
        <f t="shared" ref="AH58:AH64" si="74">IFERROR(AG58/AG$16,"")</f>
        <v/>
      </c>
      <c r="AI58" s="11"/>
      <c r="AJ58" s="81">
        <f t="shared" ref="AJ58:AJ63" si="75">N58-AG58</f>
        <v>93.99</v>
      </c>
    </row>
    <row r="59" ht="13.5" customHeight="1">
      <c r="A59" s="83" t="s">
        <v>127</v>
      </c>
      <c r="B59" s="81">
        <v>65.0</v>
      </c>
      <c r="C59" s="81">
        <v>0.0</v>
      </c>
      <c r="D59" s="81">
        <v>0.0</v>
      </c>
      <c r="E59" s="81">
        <v>0.0</v>
      </c>
      <c r="F59" s="81">
        <v>0.0</v>
      </c>
      <c r="G59" s="81">
        <v>0.0</v>
      </c>
      <c r="H59" s="81">
        <v>0.0</v>
      </c>
      <c r="I59" s="81">
        <v>0.0</v>
      </c>
      <c r="J59" s="93">
        <v>0.0</v>
      </c>
      <c r="K59" s="93">
        <v>0.0</v>
      </c>
      <c r="L59" s="93">
        <v>0.0</v>
      </c>
      <c r="M59" s="93">
        <v>0.0</v>
      </c>
      <c r="N59" s="81">
        <f t="shared" si="70"/>
        <v>65</v>
      </c>
      <c r="O59" s="85" t="str">
        <f t="shared" si="71"/>
        <v/>
      </c>
      <c r="P59" s="81"/>
      <c r="Q59" s="81"/>
      <c r="R59" s="86" t="s">
        <v>80</v>
      </c>
      <c r="S59" s="87">
        <v>0.0</v>
      </c>
      <c r="T59" s="88">
        <v>0.05</v>
      </c>
      <c r="U59" s="84">
        <f t="shared" ref="U59:AF59" si="72">IF($R59="Manual","",IFERROR(IF($R59="YOY Growth",$N59*(1+$T59)/12,$S59/12),""))</f>
        <v>0</v>
      </c>
      <c r="V59" s="84">
        <f t="shared" si="72"/>
        <v>0</v>
      </c>
      <c r="W59" s="84">
        <f t="shared" si="72"/>
        <v>0</v>
      </c>
      <c r="X59" s="84">
        <f t="shared" si="72"/>
        <v>0</v>
      </c>
      <c r="Y59" s="84">
        <f t="shared" si="72"/>
        <v>0</v>
      </c>
      <c r="Z59" s="84">
        <f t="shared" si="72"/>
        <v>0</v>
      </c>
      <c r="AA59" s="84">
        <f t="shared" si="72"/>
        <v>0</v>
      </c>
      <c r="AB59" s="84">
        <f t="shared" si="72"/>
        <v>0</v>
      </c>
      <c r="AC59" s="84">
        <f t="shared" si="72"/>
        <v>0</v>
      </c>
      <c r="AD59" s="84">
        <f t="shared" si="72"/>
        <v>0</v>
      </c>
      <c r="AE59" s="84">
        <f t="shared" si="72"/>
        <v>0</v>
      </c>
      <c r="AF59" s="84">
        <f t="shared" si="72"/>
        <v>0</v>
      </c>
      <c r="AG59" s="81">
        <f t="shared" si="73"/>
        <v>0</v>
      </c>
      <c r="AH59" s="85" t="str">
        <f t="shared" si="74"/>
        <v/>
      </c>
      <c r="AI59" s="11"/>
      <c r="AJ59" s="81">
        <f t="shared" si="75"/>
        <v>65</v>
      </c>
    </row>
    <row r="60" ht="13.5" customHeight="1">
      <c r="A60" s="83" t="s">
        <v>128</v>
      </c>
      <c r="B60" s="81">
        <v>0.0</v>
      </c>
      <c r="C60" s="81">
        <v>0.0</v>
      </c>
      <c r="D60" s="81">
        <v>0.0</v>
      </c>
      <c r="E60" s="81">
        <v>0.0</v>
      </c>
      <c r="F60" s="81">
        <v>0.0</v>
      </c>
      <c r="G60" s="81">
        <v>0.0</v>
      </c>
      <c r="H60" s="81">
        <v>0.0</v>
      </c>
      <c r="I60" s="81">
        <v>0.0</v>
      </c>
      <c r="J60" s="93">
        <v>0.0</v>
      </c>
      <c r="K60" s="93">
        <v>0.0</v>
      </c>
      <c r="L60" s="93">
        <v>0.0</v>
      </c>
      <c r="M60" s="93">
        <v>0.0</v>
      </c>
      <c r="N60" s="81">
        <f t="shared" si="70"/>
        <v>0</v>
      </c>
      <c r="O60" s="85" t="str">
        <f t="shared" si="71"/>
        <v/>
      </c>
      <c r="P60" s="81"/>
      <c r="Q60" s="81"/>
      <c r="R60" s="86" t="s">
        <v>80</v>
      </c>
      <c r="S60" s="87">
        <v>0.0</v>
      </c>
      <c r="T60" s="88">
        <v>0.05</v>
      </c>
      <c r="U60" s="84">
        <f t="shared" ref="U60:AF60" si="76">IF($R60="Manual","",IFERROR(IF($R60="YOY Growth",$N60*(1+$T60)/12,$S60/12),""))</f>
        <v>0</v>
      </c>
      <c r="V60" s="84">
        <f t="shared" si="76"/>
        <v>0</v>
      </c>
      <c r="W60" s="84">
        <f t="shared" si="76"/>
        <v>0</v>
      </c>
      <c r="X60" s="84">
        <f t="shared" si="76"/>
        <v>0</v>
      </c>
      <c r="Y60" s="84">
        <f t="shared" si="76"/>
        <v>0</v>
      </c>
      <c r="Z60" s="84">
        <f t="shared" si="76"/>
        <v>0</v>
      </c>
      <c r="AA60" s="84">
        <f t="shared" si="76"/>
        <v>0</v>
      </c>
      <c r="AB60" s="84">
        <f t="shared" si="76"/>
        <v>0</v>
      </c>
      <c r="AC60" s="84">
        <f t="shared" si="76"/>
        <v>0</v>
      </c>
      <c r="AD60" s="84">
        <f t="shared" si="76"/>
        <v>0</v>
      </c>
      <c r="AE60" s="84">
        <f t="shared" si="76"/>
        <v>0</v>
      </c>
      <c r="AF60" s="84">
        <f t="shared" si="76"/>
        <v>0</v>
      </c>
      <c r="AG60" s="81">
        <f t="shared" si="73"/>
        <v>0</v>
      </c>
      <c r="AH60" s="85" t="str">
        <f t="shared" si="74"/>
        <v/>
      </c>
      <c r="AI60" s="11"/>
      <c r="AJ60" s="81">
        <f t="shared" si="75"/>
        <v>0</v>
      </c>
    </row>
    <row r="61" ht="13.5" customHeight="1">
      <c r="A61" s="89" t="s">
        <v>129</v>
      </c>
      <c r="B61" s="99">
        <f t="shared" ref="B61:M61" si="77">SUM(B58:B60)</f>
        <v>65</v>
      </c>
      <c r="C61" s="99">
        <f t="shared" si="77"/>
        <v>0</v>
      </c>
      <c r="D61" s="99">
        <f t="shared" si="77"/>
        <v>0</v>
      </c>
      <c r="E61" s="99">
        <f t="shared" si="77"/>
        <v>0</v>
      </c>
      <c r="F61" s="99">
        <f t="shared" si="77"/>
        <v>0</v>
      </c>
      <c r="G61" s="99">
        <f t="shared" si="77"/>
        <v>0</v>
      </c>
      <c r="H61" s="99">
        <f t="shared" si="77"/>
        <v>0</v>
      </c>
      <c r="I61" s="99">
        <f t="shared" si="77"/>
        <v>93.99</v>
      </c>
      <c r="J61" s="99">
        <f t="shared" si="77"/>
        <v>0</v>
      </c>
      <c r="K61" s="99">
        <f t="shared" si="77"/>
        <v>0</v>
      </c>
      <c r="L61" s="99">
        <f t="shared" si="77"/>
        <v>0</v>
      </c>
      <c r="M61" s="99">
        <f t="shared" si="77"/>
        <v>0</v>
      </c>
      <c r="N61" s="99">
        <f t="shared" si="70"/>
        <v>158.99</v>
      </c>
      <c r="O61" s="100" t="str">
        <f t="shared" si="71"/>
        <v/>
      </c>
      <c r="P61" s="81"/>
      <c r="Q61" s="81"/>
      <c r="R61" s="92"/>
      <c r="S61" s="92"/>
      <c r="T61" s="92"/>
      <c r="U61" s="99">
        <f t="shared" ref="U61:AF61" si="78">SUM(U58:U60)</f>
        <v>0</v>
      </c>
      <c r="V61" s="99">
        <f t="shared" si="78"/>
        <v>0</v>
      </c>
      <c r="W61" s="99">
        <f t="shared" si="78"/>
        <v>0</v>
      </c>
      <c r="X61" s="99">
        <f t="shared" si="78"/>
        <v>0</v>
      </c>
      <c r="Y61" s="99">
        <f t="shared" si="78"/>
        <v>0</v>
      </c>
      <c r="Z61" s="99">
        <f t="shared" si="78"/>
        <v>0</v>
      </c>
      <c r="AA61" s="99">
        <f t="shared" si="78"/>
        <v>0</v>
      </c>
      <c r="AB61" s="99">
        <f t="shared" si="78"/>
        <v>0</v>
      </c>
      <c r="AC61" s="99">
        <f t="shared" si="78"/>
        <v>0</v>
      </c>
      <c r="AD61" s="99">
        <f t="shared" si="78"/>
        <v>0</v>
      </c>
      <c r="AE61" s="99">
        <f t="shared" si="78"/>
        <v>0</v>
      </c>
      <c r="AF61" s="99">
        <f t="shared" si="78"/>
        <v>0</v>
      </c>
      <c r="AG61" s="99">
        <f t="shared" si="73"/>
        <v>0</v>
      </c>
      <c r="AH61" s="100" t="str">
        <f t="shared" si="74"/>
        <v/>
      </c>
      <c r="AI61" s="11"/>
      <c r="AJ61" s="90">
        <f t="shared" si="75"/>
        <v>158.99</v>
      </c>
    </row>
    <row r="62" ht="13.5" customHeight="1">
      <c r="A62" s="101" t="s">
        <v>130</v>
      </c>
      <c r="B62" s="81">
        <v>0.0</v>
      </c>
      <c r="C62" s="81">
        <v>0.0</v>
      </c>
      <c r="D62" s="81">
        <v>0.0</v>
      </c>
      <c r="E62" s="81">
        <v>0.0</v>
      </c>
      <c r="F62" s="81">
        <v>0.0</v>
      </c>
      <c r="G62" s="81">
        <v>0.0</v>
      </c>
      <c r="H62" s="81">
        <v>0.0</v>
      </c>
      <c r="I62" s="81">
        <v>0.0</v>
      </c>
      <c r="J62" s="93">
        <v>0.0</v>
      </c>
      <c r="K62" s="93">
        <v>0.0</v>
      </c>
      <c r="L62" s="93">
        <v>0.0</v>
      </c>
      <c r="M62" s="93">
        <v>0.0</v>
      </c>
      <c r="N62" s="81">
        <f t="shared" si="70"/>
        <v>0</v>
      </c>
      <c r="O62" s="85" t="str">
        <f t="shared" si="71"/>
        <v/>
      </c>
      <c r="P62" s="81"/>
      <c r="Q62" s="81"/>
      <c r="R62" s="86" t="s">
        <v>80</v>
      </c>
      <c r="S62" s="87">
        <v>0.0</v>
      </c>
      <c r="T62" s="88">
        <v>0.05</v>
      </c>
      <c r="U62" s="84">
        <f t="shared" ref="U62:AF62" si="79">IF($R62="Manual","",IFERROR(IF($R62="YOY Growth",$N62*(1+$T62)/12,$S62/12),""))</f>
        <v>0</v>
      </c>
      <c r="V62" s="84">
        <f t="shared" si="79"/>
        <v>0</v>
      </c>
      <c r="W62" s="84">
        <f t="shared" si="79"/>
        <v>0</v>
      </c>
      <c r="X62" s="84">
        <f t="shared" si="79"/>
        <v>0</v>
      </c>
      <c r="Y62" s="84">
        <f t="shared" si="79"/>
        <v>0</v>
      </c>
      <c r="Z62" s="84">
        <f t="shared" si="79"/>
        <v>0</v>
      </c>
      <c r="AA62" s="84">
        <f t="shared" si="79"/>
        <v>0</v>
      </c>
      <c r="AB62" s="84">
        <f t="shared" si="79"/>
        <v>0</v>
      </c>
      <c r="AC62" s="84">
        <f t="shared" si="79"/>
        <v>0</v>
      </c>
      <c r="AD62" s="84">
        <f t="shared" si="79"/>
        <v>0</v>
      </c>
      <c r="AE62" s="84">
        <f t="shared" si="79"/>
        <v>0</v>
      </c>
      <c r="AF62" s="84">
        <f t="shared" si="79"/>
        <v>0</v>
      </c>
      <c r="AG62" s="81">
        <f t="shared" si="73"/>
        <v>0</v>
      </c>
      <c r="AH62" s="85" t="str">
        <f t="shared" si="74"/>
        <v/>
      </c>
      <c r="AI62" s="11"/>
      <c r="AJ62" s="81">
        <f t="shared" si="75"/>
        <v>0</v>
      </c>
    </row>
    <row r="63" ht="13.5" customHeight="1">
      <c r="A63" s="89" t="s">
        <v>131</v>
      </c>
      <c r="B63" s="90">
        <f t="shared" ref="B63:M63" si="80">B37+B38+B39+B40+B41+B42+B56+B61+B62</f>
        <v>9555.22</v>
      </c>
      <c r="C63" s="90">
        <f t="shared" si="80"/>
        <v>5166.38</v>
      </c>
      <c r="D63" s="90">
        <f t="shared" si="80"/>
        <v>8893.04</v>
      </c>
      <c r="E63" s="90">
        <f t="shared" si="80"/>
        <v>6751.93</v>
      </c>
      <c r="F63" s="90">
        <f t="shared" si="80"/>
        <v>16983.8</v>
      </c>
      <c r="G63" s="90">
        <f t="shared" si="80"/>
        <v>3533</v>
      </c>
      <c r="H63" s="90">
        <f t="shared" si="80"/>
        <v>3822.76</v>
      </c>
      <c r="I63" s="90">
        <f t="shared" si="80"/>
        <v>7082.7</v>
      </c>
      <c r="J63" s="90">
        <f t="shared" si="80"/>
        <v>16300</v>
      </c>
      <c r="K63" s="90">
        <f t="shared" si="80"/>
        <v>16300</v>
      </c>
      <c r="L63" s="90">
        <f t="shared" si="80"/>
        <v>11900</v>
      </c>
      <c r="M63" s="90">
        <f t="shared" si="80"/>
        <v>9700</v>
      </c>
      <c r="N63" s="90">
        <f t="shared" si="70"/>
        <v>115988.83</v>
      </c>
      <c r="O63" s="91" t="str">
        <f t="shared" si="71"/>
        <v/>
      </c>
      <c r="P63" s="81"/>
      <c r="Q63" s="81"/>
      <c r="R63" s="92"/>
      <c r="S63" s="92"/>
      <c r="T63" s="92"/>
      <c r="U63" s="90">
        <f t="shared" ref="U63:AF63" si="81">U37+U38+U39+U40+U41+U42+U56+U61+U62</f>
        <v>18573.90476</v>
      </c>
      <c r="V63" s="90">
        <f t="shared" si="81"/>
        <v>12382.60317</v>
      </c>
      <c r="W63" s="90">
        <f t="shared" si="81"/>
        <v>0</v>
      </c>
      <c r="X63" s="90">
        <f t="shared" si="81"/>
        <v>29222.94349</v>
      </c>
      <c r="Y63" s="90">
        <f t="shared" si="81"/>
        <v>23031.6419</v>
      </c>
      <c r="Z63" s="90">
        <f t="shared" si="81"/>
        <v>33680.68063</v>
      </c>
      <c r="AA63" s="90">
        <f t="shared" si="81"/>
        <v>29222.94349</v>
      </c>
      <c r="AB63" s="90">
        <f t="shared" si="81"/>
        <v>35414.24508</v>
      </c>
      <c r="AC63" s="90">
        <f t="shared" si="81"/>
        <v>46063.28381</v>
      </c>
      <c r="AD63" s="90">
        <f t="shared" si="81"/>
        <v>46063.28381</v>
      </c>
      <c r="AE63" s="90">
        <f t="shared" si="81"/>
        <v>56712.32254</v>
      </c>
      <c r="AF63" s="90">
        <f t="shared" si="81"/>
        <v>58445.88698</v>
      </c>
      <c r="AG63" s="90">
        <f t="shared" si="73"/>
        <v>388813.7397</v>
      </c>
      <c r="AH63" s="91" t="str">
        <f t="shared" si="74"/>
        <v/>
      </c>
      <c r="AI63" s="11"/>
      <c r="AJ63" s="90">
        <f t="shared" si="75"/>
        <v>-272824.9097</v>
      </c>
    </row>
    <row r="64" ht="13.5" customHeight="1">
      <c r="A64" s="102" t="s">
        <v>132</v>
      </c>
      <c r="B64" s="90">
        <f t="shared" ref="B64:M64" si="82">B16-B63</f>
        <v>-9555.22</v>
      </c>
      <c r="C64" s="90">
        <f t="shared" si="82"/>
        <v>-5166.38</v>
      </c>
      <c r="D64" s="90">
        <f t="shared" si="82"/>
        <v>-8893.04</v>
      </c>
      <c r="E64" s="90">
        <f t="shared" si="82"/>
        <v>-6751.93</v>
      </c>
      <c r="F64" s="90">
        <f t="shared" si="82"/>
        <v>-16983.8</v>
      </c>
      <c r="G64" s="90">
        <f t="shared" si="82"/>
        <v>-3533</v>
      </c>
      <c r="H64" s="90">
        <f t="shared" si="82"/>
        <v>-3822.76</v>
      </c>
      <c r="I64" s="90">
        <f t="shared" si="82"/>
        <v>-7082.7</v>
      </c>
      <c r="J64" s="90">
        <f t="shared" si="82"/>
        <v>-16300</v>
      </c>
      <c r="K64" s="90">
        <f t="shared" si="82"/>
        <v>-16300</v>
      </c>
      <c r="L64" s="90">
        <f t="shared" si="82"/>
        <v>-11900</v>
      </c>
      <c r="M64" s="90">
        <f t="shared" si="82"/>
        <v>-9700</v>
      </c>
      <c r="N64" s="90">
        <f t="shared" si="70"/>
        <v>-115988.83</v>
      </c>
      <c r="O64" s="91" t="str">
        <f t="shared" si="71"/>
        <v/>
      </c>
      <c r="P64" s="81"/>
      <c r="Q64" s="81"/>
      <c r="R64" s="92"/>
      <c r="S64" s="92"/>
      <c r="T64" s="92"/>
      <c r="U64" s="90">
        <f t="shared" ref="U64:AF64" si="83">U16-U63</f>
        <v>-18573.90476</v>
      </c>
      <c r="V64" s="90">
        <f t="shared" si="83"/>
        <v>-12382.60317</v>
      </c>
      <c r="W64" s="90">
        <f t="shared" si="83"/>
        <v>0</v>
      </c>
      <c r="X64" s="90">
        <f t="shared" si="83"/>
        <v>-29222.94349</v>
      </c>
      <c r="Y64" s="90">
        <f t="shared" si="83"/>
        <v>-23031.6419</v>
      </c>
      <c r="Z64" s="90">
        <f t="shared" si="83"/>
        <v>-33680.68063</v>
      </c>
      <c r="AA64" s="90">
        <f t="shared" si="83"/>
        <v>-29222.94349</v>
      </c>
      <c r="AB64" s="90">
        <f t="shared" si="83"/>
        <v>-35414.24508</v>
      </c>
      <c r="AC64" s="90">
        <f t="shared" si="83"/>
        <v>-46063.28381</v>
      </c>
      <c r="AD64" s="90">
        <f t="shared" si="83"/>
        <v>-46063.28381</v>
      </c>
      <c r="AE64" s="90">
        <f t="shared" si="83"/>
        <v>-56712.32254</v>
      </c>
      <c r="AF64" s="90">
        <f t="shared" si="83"/>
        <v>-58445.88698</v>
      </c>
      <c r="AG64" s="90">
        <f t="shared" si="73"/>
        <v>-388813.7397</v>
      </c>
      <c r="AH64" s="91" t="str">
        <f t="shared" si="74"/>
        <v/>
      </c>
      <c r="AI64" s="11"/>
      <c r="AJ64" s="90">
        <f>AG64-N64</f>
        <v>-272824.9097</v>
      </c>
    </row>
    <row r="65" ht="13.5" customHeight="1">
      <c r="A65" s="82" t="s">
        <v>133</v>
      </c>
      <c r="B65" s="85"/>
      <c r="C65" s="85"/>
      <c r="D65" s="85"/>
      <c r="E65" s="85"/>
      <c r="F65" s="85"/>
      <c r="G65" s="85"/>
      <c r="H65" s="85"/>
      <c r="I65" s="85"/>
      <c r="J65" s="85"/>
      <c r="K65" s="85"/>
      <c r="L65" s="85"/>
      <c r="M65" s="85"/>
      <c r="N65" s="85"/>
      <c r="O65" s="85"/>
      <c r="P65" s="81"/>
      <c r="Q65" s="81"/>
      <c r="R65" s="92"/>
      <c r="S65" s="92"/>
      <c r="T65" s="92"/>
      <c r="U65" s="85"/>
      <c r="V65" s="85"/>
      <c r="W65" s="85"/>
      <c r="X65" s="85"/>
      <c r="Y65" s="85"/>
      <c r="Z65" s="85"/>
      <c r="AA65" s="85"/>
      <c r="AB65" s="85"/>
      <c r="AC65" s="85"/>
      <c r="AD65" s="85"/>
      <c r="AE65" s="85"/>
      <c r="AF65" s="85"/>
      <c r="AG65" s="85"/>
      <c r="AH65" s="85"/>
      <c r="AI65" s="11"/>
      <c r="AJ65" s="85"/>
    </row>
    <row r="66" ht="13.5" customHeight="1">
      <c r="A66" s="82" t="s">
        <v>134</v>
      </c>
      <c r="B66" s="81"/>
      <c r="C66" s="81"/>
      <c r="D66" s="81"/>
      <c r="E66" s="81"/>
      <c r="F66" s="81"/>
      <c r="G66" s="81"/>
      <c r="H66" s="81"/>
      <c r="I66" s="81"/>
      <c r="J66" s="81"/>
      <c r="K66" s="81"/>
      <c r="L66" s="81"/>
      <c r="M66" s="81"/>
      <c r="N66" s="81"/>
      <c r="O66" s="85"/>
      <c r="P66" s="81"/>
      <c r="Q66" s="81"/>
      <c r="R66" s="92"/>
      <c r="S66" s="92"/>
      <c r="T66" s="92"/>
      <c r="U66" s="81"/>
      <c r="V66" s="81"/>
      <c r="W66" s="81"/>
      <c r="X66" s="81"/>
      <c r="Y66" s="81"/>
      <c r="Z66" s="81"/>
      <c r="AA66" s="81"/>
      <c r="AB66" s="81"/>
      <c r="AC66" s="81"/>
      <c r="AD66" s="81"/>
      <c r="AE66" s="81"/>
      <c r="AF66" s="81"/>
      <c r="AG66" s="81"/>
      <c r="AH66" s="85"/>
      <c r="AI66" s="11"/>
      <c r="AJ66" s="81"/>
    </row>
    <row r="67" ht="13.5" customHeight="1">
      <c r="A67" s="83" t="s">
        <v>135</v>
      </c>
      <c r="B67" s="81">
        <v>38333.32</v>
      </c>
      <c r="C67" s="81">
        <v>27897.23</v>
      </c>
      <c r="D67" s="81">
        <v>38333.32</v>
      </c>
      <c r="E67" s="81">
        <v>48324.65</v>
      </c>
      <c r="F67" s="81">
        <v>69698.22</v>
      </c>
      <c r="G67" s="81">
        <v>57128.18</v>
      </c>
      <c r="H67" s="81">
        <v>57596.54</v>
      </c>
      <c r="I67" s="81">
        <v>62503.19</v>
      </c>
      <c r="J67" s="93">
        <v>97900.0</v>
      </c>
      <c r="K67" s="93">
        <v>116100.0</v>
      </c>
      <c r="L67" s="93">
        <v>118400.0</v>
      </c>
      <c r="M67" s="93">
        <v>118400.0</v>
      </c>
      <c r="N67" s="81">
        <f t="shared" ref="N67:N80" si="84">SUM(B67:M67)</f>
        <v>850614.65</v>
      </c>
      <c r="O67" s="85" t="str">
        <f t="shared" ref="O67:O80" si="85">IFERROR(N67/N$16,"")</f>
        <v/>
      </c>
      <c r="P67" s="81"/>
      <c r="Q67" s="81"/>
      <c r="R67" s="110"/>
      <c r="S67" s="110"/>
      <c r="T67" s="110"/>
      <c r="U67" s="110">
        <f>'Fld Eng Budget'!B78</f>
        <v>56722.58333</v>
      </c>
      <c r="V67" s="110">
        <f>'Fld Eng Budget'!C78</f>
        <v>56722.58333</v>
      </c>
      <c r="W67" s="110">
        <f>'Fld Eng Budget'!D78</f>
        <v>56722.58333</v>
      </c>
      <c r="X67" s="110">
        <f>'Fld Eng Budget'!E78</f>
        <v>56722.58333</v>
      </c>
      <c r="Y67" s="110">
        <f>'Fld Eng Budget'!F78</f>
        <v>56722.58333</v>
      </c>
      <c r="Z67" s="110">
        <f>'Fld Eng Budget'!G78</f>
        <v>56722.58333</v>
      </c>
      <c r="AA67" s="110">
        <f>'Fld Eng Budget'!H78</f>
        <v>56722.58333</v>
      </c>
      <c r="AB67" s="110">
        <f>'Fld Eng Budget'!I78</f>
        <v>62139.25</v>
      </c>
      <c r="AC67" s="110">
        <f>'Fld Eng Budget'!J78</f>
        <v>62139.25</v>
      </c>
      <c r="AD67" s="110">
        <f>'Fld Eng Budget'!K78</f>
        <v>64003.4275</v>
      </c>
      <c r="AE67" s="110">
        <f>'Fld Eng Budget'!L78</f>
        <v>64003.4275</v>
      </c>
      <c r="AF67" s="110">
        <f>'Fld Eng Budget'!M78</f>
        <v>64003.4275</v>
      </c>
      <c r="AG67" s="81">
        <f t="shared" ref="AG67:AG80" si="86">SUM(U67:AF67)</f>
        <v>713346.8658</v>
      </c>
      <c r="AH67" s="85" t="str">
        <f t="shared" ref="AH67:AH80" si="87">IFERROR(AG67/AG$16,"")</f>
        <v/>
      </c>
      <c r="AI67" s="11"/>
      <c r="AJ67" s="81">
        <f t="shared" ref="AJ67:AJ80" si="88">N67-AG67</f>
        <v>137267.7842</v>
      </c>
    </row>
    <row r="68" ht="13.5" customHeight="1">
      <c r="A68" s="83" t="s">
        <v>136</v>
      </c>
      <c r="B68" s="81">
        <v>2025.41</v>
      </c>
      <c r="C68" s="81">
        <v>6652.05</v>
      </c>
      <c r="D68" s="81">
        <v>1617.41</v>
      </c>
      <c r="E68" s="81">
        <v>1966.43</v>
      </c>
      <c r="F68" s="81">
        <v>2481.03</v>
      </c>
      <c r="G68" s="81">
        <v>1978.27</v>
      </c>
      <c r="H68" s="81">
        <v>1940.51</v>
      </c>
      <c r="I68" s="81">
        <v>3746.33</v>
      </c>
      <c r="J68" s="93">
        <v>3916.0</v>
      </c>
      <c r="K68" s="93">
        <v>4644.0</v>
      </c>
      <c r="L68" s="93">
        <v>4736.0</v>
      </c>
      <c r="M68" s="93">
        <v>4736.0</v>
      </c>
      <c r="N68" s="81">
        <f t="shared" si="84"/>
        <v>40439.44</v>
      </c>
      <c r="O68" s="85" t="str">
        <f t="shared" si="85"/>
        <v/>
      </c>
      <c r="P68" s="81"/>
      <c r="Q68" s="81"/>
      <c r="R68" s="110"/>
      <c r="S68" s="110"/>
      <c r="T68" s="110"/>
      <c r="U68" s="110">
        <f>'Fld Eng Budget'!B79</f>
        <v>3857.135667</v>
      </c>
      <c r="V68" s="110">
        <f>'Fld Eng Budget'!C79</f>
        <v>3857.135667</v>
      </c>
      <c r="W68" s="110">
        <f>'Fld Eng Budget'!D79</f>
        <v>3857.135667</v>
      </c>
      <c r="X68" s="110">
        <f>'Fld Eng Budget'!E79</f>
        <v>3857.135667</v>
      </c>
      <c r="Y68" s="110">
        <f>'Fld Eng Budget'!F79</f>
        <v>3857.135667</v>
      </c>
      <c r="Z68" s="110">
        <f>'Fld Eng Budget'!G79</f>
        <v>3857.135667</v>
      </c>
      <c r="AA68" s="110">
        <f>'Fld Eng Budget'!H79</f>
        <v>3857.135667</v>
      </c>
      <c r="AB68" s="110">
        <f>'Fld Eng Budget'!I79</f>
        <v>4225.469</v>
      </c>
      <c r="AC68" s="110">
        <f>'Fld Eng Budget'!J79</f>
        <v>4225.469</v>
      </c>
      <c r="AD68" s="110">
        <f>'Fld Eng Budget'!K79</f>
        <v>4352.23307</v>
      </c>
      <c r="AE68" s="110">
        <f>'Fld Eng Budget'!L79</f>
        <v>4352.23307</v>
      </c>
      <c r="AF68" s="110">
        <f>'Fld Eng Budget'!M79</f>
        <v>4352.23307</v>
      </c>
      <c r="AG68" s="81">
        <f t="shared" si="86"/>
        <v>48507.58688</v>
      </c>
      <c r="AH68" s="85" t="str">
        <f t="shared" si="87"/>
        <v/>
      </c>
      <c r="AI68" s="11"/>
      <c r="AJ68" s="81">
        <f t="shared" si="88"/>
        <v>-8068.146877</v>
      </c>
    </row>
    <row r="69" ht="13.5" customHeight="1">
      <c r="A69" s="83" t="s">
        <v>137</v>
      </c>
      <c r="B69" s="81">
        <v>2047.73</v>
      </c>
      <c r="C69" s="81">
        <v>5252.34</v>
      </c>
      <c r="D69" s="81">
        <v>3981.87</v>
      </c>
      <c r="E69" s="81">
        <v>4255.59</v>
      </c>
      <c r="F69" s="81">
        <v>4157.09</v>
      </c>
      <c r="G69" s="81">
        <v>4325.33</v>
      </c>
      <c r="H69" s="81">
        <v>3959.5</v>
      </c>
      <c r="I69" s="81">
        <v>3814.97</v>
      </c>
      <c r="J69" s="93">
        <v>10573.0</v>
      </c>
      <c r="K69" s="93">
        <v>12539.0</v>
      </c>
      <c r="L69" s="93">
        <v>12787.0</v>
      </c>
      <c r="M69" s="93">
        <v>12787.0</v>
      </c>
      <c r="N69" s="81">
        <f t="shared" si="84"/>
        <v>80480.42</v>
      </c>
      <c r="O69" s="85" t="str">
        <f t="shared" si="85"/>
        <v/>
      </c>
      <c r="P69" s="81"/>
      <c r="Q69" s="81"/>
      <c r="R69" s="110"/>
      <c r="S69" s="110"/>
      <c r="T69" s="110"/>
      <c r="U69" s="110">
        <f>'Fld Eng Budget'!B80</f>
        <v>9302.503667</v>
      </c>
      <c r="V69" s="110">
        <f>'Fld Eng Budget'!C80</f>
        <v>9302.503667</v>
      </c>
      <c r="W69" s="110">
        <f>'Fld Eng Budget'!D80</f>
        <v>9302.503667</v>
      </c>
      <c r="X69" s="110">
        <f>'Fld Eng Budget'!E80</f>
        <v>9302.503667</v>
      </c>
      <c r="Y69" s="110">
        <f>'Fld Eng Budget'!F80</f>
        <v>9302.503667</v>
      </c>
      <c r="Z69" s="110">
        <f>'Fld Eng Budget'!G80</f>
        <v>9302.503667</v>
      </c>
      <c r="AA69" s="110">
        <f>'Fld Eng Budget'!H80</f>
        <v>9302.503667</v>
      </c>
      <c r="AB69" s="110">
        <f>'Fld Eng Budget'!I80</f>
        <v>10190.837</v>
      </c>
      <c r="AC69" s="110">
        <f>'Fld Eng Budget'!J80</f>
        <v>10190.837</v>
      </c>
      <c r="AD69" s="110">
        <f>'Fld Eng Budget'!K80</f>
        <v>10496.56211</v>
      </c>
      <c r="AE69" s="110">
        <f>'Fld Eng Budget'!L80</f>
        <v>10496.56211</v>
      </c>
      <c r="AF69" s="110">
        <f>'Fld Eng Budget'!M80</f>
        <v>10496.56211</v>
      </c>
      <c r="AG69" s="81">
        <f t="shared" si="86"/>
        <v>116988.886</v>
      </c>
      <c r="AH69" s="85" t="str">
        <f t="shared" si="87"/>
        <v/>
      </c>
      <c r="AI69" s="11"/>
      <c r="AJ69" s="81">
        <f t="shared" si="88"/>
        <v>-36508.466</v>
      </c>
    </row>
    <row r="70" ht="13.5" customHeight="1">
      <c r="A70" s="83" t="s">
        <v>138</v>
      </c>
      <c r="B70" s="81">
        <v>0.0</v>
      </c>
      <c r="C70" s="81">
        <v>0.0</v>
      </c>
      <c r="D70" s="81">
        <v>0.0</v>
      </c>
      <c r="E70" s="81">
        <v>0.0</v>
      </c>
      <c r="F70" s="81">
        <v>0.0</v>
      </c>
      <c r="G70" s="81">
        <v>0.0</v>
      </c>
      <c r="H70" s="81">
        <v>0.0</v>
      </c>
      <c r="I70" s="81">
        <v>0.0</v>
      </c>
      <c r="J70" s="93">
        <v>0.0</v>
      </c>
      <c r="K70" s="93">
        <v>0.0</v>
      </c>
      <c r="L70" s="93">
        <v>0.0</v>
      </c>
      <c r="M70" s="93">
        <v>0.0</v>
      </c>
      <c r="N70" s="81">
        <f t="shared" si="84"/>
        <v>0</v>
      </c>
      <c r="O70" s="85" t="str">
        <f t="shared" si="85"/>
        <v/>
      </c>
      <c r="P70" s="81"/>
      <c r="Q70" s="81"/>
      <c r="R70" s="86" t="s">
        <v>80</v>
      </c>
      <c r="S70" s="87">
        <v>0.0</v>
      </c>
      <c r="T70" s="88">
        <v>0.05</v>
      </c>
      <c r="U70" s="84">
        <f t="shared" ref="U70:AF70" si="89">IF($R70="Manual","",IFERROR(IF($R70="YOY Growth",$N70*(1+$T70)/12,$S70/12),""))</f>
        <v>0</v>
      </c>
      <c r="V70" s="84">
        <f t="shared" si="89"/>
        <v>0</v>
      </c>
      <c r="W70" s="84">
        <f t="shared" si="89"/>
        <v>0</v>
      </c>
      <c r="X70" s="84">
        <f t="shared" si="89"/>
        <v>0</v>
      </c>
      <c r="Y70" s="84">
        <f t="shared" si="89"/>
        <v>0</v>
      </c>
      <c r="Z70" s="84">
        <f t="shared" si="89"/>
        <v>0</v>
      </c>
      <c r="AA70" s="84">
        <f t="shared" si="89"/>
        <v>0</v>
      </c>
      <c r="AB70" s="84">
        <f t="shared" si="89"/>
        <v>0</v>
      </c>
      <c r="AC70" s="84">
        <f t="shared" si="89"/>
        <v>0</v>
      </c>
      <c r="AD70" s="84">
        <f t="shared" si="89"/>
        <v>0</v>
      </c>
      <c r="AE70" s="84">
        <f t="shared" si="89"/>
        <v>0</v>
      </c>
      <c r="AF70" s="84">
        <f t="shared" si="89"/>
        <v>0</v>
      </c>
      <c r="AG70" s="81">
        <f t="shared" si="86"/>
        <v>0</v>
      </c>
      <c r="AH70" s="85" t="str">
        <f t="shared" si="87"/>
        <v/>
      </c>
      <c r="AI70" s="11"/>
      <c r="AJ70" s="81">
        <f t="shared" si="88"/>
        <v>0</v>
      </c>
    </row>
    <row r="71" ht="13.5" customHeight="1">
      <c r="A71" s="83" t="s">
        <v>139</v>
      </c>
      <c r="B71" s="81">
        <v>0.0</v>
      </c>
      <c r="C71" s="81">
        <v>0.0</v>
      </c>
      <c r="D71" s="81">
        <v>0.0</v>
      </c>
      <c r="E71" s="81">
        <v>0.0</v>
      </c>
      <c r="F71" s="81">
        <v>0.0</v>
      </c>
      <c r="G71" s="81">
        <v>0.0</v>
      </c>
      <c r="H71" s="81">
        <v>0.0</v>
      </c>
      <c r="I71" s="81">
        <v>0.0</v>
      </c>
      <c r="J71" s="93">
        <v>0.0</v>
      </c>
      <c r="K71" s="93">
        <v>0.0</v>
      </c>
      <c r="L71" s="93">
        <v>0.0</v>
      </c>
      <c r="M71" s="93">
        <v>0.0</v>
      </c>
      <c r="N71" s="81">
        <f t="shared" si="84"/>
        <v>0</v>
      </c>
      <c r="O71" s="85" t="str">
        <f t="shared" si="85"/>
        <v/>
      </c>
      <c r="P71" s="81"/>
      <c r="Q71" s="81"/>
      <c r="R71" s="86" t="s">
        <v>80</v>
      </c>
      <c r="S71" s="87">
        <v>0.0</v>
      </c>
      <c r="T71" s="88">
        <v>0.05</v>
      </c>
      <c r="U71" s="84">
        <f t="shared" ref="U71:AF71" si="90">IF($R71="Manual","",IFERROR(IF($R71="YOY Growth",$N71*(1+$T71)/12,$S71/12),""))</f>
        <v>0</v>
      </c>
      <c r="V71" s="84">
        <f t="shared" si="90"/>
        <v>0</v>
      </c>
      <c r="W71" s="84">
        <f t="shared" si="90"/>
        <v>0</v>
      </c>
      <c r="X71" s="84">
        <f t="shared" si="90"/>
        <v>0</v>
      </c>
      <c r="Y71" s="84">
        <f t="shared" si="90"/>
        <v>0</v>
      </c>
      <c r="Z71" s="84">
        <f t="shared" si="90"/>
        <v>0</v>
      </c>
      <c r="AA71" s="84">
        <f t="shared" si="90"/>
        <v>0</v>
      </c>
      <c r="AB71" s="84">
        <f t="shared" si="90"/>
        <v>0</v>
      </c>
      <c r="AC71" s="84">
        <f t="shared" si="90"/>
        <v>0</v>
      </c>
      <c r="AD71" s="84">
        <f t="shared" si="90"/>
        <v>0</v>
      </c>
      <c r="AE71" s="84">
        <f t="shared" si="90"/>
        <v>0</v>
      </c>
      <c r="AF71" s="84">
        <f t="shared" si="90"/>
        <v>0</v>
      </c>
      <c r="AG71" s="81">
        <f t="shared" si="86"/>
        <v>0</v>
      </c>
      <c r="AH71" s="85" t="str">
        <f t="shared" si="87"/>
        <v/>
      </c>
      <c r="AI71" s="11"/>
      <c r="AJ71" s="81">
        <f t="shared" si="88"/>
        <v>0</v>
      </c>
    </row>
    <row r="72" ht="13.5" customHeight="1">
      <c r="A72" s="83" t="s">
        <v>140</v>
      </c>
      <c r="B72" s="81">
        <v>0.0</v>
      </c>
      <c r="C72" s="81">
        <v>0.0</v>
      </c>
      <c r="D72" s="81">
        <v>0.0</v>
      </c>
      <c r="E72" s="81">
        <v>0.0</v>
      </c>
      <c r="F72" s="81">
        <v>0.0</v>
      </c>
      <c r="G72" s="81">
        <v>0.0</v>
      </c>
      <c r="H72" s="81">
        <v>0.0</v>
      </c>
      <c r="I72" s="81">
        <v>0.0</v>
      </c>
      <c r="J72" s="93">
        <v>0.0</v>
      </c>
      <c r="K72" s="93">
        <v>0.0</v>
      </c>
      <c r="L72" s="93">
        <v>0.0</v>
      </c>
      <c r="M72" s="93">
        <v>0.0</v>
      </c>
      <c r="N72" s="81">
        <f t="shared" si="84"/>
        <v>0</v>
      </c>
      <c r="O72" s="85" t="str">
        <f t="shared" si="85"/>
        <v/>
      </c>
      <c r="P72" s="81"/>
      <c r="Q72" s="81"/>
      <c r="R72" s="86" t="s">
        <v>80</v>
      </c>
      <c r="S72" s="87">
        <v>0.0</v>
      </c>
      <c r="T72" s="88">
        <v>0.05</v>
      </c>
      <c r="U72" s="84">
        <f t="shared" ref="U72:AF72" si="91">IF($R72="Manual","",IFERROR(IF($R72="YOY Growth",$N72*(1+$T72)/12,$S72/12),""))</f>
        <v>0</v>
      </c>
      <c r="V72" s="84">
        <f t="shared" si="91"/>
        <v>0</v>
      </c>
      <c r="W72" s="84">
        <f t="shared" si="91"/>
        <v>0</v>
      </c>
      <c r="X72" s="84">
        <f t="shared" si="91"/>
        <v>0</v>
      </c>
      <c r="Y72" s="84">
        <f t="shared" si="91"/>
        <v>0</v>
      </c>
      <c r="Z72" s="84">
        <f t="shared" si="91"/>
        <v>0</v>
      </c>
      <c r="AA72" s="84">
        <f t="shared" si="91"/>
        <v>0</v>
      </c>
      <c r="AB72" s="84">
        <f t="shared" si="91"/>
        <v>0</v>
      </c>
      <c r="AC72" s="84">
        <f t="shared" si="91"/>
        <v>0</v>
      </c>
      <c r="AD72" s="84">
        <f t="shared" si="91"/>
        <v>0</v>
      </c>
      <c r="AE72" s="84">
        <f t="shared" si="91"/>
        <v>0</v>
      </c>
      <c r="AF72" s="84">
        <f t="shared" si="91"/>
        <v>0</v>
      </c>
      <c r="AG72" s="81">
        <f t="shared" si="86"/>
        <v>0</v>
      </c>
      <c r="AH72" s="85" t="str">
        <f t="shared" si="87"/>
        <v/>
      </c>
      <c r="AI72" s="11"/>
      <c r="AJ72" s="81">
        <f t="shared" si="88"/>
        <v>0</v>
      </c>
    </row>
    <row r="73" ht="13.5" customHeight="1">
      <c r="A73" s="89" t="s">
        <v>141</v>
      </c>
      <c r="B73" s="90">
        <f t="shared" ref="B73:M73" si="92">SUM(B67:B72)</f>
        <v>42406.46</v>
      </c>
      <c r="C73" s="90">
        <f t="shared" si="92"/>
        <v>39801.62</v>
      </c>
      <c r="D73" s="90">
        <f t="shared" si="92"/>
        <v>43932.6</v>
      </c>
      <c r="E73" s="90">
        <f t="shared" si="92"/>
        <v>54546.67</v>
      </c>
      <c r="F73" s="90">
        <f t="shared" si="92"/>
        <v>76336.34</v>
      </c>
      <c r="G73" s="90">
        <f t="shared" si="92"/>
        <v>63431.78</v>
      </c>
      <c r="H73" s="90">
        <f t="shared" si="92"/>
        <v>63496.55</v>
      </c>
      <c r="I73" s="90">
        <f t="shared" si="92"/>
        <v>70064.49</v>
      </c>
      <c r="J73" s="90">
        <f t="shared" si="92"/>
        <v>112389</v>
      </c>
      <c r="K73" s="90">
        <f t="shared" si="92"/>
        <v>133283</v>
      </c>
      <c r="L73" s="90">
        <f t="shared" si="92"/>
        <v>135923</v>
      </c>
      <c r="M73" s="90">
        <f t="shared" si="92"/>
        <v>135923</v>
      </c>
      <c r="N73" s="90">
        <f t="shared" si="84"/>
        <v>971534.51</v>
      </c>
      <c r="O73" s="91" t="str">
        <f t="shared" si="85"/>
        <v/>
      </c>
      <c r="P73" s="81"/>
      <c r="Q73" s="81"/>
      <c r="R73" s="92"/>
      <c r="S73" s="92"/>
      <c r="T73" s="92"/>
      <c r="U73" s="90">
        <f t="shared" ref="U73:AF73" si="93">SUM(U67:U72)</f>
        <v>69882.22267</v>
      </c>
      <c r="V73" s="90">
        <f t="shared" si="93"/>
        <v>69882.22267</v>
      </c>
      <c r="W73" s="90">
        <f t="shared" si="93"/>
        <v>69882.22267</v>
      </c>
      <c r="X73" s="90">
        <f t="shared" si="93"/>
        <v>69882.22267</v>
      </c>
      <c r="Y73" s="90">
        <f t="shared" si="93"/>
        <v>69882.22267</v>
      </c>
      <c r="Z73" s="90">
        <f t="shared" si="93"/>
        <v>69882.22267</v>
      </c>
      <c r="AA73" s="90">
        <f t="shared" si="93"/>
        <v>69882.22267</v>
      </c>
      <c r="AB73" s="90">
        <f t="shared" si="93"/>
        <v>76555.556</v>
      </c>
      <c r="AC73" s="90">
        <f t="shared" si="93"/>
        <v>76555.556</v>
      </c>
      <c r="AD73" s="90">
        <f t="shared" si="93"/>
        <v>78852.22268</v>
      </c>
      <c r="AE73" s="90">
        <f t="shared" si="93"/>
        <v>78852.22268</v>
      </c>
      <c r="AF73" s="90">
        <f t="shared" si="93"/>
        <v>78852.22268</v>
      </c>
      <c r="AG73" s="90">
        <f t="shared" si="86"/>
        <v>878843.3387</v>
      </c>
      <c r="AH73" s="91" t="str">
        <f t="shared" si="87"/>
        <v/>
      </c>
      <c r="AI73" s="11"/>
      <c r="AJ73" s="90">
        <f t="shared" si="88"/>
        <v>92691.17129</v>
      </c>
    </row>
    <row r="74" ht="13.5" customHeight="1">
      <c r="A74" s="109" t="s">
        <v>142</v>
      </c>
      <c r="B74" s="81">
        <v>0.0</v>
      </c>
      <c r="C74" s="81">
        <v>-773.5</v>
      </c>
      <c r="D74" s="81">
        <v>1130.73</v>
      </c>
      <c r="E74" s="81">
        <v>8303.22</v>
      </c>
      <c r="F74" s="81">
        <v>2747.17</v>
      </c>
      <c r="G74" s="81">
        <v>7608.77</v>
      </c>
      <c r="H74" s="81">
        <v>1346.83</v>
      </c>
      <c r="I74" s="81">
        <v>2646.86</v>
      </c>
      <c r="J74" s="93">
        <v>3000.0</v>
      </c>
      <c r="K74" s="93">
        <v>3000.0</v>
      </c>
      <c r="L74" s="93">
        <v>3000.0</v>
      </c>
      <c r="M74" s="93">
        <v>3000.0</v>
      </c>
      <c r="N74" s="81">
        <f t="shared" si="84"/>
        <v>35010.08</v>
      </c>
      <c r="O74" s="85" t="str">
        <f t="shared" si="85"/>
        <v/>
      </c>
      <c r="P74" s="81"/>
      <c r="Q74" s="81"/>
      <c r="R74" s="94" t="s">
        <v>97</v>
      </c>
      <c r="S74" s="87">
        <v>0.0</v>
      </c>
      <c r="T74" s="88">
        <v>0.05</v>
      </c>
      <c r="U74" s="95">
        <f>'Fld Eng Budget'!B76</f>
        <v>3769.59375</v>
      </c>
      <c r="V74" s="95">
        <f>'Fld Eng Budget'!C76</f>
        <v>3769.59375</v>
      </c>
      <c r="W74" s="95">
        <f>'Fld Eng Budget'!D76</f>
        <v>3769.59375</v>
      </c>
      <c r="X74" s="95">
        <f>'Fld Eng Budget'!E76</f>
        <v>3769.59375</v>
      </c>
      <c r="Y74" s="95">
        <f>'Fld Eng Budget'!F76</f>
        <v>3769.59375</v>
      </c>
      <c r="Z74" s="95">
        <f>'Fld Eng Budget'!G76</f>
        <v>3769.59375</v>
      </c>
      <c r="AA74" s="95">
        <f>'Fld Eng Budget'!H76</f>
        <v>3769.59375</v>
      </c>
      <c r="AB74" s="95">
        <f>'Fld Eng Budget'!I76</f>
        <v>3769.59375</v>
      </c>
      <c r="AC74" s="95">
        <f>'Fld Eng Budget'!J76</f>
        <v>3769.59375</v>
      </c>
      <c r="AD74" s="95">
        <f>'Fld Eng Budget'!K76</f>
        <v>3769.59375</v>
      </c>
      <c r="AE74" s="95">
        <f>'Fld Eng Budget'!L76</f>
        <v>3769.59375</v>
      </c>
      <c r="AF74" s="95">
        <f>'Fld Eng Budget'!M76</f>
        <v>3769.59375</v>
      </c>
      <c r="AG74" s="81">
        <f t="shared" si="86"/>
        <v>45235.125</v>
      </c>
      <c r="AH74" s="85" t="str">
        <f t="shared" si="87"/>
        <v/>
      </c>
      <c r="AI74" s="11"/>
      <c r="AJ74" s="81">
        <f t="shared" si="88"/>
        <v>-10225.045</v>
      </c>
    </row>
    <row r="75" ht="13.5" customHeight="1">
      <c r="A75" s="109" t="s">
        <v>143</v>
      </c>
      <c r="B75" s="81">
        <v>12.29</v>
      </c>
      <c r="C75" s="81">
        <v>0.0</v>
      </c>
      <c r="D75" s="81">
        <v>0.0</v>
      </c>
      <c r="E75" s="81">
        <v>2986.15</v>
      </c>
      <c r="F75" s="81">
        <v>0.0</v>
      </c>
      <c r="G75" s="81">
        <v>475.67</v>
      </c>
      <c r="H75" s="81">
        <v>234.79</v>
      </c>
      <c r="I75" s="81">
        <v>0.0</v>
      </c>
      <c r="J75" s="93">
        <v>400.0</v>
      </c>
      <c r="K75" s="93">
        <v>400.0</v>
      </c>
      <c r="L75" s="93">
        <v>400.0</v>
      </c>
      <c r="M75" s="93">
        <v>400.0</v>
      </c>
      <c r="N75" s="81">
        <f t="shared" si="84"/>
        <v>5308.9</v>
      </c>
      <c r="O75" s="85" t="str">
        <f t="shared" si="85"/>
        <v/>
      </c>
      <c r="P75" s="81"/>
      <c r="Q75" s="81"/>
      <c r="R75" s="94" t="s">
        <v>97</v>
      </c>
      <c r="S75" s="87">
        <v>0.0</v>
      </c>
      <c r="T75" s="88">
        <v>0.05</v>
      </c>
      <c r="U75" s="95">
        <f>'Fld Eng Budget'!B77</f>
        <v>604.6140625</v>
      </c>
      <c r="V75" s="95">
        <f>'Fld Eng Budget'!C77</f>
        <v>604.6140625</v>
      </c>
      <c r="W75" s="95">
        <f>'Fld Eng Budget'!D77</f>
        <v>604.6140625</v>
      </c>
      <c r="X75" s="95">
        <f>'Fld Eng Budget'!E77</f>
        <v>604.6140625</v>
      </c>
      <c r="Y75" s="95">
        <f>'Fld Eng Budget'!F77</f>
        <v>604.6140625</v>
      </c>
      <c r="Z75" s="95">
        <f>'Fld Eng Budget'!G77</f>
        <v>604.6140625</v>
      </c>
      <c r="AA75" s="95">
        <f>'Fld Eng Budget'!H77</f>
        <v>604.6140625</v>
      </c>
      <c r="AB75" s="95">
        <f>'Fld Eng Budget'!I77</f>
        <v>604.6140625</v>
      </c>
      <c r="AC75" s="95">
        <f>'Fld Eng Budget'!J77</f>
        <v>604.6140625</v>
      </c>
      <c r="AD75" s="95">
        <f>'Fld Eng Budget'!K77</f>
        <v>604.6140625</v>
      </c>
      <c r="AE75" s="95">
        <f>'Fld Eng Budget'!L77</f>
        <v>604.6140625</v>
      </c>
      <c r="AF75" s="95">
        <f>'Fld Eng Budget'!M77</f>
        <v>604.6140625</v>
      </c>
      <c r="AG75" s="81">
        <f t="shared" si="86"/>
        <v>7255.36875</v>
      </c>
      <c r="AH75" s="85" t="str">
        <f t="shared" si="87"/>
        <v/>
      </c>
      <c r="AI75" s="11"/>
      <c r="AJ75" s="81">
        <f t="shared" si="88"/>
        <v>-1946.46875</v>
      </c>
    </row>
    <row r="76" ht="13.5" customHeight="1">
      <c r="A76" s="83" t="s">
        <v>144</v>
      </c>
      <c r="B76" s="81">
        <v>0.0</v>
      </c>
      <c r="C76" s="81">
        <v>0.0</v>
      </c>
      <c r="D76" s="81">
        <v>0.0</v>
      </c>
      <c r="E76" s="81">
        <v>28.2</v>
      </c>
      <c r="F76" s="81">
        <v>0.0</v>
      </c>
      <c r="G76" s="81">
        <v>0.0</v>
      </c>
      <c r="H76" s="81">
        <v>0.0</v>
      </c>
      <c r="I76" s="81">
        <v>0.0</v>
      </c>
      <c r="J76" s="93">
        <v>0.0</v>
      </c>
      <c r="K76" s="93">
        <v>0.0</v>
      </c>
      <c r="L76" s="93">
        <v>0.0</v>
      </c>
      <c r="M76" s="93">
        <v>0.0</v>
      </c>
      <c r="N76" s="81">
        <f t="shared" si="84"/>
        <v>28.2</v>
      </c>
      <c r="O76" s="85" t="str">
        <f t="shared" si="85"/>
        <v/>
      </c>
      <c r="P76" s="81"/>
      <c r="Q76" s="81"/>
      <c r="R76" s="86" t="s">
        <v>80</v>
      </c>
      <c r="S76" s="87">
        <v>0.0</v>
      </c>
      <c r="T76" s="88">
        <v>0.05</v>
      </c>
      <c r="U76" s="84">
        <f t="shared" ref="U76:AF76" si="94">IF($R76="Manual","",IFERROR(IF($R76="YOY Growth",$N76*(1+$T76)/12,$S76/12),""))</f>
        <v>0</v>
      </c>
      <c r="V76" s="84">
        <f t="shared" si="94"/>
        <v>0</v>
      </c>
      <c r="W76" s="84">
        <f t="shared" si="94"/>
        <v>0</v>
      </c>
      <c r="X76" s="84">
        <f t="shared" si="94"/>
        <v>0</v>
      </c>
      <c r="Y76" s="84">
        <f t="shared" si="94"/>
        <v>0</v>
      </c>
      <c r="Z76" s="84">
        <f t="shared" si="94"/>
        <v>0</v>
      </c>
      <c r="AA76" s="84">
        <f t="shared" si="94"/>
        <v>0</v>
      </c>
      <c r="AB76" s="84">
        <f t="shared" si="94"/>
        <v>0</v>
      </c>
      <c r="AC76" s="84">
        <f t="shared" si="94"/>
        <v>0</v>
      </c>
      <c r="AD76" s="84">
        <f t="shared" si="94"/>
        <v>0</v>
      </c>
      <c r="AE76" s="84">
        <f t="shared" si="94"/>
        <v>0</v>
      </c>
      <c r="AF76" s="84">
        <f t="shared" si="94"/>
        <v>0</v>
      </c>
      <c r="AG76" s="81">
        <f t="shared" si="86"/>
        <v>0</v>
      </c>
      <c r="AH76" s="85" t="str">
        <f t="shared" si="87"/>
        <v/>
      </c>
      <c r="AI76" s="11"/>
      <c r="AJ76" s="81">
        <f t="shared" si="88"/>
        <v>28.2</v>
      </c>
    </row>
    <row r="77" ht="13.5" customHeight="1">
      <c r="A77" s="83" t="s">
        <v>145</v>
      </c>
      <c r="B77" s="81">
        <v>0.0</v>
      </c>
      <c r="C77" s="81">
        <v>0.0</v>
      </c>
      <c r="D77" s="81">
        <v>0.0</v>
      </c>
      <c r="E77" s="81">
        <v>0.0</v>
      </c>
      <c r="F77" s="81">
        <v>0.0</v>
      </c>
      <c r="G77" s="81">
        <v>0.0</v>
      </c>
      <c r="H77" s="81">
        <v>0.0</v>
      </c>
      <c r="I77" s="81">
        <v>0.0</v>
      </c>
      <c r="J77" s="93">
        <v>0.0</v>
      </c>
      <c r="K77" s="93">
        <v>0.0</v>
      </c>
      <c r="L77" s="93">
        <v>0.0</v>
      </c>
      <c r="M77" s="93">
        <v>0.0</v>
      </c>
      <c r="N77" s="81">
        <f t="shared" si="84"/>
        <v>0</v>
      </c>
      <c r="O77" s="85" t="str">
        <f t="shared" si="85"/>
        <v/>
      </c>
      <c r="P77" s="81"/>
      <c r="Q77" s="81"/>
      <c r="R77" s="86" t="s">
        <v>80</v>
      </c>
      <c r="S77" s="87">
        <v>0.0</v>
      </c>
      <c r="T77" s="88">
        <v>0.05</v>
      </c>
      <c r="U77" s="84">
        <f t="shared" ref="U77:AF77" si="95">IF($R77="Manual","",IFERROR(IF($R77="YOY Growth",$N77*(1+$T77)/12,$S77/12),""))</f>
        <v>0</v>
      </c>
      <c r="V77" s="84">
        <f t="shared" si="95"/>
        <v>0</v>
      </c>
      <c r="W77" s="84">
        <f t="shared" si="95"/>
        <v>0</v>
      </c>
      <c r="X77" s="84">
        <f t="shared" si="95"/>
        <v>0</v>
      </c>
      <c r="Y77" s="84">
        <f t="shared" si="95"/>
        <v>0</v>
      </c>
      <c r="Z77" s="84">
        <f t="shared" si="95"/>
        <v>0</v>
      </c>
      <c r="AA77" s="84">
        <f t="shared" si="95"/>
        <v>0</v>
      </c>
      <c r="AB77" s="84">
        <f t="shared" si="95"/>
        <v>0</v>
      </c>
      <c r="AC77" s="84">
        <f t="shared" si="95"/>
        <v>0</v>
      </c>
      <c r="AD77" s="84">
        <f t="shared" si="95"/>
        <v>0</v>
      </c>
      <c r="AE77" s="84">
        <f t="shared" si="95"/>
        <v>0</v>
      </c>
      <c r="AF77" s="84">
        <f t="shared" si="95"/>
        <v>0</v>
      </c>
      <c r="AG77" s="81">
        <f t="shared" si="86"/>
        <v>0</v>
      </c>
      <c r="AH77" s="85" t="str">
        <f t="shared" si="87"/>
        <v/>
      </c>
      <c r="AI77" s="11"/>
      <c r="AJ77" s="81">
        <f t="shared" si="88"/>
        <v>0</v>
      </c>
    </row>
    <row r="78" ht="13.5" customHeight="1">
      <c r="A78" s="83" t="s">
        <v>146</v>
      </c>
      <c r="B78" s="81">
        <v>0.0</v>
      </c>
      <c r="C78" s="81">
        <v>0.0</v>
      </c>
      <c r="D78" s="81">
        <v>0.0</v>
      </c>
      <c r="E78" s="81">
        <v>0.0</v>
      </c>
      <c r="F78" s="81">
        <v>0.0</v>
      </c>
      <c r="G78" s="81">
        <v>0.0</v>
      </c>
      <c r="H78" s="81">
        <v>0.0</v>
      </c>
      <c r="I78" s="81">
        <v>0.0</v>
      </c>
      <c r="J78" s="93">
        <v>0.0</v>
      </c>
      <c r="K78" s="93">
        <v>0.0</v>
      </c>
      <c r="L78" s="93">
        <v>0.0</v>
      </c>
      <c r="M78" s="93">
        <v>0.0</v>
      </c>
      <c r="N78" s="81">
        <f t="shared" si="84"/>
        <v>0</v>
      </c>
      <c r="O78" s="85" t="str">
        <f t="shared" si="85"/>
        <v/>
      </c>
      <c r="P78" s="81"/>
      <c r="Q78" s="81"/>
      <c r="R78" s="86" t="s">
        <v>80</v>
      </c>
      <c r="S78" s="87">
        <v>0.0</v>
      </c>
      <c r="T78" s="88">
        <v>0.05</v>
      </c>
      <c r="U78" s="84">
        <f t="shared" ref="U78:AF78" si="96">IF($R78="Manual","",IFERROR(IF($R78="YOY Growth",$N78*(1+$T78)/12,$S78/12),""))</f>
        <v>0</v>
      </c>
      <c r="V78" s="84">
        <f t="shared" si="96"/>
        <v>0</v>
      </c>
      <c r="W78" s="84">
        <f t="shared" si="96"/>
        <v>0</v>
      </c>
      <c r="X78" s="84">
        <f t="shared" si="96"/>
        <v>0</v>
      </c>
      <c r="Y78" s="84">
        <f t="shared" si="96"/>
        <v>0</v>
      </c>
      <c r="Z78" s="84">
        <f t="shared" si="96"/>
        <v>0</v>
      </c>
      <c r="AA78" s="84">
        <f t="shared" si="96"/>
        <v>0</v>
      </c>
      <c r="AB78" s="84">
        <f t="shared" si="96"/>
        <v>0</v>
      </c>
      <c r="AC78" s="84">
        <f t="shared" si="96"/>
        <v>0</v>
      </c>
      <c r="AD78" s="84">
        <f t="shared" si="96"/>
        <v>0</v>
      </c>
      <c r="AE78" s="84">
        <f t="shared" si="96"/>
        <v>0</v>
      </c>
      <c r="AF78" s="84">
        <f t="shared" si="96"/>
        <v>0</v>
      </c>
      <c r="AG78" s="81">
        <f t="shared" si="86"/>
        <v>0</v>
      </c>
      <c r="AH78" s="85" t="str">
        <f t="shared" si="87"/>
        <v/>
      </c>
      <c r="AI78" s="11"/>
      <c r="AJ78" s="81">
        <f t="shared" si="88"/>
        <v>0</v>
      </c>
    </row>
    <row r="79" ht="13.5" customHeight="1">
      <c r="A79" s="83" t="s">
        <v>147</v>
      </c>
      <c r="B79" s="81">
        <v>0.0</v>
      </c>
      <c r="C79" s="81">
        <v>0.0</v>
      </c>
      <c r="D79" s="81">
        <v>0.0</v>
      </c>
      <c r="E79" s="81">
        <v>2674.33</v>
      </c>
      <c r="F79" s="81">
        <v>0.0</v>
      </c>
      <c r="G79" s="81">
        <v>0.0</v>
      </c>
      <c r="H79" s="81">
        <v>0.0</v>
      </c>
      <c r="I79" s="81">
        <v>0.0</v>
      </c>
      <c r="J79" s="93">
        <v>1000.0</v>
      </c>
      <c r="K79" s="93">
        <v>1000.0</v>
      </c>
      <c r="L79" s="93">
        <v>3000.0</v>
      </c>
      <c r="M79" s="93">
        <v>1000.0</v>
      </c>
      <c r="N79" s="81">
        <f t="shared" si="84"/>
        <v>8674.33</v>
      </c>
      <c r="O79" s="85" t="str">
        <f t="shared" si="85"/>
        <v/>
      </c>
      <c r="P79" s="81"/>
      <c r="Q79" s="81"/>
      <c r="R79" s="86" t="s">
        <v>80</v>
      </c>
      <c r="S79" s="87">
        <v>0.0</v>
      </c>
      <c r="T79" s="88">
        <v>0.05</v>
      </c>
      <c r="U79" s="84">
        <f t="shared" ref="U79:AF79" si="97">IF($R79="Manual","",IFERROR(IF($R79="YOY Growth",$N79*(1+$T79)/12,$S79/12),""))</f>
        <v>0</v>
      </c>
      <c r="V79" s="84">
        <f t="shared" si="97"/>
        <v>0</v>
      </c>
      <c r="W79" s="84">
        <f t="shared" si="97"/>
        <v>0</v>
      </c>
      <c r="X79" s="84">
        <f t="shared" si="97"/>
        <v>0</v>
      </c>
      <c r="Y79" s="84">
        <f t="shared" si="97"/>
        <v>0</v>
      </c>
      <c r="Z79" s="84">
        <f t="shared" si="97"/>
        <v>0</v>
      </c>
      <c r="AA79" s="84">
        <f t="shared" si="97"/>
        <v>0</v>
      </c>
      <c r="AB79" s="84">
        <f t="shared" si="97"/>
        <v>0</v>
      </c>
      <c r="AC79" s="84">
        <f t="shared" si="97"/>
        <v>0</v>
      </c>
      <c r="AD79" s="84">
        <f t="shared" si="97"/>
        <v>0</v>
      </c>
      <c r="AE79" s="84">
        <f t="shared" si="97"/>
        <v>0</v>
      </c>
      <c r="AF79" s="84">
        <f t="shared" si="97"/>
        <v>0</v>
      </c>
      <c r="AG79" s="81">
        <f t="shared" si="86"/>
        <v>0</v>
      </c>
      <c r="AH79" s="85" t="str">
        <f t="shared" si="87"/>
        <v/>
      </c>
      <c r="AI79" s="11"/>
      <c r="AJ79" s="81">
        <f t="shared" si="88"/>
        <v>8674.33</v>
      </c>
    </row>
    <row r="80" ht="13.5" customHeight="1">
      <c r="A80" s="83" t="s">
        <v>148</v>
      </c>
      <c r="B80" s="81">
        <v>35.89</v>
      </c>
      <c r="C80" s="81">
        <v>0.0</v>
      </c>
      <c r="D80" s="81">
        <v>0.0</v>
      </c>
      <c r="E80" s="81">
        <v>0.0</v>
      </c>
      <c r="F80" s="81">
        <v>0.0</v>
      </c>
      <c r="G80" s="81">
        <v>0.0</v>
      </c>
      <c r="H80" s="81">
        <v>0.0</v>
      </c>
      <c r="I80" s="81">
        <v>0.0</v>
      </c>
      <c r="J80" s="93">
        <v>0.0</v>
      </c>
      <c r="K80" s="93">
        <v>0.0</v>
      </c>
      <c r="L80" s="93">
        <v>0.0</v>
      </c>
      <c r="M80" s="93">
        <v>0.0</v>
      </c>
      <c r="N80" s="81">
        <f t="shared" si="84"/>
        <v>35.89</v>
      </c>
      <c r="O80" s="85" t="str">
        <f t="shared" si="85"/>
        <v/>
      </c>
      <c r="P80" s="81"/>
      <c r="Q80" s="81"/>
      <c r="R80" s="86" t="s">
        <v>80</v>
      </c>
      <c r="S80" s="87">
        <v>0.0</v>
      </c>
      <c r="T80" s="88">
        <v>0.05</v>
      </c>
      <c r="U80" s="84">
        <f t="shared" ref="U80:AF80" si="98">IF($R80="Manual","",IFERROR(IF($R80="YOY Growth",$N80*(1+$T80)/12,$S80/12),""))</f>
        <v>0</v>
      </c>
      <c r="V80" s="84">
        <f t="shared" si="98"/>
        <v>0</v>
      </c>
      <c r="W80" s="84">
        <f t="shared" si="98"/>
        <v>0</v>
      </c>
      <c r="X80" s="84">
        <f t="shared" si="98"/>
        <v>0</v>
      </c>
      <c r="Y80" s="84">
        <f t="shared" si="98"/>
        <v>0</v>
      </c>
      <c r="Z80" s="84">
        <f t="shared" si="98"/>
        <v>0</v>
      </c>
      <c r="AA80" s="84">
        <f t="shared" si="98"/>
        <v>0</v>
      </c>
      <c r="AB80" s="84">
        <f t="shared" si="98"/>
        <v>0</v>
      </c>
      <c r="AC80" s="84">
        <f t="shared" si="98"/>
        <v>0</v>
      </c>
      <c r="AD80" s="84">
        <f t="shared" si="98"/>
        <v>0</v>
      </c>
      <c r="AE80" s="84">
        <f t="shared" si="98"/>
        <v>0</v>
      </c>
      <c r="AF80" s="84">
        <f t="shared" si="98"/>
        <v>0</v>
      </c>
      <c r="AG80" s="81">
        <f t="shared" si="86"/>
        <v>0</v>
      </c>
      <c r="AH80" s="85" t="str">
        <f t="shared" si="87"/>
        <v/>
      </c>
      <c r="AI80" s="11"/>
      <c r="AJ80" s="81">
        <f t="shared" si="88"/>
        <v>35.89</v>
      </c>
    </row>
    <row r="81" ht="13.5" customHeight="1">
      <c r="A81" s="82" t="s">
        <v>149</v>
      </c>
      <c r="B81" s="81"/>
      <c r="C81" s="81"/>
      <c r="D81" s="81"/>
      <c r="E81" s="81"/>
      <c r="F81" s="81"/>
      <c r="G81" s="81"/>
      <c r="H81" s="81"/>
      <c r="I81" s="81"/>
      <c r="J81" s="81"/>
      <c r="K81" s="81"/>
      <c r="L81" s="81"/>
      <c r="M81" s="81"/>
      <c r="N81" s="81"/>
      <c r="O81" s="85"/>
      <c r="P81" s="81"/>
      <c r="Q81" s="81"/>
      <c r="R81" s="92"/>
      <c r="S81" s="92"/>
      <c r="T81" s="92"/>
      <c r="U81" s="81"/>
      <c r="V81" s="81"/>
      <c r="W81" s="81"/>
      <c r="X81" s="81"/>
      <c r="Y81" s="81"/>
      <c r="Z81" s="81"/>
      <c r="AA81" s="81"/>
      <c r="AB81" s="81"/>
      <c r="AC81" s="81"/>
      <c r="AD81" s="81"/>
      <c r="AE81" s="81"/>
      <c r="AF81" s="81"/>
      <c r="AG81" s="81"/>
      <c r="AH81" s="85"/>
      <c r="AI81" s="11"/>
      <c r="AJ81" s="81"/>
    </row>
    <row r="82" ht="13.5" customHeight="1">
      <c r="A82" s="83" t="s">
        <v>150</v>
      </c>
      <c r="B82" s="81">
        <v>0.0</v>
      </c>
      <c r="C82" s="81">
        <v>0.0</v>
      </c>
      <c r="D82" s="81">
        <v>0.0</v>
      </c>
      <c r="E82" s="81">
        <v>0.0</v>
      </c>
      <c r="F82" s="81">
        <v>0.0</v>
      </c>
      <c r="G82" s="81">
        <v>0.0</v>
      </c>
      <c r="H82" s="81">
        <v>0.0</v>
      </c>
      <c r="I82" s="81">
        <v>0.0</v>
      </c>
      <c r="J82" s="93">
        <v>0.0</v>
      </c>
      <c r="K82" s="93">
        <v>0.0</v>
      </c>
      <c r="L82" s="93">
        <v>0.0</v>
      </c>
      <c r="M82" s="93">
        <v>0.0</v>
      </c>
      <c r="N82" s="81">
        <f t="shared" ref="N82:N117" si="100">SUM(B82:M82)</f>
        <v>0</v>
      </c>
      <c r="O82" s="85" t="str">
        <f t="shared" ref="O82:O117" si="101">IFERROR(N82/N$16,"")</f>
        <v/>
      </c>
      <c r="P82" s="81"/>
      <c r="Q82" s="81"/>
      <c r="R82" s="86" t="s">
        <v>80</v>
      </c>
      <c r="S82" s="87">
        <v>0.0</v>
      </c>
      <c r="T82" s="88">
        <v>0.05</v>
      </c>
      <c r="U82" s="84">
        <f t="shared" ref="U82:AF82" si="99">IF($R82="Manual","",IFERROR(IF($R82="YOY Growth",$N82*(1+$T82)/12,$S82/12),""))</f>
        <v>0</v>
      </c>
      <c r="V82" s="84">
        <f t="shared" si="99"/>
        <v>0</v>
      </c>
      <c r="W82" s="84">
        <f t="shared" si="99"/>
        <v>0</v>
      </c>
      <c r="X82" s="84">
        <f t="shared" si="99"/>
        <v>0</v>
      </c>
      <c r="Y82" s="84">
        <f t="shared" si="99"/>
        <v>0</v>
      </c>
      <c r="Z82" s="84">
        <f t="shared" si="99"/>
        <v>0</v>
      </c>
      <c r="AA82" s="84">
        <f t="shared" si="99"/>
        <v>0</v>
      </c>
      <c r="AB82" s="84">
        <f t="shared" si="99"/>
        <v>0</v>
      </c>
      <c r="AC82" s="84">
        <f t="shared" si="99"/>
        <v>0</v>
      </c>
      <c r="AD82" s="84">
        <f t="shared" si="99"/>
        <v>0</v>
      </c>
      <c r="AE82" s="84">
        <f t="shared" si="99"/>
        <v>0</v>
      </c>
      <c r="AF82" s="84">
        <f t="shared" si="99"/>
        <v>0</v>
      </c>
      <c r="AG82" s="81">
        <f t="shared" ref="AG82:AG117" si="103">SUM(U82:AF82)</f>
        <v>0</v>
      </c>
      <c r="AH82" s="85" t="str">
        <f t="shared" ref="AH82:AH117" si="104">IFERROR(AG82/AG$16,"")</f>
        <v/>
      </c>
      <c r="AI82" s="11"/>
      <c r="AJ82" s="81">
        <f t="shared" ref="AJ82:AJ116" si="105">N82-AG82</f>
        <v>0</v>
      </c>
    </row>
    <row r="83" ht="13.5" customHeight="1">
      <c r="A83" s="83" t="s">
        <v>151</v>
      </c>
      <c r="B83" s="81">
        <v>0.0</v>
      </c>
      <c r="C83" s="81">
        <v>0.0</v>
      </c>
      <c r="D83" s="81">
        <v>0.0</v>
      </c>
      <c r="E83" s="81">
        <v>0.0</v>
      </c>
      <c r="F83" s="81">
        <v>0.0</v>
      </c>
      <c r="G83" s="81">
        <v>0.0</v>
      </c>
      <c r="H83" s="81">
        <v>0.0</v>
      </c>
      <c r="I83" s="81">
        <v>0.0</v>
      </c>
      <c r="J83" s="93">
        <v>0.0</v>
      </c>
      <c r="K83" s="93">
        <v>0.0</v>
      </c>
      <c r="L83" s="93">
        <v>0.0</v>
      </c>
      <c r="M83" s="93">
        <v>0.0</v>
      </c>
      <c r="N83" s="81">
        <f t="shared" si="100"/>
        <v>0</v>
      </c>
      <c r="O83" s="85" t="str">
        <f t="shared" si="101"/>
        <v/>
      </c>
      <c r="P83" s="81"/>
      <c r="Q83" s="81"/>
      <c r="R83" s="86" t="s">
        <v>80</v>
      </c>
      <c r="S83" s="87">
        <v>0.0</v>
      </c>
      <c r="T83" s="88">
        <v>0.05</v>
      </c>
      <c r="U83" s="84">
        <f t="shared" ref="U83:AF83" si="102">IF($R83="Manual","",IFERROR(IF($R83="YOY Growth",$N83*(1+$T83)/12,$S83/12),""))</f>
        <v>0</v>
      </c>
      <c r="V83" s="84">
        <f t="shared" si="102"/>
        <v>0</v>
      </c>
      <c r="W83" s="84">
        <f t="shared" si="102"/>
        <v>0</v>
      </c>
      <c r="X83" s="84">
        <f t="shared" si="102"/>
        <v>0</v>
      </c>
      <c r="Y83" s="84">
        <f t="shared" si="102"/>
        <v>0</v>
      </c>
      <c r="Z83" s="84">
        <f t="shared" si="102"/>
        <v>0</v>
      </c>
      <c r="AA83" s="84">
        <f t="shared" si="102"/>
        <v>0</v>
      </c>
      <c r="AB83" s="84">
        <f t="shared" si="102"/>
        <v>0</v>
      </c>
      <c r="AC83" s="84">
        <f t="shared" si="102"/>
        <v>0</v>
      </c>
      <c r="AD83" s="84">
        <f t="shared" si="102"/>
        <v>0</v>
      </c>
      <c r="AE83" s="84">
        <f t="shared" si="102"/>
        <v>0</v>
      </c>
      <c r="AF83" s="84">
        <f t="shared" si="102"/>
        <v>0</v>
      </c>
      <c r="AG83" s="81">
        <f t="shared" si="103"/>
        <v>0</v>
      </c>
      <c r="AH83" s="85" t="str">
        <f t="shared" si="104"/>
        <v/>
      </c>
      <c r="AI83" s="11"/>
      <c r="AJ83" s="81">
        <f t="shared" si="105"/>
        <v>0</v>
      </c>
    </row>
    <row r="84" ht="13.5" customHeight="1">
      <c r="A84" s="83" t="s">
        <v>152</v>
      </c>
      <c r="B84" s="81">
        <v>0.0</v>
      </c>
      <c r="C84" s="81">
        <v>0.0</v>
      </c>
      <c r="D84" s="81">
        <v>0.0</v>
      </c>
      <c r="E84" s="81">
        <v>0.0</v>
      </c>
      <c r="F84" s="81">
        <v>0.0</v>
      </c>
      <c r="G84" s="81">
        <v>20.0</v>
      </c>
      <c r="H84" s="81">
        <v>0.0</v>
      </c>
      <c r="I84" s="81">
        <v>0.0</v>
      </c>
      <c r="J84" s="93">
        <v>0.0</v>
      </c>
      <c r="K84" s="93">
        <v>0.0</v>
      </c>
      <c r="L84" s="93">
        <v>0.0</v>
      </c>
      <c r="M84" s="93">
        <v>0.0</v>
      </c>
      <c r="N84" s="81">
        <f t="shared" si="100"/>
        <v>20</v>
      </c>
      <c r="O84" s="85" t="str">
        <f t="shared" si="101"/>
        <v/>
      </c>
      <c r="P84" s="81"/>
      <c r="Q84" s="81"/>
      <c r="R84" s="86" t="s">
        <v>80</v>
      </c>
      <c r="S84" s="87">
        <v>0.0</v>
      </c>
      <c r="T84" s="88">
        <v>0.05</v>
      </c>
      <c r="U84" s="84">
        <f t="shared" ref="U84:AF84" si="106">IF($R84="Manual","",IFERROR(IF($R84="YOY Growth",$N84*(1+$T84)/12,$S84/12),""))</f>
        <v>0</v>
      </c>
      <c r="V84" s="84">
        <f t="shared" si="106"/>
        <v>0</v>
      </c>
      <c r="W84" s="84">
        <f t="shared" si="106"/>
        <v>0</v>
      </c>
      <c r="X84" s="84">
        <f t="shared" si="106"/>
        <v>0</v>
      </c>
      <c r="Y84" s="84">
        <f t="shared" si="106"/>
        <v>0</v>
      </c>
      <c r="Z84" s="84">
        <f t="shared" si="106"/>
        <v>0</v>
      </c>
      <c r="AA84" s="84">
        <f t="shared" si="106"/>
        <v>0</v>
      </c>
      <c r="AB84" s="84">
        <f t="shared" si="106"/>
        <v>0</v>
      </c>
      <c r="AC84" s="84">
        <f t="shared" si="106"/>
        <v>0</v>
      </c>
      <c r="AD84" s="84">
        <f t="shared" si="106"/>
        <v>0</v>
      </c>
      <c r="AE84" s="84">
        <f t="shared" si="106"/>
        <v>0</v>
      </c>
      <c r="AF84" s="84">
        <f t="shared" si="106"/>
        <v>0</v>
      </c>
      <c r="AG84" s="81">
        <f t="shared" si="103"/>
        <v>0</v>
      </c>
      <c r="AH84" s="85" t="str">
        <f t="shared" si="104"/>
        <v/>
      </c>
      <c r="AI84" s="11"/>
      <c r="AJ84" s="81">
        <f t="shared" si="105"/>
        <v>20</v>
      </c>
    </row>
    <row r="85" ht="13.5" customHeight="1">
      <c r="A85" s="83" t="s">
        <v>153</v>
      </c>
      <c r="B85" s="81">
        <v>1118.97</v>
      </c>
      <c r="C85" s="81">
        <v>1642.61</v>
      </c>
      <c r="D85" s="81">
        <v>0.0</v>
      </c>
      <c r="E85" s="81">
        <v>1638.14</v>
      </c>
      <c r="F85" s="81">
        <v>492.8</v>
      </c>
      <c r="G85" s="81">
        <v>0.0</v>
      </c>
      <c r="H85" s="81">
        <v>0.0</v>
      </c>
      <c r="I85" s="81">
        <v>0.0</v>
      </c>
      <c r="J85" s="93">
        <v>500.0</v>
      </c>
      <c r="K85" s="93">
        <v>500.0</v>
      </c>
      <c r="L85" s="93">
        <v>1500.0</v>
      </c>
      <c r="M85" s="93">
        <v>500.0</v>
      </c>
      <c r="N85" s="81">
        <f t="shared" si="100"/>
        <v>7892.52</v>
      </c>
      <c r="O85" s="85" t="str">
        <f t="shared" si="101"/>
        <v/>
      </c>
      <c r="P85" s="81"/>
      <c r="Q85" s="81"/>
      <c r="R85" s="86" t="s">
        <v>80</v>
      </c>
      <c r="S85" s="87">
        <v>0.0</v>
      </c>
      <c r="T85" s="88">
        <v>0.05</v>
      </c>
      <c r="U85" s="84">
        <f t="shared" ref="U85:AF85" si="107">IF($R85="Manual","",IFERROR(IF($R85="YOY Growth",$N85*(1+$T85)/12,$S85/12),""))</f>
        <v>0</v>
      </c>
      <c r="V85" s="84">
        <f t="shared" si="107"/>
        <v>0</v>
      </c>
      <c r="W85" s="84">
        <f t="shared" si="107"/>
        <v>0</v>
      </c>
      <c r="X85" s="84">
        <f t="shared" si="107"/>
        <v>0</v>
      </c>
      <c r="Y85" s="84">
        <f t="shared" si="107"/>
        <v>0</v>
      </c>
      <c r="Z85" s="84">
        <f t="shared" si="107"/>
        <v>0</v>
      </c>
      <c r="AA85" s="84">
        <f t="shared" si="107"/>
        <v>0</v>
      </c>
      <c r="AB85" s="84">
        <f t="shared" si="107"/>
        <v>0</v>
      </c>
      <c r="AC85" s="84">
        <f t="shared" si="107"/>
        <v>0</v>
      </c>
      <c r="AD85" s="84">
        <f t="shared" si="107"/>
        <v>0</v>
      </c>
      <c r="AE85" s="84">
        <f t="shared" si="107"/>
        <v>0</v>
      </c>
      <c r="AF85" s="84">
        <f t="shared" si="107"/>
        <v>0</v>
      </c>
      <c r="AG85" s="81">
        <f t="shared" si="103"/>
        <v>0</v>
      </c>
      <c r="AH85" s="85" t="str">
        <f t="shared" si="104"/>
        <v/>
      </c>
      <c r="AI85" s="11"/>
      <c r="AJ85" s="81">
        <f t="shared" si="105"/>
        <v>7892.52</v>
      </c>
    </row>
    <row r="86" ht="13.5" customHeight="1">
      <c r="A86" s="83" t="s">
        <v>154</v>
      </c>
      <c r="B86" s="81">
        <v>0.0</v>
      </c>
      <c r="C86" s="81">
        <v>196.09</v>
      </c>
      <c r="D86" s="81">
        <v>0.0</v>
      </c>
      <c r="E86" s="81">
        <v>0.0</v>
      </c>
      <c r="F86" s="81">
        <v>0.0</v>
      </c>
      <c r="G86" s="81">
        <v>0.0</v>
      </c>
      <c r="H86" s="81">
        <v>0.0</v>
      </c>
      <c r="I86" s="81">
        <v>0.0</v>
      </c>
      <c r="J86" s="93">
        <v>0.0</v>
      </c>
      <c r="K86" s="93">
        <v>0.0</v>
      </c>
      <c r="L86" s="93">
        <v>0.0</v>
      </c>
      <c r="M86" s="93">
        <v>0.0</v>
      </c>
      <c r="N86" s="81">
        <f t="shared" si="100"/>
        <v>196.09</v>
      </c>
      <c r="O86" s="85" t="str">
        <f t="shared" si="101"/>
        <v/>
      </c>
      <c r="P86" s="81"/>
      <c r="Q86" s="81"/>
      <c r="R86" s="86" t="s">
        <v>80</v>
      </c>
      <c r="S86" s="87">
        <v>0.0</v>
      </c>
      <c r="T86" s="88">
        <v>0.05</v>
      </c>
      <c r="U86" s="84">
        <f t="shared" ref="U86:AF86" si="108">IF($R86="Manual","",IFERROR(IF($R86="YOY Growth",$N86*(1+$T86)/12,$S86/12),""))</f>
        <v>0</v>
      </c>
      <c r="V86" s="84">
        <f t="shared" si="108"/>
        <v>0</v>
      </c>
      <c r="W86" s="84">
        <f t="shared" si="108"/>
        <v>0</v>
      </c>
      <c r="X86" s="84">
        <f t="shared" si="108"/>
        <v>0</v>
      </c>
      <c r="Y86" s="84">
        <f t="shared" si="108"/>
        <v>0</v>
      </c>
      <c r="Z86" s="84">
        <f t="shared" si="108"/>
        <v>0</v>
      </c>
      <c r="AA86" s="84">
        <f t="shared" si="108"/>
        <v>0</v>
      </c>
      <c r="AB86" s="84">
        <f t="shared" si="108"/>
        <v>0</v>
      </c>
      <c r="AC86" s="84">
        <f t="shared" si="108"/>
        <v>0</v>
      </c>
      <c r="AD86" s="84">
        <f t="shared" si="108"/>
        <v>0</v>
      </c>
      <c r="AE86" s="84">
        <f t="shared" si="108"/>
        <v>0</v>
      </c>
      <c r="AF86" s="84">
        <f t="shared" si="108"/>
        <v>0</v>
      </c>
      <c r="AG86" s="81">
        <f t="shared" si="103"/>
        <v>0</v>
      </c>
      <c r="AH86" s="85" t="str">
        <f t="shared" si="104"/>
        <v/>
      </c>
      <c r="AI86" s="11"/>
      <c r="AJ86" s="81">
        <f t="shared" si="105"/>
        <v>196.09</v>
      </c>
    </row>
    <row r="87" ht="13.5" customHeight="1">
      <c r="A87" s="89" t="s">
        <v>155</v>
      </c>
      <c r="B87" s="90">
        <f t="shared" ref="B87:M87" si="109">SUM(B82:B86)</f>
        <v>1118.97</v>
      </c>
      <c r="C87" s="90">
        <f t="shared" si="109"/>
        <v>1838.7</v>
      </c>
      <c r="D87" s="90">
        <f t="shared" si="109"/>
        <v>0</v>
      </c>
      <c r="E87" s="90">
        <f t="shared" si="109"/>
        <v>1638.14</v>
      </c>
      <c r="F87" s="90">
        <f t="shared" si="109"/>
        <v>492.8</v>
      </c>
      <c r="G87" s="90">
        <f t="shared" si="109"/>
        <v>20</v>
      </c>
      <c r="H87" s="90">
        <f t="shared" si="109"/>
        <v>0</v>
      </c>
      <c r="I87" s="90">
        <f t="shared" si="109"/>
        <v>0</v>
      </c>
      <c r="J87" s="90">
        <f t="shared" si="109"/>
        <v>500</v>
      </c>
      <c r="K87" s="90">
        <f t="shared" si="109"/>
        <v>500</v>
      </c>
      <c r="L87" s="90">
        <f t="shared" si="109"/>
        <v>1500</v>
      </c>
      <c r="M87" s="90">
        <f t="shared" si="109"/>
        <v>500</v>
      </c>
      <c r="N87" s="90">
        <f t="shared" si="100"/>
        <v>8108.61</v>
      </c>
      <c r="O87" s="91" t="str">
        <f t="shared" si="101"/>
        <v/>
      </c>
      <c r="P87" s="81"/>
      <c r="Q87" s="81"/>
      <c r="R87" s="92"/>
      <c r="S87" s="92"/>
      <c r="T87" s="92"/>
      <c r="U87" s="90">
        <f t="shared" ref="U87:AF87" si="110">SUM(U82:U86)</f>
        <v>0</v>
      </c>
      <c r="V87" s="90">
        <f t="shared" si="110"/>
        <v>0</v>
      </c>
      <c r="W87" s="90">
        <f t="shared" si="110"/>
        <v>0</v>
      </c>
      <c r="X87" s="90">
        <f t="shared" si="110"/>
        <v>0</v>
      </c>
      <c r="Y87" s="90">
        <f t="shared" si="110"/>
        <v>0</v>
      </c>
      <c r="Z87" s="90">
        <f t="shared" si="110"/>
        <v>0</v>
      </c>
      <c r="AA87" s="90">
        <f t="shared" si="110"/>
        <v>0</v>
      </c>
      <c r="AB87" s="90">
        <f t="shared" si="110"/>
        <v>0</v>
      </c>
      <c r="AC87" s="90">
        <f t="shared" si="110"/>
        <v>0</v>
      </c>
      <c r="AD87" s="90">
        <f t="shared" si="110"/>
        <v>0</v>
      </c>
      <c r="AE87" s="90">
        <f t="shared" si="110"/>
        <v>0</v>
      </c>
      <c r="AF87" s="90">
        <f t="shared" si="110"/>
        <v>0</v>
      </c>
      <c r="AG87" s="90">
        <f t="shared" si="103"/>
        <v>0</v>
      </c>
      <c r="AH87" s="91" t="str">
        <f t="shared" si="104"/>
        <v/>
      </c>
      <c r="AI87" s="11"/>
      <c r="AJ87" s="90">
        <f t="shared" si="105"/>
        <v>8108.61</v>
      </c>
    </row>
    <row r="88" ht="13.5" customHeight="1">
      <c r="A88" s="83" t="s">
        <v>156</v>
      </c>
      <c r="B88" s="81">
        <v>0.0</v>
      </c>
      <c r="C88" s="81">
        <v>0.0</v>
      </c>
      <c r="D88" s="81">
        <v>0.0</v>
      </c>
      <c r="E88" s="81">
        <v>0.0</v>
      </c>
      <c r="F88" s="81">
        <v>0.0</v>
      </c>
      <c r="G88" s="81">
        <v>0.0</v>
      </c>
      <c r="H88" s="81">
        <v>0.0</v>
      </c>
      <c r="I88" s="81">
        <v>0.0</v>
      </c>
      <c r="J88" s="93">
        <v>0.0</v>
      </c>
      <c r="K88" s="93">
        <v>0.0</v>
      </c>
      <c r="L88" s="93">
        <v>0.0</v>
      </c>
      <c r="M88" s="93">
        <v>0.0</v>
      </c>
      <c r="N88" s="81">
        <f t="shared" si="100"/>
        <v>0</v>
      </c>
      <c r="O88" s="85" t="str">
        <f t="shared" si="101"/>
        <v/>
      </c>
      <c r="P88" s="81"/>
      <c r="Q88" s="81"/>
      <c r="R88" s="86" t="s">
        <v>80</v>
      </c>
      <c r="S88" s="87">
        <v>0.0</v>
      </c>
      <c r="T88" s="88">
        <v>0.05</v>
      </c>
      <c r="U88" s="84">
        <f t="shared" ref="U88:AF88" si="111">IF($R88="Manual","",IFERROR(IF($R88="YOY Growth",$N88*(1+$T88)/12,$S88/12),""))</f>
        <v>0</v>
      </c>
      <c r="V88" s="84">
        <f t="shared" si="111"/>
        <v>0</v>
      </c>
      <c r="W88" s="84">
        <f t="shared" si="111"/>
        <v>0</v>
      </c>
      <c r="X88" s="84">
        <f t="shared" si="111"/>
        <v>0</v>
      </c>
      <c r="Y88" s="84">
        <f t="shared" si="111"/>
        <v>0</v>
      </c>
      <c r="Z88" s="84">
        <f t="shared" si="111"/>
        <v>0</v>
      </c>
      <c r="AA88" s="84">
        <f t="shared" si="111"/>
        <v>0</v>
      </c>
      <c r="AB88" s="84">
        <f t="shared" si="111"/>
        <v>0</v>
      </c>
      <c r="AC88" s="84">
        <f t="shared" si="111"/>
        <v>0</v>
      </c>
      <c r="AD88" s="84">
        <f t="shared" si="111"/>
        <v>0</v>
      </c>
      <c r="AE88" s="84">
        <f t="shared" si="111"/>
        <v>0</v>
      </c>
      <c r="AF88" s="84">
        <f t="shared" si="111"/>
        <v>0</v>
      </c>
      <c r="AG88" s="81">
        <f t="shared" si="103"/>
        <v>0</v>
      </c>
      <c r="AH88" s="85" t="str">
        <f t="shared" si="104"/>
        <v/>
      </c>
      <c r="AI88" s="11"/>
      <c r="AJ88" s="81">
        <f t="shared" si="105"/>
        <v>0</v>
      </c>
    </row>
    <row r="89" ht="13.5" customHeight="1">
      <c r="A89" s="83" t="s">
        <v>157</v>
      </c>
      <c r="B89" s="81">
        <v>0.0</v>
      </c>
      <c r="C89" s="81">
        <v>0.0</v>
      </c>
      <c r="D89" s="81">
        <v>0.0</v>
      </c>
      <c r="E89" s="81">
        <v>0.0</v>
      </c>
      <c r="F89" s="81">
        <v>0.0</v>
      </c>
      <c r="G89" s="81">
        <v>0.0</v>
      </c>
      <c r="H89" s="81">
        <v>0.0</v>
      </c>
      <c r="I89" s="81">
        <v>0.0</v>
      </c>
      <c r="J89" s="93">
        <v>0.0</v>
      </c>
      <c r="K89" s="93">
        <v>0.0</v>
      </c>
      <c r="L89" s="93">
        <v>0.0</v>
      </c>
      <c r="M89" s="93">
        <v>0.0</v>
      </c>
      <c r="N89" s="81">
        <f t="shared" si="100"/>
        <v>0</v>
      </c>
      <c r="O89" s="85" t="str">
        <f t="shared" si="101"/>
        <v/>
      </c>
      <c r="P89" s="81"/>
      <c r="Q89" s="81"/>
      <c r="R89" s="86" t="s">
        <v>80</v>
      </c>
      <c r="S89" s="87">
        <v>0.0</v>
      </c>
      <c r="T89" s="88">
        <v>0.05</v>
      </c>
      <c r="U89" s="84">
        <f t="shared" ref="U89:AF89" si="112">IF($R89="Manual","",IFERROR(IF($R89="YOY Growth",$N89*(1+$T89)/12,$S89/12),""))</f>
        <v>0</v>
      </c>
      <c r="V89" s="84">
        <f t="shared" si="112"/>
        <v>0</v>
      </c>
      <c r="W89" s="84">
        <f t="shared" si="112"/>
        <v>0</v>
      </c>
      <c r="X89" s="84">
        <f t="shared" si="112"/>
        <v>0</v>
      </c>
      <c r="Y89" s="84">
        <f t="shared" si="112"/>
        <v>0</v>
      </c>
      <c r="Z89" s="84">
        <f t="shared" si="112"/>
        <v>0</v>
      </c>
      <c r="AA89" s="84">
        <f t="shared" si="112"/>
        <v>0</v>
      </c>
      <c r="AB89" s="84">
        <f t="shared" si="112"/>
        <v>0</v>
      </c>
      <c r="AC89" s="84">
        <f t="shared" si="112"/>
        <v>0</v>
      </c>
      <c r="AD89" s="84">
        <f t="shared" si="112"/>
        <v>0</v>
      </c>
      <c r="AE89" s="84">
        <f t="shared" si="112"/>
        <v>0</v>
      </c>
      <c r="AF89" s="84">
        <f t="shared" si="112"/>
        <v>0</v>
      </c>
      <c r="AG89" s="81">
        <f t="shared" si="103"/>
        <v>0</v>
      </c>
      <c r="AH89" s="85" t="str">
        <f t="shared" si="104"/>
        <v/>
      </c>
      <c r="AI89" s="11"/>
      <c r="AJ89" s="81">
        <f t="shared" si="105"/>
        <v>0</v>
      </c>
    </row>
    <row r="90" ht="13.5" customHeight="1">
      <c r="A90" s="83" t="s">
        <v>158</v>
      </c>
      <c r="B90" s="81">
        <v>0.0</v>
      </c>
      <c r="C90" s="81">
        <v>0.0</v>
      </c>
      <c r="D90" s="81">
        <v>0.0</v>
      </c>
      <c r="E90" s="81">
        <v>0.0</v>
      </c>
      <c r="F90" s="81">
        <v>0.0</v>
      </c>
      <c r="G90" s="81">
        <v>0.0</v>
      </c>
      <c r="H90" s="81">
        <v>0.0</v>
      </c>
      <c r="I90" s="81">
        <v>0.0</v>
      </c>
      <c r="J90" s="93">
        <v>0.0</v>
      </c>
      <c r="K90" s="93">
        <v>0.0</v>
      </c>
      <c r="L90" s="93">
        <v>0.0</v>
      </c>
      <c r="M90" s="93">
        <v>0.0</v>
      </c>
      <c r="N90" s="81">
        <f t="shared" si="100"/>
        <v>0</v>
      </c>
      <c r="O90" s="85" t="str">
        <f t="shared" si="101"/>
        <v/>
      </c>
      <c r="P90" s="81"/>
      <c r="Q90" s="81"/>
      <c r="R90" s="86" t="s">
        <v>80</v>
      </c>
      <c r="S90" s="87">
        <v>0.0</v>
      </c>
      <c r="T90" s="88">
        <v>0.05</v>
      </c>
      <c r="U90" s="84">
        <f t="shared" ref="U90:AF90" si="113">IF($R90="Manual","",IFERROR(IF($R90="YOY Growth",$N90*(1+$T90)/12,$S90/12),""))</f>
        <v>0</v>
      </c>
      <c r="V90" s="84">
        <f t="shared" si="113"/>
        <v>0</v>
      </c>
      <c r="W90" s="84">
        <f t="shared" si="113"/>
        <v>0</v>
      </c>
      <c r="X90" s="84">
        <f t="shared" si="113"/>
        <v>0</v>
      </c>
      <c r="Y90" s="84">
        <f t="shared" si="113"/>
        <v>0</v>
      </c>
      <c r="Z90" s="84">
        <f t="shared" si="113"/>
        <v>0</v>
      </c>
      <c r="AA90" s="84">
        <f t="shared" si="113"/>
        <v>0</v>
      </c>
      <c r="AB90" s="84">
        <f t="shared" si="113"/>
        <v>0</v>
      </c>
      <c r="AC90" s="84">
        <f t="shared" si="113"/>
        <v>0</v>
      </c>
      <c r="AD90" s="84">
        <f t="shared" si="113"/>
        <v>0</v>
      </c>
      <c r="AE90" s="84">
        <f t="shared" si="113"/>
        <v>0</v>
      </c>
      <c r="AF90" s="84">
        <f t="shared" si="113"/>
        <v>0</v>
      </c>
      <c r="AG90" s="81">
        <f t="shared" si="103"/>
        <v>0</v>
      </c>
      <c r="AH90" s="85" t="str">
        <f t="shared" si="104"/>
        <v/>
      </c>
      <c r="AI90" s="11"/>
      <c r="AJ90" s="81">
        <f t="shared" si="105"/>
        <v>0</v>
      </c>
    </row>
    <row r="91" ht="13.5" customHeight="1">
      <c r="A91" s="83" t="s">
        <v>159</v>
      </c>
      <c r="B91" s="81">
        <v>0.0</v>
      </c>
      <c r="C91" s="81">
        <v>0.0</v>
      </c>
      <c r="D91" s="81">
        <v>29232.26</v>
      </c>
      <c r="E91" s="81">
        <v>32442.55</v>
      </c>
      <c r="F91" s="81">
        <v>36509.27</v>
      </c>
      <c r="G91" s="81">
        <v>56672.78</v>
      </c>
      <c r="H91" s="81">
        <v>0.0</v>
      </c>
      <c r="I91" s="81">
        <v>0.0</v>
      </c>
      <c r="J91" s="93">
        <v>0.0</v>
      </c>
      <c r="K91" s="93">
        <v>0.0</v>
      </c>
      <c r="L91" s="93">
        <v>0.0</v>
      </c>
      <c r="M91" s="93">
        <v>0.0</v>
      </c>
      <c r="N91" s="81">
        <f t="shared" si="100"/>
        <v>154856.86</v>
      </c>
      <c r="O91" s="85" t="str">
        <f t="shared" si="101"/>
        <v/>
      </c>
      <c r="P91" s="81"/>
      <c r="Q91" s="81"/>
      <c r="R91" s="86" t="s">
        <v>80</v>
      </c>
      <c r="S91" s="87">
        <v>0.0</v>
      </c>
      <c r="T91" s="88">
        <v>0.05</v>
      </c>
      <c r="U91" s="84">
        <f t="shared" ref="U91:AF91" si="114">IF($R91="Manual","",IFERROR(IF($R91="YOY Growth",$N91*(1+$T91)/12,$S91/12),""))</f>
        <v>0</v>
      </c>
      <c r="V91" s="84">
        <f t="shared" si="114"/>
        <v>0</v>
      </c>
      <c r="W91" s="84">
        <f t="shared" si="114"/>
        <v>0</v>
      </c>
      <c r="X91" s="84">
        <f t="shared" si="114"/>
        <v>0</v>
      </c>
      <c r="Y91" s="84">
        <f t="shared" si="114"/>
        <v>0</v>
      </c>
      <c r="Z91" s="84">
        <f t="shared" si="114"/>
        <v>0</v>
      </c>
      <c r="AA91" s="84">
        <f t="shared" si="114"/>
        <v>0</v>
      </c>
      <c r="AB91" s="84">
        <f t="shared" si="114"/>
        <v>0</v>
      </c>
      <c r="AC91" s="84">
        <f t="shared" si="114"/>
        <v>0</v>
      </c>
      <c r="AD91" s="84">
        <f t="shared" si="114"/>
        <v>0</v>
      </c>
      <c r="AE91" s="84">
        <f t="shared" si="114"/>
        <v>0</v>
      </c>
      <c r="AF91" s="84">
        <f t="shared" si="114"/>
        <v>0</v>
      </c>
      <c r="AG91" s="81">
        <f t="shared" si="103"/>
        <v>0</v>
      </c>
      <c r="AH91" s="85" t="str">
        <f t="shared" si="104"/>
        <v/>
      </c>
      <c r="AI91" s="11"/>
      <c r="AJ91" s="81">
        <f t="shared" si="105"/>
        <v>154856.86</v>
      </c>
    </row>
    <row r="92" ht="13.5" customHeight="1">
      <c r="A92" s="83" t="s">
        <v>160</v>
      </c>
      <c r="B92" s="81">
        <v>281.89</v>
      </c>
      <c r="C92" s="81">
        <v>0.0</v>
      </c>
      <c r="D92" s="81">
        <v>148.38</v>
      </c>
      <c r="E92" s="81">
        <v>55.57</v>
      </c>
      <c r="F92" s="81">
        <v>0.0</v>
      </c>
      <c r="G92" s="81">
        <v>0.0</v>
      </c>
      <c r="H92" s="81">
        <v>0.0</v>
      </c>
      <c r="I92" s="81">
        <v>0.0</v>
      </c>
      <c r="J92" s="93">
        <v>0.0</v>
      </c>
      <c r="K92" s="93">
        <v>0.0</v>
      </c>
      <c r="L92" s="93">
        <v>0.0</v>
      </c>
      <c r="M92" s="93">
        <v>0.0</v>
      </c>
      <c r="N92" s="81">
        <f t="shared" si="100"/>
        <v>485.84</v>
      </c>
      <c r="O92" s="85" t="str">
        <f t="shared" si="101"/>
        <v/>
      </c>
      <c r="P92" s="81"/>
      <c r="Q92" s="81"/>
      <c r="R92" s="86" t="s">
        <v>80</v>
      </c>
      <c r="S92" s="87">
        <v>0.0</v>
      </c>
      <c r="T92" s="88">
        <v>0.05</v>
      </c>
      <c r="U92" s="84">
        <f t="shared" ref="U92:AF92" si="115">IF($R92="Manual","",IFERROR(IF($R92="YOY Growth",$N92*(1+$T92)/12,$S92/12),""))</f>
        <v>0</v>
      </c>
      <c r="V92" s="84">
        <f t="shared" si="115"/>
        <v>0</v>
      </c>
      <c r="W92" s="84">
        <f t="shared" si="115"/>
        <v>0</v>
      </c>
      <c r="X92" s="84">
        <f t="shared" si="115"/>
        <v>0</v>
      </c>
      <c r="Y92" s="84">
        <f t="shared" si="115"/>
        <v>0</v>
      </c>
      <c r="Z92" s="84">
        <f t="shared" si="115"/>
        <v>0</v>
      </c>
      <c r="AA92" s="84">
        <f t="shared" si="115"/>
        <v>0</v>
      </c>
      <c r="AB92" s="84">
        <f t="shared" si="115"/>
        <v>0</v>
      </c>
      <c r="AC92" s="84">
        <f t="shared" si="115"/>
        <v>0</v>
      </c>
      <c r="AD92" s="84">
        <f t="shared" si="115"/>
        <v>0</v>
      </c>
      <c r="AE92" s="84">
        <f t="shared" si="115"/>
        <v>0</v>
      </c>
      <c r="AF92" s="84">
        <f t="shared" si="115"/>
        <v>0</v>
      </c>
      <c r="AG92" s="81">
        <f t="shared" si="103"/>
        <v>0</v>
      </c>
      <c r="AH92" s="85" t="str">
        <f t="shared" si="104"/>
        <v/>
      </c>
      <c r="AI92" s="11"/>
      <c r="AJ92" s="81">
        <f t="shared" si="105"/>
        <v>485.84</v>
      </c>
    </row>
    <row r="93" ht="13.5" customHeight="1">
      <c r="A93" s="83" t="s">
        <v>161</v>
      </c>
      <c r="B93" s="81">
        <v>373.0</v>
      </c>
      <c r="C93" s="81">
        <v>0.0</v>
      </c>
      <c r="D93" s="81">
        <v>0.0</v>
      </c>
      <c r="E93" s="81">
        <v>0.0</v>
      </c>
      <c r="F93" s="81">
        <v>0.0</v>
      </c>
      <c r="G93" s="81">
        <v>0.0</v>
      </c>
      <c r="H93" s="81">
        <v>0.0</v>
      </c>
      <c r="I93" s="81">
        <v>0.0</v>
      </c>
      <c r="J93" s="93">
        <v>0.0</v>
      </c>
      <c r="K93" s="93">
        <v>0.0</v>
      </c>
      <c r="L93" s="93">
        <v>0.0</v>
      </c>
      <c r="M93" s="93">
        <v>0.0</v>
      </c>
      <c r="N93" s="81">
        <f t="shared" si="100"/>
        <v>373</v>
      </c>
      <c r="O93" s="85" t="str">
        <f t="shared" si="101"/>
        <v/>
      </c>
      <c r="P93" s="81"/>
      <c r="Q93" s="81"/>
      <c r="R93" s="86" t="s">
        <v>80</v>
      </c>
      <c r="S93" s="87">
        <v>0.0</v>
      </c>
      <c r="T93" s="88">
        <v>0.05</v>
      </c>
      <c r="U93" s="84">
        <f t="shared" ref="U93:AF93" si="116">IF($R93="Manual","",IFERROR(IF($R93="YOY Growth",$N93*(1+$T93)/12,$S93/12),""))</f>
        <v>0</v>
      </c>
      <c r="V93" s="84">
        <f t="shared" si="116"/>
        <v>0</v>
      </c>
      <c r="W93" s="84">
        <f t="shared" si="116"/>
        <v>0</v>
      </c>
      <c r="X93" s="84">
        <f t="shared" si="116"/>
        <v>0</v>
      </c>
      <c r="Y93" s="84">
        <f t="shared" si="116"/>
        <v>0</v>
      </c>
      <c r="Z93" s="84">
        <f t="shared" si="116"/>
        <v>0</v>
      </c>
      <c r="AA93" s="84">
        <f t="shared" si="116"/>
        <v>0</v>
      </c>
      <c r="AB93" s="84">
        <f t="shared" si="116"/>
        <v>0</v>
      </c>
      <c r="AC93" s="84">
        <f t="shared" si="116"/>
        <v>0</v>
      </c>
      <c r="AD93" s="84">
        <f t="shared" si="116"/>
        <v>0</v>
      </c>
      <c r="AE93" s="84">
        <f t="shared" si="116"/>
        <v>0</v>
      </c>
      <c r="AF93" s="84">
        <f t="shared" si="116"/>
        <v>0</v>
      </c>
      <c r="AG93" s="81">
        <f t="shared" si="103"/>
        <v>0</v>
      </c>
      <c r="AH93" s="85" t="str">
        <f t="shared" si="104"/>
        <v/>
      </c>
      <c r="AI93" s="11"/>
      <c r="AJ93" s="81">
        <f t="shared" si="105"/>
        <v>373</v>
      </c>
    </row>
    <row r="94" ht="13.5" customHeight="1">
      <c r="A94" s="83" t="s">
        <v>162</v>
      </c>
      <c r="B94" s="81">
        <v>0.0</v>
      </c>
      <c r="C94" s="81">
        <v>0.0</v>
      </c>
      <c r="D94" s="81">
        <v>0.0</v>
      </c>
      <c r="E94" s="81">
        <v>0.0</v>
      </c>
      <c r="F94" s="81">
        <v>0.0</v>
      </c>
      <c r="G94" s="81">
        <v>0.0</v>
      </c>
      <c r="H94" s="81">
        <v>0.0</v>
      </c>
      <c r="I94" s="81">
        <v>0.0</v>
      </c>
      <c r="J94" s="93">
        <v>0.0</v>
      </c>
      <c r="K94" s="93">
        <v>0.0</v>
      </c>
      <c r="L94" s="93">
        <v>0.0</v>
      </c>
      <c r="M94" s="93">
        <v>0.0</v>
      </c>
      <c r="N94" s="81">
        <f t="shared" si="100"/>
        <v>0</v>
      </c>
      <c r="O94" s="85" t="str">
        <f t="shared" si="101"/>
        <v/>
      </c>
      <c r="P94" s="81"/>
      <c r="Q94" s="81"/>
      <c r="R94" s="86" t="s">
        <v>80</v>
      </c>
      <c r="S94" s="87">
        <v>0.0</v>
      </c>
      <c r="T94" s="88">
        <v>0.05</v>
      </c>
      <c r="U94" s="84">
        <f t="shared" ref="U94:AF94" si="117">IF($R94="Manual","",IFERROR(IF($R94="YOY Growth",$N94*(1+$T94)/12,$S94/12),""))</f>
        <v>0</v>
      </c>
      <c r="V94" s="84">
        <f t="shared" si="117"/>
        <v>0</v>
      </c>
      <c r="W94" s="84">
        <f t="shared" si="117"/>
        <v>0</v>
      </c>
      <c r="X94" s="84">
        <f t="shared" si="117"/>
        <v>0</v>
      </c>
      <c r="Y94" s="84">
        <f t="shared" si="117"/>
        <v>0</v>
      </c>
      <c r="Z94" s="84">
        <f t="shared" si="117"/>
        <v>0</v>
      </c>
      <c r="AA94" s="84">
        <f t="shared" si="117"/>
        <v>0</v>
      </c>
      <c r="AB94" s="84">
        <f t="shared" si="117"/>
        <v>0</v>
      </c>
      <c r="AC94" s="84">
        <f t="shared" si="117"/>
        <v>0</v>
      </c>
      <c r="AD94" s="84">
        <f t="shared" si="117"/>
        <v>0</v>
      </c>
      <c r="AE94" s="84">
        <f t="shared" si="117"/>
        <v>0</v>
      </c>
      <c r="AF94" s="84">
        <f t="shared" si="117"/>
        <v>0</v>
      </c>
      <c r="AG94" s="81">
        <f t="shared" si="103"/>
        <v>0</v>
      </c>
      <c r="AH94" s="85" t="str">
        <f t="shared" si="104"/>
        <v/>
      </c>
      <c r="AI94" s="11"/>
      <c r="AJ94" s="81">
        <f t="shared" si="105"/>
        <v>0</v>
      </c>
    </row>
    <row r="95" ht="13.5" customHeight="1">
      <c r="A95" s="83" t="s">
        <v>163</v>
      </c>
      <c r="B95" s="81">
        <v>1254.52</v>
      </c>
      <c r="C95" s="81">
        <v>126.85</v>
      </c>
      <c r="D95" s="81">
        <v>0.0</v>
      </c>
      <c r="E95" s="81">
        <v>122.17</v>
      </c>
      <c r="F95" s="81">
        <v>0.0</v>
      </c>
      <c r="G95" s="81">
        <v>0.0</v>
      </c>
      <c r="H95" s="81">
        <v>0.0</v>
      </c>
      <c r="I95" s="81">
        <v>0.0</v>
      </c>
      <c r="J95" s="93">
        <v>450.0</v>
      </c>
      <c r="K95" s="93">
        <v>450.0</v>
      </c>
      <c r="L95" s="93">
        <v>450.0</v>
      </c>
      <c r="M95" s="93">
        <v>450.0</v>
      </c>
      <c r="N95" s="81">
        <f t="shared" si="100"/>
        <v>3303.54</v>
      </c>
      <c r="O95" s="85" t="str">
        <f t="shared" si="101"/>
        <v/>
      </c>
      <c r="P95" s="81"/>
      <c r="Q95" s="81"/>
      <c r="R95" s="86" t="s">
        <v>80</v>
      </c>
      <c r="S95" s="87">
        <v>0.0</v>
      </c>
      <c r="T95" s="88">
        <v>0.05</v>
      </c>
      <c r="U95" s="84">
        <f t="shared" ref="U95:AF95" si="118">IF($R95="Manual","",IFERROR(IF($R95="YOY Growth",$N95*(1+$T95)/12,$S95/12),""))</f>
        <v>0</v>
      </c>
      <c r="V95" s="84">
        <f t="shared" si="118"/>
        <v>0</v>
      </c>
      <c r="W95" s="84">
        <f t="shared" si="118"/>
        <v>0</v>
      </c>
      <c r="X95" s="84">
        <f t="shared" si="118"/>
        <v>0</v>
      </c>
      <c r="Y95" s="84">
        <f t="shared" si="118"/>
        <v>0</v>
      </c>
      <c r="Z95" s="84">
        <f t="shared" si="118"/>
        <v>0</v>
      </c>
      <c r="AA95" s="84">
        <f t="shared" si="118"/>
        <v>0</v>
      </c>
      <c r="AB95" s="84">
        <f t="shared" si="118"/>
        <v>0</v>
      </c>
      <c r="AC95" s="84">
        <f t="shared" si="118"/>
        <v>0</v>
      </c>
      <c r="AD95" s="84">
        <f t="shared" si="118"/>
        <v>0</v>
      </c>
      <c r="AE95" s="84">
        <f t="shared" si="118"/>
        <v>0</v>
      </c>
      <c r="AF95" s="84">
        <f t="shared" si="118"/>
        <v>0</v>
      </c>
      <c r="AG95" s="81">
        <f t="shared" si="103"/>
        <v>0</v>
      </c>
      <c r="AH95" s="85" t="str">
        <f t="shared" si="104"/>
        <v/>
      </c>
      <c r="AI95" s="11"/>
      <c r="AJ95" s="81">
        <f t="shared" si="105"/>
        <v>3303.54</v>
      </c>
    </row>
    <row r="96" ht="13.5" customHeight="1">
      <c r="A96" s="83" t="s">
        <v>164</v>
      </c>
      <c r="B96" s="81">
        <v>0.0</v>
      </c>
      <c r="C96" s="81">
        <v>0.0</v>
      </c>
      <c r="D96" s="81">
        <v>0.0</v>
      </c>
      <c r="E96" s="81">
        <v>0.0</v>
      </c>
      <c r="F96" s="81">
        <v>0.0</v>
      </c>
      <c r="G96" s="81">
        <v>0.0</v>
      </c>
      <c r="H96" s="81">
        <v>0.0</v>
      </c>
      <c r="I96" s="81">
        <v>0.0</v>
      </c>
      <c r="J96" s="93">
        <v>0.0</v>
      </c>
      <c r="K96" s="93">
        <v>0.0</v>
      </c>
      <c r="L96" s="93">
        <v>0.0</v>
      </c>
      <c r="M96" s="93">
        <v>0.0</v>
      </c>
      <c r="N96" s="81">
        <f t="shared" si="100"/>
        <v>0</v>
      </c>
      <c r="O96" s="85" t="str">
        <f t="shared" si="101"/>
        <v/>
      </c>
      <c r="P96" s="81"/>
      <c r="Q96" s="81"/>
      <c r="R96" s="86" t="s">
        <v>80</v>
      </c>
      <c r="S96" s="87">
        <v>0.0</v>
      </c>
      <c r="T96" s="88">
        <v>0.05</v>
      </c>
      <c r="U96" s="84">
        <f t="shared" ref="U96:AF96" si="119">IF($R96="Manual","",IFERROR(IF($R96="YOY Growth",$N96*(1+$T96)/12,$S96/12),""))</f>
        <v>0</v>
      </c>
      <c r="V96" s="84">
        <f t="shared" si="119"/>
        <v>0</v>
      </c>
      <c r="W96" s="84">
        <f t="shared" si="119"/>
        <v>0</v>
      </c>
      <c r="X96" s="84">
        <f t="shared" si="119"/>
        <v>0</v>
      </c>
      <c r="Y96" s="84">
        <f t="shared" si="119"/>
        <v>0</v>
      </c>
      <c r="Z96" s="84">
        <f t="shared" si="119"/>
        <v>0</v>
      </c>
      <c r="AA96" s="84">
        <f t="shared" si="119"/>
        <v>0</v>
      </c>
      <c r="AB96" s="84">
        <f t="shared" si="119"/>
        <v>0</v>
      </c>
      <c r="AC96" s="84">
        <f t="shared" si="119"/>
        <v>0</v>
      </c>
      <c r="AD96" s="84">
        <f t="shared" si="119"/>
        <v>0</v>
      </c>
      <c r="AE96" s="84">
        <f t="shared" si="119"/>
        <v>0</v>
      </c>
      <c r="AF96" s="84">
        <f t="shared" si="119"/>
        <v>0</v>
      </c>
      <c r="AG96" s="81">
        <f t="shared" si="103"/>
        <v>0</v>
      </c>
      <c r="AH96" s="85" t="str">
        <f t="shared" si="104"/>
        <v/>
      </c>
      <c r="AI96" s="11"/>
      <c r="AJ96" s="81">
        <f t="shared" si="105"/>
        <v>0</v>
      </c>
    </row>
    <row r="97" ht="13.5" customHeight="1">
      <c r="A97" s="83" t="s">
        <v>165</v>
      </c>
      <c r="B97" s="81">
        <v>0.0</v>
      </c>
      <c r="C97" s="81">
        <v>0.0</v>
      </c>
      <c r="D97" s="81">
        <v>0.0</v>
      </c>
      <c r="E97" s="81">
        <v>0.0</v>
      </c>
      <c r="F97" s="81">
        <v>0.0</v>
      </c>
      <c r="G97" s="81">
        <v>0.0</v>
      </c>
      <c r="H97" s="81">
        <v>0.0</v>
      </c>
      <c r="I97" s="81">
        <v>0.0</v>
      </c>
      <c r="J97" s="93">
        <v>0.0</v>
      </c>
      <c r="K97" s="93">
        <v>0.0</v>
      </c>
      <c r="L97" s="93">
        <v>0.0</v>
      </c>
      <c r="M97" s="93">
        <v>0.0</v>
      </c>
      <c r="N97" s="81">
        <f t="shared" si="100"/>
        <v>0</v>
      </c>
      <c r="O97" s="85" t="str">
        <f t="shared" si="101"/>
        <v/>
      </c>
      <c r="P97" s="81"/>
      <c r="Q97" s="81"/>
      <c r="R97" s="86" t="s">
        <v>80</v>
      </c>
      <c r="S97" s="87">
        <v>0.0</v>
      </c>
      <c r="T97" s="88">
        <v>0.05</v>
      </c>
      <c r="U97" s="84">
        <f t="shared" ref="U97:AF97" si="120">IF($R97="Manual","",IFERROR(IF($R97="YOY Growth",$N97*(1+$T97)/12,$S97/12),""))</f>
        <v>0</v>
      </c>
      <c r="V97" s="84">
        <f t="shared" si="120"/>
        <v>0</v>
      </c>
      <c r="W97" s="84">
        <f t="shared" si="120"/>
        <v>0</v>
      </c>
      <c r="X97" s="84">
        <f t="shared" si="120"/>
        <v>0</v>
      </c>
      <c r="Y97" s="84">
        <f t="shared" si="120"/>
        <v>0</v>
      </c>
      <c r="Z97" s="84">
        <f t="shared" si="120"/>
        <v>0</v>
      </c>
      <c r="AA97" s="84">
        <f t="shared" si="120"/>
        <v>0</v>
      </c>
      <c r="AB97" s="84">
        <f t="shared" si="120"/>
        <v>0</v>
      </c>
      <c r="AC97" s="84">
        <f t="shared" si="120"/>
        <v>0</v>
      </c>
      <c r="AD97" s="84">
        <f t="shared" si="120"/>
        <v>0</v>
      </c>
      <c r="AE97" s="84">
        <f t="shared" si="120"/>
        <v>0</v>
      </c>
      <c r="AF97" s="84">
        <f t="shared" si="120"/>
        <v>0</v>
      </c>
      <c r="AG97" s="81">
        <f t="shared" si="103"/>
        <v>0</v>
      </c>
      <c r="AH97" s="85" t="str">
        <f t="shared" si="104"/>
        <v/>
      </c>
      <c r="AI97" s="11"/>
      <c r="AJ97" s="81">
        <f t="shared" si="105"/>
        <v>0</v>
      </c>
    </row>
    <row r="98" ht="13.5" customHeight="1">
      <c r="A98" s="83" t="s">
        <v>166</v>
      </c>
      <c r="B98" s="81">
        <v>0.0</v>
      </c>
      <c r="C98" s="81">
        <v>0.0</v>
      </c>
      <c r="D98" s="81">
        <v>0.0</v>
      </c>
      <c r="E98" s="81">
        <v>0.0</v>
      </c>
      <c r="F98" s="81">
        <v>0.0</v>
      </c>
      <c r="G98" s="81">
        <v>0.0</v>
      </c>
      <c r="H98" s="81">
        <v>0.0</v>
      </c>
      <c r="I98" s="81">
        <v>0.0</v>
      </c>
      <c r="J98" s="93">
        <v>0.0</v>
      </c>
      <c r="K98" s="93">
        <v>0.0</v>
      </c>
      <c r="L98" s="93">
        <v>0.0</v>
      </c>
      <c r="M98" s="93">
        <v>0.0</v>
      </c>
      <c r="N98" s="81">
        <f t="shared" si="100"/>
        <v>0</v>
      </c>
      <c r="O98" s="85" t="str">
        <f t="shared" si="101"/>
        <v/>
      </c>
      <c r="P98" s="81"/>
      <c r="Q98" s="81"/>
      <c r="R98" s="86" t="s">
        <v>80</v>
      </c>
      <c r="S98" s="87">
        <v>0.0</v>
      </c>
      <c r="T98" s="88">
        <v>0.05</v>
      </c>
      <c r="U98" s="84">
        <f t="shared" ref="U98:AF98" si="121">IF($R98="Manual","",IFERROR(IF($R98="YOY Growth",$N98*(1+$T98)/12,$S98/12),""))</f>
        <v>0</v>
      </c>
      <c r="V98" s="84">
        <f t="shared" si="121"/>
        <v>0</v>
      </c>
      <c r="W98" s="84">
        <f t="shared" si="121"/>
        <v>0</v>
      </c>
      <c r="X98" s="84">
        <f t="shared" si="121"/>
        <v>0</v>
      </c>
      <c r="Y98" s="84">
        <f t="shared" si="121"/>
        <v>0</v>
      </c>
      <c r="Z98" s="84">
        <f t="shared" si="121"/>
        <v>0</v>
      </c>
      <c r="AA98" s="84">
        <f t="shared" si="121"/>
        <v>0</v>
      </c>
      <c r="AB98" s="84">
        <f t="shared" si="121"/>
        <v>0</v>
      </c>
      <c r="AC98" s="84">
        <f t="shared" si="121"/>
        <v>0</v>
      </c>
      <c r="AD98" s="84">
        <f t="shared" si="121"/>
        <v>0</v>
      </c>
      <c r="AE98" s="84">
        <f t="shared" si="121"/>
        <v>0</v>
      </c>
      <c r="AF98" s="84">
        <f t="shared" si="121"/>
        <v>0</v>
      </c>
      <c r="AG98" s="81">
        <f t="shared" si="103"/>
        <v>0</v>
      </c>
      <c r="AH98" s="85" t="str">
        <f t="shared" si="104"/>
        <v/>
      </c>
      <c r="AI98" s="11"/>
      <c r="AJ98" s="81">
        <f t="shared" si="105"/>
        <v>0</v>
      </c>
    </row>
    <row r="99" ht="13.5" customHeight="1">
      <c r="A99" s="83" t="s">
        <v>167</v>
      </c>
      <c r="B99" s="81">
        <v>55.0</v>
      </c>
      <c r="C99" s="81">
        <v>20.0</v>
      </c>
      <c r="D99" s="81">
        <v>80.0</v>
      </c>
      <c r="E99" s="81">
        <v>0.0</v>
      </c>
      <c r="F99" s="81">
        <v>20.0</v>
      </c>
      <c r="G99" s="81">
        <v>0.0</v>
      </c>
      <c r="H99" s="81">
        <v>0.0</v>
      </c>
      <c r="I99" s="81">
        <v>0.0</v>
      </c>
      <c r="J99" s="93">
        <v>100.0</v>
      </c>
      <c r="K99" s="93">
        <v>100.0</v>
      </c>
      <c r="L99" s="93">
        <v>100.0</v>
      </c>
      <c r="M99" s="93">
        <v>100.0</v>
      </c>
      <c r="N99" s="81">
        <f t="shared" si="100"/>
        <v>575</v>
      </c>
      <c r="O99" s="85" t="str">
        <f t="shared" si="101"/>
        <v/>
      </c>
      <c r="P99" s="81"/>
      <c r="Q99" s="81"/>
      <c r="R99" s="86" t="s">
        <v>80</v>
      </c>
      <c r="S99" s="87">
        <v>0.0</v>
      </c>
      <c r="T99" s="88">
        <v>0.05</v>
      </c>
      <c r="U99" s="84">
        <f t="shared" ref="U99:AF99" si="122">IF($R99="Manual","",IFERROR(IF($R99="YOY Growth",$N99*(1+$T99)/12,$S99/12),""))</f>
        <v>0</v>
      </c>
      <c r="V99" s="84">
        <f t="shared" si="122"/>
        <v>0</v>
      </c>
      <c r="W99" s="84">
        <f t="shared" si="122"/>
        <v>0</v>
      </c>
      <c r="X99" s="84">
        <f t="shared" si="122"/>
        <v>0</v>
      </c>
      <c r="Y99" s="84">
        <f t="shared" si="122"/>
        <v>0</v>
      </c>
      <c r="Z99" s="84">
        <f t="shared" si="122"/>
        <v>0</v>
      </c>
      <c r="AA99" s="84">
        <f t="shared" si="122"/>
        <v>0</v>
      </c>
      <c r="AB99" s="84">
        <f t="shared" si="122"/>
        <v>0</v>
      </c>
      <c r="AC99" s="84">
        <f t="shared" si="122"/>
        <v>0</v>
      </c>
      <c r="AD99" s="84">
        <f t="shared" si="122"/>
        <v>0</v>
      </c>
      <c r="AE99" s="84">
        <f t="shared" si="122"/>
        <v>0</v>
      </c>
      <c r="AF99" s="84">
        <f t="shared" si="122"/>
        <v>0</v>
      </c>
      <c r="AG99" s="81">
        <f t="shared" si="103"/>
        <v>0</v>
      </c>
      <c r="AH99" s="85" t="str">
        <f t="shared" si="104"/>
        <v/>
      </c>
      <c r="AI99" s="11"/>
      <c r="AJ99" s="81">
        <f t="shared" si="105"/>
        <v>575</v>
      </c>
    </row>
    <row r="100" ht="13.5" customHeight="1">
      <c r="A100" s="83" t="s">
        <v>168</v>
      </c>
      <c r="B100" s="81">
        <v>0.0</v>
      </c>
      <c r="C100" s="81">
        <v>0.0</v>
      </c>
      <c r="D100" s="81">
        <v>0.0</v>
      </c>
      <c r="E100" s="81">
        <v>0.0</v>
      </c>
      <c r="F100" s="81">
        <v>0.0</v>
      </c>
      <c r="G100" s="81">
        <v>0.0</v>
      </c>
      <c r="H100" s="81">
        <v>0.0</v>
      </c>
      <c r="I100" s="81">
        <v>0.0</v>
      </c>
      <c r="J100" s="93">
        <v>0.0</v>
      </c>
      <c r="K100" s="93">
        <v>0.0</v>
      </c>
      <c r="L100" s="93">
        <v>0.0</v>
      </c>
      <c r="M100" s="93">
        <v>0.0</v>
      </c>
      <c r="N100" s="81">
        <f t="shared" si="100"/>
        <v>0</v>
      </c>
      <c r="O100" s="85" t="str">
        <f t="shared" si="101"/>
        <v/>
      </c>
      <c r="P100" s="81"/>
      <c r="Q100" s="81"/>
      <c r="R100" s="86" t="s">
        <v>80</v>
      </c>
      <c r="S100" s="87">
        <v>0.0</v>
      </c>
      <c r="T100" s="88">
        <v>0.05</v>
      </c>
      <c r="U100" s="84">
        <f t="shared" ref="U100:AF100" si="123">IF($R100="Manual","",IFERROR(IF($R100="YOY Growth",$N100*(1+$T100)/12,$S100/12),""))</f>
        <v>0</v>
      </c>
      <c r="V100" s="84">
        <f t="shared" si="123"/>
        <v>0</v>
      </c>
      <c r="W100" s="84">
        <f t="shared" si="123"/>
        <v>0</v>
      </c>
      <c r="X100" s="84">
        <f t="shared" si="123"/>
        <v>0</v>
      </c>
      <c r="Y100" s="84">
        <f t="shared" si="123"/>
        <v>0</v>
      </c>
      <c r="Z100" s="84">
        <f t="shared" si="123"/>
        <v>0</v>
      </c>
      <c r="AA100" s="84">
        <f t="shared" si="123"/>
        <v>0</v>
      </c>
      <c r="AB100" s="84">
        <f t="shared" si="123"/>
        <v>0</v>
      </c>
      <c r="AC100" s="84">
        <f t="shared" si="123"/>
        <v>0</v>
      </c>
      <c r="AD100" s="84">
        <f t="shared" si="123"/>
        <v>0</v>
      </c>
      <c r="AE100" s="84">
        <f t="shared" si="123"/>
        <v>0</v>
      </c>
      <c r="AF100" s="84">
        <f t="shared" si="123"/>
        <v>0</v>
      </c>
      <c r="AG100" s="81">
        <f t="shared" si="103"/>
        <v>0</v>
      </c>
      <c r="AH100" s="85" t="str">
        <f t="shared" si="104"/>
        <v/>
      </c>
      <c r="AI100" s="11"/>
      <c r="AJ100" s="81">
        <f t="shared" si="105"/>
        <v>0</v>
      </c>
    </row>
    <row r="101" ht="13.5" customHeight="1">
      <c r="A101" s="83" t="s">
        <v>169</v>
      </c>
      <c r="B101" s="81">
        <v>0.0</v>
      </c>
      <c r="C101" s="81">
        <v>0.0</v>
      </c>
      <c r="D101" s="81">
        <v>67.12</v>
      </c>
      <c r="E101" s="81">
        <v>0.0</v>
      </c>
      <c r="F101" s="81">
        <v>0.0</v>
      </c>
      <c r="G101" s="81">
        <v>0.0</v>
      </c>
      <c r="H101" s="81">
        <v>0.0</v>
      </c>
      <c r="I101" s="81">
        <v>0.0</v>
      </c>
      <c r="J101" s="93">
        <v>0.0</v>
      </c>
      <c r="K101" s="93">
        <v>0.0</v>
      </c>
      <c r="L101" s="93">
        <v>0.0</v>
      </c>
      <c r="M101" s="93">
        <v>0.0</v>
      </c>
      <c r="N101" s="81">
        <f t="shared" si="100"/>
        <v>67.12</v>
      </c>
      <c r="O101" s="85" t="str">
        <f t="shared" si="101"/>
        <v/>
      </c>
      <c r="P101" s="81"/>
      <c r="Q101" s="81"/>
      <c r="R101" s="86" t="s">
        <v>80</v>
      </c>
      <c r="S101" s="87">
        <v>0.0</v>
      </c>
      <c r="T101" s="88">
        <v>0.05</v>
      </c>
      <c r="U101" s="84">
        <f t="shared" ref="U101:AF101" si="124">IF($R101="Manual","",IFERROR(IF($R101="YOY Growth",$N101*(1+$T101)/12,$S101/12),""))</f>
        <v>0</v>
      </c>
      <c r="V101" s="84">
        <f t="shared" si="124"/>
        <v>0</v>
      </c>
      <c r="W101" s="84">
        <f t="shared" si="124"/>
        <v>0</v>
      </c>
      <c r="X101" s="84">
        <f t="shared" si="124"/>
        <v>0</v>
      </c>
      <c r="Y101" s="84">
        <f t="shared" si="124"/>
        <v>0</v>
      </c>
      <c r="Z101" s="84">
        <f t="shared" si="124"/>
        <v>0</v>
      </c>
      <c r="AA101" s="84">
        <f t="shared" si="124"/>
        <v>0</v>
      </c>
      <c r="AB101" s="84">
        <f t="shared" si="124"/>
        <v>0</v>
      </c>
      <c r="AC101" s="84">
        <f t="shared" si="124"/>
        <v>0</v>
      </c>
      <c r="AD101" s="84">
        <f t="shared" si="124"/>
        <v>0</v>
      </c>
      <c r="AE101" s="84">
        <f t="shared" si="124"/>
        <v>0</v>
      </c>
      <c r="AF101" s="84">
        <f t="shared" si="124"/>
        <v>0</v>
      </c>
      <c r="AG101" s="81">
        <f t="shared" si="103"/>
        <v>0</v>
      </c>
      <c r="AH101" s="85" t="str">
        <f t="shared" si="104"/>
        <v/>
      </c>
      <c r="AI101" s="11"/>
      <c r="AJ101" s="81">
        <f t="shared" si="105"/>
        <v>67.12</v>
      </c>
    </row>
    <row r="102" ht="13.5" customHeight="1">
      <c r="A102" s="83" t="s">
        <v>170</v>
      </c>
      <c r="B102" s="81">
        <v>0.0</v>
      </c>
      <c r="C102" s="81">
        <v>1.7</v>
      </c>
      <c r="D102" s="81">
        <v>0.0</v>
      </c>
      <c r="E102" s="81">
        <v>0.0</v>
      </c>
      <c r="F102" s="81">
        <v>0.0</v>
      </c>
      <c r="G102" s="81">
        <v>10.06</v>
      </c>
      <c r="H102" s="81">
        <v>0.0</v>
      </c>
      <c r="I102" s="81">
        <v>0.0</v>
      </c>
      <c r="J102" s="93">
        <v>0.0</v>
      </c>
      <c r="K102" s="93">
        <v>0.0</v>
      </c>
      <c r="L102" s="93">
        <v>0.0</v>
      </c>
      <c r="M102" s="93">
        <v>0.0</v>
      </c>
      <c r="N102" s="81">
        <f t="shared" si="100"/>
        <v>11.76</v>
      </c>
      <c r="O102" s="85" t="str">
        <f t="shared" si="101"/>
        <v/>
      </c>
      <c r="P102" s="81"/>
      <c r="Q102" s="81"/>
      <c r="R102" s="86" t="s">
        <v>80</v>
      </c>
      <c r="S102" s="87">
        <v>0.0</v>
      </c>
      <c r="T102" s="88">
        <v>0.05</v>
      </c>
      <c r="U102" s="84">
        <f t="shared" ref="U102:AF102" si="125">IF($R102="Manual","",IFERROR(IF($R102="YOY Growth",$N102*(1+$T102)/12,$S102/12),""))</f>
        <v>0</v>
      </c>
      <c r="V102" s="84">
        <f t="shared" si="125"/>
        <v>0</v>
      </c>
      <c r="W102" s="84">
        <f t="shared" si="125"/>
        <v>0</v>
      </c>
      <c r="X102" s="84">
        <f t="shared" si="125"/>
        <v>0</v>
      </c>
      <c r="Y102" s="84">
        <f t="shared" si="125"/>
        <v>0</v>
      </c>
      <c r="Z102" s="84">
        <f t="shared" si="125"/>
        <v>0</v>
      </c>
      <c r="AA102" s="84">
        <f t="shared" si="125"/>
        <v>0</v>
      </c>
      <c r="AB102" s="84">
        <f t="shared" si="125"/>
        <v>0</v>
      </c>
      <c r="AC102" s="84">
        <f t="shared" si="125"/>
        <v>0</v>
      </c>
      <c r="AD102" s="84">
        <f t="shared" si="125"/>
        <v>0</v>
      </c>
      <c r="AE102" s="84">
        <f t="shared" si="125"/>
        <v>0</v>
      </c>
      <c r="AF102" s="84">
        <f t="shared" si="125"/>
        <v>0</v>
      </c>
      <c r="AG102" s="81">
        <f t="shared" si="103"/>
        <v>0</v>
      </c>
      <c r="AH102" s="85" t="str">
        <f t="shared" si="104"/>
        <v/>
      </c>
      <c r="AI102" s="11"/>
      <c r="AJ102" s="81">
        <f t="shared" si="105"/>
        <v>11.76</v>
      </c>
    </row>
    <row r="103" ht="13.5" customHeight="1">
      <c r="A103" s="83" t="s">
        <v>171</v>
      </c>
      <c r="B103" s="81">
        <v>0.0</v>
      </c>
      <c r="C103" s="81">
        <v>0.0</v>
      </c>
      <c r="D103" s="81">
        <v>0.0</v>
      </c>
      <c r="E103" s="81">
        <v>0.0</v>
      </c>
      <c r="F103" s="81">
        <v>0.0</v>
      </c>
      <c r="G103" s="81">
        <v>0.0</v>
      </c>
      <c r="H103" s="81">
        <v>0.0</v>
      </c>
      <c r="I103" s="81">
        <v>0.0</v>
      </c>
      <c r="J103" s="93">
        <v>0.0</v>
      </c>
      <c r="K103" s="93">
        <v>0.0</v>
      </c>
      <c r="L103" s="93">
        <v>0.0</v>
      </c>
      <c r="M103" s="93">
        <v>0.0</v>
      </c>
      <c r="N103" s="81">
        <f t="shared" si="100"/>
        <v>0</v>
      </c>
      <c r="O103" s="85" t="str">
        <f t="shared" si="101"/>
        <v/>
      </c>
      <c r="P103" s="81"/>
      <c r="Q103" s="81"/>
      <c r="R103" s="86" t="s">
        <v>80</v>
      </c>
      <c r="S103" s="87">
        <v>0.0</v>
      </c>
      <c r="T103" s="88">
        <v>0.05</v>
      </c>
      <c r="U103" s="84">
        <f t="shared" ref="U103:AF103" si="126">IF($R103="Manual","",IFERROR(IF($R103="YOY Growth",$N103*(1+$T103)/12,$S103/12),""))</f>
        <v>0</v>
      </c>
      <c r="V103" s="84">
        <f t="shared" si="126"/>
        <v>0</v>
      </c>
      <c r="W103" s="84">
        <f t="shared" si="126"/>
        <v>0</v>
      </c>
      <c r="X103" s="84">
        <f t="shared" si="126"/>
        <v>0</v>
      </c>
      <c r="Y103" s="84">
        <f t="shared" si="126"/>
        <v>0</v>
      </c>
      <c r="Z103" s="84">
        <f t="shared" si="126"/>
        <v>0</v>
      </c>
      <c r="AA103" s="84">
        <f t="shared" si="126"/>
        <v>0</v>
      </c>
      <c r="AB103" s="84">
        <f t="shared" si="126"/>
        <v>0</v>
      </c>
      <c r="AC103" s="84">
        <f t="shared" si="126"/>
        <v>0</v>
      </c>
      <c r="AD103" s="84">
        <f t="shared" si="126"/>
        <v>0</v>
      </c>
      <c r="AE103" s="84">
        <f t="shared" si="126"/>
        <v>0</v>
      </c>
      <c r="AF103" s="84">
        <f t="shared" si="126"/>
        <v>0</v>
      </c>
      <c r="AG103" s="81">
        <f t="shared" si="103"/>
        <v>0</v>
      </c>
      <c r="AH103" s="85" t="str">
        <f t="shared" si="104"/>
        <v/>
      </c>
      <c r="AI103" s="11"/>
      <c r="AJ103" s="81">
        <f t="shared" si="105"/>
        <v>0</v>
      </c>
    </row>
    <row r="104" ht="13.5" customHeight="1">
      <c r="A104" s="83" t="s">
        <v>172</v>
      </c>
      <c r="B104" s="81">
        <v>0.0</v>
      </c>
      <c r="C104" s="81">
        <v>0.0</v>
      </c>
      <c r="D104" s="81">
        <v>0.0</v>
      </c>
      <c r="E104" s="81">
        <v>0.0</v>
      </c>
      <c r="F104" s="81">
        <v>0.0</v>
      </c>
      <c r="G104" s="81">
        <v>0.0</v>
      </c>
      <c r="H104" s="81">
        <v>0.0</v>
      </c>
      <c r="I104" s="81">
        <v>0.0</v>
      </c>
      <c r="J104" s="93">
        <v>0.0</v>
      </c>
      <c r="K104" s="93">
        <v>0.0</v>
      </c>
      <c r="L104" s="93">
        <v>0.0</v>
      </c>
      <c r="M104" s="93">
        <v>0.0</v>
      </c>
      <c r="N104" s="81">
        <f t="shared" si="100"/>
        <v>0</v>
      </c>
      <c r="O104" s="85" t="str">
        <f t="shared" si="101"/>
        <v/>
      </c>
      <c r="P104" s="81"/>
      <c r="Q104" s="81"/>
      <c r="R104" s="86" t="s">
        <v>80</v>
      </c>
      <c r="S104" s="87">
        <v>0.0</v>
      </c>
      <c r="T104" s="88">
        <v>0.05</v>
      </c>
      <c r="U104" s="84">
        <f t="shared" ref="U104:AF104" si="127">IF($R104="Manual","",IFERROR(IF($R104="YOY Growth",$N104*(1+$T104)/12,$S104/12),""))</f>
        <v>0</v>
      </c>
      <c r="V104" s="84">
        <f t="shared" si="127"/>
        <v>0</v>
      </c>
      <c r="W104" s="84">
        <f t="shared" si="127"/>
        <v>0</v>
      </c>
      <c r="X104" s="84">
        <f t="shared" si="127"/>
        <v>0</v>
      </c>
      <c r="Y104" s="84">
        <f t="shared" si="127"/>
        <v>0</v>
      </c>
      <c r="Z104" s="84">
        <f t="shared" si="127"/>
        <v>0</v>
      </c>
      <c r="AA104" s="84">
        <f t="shared" si="127"/>
        <v>0</v>
      </c>
      <c r="AB104" s="84">
        <f t="shared" si="127"/>
        <v>0</v>
      </c>
      <c r="AC104" s="84">
        <f t="shared" si="127"/>
        <v>0</v>
      </c>
      <c r="AD104" s="84">
        <f t="shared" si="127"/>
        <v>0</v>
      </c>
      <c r="AE104" s="84">
        <f t="shared" si="127"/>
        <v>0</v>
      </c>
      <c r="AF104" s="84">
        <f t="shared" si="127"/>
        <v>0</v>
      </c>
      <c r="AG104" s="81">
        <f t="shared" si="103"/>
        <v>0</v>
      </c>
      <c r="AH104" s="85" t="str">
        <f t="shared" si="104"/>
        <v/>
      </c>
      <c r="AI104" s="11"/>
      <c r="AJ104" s="81">
        <f t="shared" si="105"/>
        <v>0</v>
      </c>
    </row>
    <row r="105" ht="13.5" customHeight="1">
      <c r="A105" s="83" t="s">
        <v>173</v>
      </c>
      <c r="B105" s="81">
        <v>0.0</v>
      </c>
      <c r="C105" s="81">
        <v>0.0</v>
      </c>
      <c r="D105" s="81">
        <v>0.0</v>
      </c>
      <c r="E105" s="81">
        <v>0.0</v>
      </c>
      <c r="F105" s="81">
        <v>0.0</v>
      </c>
      <c r="G105" s="81">
        <v>0.0</v>
      </c>
      <c r="H105" s="81">
        <v>0.0</v>
      </c>
      <c r="I105" s="81">
        <v>0.0</v>
      </c>
      <c r="J105" s="93">
        <v>0.0</v>
      </c>
      <c r="K105" s="93">
        <v>0.0</v>
      </c>
      <c r="L105" s="93">
        <v>0.0</v>
      </c>
      <c r="M105" s="93">
        <v>0.0</v>
      </c>
      <c r="N105" s="81">
        <f t="shared" si="100"/>
        <v>0</v>
      </c>
      <c r="O105" s="85" t="str">
        <f t="shared" si="101"/>
        <v/>
      </c>
      <c r="P105" s="81"/>
      <c r="Q105" s="81"/>
      <c r="R105" s="86" t="s">
        <v>80</v>
      </c>
      <c r="S105" s="87">
        <v>0.0</v>
      </c>
      <c r="T105" s="88">
        <v>0.05</v>
      </c>
      <c r="U105" s="84">
        <f t="shared" ref="U105:AF105" si="128">IF($R105="Manual","",IFERROR(IF($R105="YOY Growth",$N105*(1+$T105)/12,$S105/12),""))</f>
        <v>0</v>
      </c>
      <c r="V105" s="84">
        <f t="shared" si="128"/>
        <v>0</v>
      </c>
      <c r="W105" s="84">
        <f t="shared" si="128"/>
        <v>0</v>
      </c>
      <c r="X105" s="84">
        <f t="shared" si="128"/>
        <v>0</v>
      </c>
      <c r="Y105" s="84">
        <f t="shared" si="128"/>
        <v>0</v>
      </c>
      <c r="Z105" s="84">
        <f t="shared" si="128"/>
        <v>0</v>
      </c>
      <c r="AA105" s="84">
        <f t="shared" si="128"/>
        <v>0</v>
      </c>
      <c r="AB105" s="84">
        <f t="shared" si="128"/>
        <v>0</v>
      </c>
      <c r="AC105" s="84">
        <f t="shared" si="128"/>
        <v>0</v>
      </c>
      <c r="AD105" s="84">
        <f t="shared" si="128"/>
        <v>0</v>
      </c>
      <c r="AE105" s="84">
        <f t="shared" si="128"/>
        <v>0</v>
      </c>
      <c r="AF105" s="84">
        <f t="shared" si="128"/>
        <v>0</v>
      </c>
      <c r="AG105" s="81">
        <f t="shared" si="103"/>
        <v>0</v>
      </c>
      <c r="AH105" s="85" t="str">
        <f t="shared" si="104"/>
        <v/>
      </c>
      <c r="AI105" s="11"/>
      <c r="AJ105" s="81">
        <f t="shared" si="105"/>
        <v>0</v>
      </c>
    </row>
    <row r="106" ht="13.5" customHeight="1">
      <c r="A106" s="83" t="s">
        <v>174</v>
      </c>
      <c r="B106" s="81">
        <v>917.16</v>
      </c>
      <c r="C106" s="81">
        <v>0.0</v>
      </c>
      <c r="D106" s="81">
        <v>0.0</v>
      </c>
      <c r="E106" s="81">
        <v>0.0</v>
      </c>
      <c r="F106" s="81">
        <v>0.0</v>
      </c>
      <c r="G106" s="81">
        <v>0.0</v>
      </c>
      <c r="H106" s="81">
        <v>0.0</v>
      </c>
      <c r="I106" s="81">
        <v>0.0</v>
      </c>
      <c r="J106" s="93">
        <v>0.0</v>
      </c>
      <c r="K106" s="93">
        <v>0.0</v>
      </c>
      <c r="L106" s="93">
        <v>0.0</v>
      </c>
      <c r="M106" s="93">
        <v>0.0</v>
      </c>
      <c r="N106" s="81">
        <f t="shared" si="100"/>
        <v>917.16</v>
      </c>
      <c r="O106" s="85" t="str">
        <f t="shared" si="101"/>
        <v/>
      </c>
      <c r="P106" s="81"/>
      <c r="Q106" s="81"/>
      <c r="R106" s="86" t="s">
        <v>80</v>
      </c>
      <c r="S106" s="87">
        <v>0.0</v>
      </c>
      <c r="T106" s="88">
        <v>0.05</v>
      </c>
      <c r="U106" s="84">
        <f t="shared" ref="U106:AF106" si="129">IF($R106="Manual","",IFERROR(IF($R106="YOY Growth",$N106*(1+$T106)/12,$S106/12),""))</f>
        <v>0</v>
      </c>
      <c r="V106" s="84">
        <f t="shared" si="129"/>
        <v>0</v>
      </c>
      <c r="W106" s="84">
        <f t="shared" si="129"/>
        <v>0</v>
      </c>
      <c r="X106" s="84">
        <f t="shared" si="129"/>
        <v>0</v>
      </c>
      <c r="Y106" s="84">
        <f t="shared" si="129"/>
        <v>0</v>
      </c>
      <c r="Z106" s="84">
        <f t="shared" si="129"/>
        <v>0</v>
      </c>
      <c r="AA106" s="84">
        <f t="shared" si="129"/>
        <v>0</v>
      </c>
      <c r="AB106" s="84">
        <f t="shared" si="129"/>
        <v>0</v>
      </c>
      <c r="AC106" s="84">
        <f t="shared" si="129"/>
        <v>0</v>
      </c>
      <c r="AD106" s="84">
        <f t="shared" si="129"/>
        <v>0</v>
      </c>
      <c r="AE106" s="84">
        <f t="shared" si="129"/>
        <v>0</v>
      </c>
      <c r="AF106" s="84">
        <f t="shared" si="129"/>
        <v>0</v>
      </c>
      <c r="AG106" s="81">
        <f t="shared" si="103"/>
        <v>0</v>
      </c>
      <c r="AH106" s="85" t="str">
        <f t="shared" si="104"/>
        <v/>
      </c>
      <c r="AI106" s="11"/>
      <c r="AJ106" s="81">
        <f t="shared" si="105"/>
        <v>917.16</v>
      </c>
    </row>
    <row r="107" ht="13.5" customHeight="1">
      <c r="A107" s="83" t="s">
        <v>175</v>
      </c>
      <c r="B107" s="81">
        <v>0.0</v>
      </c>
      <c r="C107" s="81">
        <v>0.0</v>
      </c>
      <c r="D107" s="81">
        <v>0.0</v>
      </c>
      <c r="E107" s="81">
        <v>0.0</v>
      </c>
      <c r="F107" s="81">
        <v>0.0</v>
      </c>
      <c r="G107" s="81">
        <v>0.0</v>
      </c>
      <c r="H107" s="81">
        <v>0.0</v>
      </c>
      <c r="I107" s="81">
        <v>0.0</v>
      </c>
      <c r="J107" s="93">
        <v>0.0</v>
      </c>
      <c r="K107" s="93">
        <v>0.0</v>
      </c>
      <c r="L107" s="93">
        <v>0.0</v>
      </c>
      <c r="M107" s="93">
        <v>0.0</v>
      </c>
      <c r="N107" s="81">
        <f t="shared" si="100"/>
        <v>0</v>
      </c>
      <c r="O107" s="85" t="str">
        <f t="shared" si="101"/>
        <v/>
      </c>
      <c r="P107" s="81"/>
      <c r="Q107" s="81"/>
      <c r="R107" s="86" t="s">
        <v>80</v>
      </c>
      <c r="S107" s="87">
        <v>0.0</v>
      </c>
      <c r="T107" s="88">
        <v>0.05</v>
      </c>
      <c r="U107" s="84">
        <f t="shared" ref="U107:AF107" si="130">IF($R107="Manual","",IFERROR(IF($R107="YOY Growth",$N107*(1+$T107)/12,$S107/12),""))</f>
        <v>0</v>
      </c>
      <c r="V107" s="84">
        <f t="shared" si="130"/>
        <v>0</v>
      </c>
      <c r="W107" s="84">
        <f t="shared" si="130"/>
        <v>0</v>
      </c>
      <c r="X107" s="84">
        <f t="shared" si="130"/>
        <v>0</v>
      </c>
      <c r="Y107" s="84">
        <f t="shared" si="130"/>
        <v>0</v>
      </c>
      <c r="Z107" s="84">
        <f t="shared" si="130"/>
        <v>0</v>
      </c>
      <c r="AA107" s="84">
        <f t="shared" si="130"/>
        <v>0</v>
      </c>
      <c r="AB107" s="84">
        <f t="shared" si="130"/>
        <v>0</v>
      </c>
      <c r="AC107" s="84">
        <f t="shared" si="130"/>
        <v>0</v>
      </c>
      <c r="AD107" s="84">
        <f t="shared" si="130"/>
        <v>0</v>
      </c>
      <c r="AE107" s="84">
        <f t="shared" si="130"/>
        <v>0</v>
      </c>
      <c r="AF107" s="84">
        <f t="shared" si="130"/>
        <v>0</v>
      </c>
      <c r="AG107" s="81">
        <f t="shared" si="103"/>
        <v>0</v>
      </c>
      <c r="AH107" s="85" t="str">
        <f t="shared" si="104"/>
        <v/>
      </c>
      <c r="AI107" s="11"/>
      <c r="AJ107" s="81">
        <f t="shared" si="105"/>
        <v>0</v>
      </c>
    </row>
    <row r="108" ht="13.5" customHeight="1">
      <c r="A108" s="83" t="s">
        <v>176</v>
      </c>
      <c r="B108" s="81">
        <v>0.0</v>
      </c>
      <c r="C108" s="81">
        <v>0.0</v>
      </c>
      <c r="D108" s="81">
        <v>0.0</v>
      </c>
      <c r="E108" s="81">
        <v>0.0</v>
      </c>
      <c r="F108" s="81">
        <v>0.0</v>
      </c>
      <c r="G108" s="81">
        <v>0.0</v>
      </c>
      <c r="H108" s="81">
        <v>0.0</v>
      </c>
      <c r="I108" s="81">
        <v>0.0</v>
      </c>
      <c r="J108" s="93">
        <v>0.0</v>
      </c>
      <c r="K108" s="93">
        <v>0.0</v>
      </c>
      <c r="L108" s="93">
        <v>0.0</v>
      </c>
      <c r="M108" s="93">
        <v>0.0</v>
      </c>
      <c r="N108" s="81">
        <f t="shared" si="100"/>
        <v>0</v>
      </c>
      <c r="O108" s="85" t="str">
        <f t="shared" si="101"/>
        <v/>
      </c>
      <c r="P108" s="81"/>
      <c r="Q108" s="81"/>
      <c r="R108" s="86" t="s">
        <v>80</v>
      </c>
      <c r="S108" s="87">
        <v>0.0</v>
      </c>
      <c r="T108" s="88">
        <v>0.05</v>
      </c>
      <c r="U108" s="84">
        <f t="shared" ref="U108:AF108" si="131">IF($R108="Manual","",IFERROR(IF($R108="YOY Growth",$N108*(1+$T108)/12,$S108/12),""))</f>
        <v>0</v>
      </c>
      <c r="V108" s="84">
        <f t="shared" si="131"/>
        <v>0</v>
      </c>
      <c r="W108" s="84">
        <f t="shared" si="131"/>
        <v>0</v>
      </c>
      <c r="X108" s="84">
        <f t="shared" si="131"/>
        <v>0</v>
      </c>
      <c r="Y108" s="84">
        <f t="shared" si="131"/>
        <v>0</v>
      </c>
      <c r="Z108" s="84">
        <f t="shared" si="131"/>
        <v>0</v>
      </c>
      <c r="AA108" s="84">
        <f t="shared" si="131"/>
        <v>0</v>
      </c>
      <c r="AB108" s="84">
        <f t="shared" si="131"/>
        <v>0</v>
      </c>
      <c r="AC108" s="84">
        <f t="shared" si="131"/>
        <v>0</v>
      </c>
      <c r="AD108" s="84">
        <f t="shared" si="131"/>
        <v>0</v>
      </c>
      <c r="AE108" s="84">
        <f t="shared" si="131"/>
        <v>0</v>
      </c>
      <c r="AF108" s="84">
        <f t="shared" si="131"/>
        <v>0</v>
      </c>
      <c r="AG108" s="81">
        <f t="shared" si="103"/>
        <v>0</v>
      </c>
      <c r="AH108" s="85" t="str">
        <f t="shared" si="104"/>
        <v/>
      </c>
      <c r="AI108" s="11"/>
      <c r="AJ108" s="81">
        <f t="shared" si="105"/>
        <v>0</v>
      </c>
    </row>
    <row r="109" ht="13.5" customHeight="1">
      <c r="A109" s="83" t="s">
        <v>177</v>
      </c>
      <c r="B109" s="81">
        <v>0.0</v>
      </c>
      <c r="C109" s="81">
        <v>0.0</v>
      </c>
      <c r="D109" s="81">
        <v>0.0</v>
      </c>
      <c r="E109" s="81">
        <v>0.0</v>
      </c>
      <c r="F109" s="81">
        <v>0.0</v>
      </c>
      <c r="G109" s="81">
        <v>0.0</v>
      </c>
      <c r="H109" s="81">
        <v>0.0</v>
      </c>
      <c r="I109" s="81">
        <v>0.0</v>
      </c>
      <c r="J109" s="93">
        <v>0.0</v>
      </c>
      <c r="K109" s="93">
        <v>0.0</v>
      </c>
      <c r="L109" s="93">
        <v>0.0</v>
      </c>
      <c r="M109" s="93">
        <v>0.0</v>
      </c>
      <c r="N109" s="81">
        <f t="shared" si="100"/>
        <v>0</v>
      </c>
      <c r="O109" s="85" t="str">
        <f t="shared" si="101"/>
        <v/>
      </c>
      <c r="P109" s="81"/>
      <c r="Q109" s="81"/>
      <c r="R109" s="86" t="s">
        <v>80</v>
      </c>
      <c r="S109" s="87">
        <v>0.0</v>
      </c>
      <c r="T109" s="88">
        <v>0.05</v>
      </c>
      <c r="U109" s="84">
        <f t="shared" ref="U109:AF109" si="132">IF($R109="Manual","",IFERROR(IF($R109="YOY Growth",$N109*(1+$T109)/12,$S109/12),""))</f>
        <v>0</v>
      </c>
      <c r="V109" s="84">
        <f t="shared" si="132"/>
        <v>0</v>
      </c>
      <c r="W109" s="84">
        <f t="shared" si="132"/>
        <v>0</v>
      </c>
      <c r="X109" s="84">
        <f t="shared" si="132"/>
        <v>0</v>
      </c>
      <c r="Y109" s="84">
        <f t="shared" si="132"/>
        <v>0</v>
      </c>
      <c r="Z109" s="84">
        <f t="shared" si="132"/>
        <v>0</v>
      </c>
      <c r="AA109" s="84">
        <f t="shared" si="132"/>
        <v>0</v>
      </c>
      <c r="AB109" s="84">
        <f t="shared" si="132"/>
        <v>0</v>
      </c>
      <c r="AC109" s="84">
        <f t="shared" si="132"/>
        <v>0</v>
      </c>
      <c r="AD109" s="84">
        <f t="shared" si="132"/>
        <v>0</v>
      </c>
      <c r="AE109" s="84">
        <f t="shared" si="132"/>
        <v>0</v>
      </c>
      <c r="AF109" s="84">
        <f t="shared" si="132"/>
        <v>0</v>
      </c>
      <c r="AG109" s="81">
        <f t="shared" si="103"/>
        <v>0</v>
      </c>
      <c r="AH109" s="85" t="str">
        <f t="shared" si="104"/>
        <v/>
      </c>
      <c r="AI109" s="11"/>
      <c r="AJ109" s="81">
        <f t="shared" si="105"/>
        <v>0</v>
      </c>
    </row>
    <row r="110" ht="13.5" customHeight="1">
      <c r="A110" s="83" t="s">
        <v>178</v>
      </c>
      <c r="B110" s="81">
        <v>0.0</v>
      </c>
      <c r="C110" s="81">
        <v>0.0</v>
      </c>
      <c r="D110" s="81">
        <v>0.0</v>
      </c>
      <c r="E110" s="81">
        <v>0.0</v>
      </c>
      <c r="F110" s="81">
        <v>0.0</v>
      </c>
      <c r="G110" s="81">
        <v>6515.0</v>
      </c>
      <c r="H110" s="81">
        <v>0.0</v>
      </c>
      <c r="I110" s="81">
        <v>0.0</v>
      </c>
      <c r="J110" s="93">
        <v>0.0</v>
      </c>
      <c r="K110" s="93">
        <v>0.0</v>
      </c>
      <c r="L110" s="93">
        <v>0.0</v>
      </c>
      <c r="M110" s="93">
        <v>0.0</v>
      </c>
      <c r="N110" s="81">
        <f t="shared" si="100"/>
        <v>6515</v>
      </c>
      <c r="O110" s="85" t="str">
        <f t="shared" si="101"/>
        <v/>
      </c>
      <c r="P110" s="81"/>
      <c r="Q110" s="81"/>
      <c r="R110" s="86" t="s">
        <v>80</v>
      </c>
      <c r="S110" s="87">
        <v>0.0</v>
      </c>
      <c r="T110" s="88">
        <v>0.05</v>
      </c>
      <c r="U110" s="84">
        <f t="shared" ref="U110:AF110" si="133">IF($R110="Manual","",IFERROR(IF($R110="YOY Growth",$N110*(1+$T110)/12,$S110/12),""))</f>
        <v>0</v>
      </c>
      <c r="V110" s="84">
        <f t="shared" si="133"/>
        <v>0</v>
      </c>
      <c r="W110" s="84">
        <f t="shared" si="133"/>
        <v>0</v>
      </c>
      <c r="X110" s="84">
        <f t="shared" si="133"/>
        <v>0</v>
      </c>
      <c r="Y110" s="84">
        <f t="shared" si="133"/>
        <v>0</v>
      </c>
      <c r="Z110" s="84">
        <f t="shared" si="133"/>
        <v>0</v>
      </c>
      <c r="AA110" s="84">
        <f t="shared" si="133"/>
        <v>0</v>
      </c>
      <c r="AB110" s="84">
        <f t="shared" si="133"/>
        <v>0</v>
      </c>
      <c r="AC110" s="84">
        <f t="shared" si="133"/>
        <v>0</v>
      </c>
      <c r="AD110" s="84">
        <f t="shared" si="133"/>
        <v>0</v>
      </c>
      <c r="AE110" s="84">
        <f t="shared" si="133"/>
        <v>0</v>
      </c>
      <c r="AF110" s="84">
        <f t="shared" si="133"/>
        <v>0</v>
      </c>
      <c r="AG110" s="81">
        <f t="shared" si="103"/>
        <v>0</v>
      </c>
      <c r="AH110" s="85" t="str">
        <f t="shared" si="104"/>
        <v/>
      </c>
      <c r="AI110" s="11"/>
      <c r="AJ110" s="81">
        <f t="shared" si="105"/>
        <v>6515</v>
      </c>
    </row>
    <row r="111" ht="13.5" customHeight="1">
      <c r="A111" s="83" t="s">
        <v>179</v>
      </c>
      <c r="B111" s="81">
        <v>0.0</v>
      </c>
      <c r="C111" s="81">
        <v>0.0</v>
      </c>
      <c r="D111" s="81">
        <v>0.0</v>
      </c>
      <c r="E111" s="81">
        <v>0.0</v>
      </c>
      <c r="F111" s="81">
        <v>0.0</v>
      </c>
      <c r="G111" s="81">
        <v>0.0</v>
      </c>
      <c r="H111" s="81">
        <v>0.0</v>
      </c>
      <c r="I111" s="81">
        <v>0.0</v>
      </c>
      <c r="J111" s="93">
        <v>0.0</v>
      </c>
      <c r="K111" s="93">
        <v>0.0</v>
      </c>
      <c r="L111" s="93">
        <v>0.0</v>
      </c>
      <c r="M111" s="93">
        <v>0.0</v>
      </c>
      <c r="N111" s="81">
        <f t="shared" si="100"/>
        <v>0</v>
      </c>
      <c r="O111" s="85" t="str">
        <f t="shared" si="101"/>
        <v/>
      </c>
      <c r="P111" s="81"/>
      <c r="Q111" s="81"/>
      <c r="R111" s="86" t="s">
        <v>80</v>
      </c>
      <c r="S111" s="87">
        <v>0.0</v>
      </c>
      <c r="T111" s="88">
        <v>0.05</v>
      </c>
      <c r="U111" s="84">
        <f t="shared" ref="U111:AF111" si="134">IF($R111="Manual","",IFERROR(IF($R111="YOY Growth",$N111*(1+$T111)/12,$S111/12),""))</f>
        <v>0</v>
      </c>
      <c r="V111" s="84">
        <f t="shared" si="134"/>
        <v>0</v>
      </c>
      <c r="W111" s="84">
        <f t="shared" si="134"/>
        <v>0</v>
      </c>
      <c r="X111" s="84">
        <f t="shared" si="134"/>
        <v>0</v>
      </c>
      <c r="Y111" s="84">
        <f t="shared" si="134"/>
        <v>0</v>
      </c>
      <c r="Z111" s="84">
        <f t="shared" si="134"/>
        <v>0</v>
      </c>
      <c r="AA111" s="84">
        <f t="shared" si="134"/>
        <v>0</v>
      </c>
      <c r="AB111" s="84">
        <f t="shared" si="134"/>
        <v>0</v>
      </c>
      <c r="AC111" s="84">
        <f t="shared" si="134"/>
        <v>0</v>
      </c>
      <c r="AD111" s="84">
        <f t="shared" si="134"/>
        <v>0</v>
      </c>
      <c r="AE111" s="84">
        <f t="shared" si="134"/>
        <v>0</v>
      </c>
      <c r="AF111" s="84">
        <f t="shared" si="134"/>
        <v>0</v>
      </c>
      <c r="AG111" s="81">
        <f t="shared" si="103"/>
        <v>0</v>
      </c>
      <c r="AH111" s="85" t="str">
        <f t="shared" si="104"/>
        <v/>
      </c>
      <c r="AI111" s="11"/>
      <c r="AJ111" s="81">
        <f t="shared" si="105"/>
        <v>0</v>
      </c>
    </row>
    <row r="112" ht="13.5" customHeight="1">
      <c r="A112" s="83" t="s">
        <v>180</v>
      </c>
      <c r="B112" s="81">
        <v>0.0</v>
      </c>
      <c r="C112" s="81">
        <v>0.0</v>
      </c>
      <c r="D112" s="81">
        <v>0.0</v>
      </c>
      <c r="E112" s="81">
        <v>0.0</v>
      </c>
      <c r="F112" s="81">
        <v>0.0</v>
      </c>
      <c r="G112" s="81">
        <v>0.0</v>
      </c>
      <c r="H112" s="81">
        <v>0.0</v>
      </c>
      <c r="I112" s="81">
        <v>0.0</v>
      </c>
      <c r="J112" s="93">
        <v>0.0</v>
      </c>
      <c r="K112" s="93">
        <v>0.0</v>
      </c>
      <c r="L112" s="93">
        <v>0.0</v>
      </c>
      <c r="M112" s="93">
        <v>0.0</v>
      </c>
      <c r="N112" s="81">
        <f t="shared" si="100"/>
        <v>0</v>
      </c>
      <c r="O112" s="85" t="str">
        <f t="shared" si="101"/>
        <v/>
      </c>
      <c r="P112" s="81"/>
      <c r="Q112" s="81"/>
      <c r="R112" s="86" t="s">
        <v>80</v>
      </c>
      <c r="S112" s="87">
        <v>0.0</v>
      </c>
      <c r="T112" s="88">
        <v>0.05</v>
      </c>
      <c r="U112" s="84">
        <f t="shared" ref="U112:AF112" si="135">IF($R112="Manual","",IFERROR(IF($R112="YOY Growth",$N112*(1+$T112)/12,$S112/12),""))</f>
        <v>0</v>
      </c>
      <c r="V112" s="84">
        <f t="shared" si="135"/>
        <v>0</v>
      </c>
      <c r="W112" s="84">
        <f t="shared" si="135"/>
        <v>0</v>
      </c>
      <c r="X112" s="84">
        <f t="shared" si="135"/>
        <v>0</v>
      </c>
      <c r="Y112" s="84">
        <f t="shared" si="135"/>
        <v>0</v>
      </c>
      <c r="Z112" s="84">
        <f t="shared" si="135"/>
        <v>0</v>
      </c>
      <c r="AA112" s="84">
        <f t="shared" si="135"/>
        <v>0</v>
      </c>
      <c r="AB112" s="84">
        <f t="shared" si="135"/>
        <v>0</v>
      </c>
      <c r="AC112" s="84">
        <f t="shared" si="135"/>
        <v>0</v>
      </c>
      <c r="AD112" s="84">
        <f t="shared" si="135"/>
        <v>0</v>
      </c>
      <c r="AE112" s="84">
        <f t="shared" si="135"/>
        <v>0</v>
      </c>
      <c r="AF112" s="84">
        <f t="shared" si="135"/>
        <v>0</v>
      </c>
      <c r="AG112" s="81">
        <f t="shared" si="103"/>
        <v>0</v>
      </c>
      <c r="AH112" s="85" t="str">
        <f t="shared" si="104"/>
        <v/>
      </c>
      <c r="AI112" s="11"/>
      <c r="AJ112" s="81">
        <f t="shared" si="105"/>
        <v>0</v>
      </c>
    </row>
    <row r="113" ht="13.5" customHeight="1">
      <c r="A113" s="83" t="s">
        <v>181</v>
      </c>
      <c r="B113" s="81">
        <v>0.0</v>
      </c>
      <c r="C113" s="81">
        <v>0.0</v>
      </c>
      <c r="D113" s="81">
        <v>0.0</v>
      </c>
      <c r="E113" s="81">
        <v>0.0</v>
      </c>
      <c r="F113" s="81">
        <v>0.0</v>
      </c>
      <c r="G113" s="81">
        <v>0.0</v>
      </c>
      <c r="H113" s="81">
        <v>0.0</v>
      </c>
      <c r="I113" s="81">
        <v>0.0</v>
      </c>
      <c r="J113" s="93">
        <v>0.0</v>
      </c>
      <c r="K113" s="93">
        <v>0.0</v>
      </c>
      <c r="L113" s="93">
        <v>0.0</v>
      </c>
      <c r="M113" s="93">
        <v>0.0</v>
      </c>
      <c r="N113" s="81">
        <f t="shared" si="100"/>
        <v>0</v>
      </c>
      <c r="O113" s="85" t="str">
        <f t="shared" si="101"/>
        <v/>
      </c>
      <c r="P113" s="81"/>
      <c r="Q113" s="81"/>
      <c r="R113" s="86" t="s">
        <v>80</v>
      </c>
      <c r="S113" s="87">
        <v>0.0</v>
      </c>
      <c r="T113" s="88">
        <v>0.05</v>
      </c>
      <c r="U113" s="84">
        <f t="shared" ref="U113:AF113" si="136">IF($R113="Manual","",IFERROR(IF($R113="YOY Growth",$N113*(1+$T113)/12,$S113/12),""))</f>
        <v>0</v>
      </c>
      <c r="V113" s="84">
        <f t="shared" si="136"/>
        <v>0</v>
      </c>
      <c r="W113" s="84">
        <f t="shared" si="136"/>
        <v>0</v>
      </c>
      <c r="X113" s="84">
        <f t="shared" si="136"/>
        <v>0</v>
      </c>
      <c r="Y113" s="84">
        <f t="shared" si="136"/>
        <v>0</v>
      </c>
      <c r="Z113" s="84">
        <f t="shared" si="136"/>
        <v>0</v>
      </c>
      <c r="AA113" s="84">
        <f t="shared" si="136"/>
        <v>0</v>
      </c>
      <c r="AB113" s="84">
        <f t="shared" si="136"/>
        <v>0</v>
      </c>
      <c r="AC113" s="84">
        <f t="shared" si="136"/>
        <v>0</v>
      </c>
      <c r="AD113" s="84">
        <f t="shared" si="136"/>
        <v>0</v>
      </c>
      <c r="AE113" s="84">
        <f t="shared" si="136"/>
        <v>0</v>
      </c>
      <c r="AF113" s="84">
        <f t="shared" si="136"/>
        <v>0</v>
      </c>
      <c r="AG113" s="81">
        <f t="shared" si="103"/>
        <v>0</v>
      </c>
      <c r="AH113" s="85" t="str">
        <f t="shared" si="104"/>
        <v/>
      </c>
      <c r="AI113" s="11"/>
      <c r="AJ113" s="81">
        <f t="shared" si="105"/>
        <v>0</v>
      </c>
    </row>
    <row r="114" ht="13.5" customHeight="1">
      <c r="A114" s="83" t="s">
        <v>182</v>
      </c>
      <c r="B114" s="81">
        <v>0.0</v>
      </c>
      <c r="C114" s="81">
        <v>0.0</v>
      </c>
      <c r="D114" s="81">
        <v>0.0</v>
      </c>
      <c r="E114" s="81">
        <v>0.0</v>
      </c>
      <c r="F114" s="81">
        <v>0.0</v>
      </c>
      <c r="G114" s="81">
        <v>0.0</v>
      </c>
      <c r="H114" s="81">
        <v>0.0</v>
      </c>
      <c r="I114" s="81">
        <v>0.0</v>
      </c>
      <c r="J114" s="93">
        <v>0.0</v>
      </c>
      <c r="K114" s="93">
        <v>0.0</v>
      </c>
      <c r="L114" s="93">
        <v>0.0</v>
      </c>
      <c r="M114" s="93">
        <v>0.0</v>
      </c>
      <c r="N114" s="81">
        <f t="shared" si="100"/>
        <v>0</v>
      </c>
      <c r="O114" s="85" t="str">
        <f t="shared" si="101"/>
        <v/>
      </c>
      <c r="P114" s="81"/>
      <c r="Q114" s="81"/>
      <c r="R114" s="86" t="s">
        <v>80</v>
      </c>
      <c r="S114" s="87">
        <v>0.0</v>
      </c>
      <c r="T114" s="88">
        <v>0.05</v>
      </c>
      <c r="U114" s="84">
        <f t="shared" ref="U114:AF114" si="137">IF($R114="Manual","",IFERROR(IF($R114="YOY Growth",$N114*(1+$T114)/12,$S114/12),""))</f>
        <v>0</v>
      </c>
      <c r="V114" s="84">
        <f t="shared" si="137"/>
        <v>0</v>
      </c>
      <c r="W114" s="84">
        <f t="shared" si="137"/>
        <v>0</v>
      </c>
      <c r="X114" s="84">
        <f t="shared" si="137"/>
        <v>0</v>
      </c>
      <c r="Y114" s="84">
        <f t="shared" si="137"/>
        <v>0</v>
      </c>
      <c r="Z114" s="84">
        <f t="shared" si="137"/>
        <v>0</v>
      </c>
      <c r="AA114" s="84">
        <f t="shared" si="137"/>
        <v>0</v>
      </c>
      <c r="AB114" s="84">
        <f t="shared" si="137"/>
        <v>0</v>
      </c>
      <c r="AC114" s="84">
        <f t="shared" si="137"/>
        <v>0</v>
      </c>
      <c r="AD114" s="84">
        <f t="shared" si="137"/>
        <v>0</v>
      </c>
      <c r="AE114" s="84">
        <f t="shared" si="137"/>
        <v>0</v>
      </c>
      <c r="AF114" s="84">
        <f t="shared" si="137"/>
        <v>0</v>
      </c>
      <c r="AG114" s="81">
        <f t="shared" si="103"/>
        <v>0</v>
      </c>
      <c r="AH114" s="85" t="str">
        <f t="shared" si="104"/>
        <v/>
      </c>
      <c r="AI114" s="11"/>
      <c r="AJ114" s="81">
        <f t="shared" si="105"/>
        <v>0</v>
      </c>
    </row>
    <row r="115" ht="13.5" customHeight="1">
      <c r="A115" s="83" t="s">
        <v>183</v>
      </c>
      <c r="B115" s="81">
        <v>0.0</v>
      </c>
      <c r="C115" s="81">
        <v>0.0</v>
      </c>
      <c r="D115" s="81">
        <v>0.0</v>
      </c>
      <c r="E115" s="81">
        <v>0.0</v>
      </c>
      <c r="F115" s="81">
        <v>0.0</v>
      </c>
      <c r="G115" s="81">
        <v>0.0</v>
      </c>
      <c r="H115" s="81">
        <v>0.0</v>
      </c>
      <c r="I115" s="81">
        <v>0.0</v>
      </c>
      <c r="J115" s="93">
        <v>0.0</v>
      </c>
      <c r="K115" s="93">
        <v>0.0</v>
      </c>
      <c r="L115" s="93">
        <v>0.0</v>
      </c>
      <c r="M115" s="93">
        <v>0.0</v>
      </c>
      <c r="N115" s="81">
        <f t="shared" si="100"/>
        <v>0</v>
      </c>
      <c r="O115" s="85" t="str">
        <f t="shared" si="101"/>
        <v/>
      </c>
      <c r="P115" s="81"/>
      <c r="Q115" s="81"/>
      <c r="R115" s="86" t="s">
        <v>80</v>
      </c>
      <c r="S115" s="87">
        <v>0.0</v>
      </c>
      <c r="T115" s="88">
        <v>0.05</v>
      </c>
      <c r="U115" s="84">
        <f t="shared" ref="U115:AF115" si="138">IF($R115="Manual","",IFERROR(IF($R115="YOY Growth",$N115*(1+$T115)/12,$S115/12),""))</f>
        <v>0</v>
      </c>
      <c r="V115" s="84">
        <f t="shared" si="138"/>
        <v>0</v>
      </c>
      <c r="W115" s="84">
        <f t="shared" si="138"/>
        <v>0</v>
      </c>
      <c r="X115" s="84">
        <f t="shared" si="138"/>
        <v>0</v>
      </c>
      <c r="Y115" s="84">
        <f t="shared" si="138"/>
        <v>0</v>
      </c>
      <c r="Z115" s="84">
        <f t="shared" si="138"/>
        <v>0</v>
      </c>
      <c r="AA115" s="84">
        <f t="shared" si="138"/>
        <v>0</v>
      </c>
      <c r="AB115" s="84">
        <f t="shared" si="138"/>
        <v>0</v>
      </c>
      <c r="AC115" s="84">
        <f t="shared" si="138"/>
        <v>0</v>
      </c>
      <c r="AD115" s="84">
        <f t="shared" si="138"/>
        <v>0</v>
      </c>
      <c r="AE115" s="84">
        <f t="shared" si="138"/>
        <v>0</v>
      </c>
      <c r="AF115" s="84">
        <f t="shared" si="138"/>
        <v>0</v>
      </c>
      <c r="AG115" s="81">
        <f t="shared" si="103"/>
        <v>0</v>
      </c>
      <c r="AH115" s="85" t="str">
        <f t="shared" si="104"/>
        <v/>
      </c>
      <c r="AI115" s="11"/>
      <c r="AJ115" s="81">
        <f t="shared" si="105"/>
        <v>0</v>
      </c>
    </row>
    <row r="116" ht="13.5" customHeight="1">
      <c r="A116" s="89" t="s">
        <v>184</v>
      </c>
      <c r="B116" s="90">
        <f t="shared" ref="B116:M116" si="139">B73+SUM(B74:B80)+B87+SUM(B88:B115)</f>
        <v>46455.18</v>
      </c>
      <c r="C116" s="90">
        <f t="shared" si="139"/>
        <v>41015.37</v>
      </c>
      <c r="D116" s="90">
        <f t="shared" si="139"/>
        <v>74591.09</v>
      </c>
      <c r="E116" s="90">
        <f t="shared" si="139"/>
        <v>102797</v>
      </c>
      <c r="F116" s="90">
        <f t="shared" si="139"/>
        <v>116105.58</v>
      </c>
      <c r="G116" s="90">
        <f t="shared" si="139"/>
        <v>134734.06</v>
      </c>
      <c r="H116" s="90">
        <f t="shared" si="139"/>
        <v>65078.17</v>
      </c>
      <c r="I116" s="90">
        <f t="shared" si="139"/>
        <v>72711.35</v>
      </c>
      <c r="J116" s="90">
        <f t="shared" si="139"/>
        <v>117839</v>
      </c>
      <c r="K116" s="90">
        <f t="shared" si="139"/>
        <v>138733</v>
      </c>
      <c r="L116" s="90">
        <f t="shared" si="139"/>
        <v>144373</v>
      </c>
      <c r="M116" s="90">
        <f t="shared" si="139"/>
        <v>141373</v>
      </c>
      <c r="N116" s="90">
        <f t="shared" si="100"/>
        <v>1195805.8</v>
      </c>
      <c r="O116" s="91" t="str">
        <f t="shared" si="101"/>
        <v/>
      </c>
      <c r="P116" s="81"/>
      <c r="Q116" s="81"/>
      <c r="R116" s="92"/>
      <c r="S116" s="92"/>
      <c r="T116" s="92"/>
      <c r="U116" s="90">
        <f t="shared" ref="U116:AF116" si="140">U73+SUM(U74:U80)+U87+SUM(U88:U115)</f>
        <v>74256.43048</v>
      </c>
      <c r="V116" s="90">
        <f t="shared" si="140"/>
        <v>74256.43048</v>
      </c>
      <c r="W116" s="90">
        <f t="shared" si="140"/>
        <v>74256.43048</v>
      </c>
      <c r="X116" s="90">
        <f t="shared" si="140"/>
        <v>74256.43048</v>
      </c>
      <c r="Y116" s="90">
        <f t="shared" si="140"/>
        <v>74256.43048</v>
      </c>
      <c r="Z116" s="90">
        <f t="shared" si="140"/>
        <v>74256.43048</v>
      </c>
      <c r="AA116" s="90">
        <f t="shared" si="140"/>
        <v>74256.43048</v>
      </c>
      <c r="AB116" s="90">
        <f t="shared" si="140"/>
        <v>80929.76381</v>
      </c>
      <c r="AC116" s="90">
        <f t="shared" si="140"/>
        <v>80929.76381</v>
      </c>
      <c r="AD116" s="90">
        <f t="shared" si="140"/>
        <v>83226.43049</v>
      </c>
      <c r="AE116" s="90">
        <f t="shared" si="140"/>
        <v>83226.43049</v>
      </c>
      <c r="AF116" s="90">
        <f t="shared" si="140"/>
        <v>83226.43049</v>
      </c>
      <c r="AG116" s="90">
        <f t="shared" si="103"/>
        <v>931333.8325</v>
      </c>
      <c r="AH116" s="91" t="str">
        <f t="shared" si="104"/>
        <v/>
      </c>
      <c r="AI116" s="11"/>
      <c r="AJ116" s="90">
        <f t="shared" si="105"/>
        <v>264471.9675</v>
      </c>
    </row>
    <row r="117" ht="13.5" customHeight="1">
      <c r="A117" s="104" t="s">
        <v>185</v>
      </c>
      <c r="B117" s="90">
        <f t="shared" ref="B117:M117" si="141">B64-B116</f>
        <v>-56010.4</v>
      </c>
      <c r="C117" s="90">
        <f t="shared" si="141"/>
        <v>-46181.75</v>
      </c>
      <c r="D117" s="90">
        <f t="shared" si="141"/>
        <v>-83484.13</v>
      </c>
      <c r="E117" s="90">
        <f t="shared" si="141"/>
        <v>-109548.93</v>
      </c>
      <c r="F117" s="90">
        <f t="shared" si="141"/>
        <v>-133089.38</v>
      </c>
      <c r="G117" s="90">
        <f t="shared" si="141"/>
        <v>-138267.06</v>
      </c>
      <c r="H117" s="90">
        <f t="shared" si="141"/>
        <v>-68900.93</v>
      </c>
      <c r="I117" s="90">
        <f t="shared" si="141"/>
        <v>-79794.05</v>
      </c>
      <c r="J117" s="90">
        <f t="shared" si="141"/>
        <v>-134139</v>
      </c>
      <c r="K117" s="90">
        <f t="shared" si="141"/>
        <v>-155033</v>
      </c>
      <c r="L117" s="90">
        <f t="shared" si="141"/>
        <v>-156273</v>
      </c>
      <c r="M117" s="90">
        <f t="shared" si="141"/>
        <v>-151073</v>
      </c>
      <c r="N117" s="90">
        <f t="shared" si="100"/>
        <v>-1311794.63</v>
      </c>
      <c r="O117" s="91" t="str">
        <f t="shared" si="101"/>
        <v/>
      </c>
      <c r="P117" s="81"/>
      <c r="Q117" s="81"/>
      <c r="R117" s="92"/>
      <c r="S117" s="92"/>
      <c r="T117" s="92"/>
      <c r="U117" s="90">
        <f t="shared" ref="U117:AF117" si="142">U64-U116</f>
        <v>-92830.33524</v>
      </c>
      <c r="V117" s="90">
        <f t="shared" si="142"/>
        <v>-86639.03365</v>
      </c>
      <c r="W117" s="90">
        <f t="shared" si="142"/>
        <v>-74256.43048</v>
      </c>
      <c r="X117" s="90">
        <f t="shared" si="142"/>
        <v>-103479.374</v>
      </c>
      <c r="Y117" s="90">
        <f t="shared" si="142"/>
        <v>-97288.07238</v>
      </c>
      <c r="Z117" s="90">
        <f t="shared" si="142"/>
        <v>-107937.1111</v>
      </c>
      <c r="AA117" s="90">
        <f t="shared" si="142"/>
        <v>-103479.374</v>
      </c>
      <c r="AB117" s="90">
        <f t="shared" si="142"/>
        <v>-116344.0089</v>
      </c>
      <c r="AC117" s="90">
        <f t="shared" si="142"/>
        <v>-126993.0476</v>
      </c>
      <c r="AD117" s="90">
        <f t="shared" si="142"/>
        <v>-129289.7143</v>
      </c>
      <c r="AE117" s="90">
        <f t="shared" si="142"/>
        <v>-139938.753</v>
      </c>
      <c r="AF117" s="90">
        <f t="shared" si="142"/>
        <v>-141672.3175</v>
      </c>
      <c r="AG117" s="90">
        <f t="shared" si="103"/>
        <v>-1320147.572</v>
      </c>
      <c r="AH117" s="91" t="str">
        <f t="shared" si="104"/>
        <v/>
      </c>
      <c r="AI117" s="11"/>
      <c r="AJ117" s="90">
        <f>AG117-N117</f>
        <v>-8352.942139</v>
      </c>
    </row>
    <row r="118" ht="13.5" customHeight="1">
      <c r="A118" s="80" t="s">
        <v>186</v>
      </c>
      <c r="B118" s="81"/>
      <c r="C118" s="81"/>
      <c r="D118" s="81"/>
      <c r="E118" s="81"/>
      <c r="F118" s="81"/>
      <c r="G118" s="81"/>
      <c r="H118" s="81"/>
      <c r="I118" s="81"/>
      <c r="J118" s="81"/>
      <c r="K118" s="81"/>
      <c r="L118" s="81"/>
      <c r="M118" s="81"/>
      <c r="N118" s="81"/>
      <c r="O118" s="85"/>
      <c r="P118" s="81"/>
      <c r="Q118" s="81"/>
      <c r="R118" s="92"/>
      <c r="S118" s="92"/>
      <c r="T118" s="92"/>
      <c r="U118" s="81"/>
      <c r="V118" s="81"/>
      <c r="W118" s="81"/>
      <c r="X118" s="81"/>
      <c r="Y118" s="81"/>
      <c r="Z118" s="81"/>
      <c r="AA118" s="81"/>
      <c r="AB118" s="81"/>
      <c r="AC118" s="81"/>
      <c r="AD118" s="81"/>
      <c r="AE118" s="81"/>
      <c r="AF118" s="81"/>
      <c r="AG118" s="81"/>
      <c r="AH118" s="85"/>
      <c r="AI118" s="11"/>
      <c r="AJ118" s="81"/>
    </row>
    <row r="119" ht="13.5" customHeight="1">
      <c r="A119" s="82" t="s">
        <v>187</v>
      </c>
      <c r="B119" s="81"/>
      <c r="C119" s="81"/>
      <c r="D119" s="81"/>
      <c r="E119" s="81"/>
      <c r="F119" s="81"/>
      <c r="G119" s="81"/>
      <c r="H119" s="81"/>
      <c r="I119" s="81"/>
      <c r="J119" s="81"/>
      <c r="K119" s="81"/>
      <c r="L119" s="81"/>
      <c r="M119" s="81"/>
      <c r="N119" s="81"/>
      <c r="O119" s="85"/>
      <c r="P119" s="81"/>
      <c r="Q119" s="81"/>
      <c r="R119" s="92"/>
      <c r="S119" s="92"/>
      <c r="T119" s="92"/>
      <c r="U119" s="81"/>
      <c r="V119" s="81"/>
      <c r="W119" s="81"/>
      <c r="X119" s="81"/>
      <c r="Y119" s="81"/>
      <c r="Z119" s="81"/>
      <c r="AA119" s="81"/>
      <c r="AB119" s="81"/>
      <c r="AC119" s="81"/>
      <c r="AD119" s="81"/>
      <c r="AE119" s="81"/>
      <c r="AF119" s="81"/>
      <c r="AG119" s="81"/>
      <c r="AH119" s="85"/>
      <c r="AI119" s="11"/>
      <c r="AJ119" s="81"/>
    </row>
    <row r="120" ht="13.5" customHeight="1">
      <c r="A120" s="83" t="s">
        <v>188</v>
      </c>
      <c r="B120" s="81">
        <v>0.0</v>
      </c>
      <c r="C120" s="81">
        <v>0.0</v>
      </c>
      <c r="D120" s="81">
        <v>0.0</v>
      </c>
      <c r="E120" s="81">
        <v>0.0</v>
      </c>
      <c r="F120" s="81">
        <v>0.0</v>
      </c>
      <c r="G120" s="81">
        <v>0.0</v>
      </c>
      <c r="H120" s="81">
        <v>0.0</v>
      </c>
      <c r="I120" s="81">
        <v>0.0</v>
      </c>
      <c r="J120" s="93">
        <v>0.0</v>
      </c>
      <c r="K120" s="93">
        <v>0.0</v>
      </c>
      <c r="L120" s="93">
        <v>0.0</v>
      </c>
      <c r="M120" s="93">
        <v>0.0</v>
      </c>
      <c r="N120" s="81">
        <f t="shared" ref="N120:N122" si="144">SUM(B120:M120)</f>
        <v>0</v>
      </c>
      <c r="O120" s="85" t="str">
        <f t="shared" ref="O120:O122" si="145">IFERROR(N120/N$16,"")</f>
        <v/>
      </c>
      <c r="P120" s="81"/>
      <c r="Q120" s="81"/>
      <c r="R120" s="86" t="s">
        <v>80</v>
      </c>
      <c r="S120" s="87">
        <v>0.0</v>
      </c>
      <c r="T120" s="88">
        <v>0.05</v>
      </c>
      <c r="U120" s="84">
        <f t="shared" ref="U120:AF120" si="143">IF($R120="Manual","",IFERROR(IF($R120="YOY Growth",$N120*(1+$T120)/12,$S120/12),""))</f>
        <v>0</v>
      </c>
      <c r="V120" s="84">
        <f t="shared" si="143"/>
        <v>0</v>
      </c>
      <c r="W120" s="84">
        <f t="shared" si="143"/>
        <v>0</v>
      </c>
      <c r="X120" s="84">
        <f t="shared" si="143"/>
        <v>0</v>
      </c>
      <c r="Y120" s="84">
        <f t="shared" si="143"/>
        <v>0</v>
      </c>
      <c r="Z120" s="84">
        <f t="shared" si="143"/>
        <v>0</v>
      </c>
      <c r="AA120" s="84">
        <f t="shared" si="143"/>
        <v>0</v>
      </c>
      <c r="AB120" s="84">
        <f t="shared" si="143"/>
        <v>0</v>
      </c>
      <c r="AC120" s="84">
        <f t="shared" si="143"/>
        <v>0</v>
      </c>
      <c r="AD120" s="84">
        <f t="shared" si="143"/>
        <v>0</v>
      </c>
      <c r="AE120" s="84">
        <f t="shared" si="143"/>
        <v>0</v>
      </c>
      <c r="AF120" s="84">
        <f t="shared" si="143"/>
        <v>0</v>
      </c>
      <c r="AG120" s="81">
        <f t="shared" ref="AG120:AG122" si="147">SUM(U120:AF120)</f>
        <v>0</v>
      </c>
      <c r="AH120" s="85" t="str">
        <f t="shared" ref="AH120:AH122" si="148">IFERROR(AG120/AG$16,"")</f>
        <v/>
      </c>
      <c r="AI120" s="11"/>
      <c r="AJ120" s="81">
        <f t="shared" ref="AJ120:AJ122" si="149">AG120-N120</f>
        <v>0</v>
      </c>
    </row>
    <row r="121" ht="13.5" customHeight="1">
      <c r="A121" s="83" t="s">
        <v>189</v>
      </c>
      <c r="B121" s="81">
        <v>0.0</v>
      </c>
      <c r="C121" s="81">
        <v>0.0</v>
      </c>
      <c r="D121" s="81">
        <v>0.0</v>
      </c>
      <c r="E121" s="81">
        <v>0.0</v>
      </c>
      <c r="F121" s="81">
        <v>0.0</v>
      </c>
      <c r="G121" s="81">
        <v>0.0</v>
      </c>
      <c r="H121" s="81">
        <v>0.0</v>
      </c>
      <c r="I121" s="81">
        <v>0.0</v>
      </c>
      <c r="J121" s="93">
        <v>0.0</v>
      </c>
      <c r="K121" s="93">
        <v>0.0</v>
      </c>
      <c r="L121" s="93">
        <v>0.0</v>
      </c>
      <c r="M121" s="93">
        <v>0.0</v>
      </c>
      <c r="N121" s="81">
        <f t="shared" si="144"/>
        <v>0</v>
      </c>
      <c r="O121" s="85" t="str">
        <f t="shared" si="145"/>
        <v/>
      </c>
      <c r="P121" s="81"/>
      <c r="Q121" s="81"/>
      <c r="R121" s="86" t="s">
        <v>80</v>
      </c>
      <c r="S121" s="87">
        <v>0.0</v>
      </c>
      <c r="T121" s="88">
        <v>0.05</v>
      </c>
      <c r="U121" s="84">
        <f t="shared" ref="U121:AF121" si="146">IF($R121="Manual","",IFERROR(IF($R121="YOY Growth",$N121*(1+$T121)/12,$S121/12),""))</f>
        <v>0</v>
      </c>
      <c r="V121" s="84">
        <f t="shared" si="146"/>
        <v>0</v>
      </c>
      <c r="W121" s="84">
        <f t="shared" si="146"/>
        <v>0</v>
      </c>
      <c r="X121" s="84">
        <f t="shared" si="146"/>
        <v>0</v>
      </c>
      <c r="Y121" s="84">
        <f t="shared" si="146"/>
        <v>0</v>
      </c>
      <c r="Z121" s="84">
        <f t="shared" si="146"/>
        <v>0</v>
      </c>
      <c r="AA121" s="84">
        <f t="shared" si="146"/>
        <v>0</v>
      </c>
      <c r="AB121" s="84">
        <f t="shared" si="146"/>
        <v>0</v>
      </c>
      <c r="AC121" s="84">
        <f t="shared" si="146"/>
        <v>0</v>
      </c>
      <c r="AD121" s="84">
        <f t="shared" si="146"/>
        <v>0</v>
      </c>
      <c r="AE121" s="84">
        <f t="shared" si="146"/>
        <v>0</v>
      </c>
      <c r="AF121" s="84">
        <f t="shared" si="146"/>
        <v>0</v>
      </c>
      <c r="AG121" s="81">
        <f t="shared" si="147"/>
        <v>0</v>
      </c>
      <c r="AH121" s="85" t="str">
        <f t="shared" si="148"/>
        <v/>
      </c>
      <c r="AI121" s="11"/>
      <c r="AJ121" s="81">
        <f t="shared" si="149"/>
        <v>0</v>
      </c>
    </row>
    <row r="122" ht="13.5" customHeight="1">
      <c r="A122" s="89" t="s">
        <v>190</v>
      </c>
      <c r="B122" s="90">
        <f t="shared" ref="B122:M122" si="150">SUM(B120:B121)</f>
        <v>0</v>
      </c>
      <c r="C122" s="90">
        <f t="shared" si="150"/>
        <v>0</v>
      </c>
      <c r="D122" s="90">
        <f t="shared" si="150"/>
        <v>0</v>
      </c>
      <c r="E122" s="90">
        <f t="shared" si="150"/>
        <v>0</v>
      </c>
      <c r="F122" s="90">
        <f t="shared" si="150"/>
        <v>0</v>
      </c>
      <c r="G122" s="90">
        <f t="shared" si="150"/>
        <v>0</v>
      </c>
      <c r="H122" s="90">
        <f t="shared" si="150"/>
        <v>0</v>
      </c>
      <c r="I122" s="90">
        <f t="shared" si="150"/>
        <v>0</v>
      </c>
      <c r="J122" s="90">
        <f t="shared" si="150"/>
        <v>0</v>
      </c>
      <c r="K122" s="90">
        <f t="shared" si="150"/>
        <v>0</v>
      </c>
      <c r="L122" s="90">
        <f t="shared" si="150"/>
        <v>0</v>
      </c>
      <c r="M122" s="90">
        <f t="shared" si="150"/>
        <v>0</v>
      </c>
      <c r="N122" s="90">
        <f t="shared" si="144"/>
        <v>0</v>
      </c>
      <c r="O122" s="91" t="str">
        <f t="shared" si="145"/>
        <v/>
      </c>
      <c r="P122" s="81"/>
      <c r="Q122" s="81"/>
      <c r="R122" s="92"/>
      <c r="S122" s="92"/>
      <c r="T122" s="92"/>
      <c r="U122" s="90">
        <f t="shared" ref="U122:AF122" si="151">SUM(U120:U121)</f>
        <v>0</v>
      </c>
      <c r="V122" s="90">
        <f t="shared" si="151"/>
        <v>0</v>
      </c>
      <c r="W122" s="90">
        <f t="shared" si="151"/>
        <v>0</v>
      </c>
      <c r="X122" s="90">
        <f t="shared" si="151"/>
        <v>0</v>
      </c>
      <c r="Y122" s="90">
        <f t="shared" si="151"/>
        <v>0</v>
      </c>
      <c r="Z122" s="90">
        <f t="shared" si="151"/>
        <v>0</v>
      </c>
      <c r="AA122" s="90">
        <f t="shared" si="151"/>
        <v>0</v>
      </c>
      <c r="AB122" s="90">
        <f t="shared" si="151"/>
        <v>0</v>
      </c>
      <c r="AC122" s="90">
        <f t="shared" si="151"/>
        <v>0</v>
      </c>
      <c r="AD122" s="90">
        <f t="shared" si="151"/>
        <v>0</v>
      </c>
      <c r="AE122" s="90">
        <f t="shared" si="151"/>
        <v>0</v>
      </c>
      <c r="AF122" s="90">
        <f t="shared" si="151"/>
        <v>0</v>
      </c>
      <c r="AG122" s="90">
        <f t="shared" si="147"/>
        <v>0</v>
      </c>
      <c r="AH122" s="91" t="str">
        <f t="shared" si="148"/>
        <v/>
      </c>
      <c r="AI122" s="11"/>
      <c r="AJ122" s="90">
        <f t="shared" si="149"/>
        <v>0</v>
      </c>
    </row>
    <row r="123" ht="13.5" customHeight="1">
      <c r="A123" s="82" t="s">
        <v>191</v>
      </c>
      <c r="B123" s="81"/>
      <c r="C123" s="81"/>
      <c r="D123" s="81"/>
      <c r="E123" s="81"/>
      <c r="F123" s="81"/>
      <c r="G123" s="81"/>
      <c r="H123" s="81"/>
      <c r="I123" s="81"/>
      <c r="J123" s="81"/>
      <c r="K123" s="81"/>
      <c r="L123" s="81"/>
      <c r="M123" s="81"/>
      <c r="N123" s="81"/>
      <c r="O123" s="85"/>
      <c r="P123" s="81"/>
      <c r="Q123" s="81"/>
      <c r="R123" s="92"/>
      <c r="S123" s="92"/>
      <c r="T123" s="92"/>
      <c r="U123" s="81"/>
      <c r="V123" s="81"/>
      <c r="W123" s="81"/>
      <c r="X123" s="81"/>
      <c r="Y123" s="81"/>
      <c r="Z123" s="81"/>
      <c r="AA123" s="81"/>
      <c r="AB123" s="81"/>
      <c r="AC123" s="81"/>
      <c r="AD123" s="81"/>
      <c r="AE123" s="81"/>
      <c r="AF123" s="81"/>
      <c r="AG123" s="81"/>
      <c r="AH123" s="85"/>
      <c r="AI123" s="11"/>
      <c r="AJ123" s="81"/>
    </row>
    <row r="124" ht="13.5" customHeight="1">
      <c r="A124" s="101" t="s">
        <v>192</v>
      </c>
      <c r="B124" s="81">
        <v>0.0</v>
      </c>
      <c r="C124" s="81">
        <v>0.0</v>
      </c>
      <c r="D124" s="81">
        <v>0.0</v>
      </c>
      <c r="E124" s="81">
        <v>0.0</v>
      </c>
      <c r="F124" s="81">
        <v>0.0</v>
      </c>
      <c r="G124" s="81">
        <v>0.0</v>
      </c>
      <c r="H124" s="81">
        <v>0.0</v>
      </c>
      <c r="I124" s="81">
        <v>0.0</v>
      </c>
      <c r="J124" s="93"/>
      <c r="K124" s="93"/>
      <c r="L124" s="93"/>
      <c r="M124" s="93"/>
      <c r="N124" s="81">
        <v>0.0</v>
      </c>
      <c r="O124" s="85" t="str">
        <f t="shared" ref="O124:O126" si="153">IFERROR(N124/N$16,"")</f>
        <v/>
      </c>
      <c r="P124" s="81"/>
      <c r="Q124" s="81"/>
      <c r="R124" s="86" t="s">
        <v>80</v>
      </c>
      <c r="S124" s="87">
        <v>0.0</v>
      </c>
      <c r="T124" s="88">
        <v>0.05</v>
      </c>
      <c r="U124" s="84">
        <f t="shared" ref="U124:AF124" si="152">IF($R124="Manual","",IFERROR(IF($R124="YOY Growth",$N124*(1+$T124)/12,$S124/12),""))</f>
        <v>0</v>
      </c>
      <c r="V124" s="84">
        <f t="shared" si="152"/>
        <v>0</v>
      </c>
      <c r="W124" s="84">
        <f t="shared" si="152"/>
        <v>0</v>
      </c>
      <c r="X124" s="84">
        <f t="shared" si="152"/>
        <v>0</v>
      </c>
      <c r="Y124" s="84">
        <f t="shared" si="152"/>
        <v>0</v>
      </c>
      <c r="Z124" s="84">
        <f t="shared" si="152"/>
        <v>0</v>
      </c>
      <c r="AA124" s="84">
        <f t="shared" si="152"/>
        <v>0</v>
      </c>
      <c r="AB124" s="84">
        <f t="shared" si="152"/>
        <v>0</v>
      </c>
      <c r="AC124" s="84">
        <f t="shared" si="152"/>
        <v>0</v>
      </c>
      <c r="AD124" s="84">
        <f t="shared" si="152"/>
        <v>0</v>
      </c>
      <c r="AE124" s="84">
        <f t="shared" si="152"/>
        <v>0</v>
      </c>
      <c r="AF124" s="84">
        <f t="shared" si="152"/>
        <v>0</v>
      </c>
      <c r="AG124" s="81">
        <f t="shared" ref="AG124:AG126" si="155">SUM(U124:AF124)</f>
        <v>0</v>
      </c>
      <c r="AH124" s="85" t="str">
        <f t="shared" ref="AH124:AH126" si="156">IFERROR(AG124/AG$16,"")</f>
        <v/>
      </c>
      <c r="AI124" s="11"/>
      <c r="AJ124" s="81">
        <f t="shared" ref="AJ124:AJ126" si="157">N124-AG124</f>
        <v>0</v>
      </c>
    </row>
    <row r="125" ht="13.5" customHeight="1">
      <c r="A125" s="83" t="s">
        <v>193</v>
      </c>
      <c r="B125" s="81">
        <v>0.0</v>
      </c>
      <c r="C125" s="81">
        <v>0.0</v>
      </c>
      <c r="D125" s="81">
        <v>0.0</v>
      </c>
      <c r="E125" s="81">
        <v>0.0</v>
      </c>
      <c r="F125" s="81">
        <v>0.0</v>
      </c>
      <c r="G125" s="81">
        <v>0.0</v>
      </c>
      <c r="H125" s="81">
        <v>0.0</v>
      </c>
      <c r="I125" s="81">
        <v>0.0</v>
      </c>
      <c r="J125" s="93">
        <v>0.0</v>
      </c>
      <c r="K125" s="93">
        <v>0.0</v>
      </c>
      <c r="L125" s="93">
        <v>0.0</v>
      </c>
      <c r="M125" s="93">
        <v>0.0</v>
      </c>
      <c r="N125" s="81">
        <f t="shared" ref="N125:N126" si="158">SUM(B125:M125)</f>
        <v>0</v>
      </c>
      <c r="O125" s="85" t="str">
        <f t="shared" si="153"/>
        <v/>
      </c>
      <c r="P125" s="81"/>
      <c r="Q125" s="81"/>
      <c r="R125" s="86" t="s">
        <v>80</v>
      </c>
      <c r="S125" s="87">
        <v>0.0</v>
      </c>
      <c r="T125" s="88">
        <v>0.05</v>
      </c>
      <c r="U125" s="84">
        <f t="shared" ref="U125:AF125" si="154">IF($R125="Manual","",IFERROR(IF($R125="YOY Growth",$N125*(1+$T125)/12,$S125/12),""))</f>
        <v>0</v>
      </c>
      <c r="V125" s="84">
        <f t="shared" si="154"/>
        <v>0</v>
      </c>
      <c r="W125" s="84">
        <f t="shared" si="154"/>
        <v>0</v>
      </c>
      <c r="X125" s="84">
        <f t="shared" si="154"/>
        <v>0</v>
      </c>
      <c r="Y125" s="84">
        <f t="shared" si="154"/>
        <v>0</v>
      </c>
      <c r="Z125" s="84">
        <f t="shared" si="154"/>
        <v>0</v>
      </c>
      <c r="AA125" s="84">
        <f t="shared" si="154"/>
        <v>0</v>
      </c>
      <c r="AB125" s="84">
        <f t="shared" si="154"/>
        <v>0</v>
      </c>
      <c r="AC125" s="84">
        <f t="shared" si="154"/>
        <v>0</v>
      </c>
      <c r="AD125" s="84">
        <f t="shared" si="154"/>
        <v>0</v>
      </c>
      <c r="AE125" s="84">
        <f t="shared" si="154"/>
        <v>0</v>
      </c>
      <c r="AF125" s="84">
        <f t="shared" si="154"/>
        <v>0</v>
      </c>
      <c r="AG125" s="81">
        <f t="shared" si="155"/>
        <v>0</v>
      </c>
      <c r="AH125" s="85" t="str">
        <f t="shared" si="156"/>
        <v/>
      </c>
      <c r="AI125" s="11"/>
      <c r="AJ125" s="81">
        <f t="shared" si="157"/>
        <v>0</v>
      </c>
    </row>
    <row r="126" ht="13.5" customHeight="1">
      <c r="A126" s="83" t="s">
        <v>194</v>
      </c>
      <c r="B126" s="81">
        <v>0.0</v>
      </c>
      <c r="C126" s="81">
        <v>0.0</v>
      </c>
      <c r="D126" s="81">
        <v>0.0</v>
      </c>
      <c r="E126" s="81">
        <v>0.0</v>
      </c>
      <c r="F126" s="81">
        <v>0.0</v>
      </c>
      <c r="G126" s="81">
        <v>0.0</v>
      </c>
      <c r="H126" s="81">
        <v>0.0</v>
      </c>
      <c r="I126" s="81">
        <v>0.0</v>
      </c>
      <c r="J126" s="93">
        <v>0.0</v>
      </c>
      <c r="K126" s="93">
        <v>0.0</v>
      </c>
      <c r="L126" s="93">
        <v>0.0</v>
      </c>
      <c r="M126" s="93">
        <v>0.0</v>
      </c>
      <c r="N126" s="81">
        <f t="shared" si="158"/>
        <v>0</v>
      </c>
      <c r="O126" s="85" t="str">
        <f t="shared" si="153"/>
        <v/>
      </c>
      <c r="P126" s="81"/>
      <c r="Q126" s="81"/>
      <c r="R126" s="86" t="s">
        <v>80</v>
      </c>
      <c r="S126" s="87">
        <v>0.0</v>
      </c>
      <c r="T126" s="88">
        <v>0.05</v>
      </c>
      <c r="U126" s="84">
        <f t="shared" ref="U126:AF126" si="159">IF($R126="Manual","",IFERROR(IF($R126="YOY Growth",$N126*(1+$T126)/12,$S126/12),""))</f>
        <v>0</v>
      </c>
      <c r="V126" s="84">
        <f t="shared" si="159"/>
        <v>0</v>
      </c>
      <c r="W126" s="84">
        <f t="shared" si="159"/>
        <v>0</v>
      </c>
      <c r="X126" s="84">
        <f t="shared" si="159"/>
        <v>0</v>
      </c>
      <c r="Y126" s="84">
        <f t="shared" si="159"/>
        <v>0</v>
      </c>
      <c r="Z126" s="84">
        <f t="shared" si="159"/>
        <v>0</v>
      </c>
      <c r="AA126" s="84">
        <f t="shared" si="159"/>
        <v>0</v>
      </c>
      <c r="AB126" s="84">
        <f t="shared" si="159"/>
        <v>0</v>
      </c>
      <c r="AC126" s="84">
        <f t="shared" si="159"/>
        <v>0</v>
      </c>
      <c r="AD126" s="84">
        <f t="shared" si="159"/>
        <v>0</v>
      </c>
      <c r="AE126" s="84">
        <f t="shared" si="159"/>
        <v>0</v>
      </c>
      <c r="AF126" s="84">
        <f t="shared" si="159"/>
        <v>0</v>
      </c>
      <c r="AG126" s="81">
        <f t="shared" si="155"/>
        <v>0</v>
      </c>
      <c r="AH126" s="85" t="str">
        <f t="shared" si="156"/>
        <v/>
      </c>
      <c r="AI126" s="11"/>
      <c r="AJ126" s="81">
        <f t="shared" si="157"/>
        <v>0</v>
      </c>
    </row>
    <row r="127" ht="13.5" customHeight="1">
      <c r="A127" s="83" t="s">
        <v>195</v>
      </c>
      <c r="B127" s="81">
        <v>0.0</v>
      </c>
      <c r="C127" s="81">
        <v>0.0</v>
      </c>
      <c r="D127" s="81">
        <v>0.0</v>
      </c>
      <c r="E127" s="81">
        <v>0.0</v>
      </c>
      <c r="F127" s="81">
        <v>0.0</v>
      </c>
      <c r="G127" s="81">
        <v>0.0</v>
      </c>
      <c r="H127" s="81">
        <v>0.0</v>
      </c>
      <c r="I127" s="81">
        <v>0.0</v>
      </c>
      <c r="J127" s="93"/>
      <c r="K127" s="93"/>
      <c r="L127" s="93"/>
      <c r="M127" s="93"/>
      <c r="N127" s="81"/>
      <c r="O127" s="85"/>
      <c r="P127" s="81"/>
      <c r="Q127" s="81"/>
      <c r="R127" s="86" t="s">
        <v>80</v>
      </c>
      <c r="S127" s="87">
        <v>0.0</v>
      </c>
      <c r="T127" s="88">
        <v>0.05</v>
      </c>
      <c r="U127" s="84">
        <f t="shared" ref="U127:AF127" si="160">IF($R127="Manual","",IFERROR(IF($R127="YOY Growth",$N127*(1+$T127)/12,$S127/12),""))</f>
        <v>0</v>
      </c>
      <c r="V127" s="84">
        <f t="shared" si="160"/>
        <v>0</v>
      </c>
      <c r="W127" s="84">
        <f t="shared" si="160"/>
        <v>0</v>
      </c>
      <c r="X127" s="84">
        <f t="shared" si="160"/>
        <v>0</v>
      </c>
      <c r="Y127" s="84">
        <f t="shared" si="160"/>
        <v>0</v>
      </c>
      <c r="Z127" s="84">
        <f t="shared" si="160"/>
        <v>0</v>
      </c>
      <c r="AA127" s="84">
        <f t="shared" si="160"/>
        <v>0</v>
      </c>
      <c r="AB127" s="84">
        <f t="shared" si="160"/>
        <v>0</v>
      </c>
      <c r="AC127" s="84">
        <f t="shared" si="160"/>
        <v>0</v>
      </c>
      <c r="AD127" s="84">
        <f t="shared" si="160"/>
        <v>0</v>
      </c>
      <c r="AE127" s="84">
        <f t="shared" si="160"/>
        <v>0</v>
      </c>
      <c r="AF127" s="84">
        <f t="shared" si="160"/>
        <v>0</v>
      </c>
      <c r="AG127" s="81"/>
      <c r="AH127" s="85"/>
      <c r="AI127" s="11"/>
      <c r="AJ127" s="81"/>
    </row>
    <row r="128" ht="13.5" customHeight="1">
      <c r="A128" s="83" t="s">
        <v>196</v>
      </c>
      <c r="B128" s="81">
        <v>0.0</v>
      </c>
      <c r="C128" s="81">
        <v>0.0</v>
      </c>
      <c r="D128" s="81">
        <v>0.0</v>
      </c>
      <c r="E128" s="81">
        <v>0.0</v>
      </c>
      <c r="F128" s="81">
        <v>0.0</v>
      </c>
      <c r="G128" s="81">
        <v>0.0</v>
      </c>
      <c r="H128" s="81">
        <v>0.0</v>
      </c>
      <c r="I128" s="81">
        <v>0.0</v>
      </c>
      <c r="J128" s="93">
        <v>0.0</v>
      </c>
      <c r="K128" s="93">
        <v>0.0</v>
      </c>
      <c r="L128" s="93">
        <v>0.0</v>
      </c>
      <c r="M128" s="93">
        <v>0.0</v>
      </c>
      <c r="N128" s="81">
        <f t="shared" ref="N128:N132" si="162">SUM(B128:M128)</f>
        <v>0</v>
      </c>
      <c r="O128" s="85" t="str">
        <f t="shared" ref="O128:O132" si="163">IFERROR(N128/N$16,"")</f>
        <v/>
      </c>
      <c r="P128" s="81"/>
      <c r="Q128" s="81"/>
      <c r="R128" s="86" t="s">
        <v>80</v>
      </c>
      <c r="S128" s="87">
        <v>0.0</v>
      </c>
      <c r="T128" s="88">
        <v>0.05</v>
      </c>
      <c r="U128" s="84">
        <f t="shared" ref="U128:AF128" si="161">IF($R128="Manual","",IFERROR(IF($R128="YOY Growth",$N128*(1+$T128)/12,$S128/12),""))</f>
        <v>0</v>
      </c>
      <c r="V128" s="84">
        <f t="shared" si="161"/>
        <v>0</v>
      </c>
      <c r="W128" s="84">
        <f t="shared" si="161"/>
        <v>0</v>
      </c>
      <c r="X128" s="84">
        <f t="shared" si="161"/>
        <v>0</v>
      </c>
      <c r="Y128" s="84">
        <f t="shared" si="161"/>
        <v>0</v>
      </c>
      <c r="Z128" s="84">
        <f t="shared" si="161"/>
        <v>0</v>
      </c>
      <c r="AA128" s="84">
        <f t="shared" si="161"/>
        <v>0</v>
      </c>
      <c r="AB128" s="84">
        <f t="shared" si="161"/>
        <v>0</v>
      </c>
      <c r="AC128" s="84">
        <f t="shared" si="161"/>
        <v>0</v>
      </c>
      <c r="AD128" s="84">
        <f t="shared" si="161"/>
        <v>0</v>
      </c>
      <c r="AE128" s="84">
        <f t="shared" si="161"/>
        <v>0</v>
      </c>
      <c r="AF128" s="84">
        <f t="shared" si="161"/>
        <v>0</v>
      </c>
      <c r="AG128" s="81">
        <f t="shared" ref="AG128:AG132" si="165">SUM(U128:AF128)</f>
        <v>0</v>
      </c>
      <c r="AH128" s="85" t="str">
        <f t="shared" ref="AH128:AH132" si="166">IFERROR(AG128/AG$16,"")</f>
        <v/>
      </c>
      <c r="AI128" s="11"/>
      <c r="AJ128" s="81">
        <f t="shared" ref="AJ128:AJ130" si="167">N128-AG128</f>
        <v>0</v>
      </c>
    </row>
    <row r="129" ht="13.5" customHeight="1">
      <c r="A129" s="83" t="s">
        <v>197</v>
      </c>
      <c r="B129" s="81">
        <v>0.0</v>
      </c>
      <c r="C129" s="81">
        <v>0.0</v>
      </c>
      <c r="D129" s="81">
        <v>0.0</v>
      </c>
      <c r="E129" s="81">
        <v>0.0</v>
      </c>
      <c r="F129" s="81">
        <v>0.0</v>
      </c>
      <c r="G129" s="81">
        <v>0.0</v>
      </c>
      <c r="H129" s="81">
        <v>0.0</v>
      </c>
      <c r="I129" s="81">
        <v>0.0</v>
      </c>
      <c r="J129" s="93">
        <v>0.0</v>
      </c>
      <c r="K129" s="93">
        <v>0.0</v>
      </c>
      <c r="L129" s="93">
        <v>0.0</v>
      </c>
      <c r="M129" s="93">
        <v>0.0</v>
      </c>
      <c r="N129" s="81">
        <f t="shared" si="162"/>
        <v>0</v>
      </c>
      <c r="O129" s="85" t="str">
        <f t="shared" si="163"/>
        <v/>
      </c>
      <c r="P129" s="81"/>
      <c r="Q129" s="81"/>
      <c r="R129" s="86" t="s">
        <v>80</v>
      </c>
      <c r="S129" s="87">
        <v>0.0</v>
      </c>
      <c r="T129" s="88">
        <v>0.05</v>
      </c>
      <c r="U129" s="84">
        <f t="shared" ref="U129:AF129" si="164">IF($R129="Manual","",IFERROR(IF($R129="YOY Growth",$N129*(1+$T129)/12,$S129/12),""))</f>
        <v>0</v>
      </c>
      <c r="V129" s="84">
        <f t="shared" si="164"/>
        <v>0</v>
      </c>
      <c r="W129" s="84">
        <f t="shared" si="164"/>
        <v>0</v>
      </c>
      <c r="X129" s="84">
        <f t="shared" si="164"/>
        <v>0</v>
      </c>
      <c r="Y129" s="84">
        <f t="shared" si="164"/>
        <v>0</v>
      </c>
      <c r="Z129" s="84">
        <f t="shared" si="164"/>
        <v>0</v>
      </c>
      <c r="AA129" s="84">
        <f t="shared" si="164"/>
        <v>0</v>
      </c>
      <c r="AB129" s="84">
        <f t="shared" si="164"/>
        <v>0</v>
      </c>
      <c r="AC129" s="84">
        <f t="shared" si="164"/>
        <v>0</v>
      </c>
      <c r="AD129" s="84">
        <f t="shared" si="164"/>
        <v>0</v>
      </c>
      <c r="AE129" s="84">
        <f t="shared" si="164"/>
        <v>0</v>
      </c>
      <c r="AF129" s="84">
        <f t="shared" si="164"/>
        <v>0</v>
      </c>
      <c r="AG129" s="81">
        <f t="shared" si="165"/>
        <v>0</v>
      </c>
      <c r="AH129" s="85" t="str">
        <f t="shared" si="166"/>
        <v/>
      </c>
      <c r="AI129" s="11"/>
      <c r="AJ129" s="81">
        <f t="shared" si="167"/>
        <v>0</v>
      </c>
    </row>
    <row r="130" ht="13.5" customHeight="1">
      <c r="A130" s="89" t="s">
        <v>198</v>
      </c>
      <c r="B130" s="90">
        <f t="shared" ref="B130:M130" si="168">SUM(B124:B129)</f>
        <v>0</v>
      </c>
      <c r="C130" s="90">
        <f t="shared" si="168"/>
        <v>0</v>
      </c>
      <c r="D130" s="90">
        <f t="shared" si="168"/>
        <v>0</v>
      </c>
      <c r="E130" s="90">
        <f t="shared" si="168"/>
        <v>0</v>
      </c>
      <c r="F130" s="90">
        <f t="shared" si="168"/>
        <v>0</v>
      </c>
      <c r="G130" s="90">
        <f t="shared" si="168"/>
        <v>0</v>
      </c>
      <c r="H130" s="90">
        <f t="shared" si="168"/>
        <v>0</v>
      </c>
      <c r="I130" s="90">
        <f t="shared" si="168"/>
        <v>0</v>
      </c>
      <c r="J130" s="90">
        <f t="shared" si="168"/>
        <v>0</v>
      </c>
      <c r="K130" s="90">
        <f t="shared" si="168"/>
        <v>0</v>
      </c>
      <c r="L130" s="90">
        <f t="shared" si="168"/>
        <v>0</v>
      </c>
      <c r="M130" s="90">
        <f t="shared" si="168"/>
        <v>0</v>
      </c>
      <c r="N130" s="90">
        <f t="shared" si="162"/>
        <v>0</v>
      </c>
      <c r="O130" s="91" t="str">
        <f t="shared" si="163"/>
        <v/>
      </c>
      <c r="P130" s="81"/>
      <c r="Q130" s="81"/>
      <c r="R130" s="92"/>
      <c r="S130" s="92"/>
      <c r="T130" s="92"/>
      <c r="U130" s="90">
        <f t="shared" ref="U130:AF130" si="169">SUM(U124:U129)</f>
        <v>0</v>
      </c>
      <c r="V130" s="90">
        <f t="shared" si="169"/>
        <v>0</v>
      </c>
      <c r="W130" s="90">
        <f t="shared" si="169"/>
        <v>0</v>
      </c>
      <c r="X130" s="90">
        <f t="shared" si="169"/>
        <v>0</v>
      </c>
      <c r="Y130" s="90">
        <f t="shared" si="169"/>
        <v>0</v>
      </c>
      <c r="Z130" s="90">
        <f t="shared" si="169"/>
        <v>0</v>
      </c>
      <c r="AA130" s="90">
        <f t="shared" si="169"/>
        <v>0</v>
      </c>
      <c r="AB130" s="90">
        <f t="shared" si="169"/>
        <v>0</v>
      </c>
      <c r="AC130" s="90">
        <f t="shared" si="169"/>
        <v>0</v>
      </c>
      <c r="AD130" s="90">
        <f t="shared" si="169"/>
        <v>0</v>
      </c>
      <c r="AE130" s="90">
        <f t="shared" si="169"/>
        <v>0</v>
      </c>
      <c r="AF130" s="90">
        <f t="shared" si="169"/>
        <v>0</v>
      </c>
      <c r="AG130" s="90">
        <f t="shared" si="165"/>
        <v>0</v>
      </c>
      <c r="AH130" s="91" t="str">
        <f t="shared" si="166"/>
        <v/>
      </c>
      <c r="AI130" s="11"/>
      <c r="AJ130" s="90">
        <f t="shared" si="167"/>
        <v>0</v>
      </c>
    </row>
    <row r="131" ht="13.5" customHeight="1">
      <c r="A131" s="104" t="s">
        <v>199</v>
      </c>
      <c r="B131" s="90">
        <f t="shared" ref="B131:M131" si="170">B122-B130</f>
        <v>0</v>
      </c>
      <c r="C131" s="90">
        <f t="shared" si="170"/>
        <v>0</v>
      </c>
      <c r="D131" s="90">
        <f t="shared" si="170"/>
        <v>0</v>
      </c>
      <c r="E131" s="90">
        <f t="shared" si="170"/>
        <v>0</v>
      </c>
      <c r="F131" s="90">
        <f t="shared" si="170"/>
        <v>0</v>
      </c>
      <c r="G131" s="90">
        <f t="shared" si="170"/>
        <v>0</v>
      </c>
      <c r="H131" s="90">
        <f t="shared" si="170"/>
        <v>0</v>
      </c>
      <c r="I131" s="90">
        <f t="shared" si="170"/>
        <v>0</v>
      </c>
      <c r="J131" s="90">
        <f t="shared" si="170"/>
        <v>0</v>
      </c>
      <c r="K131" s="90">
        <f t="shared" si="170"/>
        <v>0</v>
      </c>
      <c r="L131" s="90">
        <f t="shared" si="170"/>
        <v>0</v>
      </c>
      <c r="M131" s="90">
        <f t="shared" si="170"/>
        <v>0</v>
      </c>
      <c r="N131" s="90">
        <f t="shared" si="162"/>
        <v>0</v>
      </c>
      <c r="O131" s="91" t="str">
        <f t="shared" si="163"/>
        <v/>
      </c>
      <c r="P131" s="81"/>
      <c r="Q131" s="81"/>
      <c r="R131" s="92"/>
      <c r="S131" s="92"/>
      <c r="T131" s="92"/>
      <c r="U131" s="90">
        <f t="shared" ref="U131:AF131" si="171">U122-U130</f>
        <v>0</v>
      </c>
      <c r="V131" s="90">
        <f t="shared" si="171"/>
        <v>0</v>
      </c>
      <c r="W131" s="90">
        <f t="shared" si="171"/>
        <v>0</v>
      </c>
      <c r="X131" s="90">
        <f t="shared" si="171"/>
        <v>0</v>
      </c>
      <c r="Y131" s="90">
        <f t="shared" si="171"/>
        <v>0</v>
      </c>
      <c r="Z131" s="90">
        <f t="shared" si="171"/>
        <v>0</v>
      </c>
      <c r="AA131" s="90">
        <f t="shared" si="171"/>
        <v>0</v>
      </c>
      <c r="AB131" s="90">
        <f t="shared" si="171"/>
        <v>0</v>
      </c>
      <c r="AC131" s="90">
        <f t="shared" si="171"/>
        <v>0</v>
      </c>
      <c r="AD131" s="90">
        <f t="shared" si="171"/>
        <v>0</v>
      </c>
      <c r="AE131" s="90">
        <f t="shared" si="171"/>
        <v>0</v>
      </c>
      <c r="AF131" s="90">
        <f t="shared" si="171"/>
        <v>0</v>
      </c>
      <c r="AG131" s="90">
        <f t="shared" si="165"/>
        <v>0</v>
      </c>
      <c r="AH131" s="91" t="str">
        <f t="shared" si="166"/>
        <v/>
      </c>
      <c r="AI131" s="11"/>
      <c r="AJ131" s="90">
        <f t="shared" ref="AJ131:AJ132" si="174">AG131-N131</f>
        <v>0</v>
      </c>
    </row>
    <row r="132" ht="13.5" customHeight="1">
      <c r="A132" s="104" t="s">
        <v>200</v>
      </c>
      <c r="B132" s="105">
        <f t="shared" ref="B132:M132" si="172">B117+B131</f>
        <v>-56010.4</v>
      </c>
      <c r="C132" s="105">
        <f t="shared" si="172"/>
        <v>-46181.75</v>
      </c>
      <c r="D132" s="105">
        <f t="shared" si="172"/>
        <v>-83484.13</v>
      </c>
      <c r="E132" s="105">
        <f t="shared" si="172"/>
        <v>-109548.93</v>
      </c>
      <c r="F132" s="105">
        <f t="shared" si="172"/>
        <v>-133089.38</v>
      </c>
      <c r="G132" s="105">
        <f t="shared" si="172"/>
        <v>-138267.06</v>
      </c>
      <c r="H132" s="105">
        <f t="shared" si="172"/>
        <v>-68900.93</v>
      </c>
      <c r="I132" s="105">
        <f t="shared" si="172"/>
        <v>-79794.05</v>
      </c>
      <c r="J132" s="105">
        <f t="shared" si="172"/>
        <v>-134139</v>
      </c>
      <c r="K132" s="105">
        <f t="shared" si="172"/>
        <v>-155033</v>
      </c>
      <c r="L132" s="105">
        <f t="shared" si="172"/>
        <v>-156273</v>
      </c>
      <c r="M132" s="105">
        <f t="shared" si="172"/>
        <v>-151073</v>
      </c>
      <c r="N132" s="105">
        <f t="shared" si="162"/>
        <v>-1311794.63</v>
      </c>
      <c r="O132" s="106" t="str">
        <f t="shared" si="163"/>
        <v/>
      </c>
      <c r="P132" s="81"/>
      <c r="Q132" s="81"/>
      <c r="R132" s="92"/>
      <c r="S132" s="92"/>
      <c r="T132" s="92"/>
      <c r="U132" s="105">
        <f t="shared" ref="U132:AF132" si="173">U117+U131</f>
        <v>-92830.33524</v>
      </c>
      <c r="V132" s="105">
        <f t="shared" si="173"/>
        <v>-86639.03365</v>
      </c>
      <c r="W132" s="105">
        <f t="shared" si="173"/>
        <v>-74256.43048</v>
      </c>
      <c r="X132" s="105">
        <f t="shared" si="173"/>
        <v>-103479.374</v>
      </c>
      <c r="Y132" s="105">
        <f t="shared" si="173"/>
        <v>-97288.07238</v>
      </c>
      <c r="Z132" s="105">
        <f t="shared" si="173"/>
        <v>-107937.1111</v>
      </c>
      <c r="AA132" s="105">
        <f t="shared" si="173"/>
        <v>-103479.374</v>
      </c>
      <c r="AB132" s="105">
        <f t="shared" si="173"/>
        <v>-116344.0089</v>
      </c>
      <c r="AC132" s="105">
        <f t="shared" si="173"/>
        <v>-126993.0476</v>
      </c>
      <c r="AD132" s="105">
        <f t="shared" si="173"/>
        <v>-129289.7143</v>
      </c>
      <c r="AE132" s="105">
        <f t="shared" si="173"/>
        <v>-139938.753</v>
      </c>
      <c r="AF132" s="105">
        <f t="shared" si="173"/>
        <v>-141672.3175</v>
      </c>
      <c r="AG132" s="105">
        <f t="shared" si="165"/>
        <v>-1320147.572</v>
      </c>
      <c r="AH132" s="106" t="str">
        <f t="shared" si="166"/>
        <v/>
      </c>
      <c r="AI132" s="11"/>
      <c r="AJ132" s="105">
        <f t="shared" si="174"/>
        <v>-8352.942139</v>
      </c>
    </row>
    <row r="133" ht="13.5" customHeight="1">
      <c r="A133" s="11"/>
      <c r="B133" s="107"/>
      <c r="C133" s="107"/>
      <c r="D133" s="107"/>
      <c r="E133" s="107"/>
      <c r="F133" s="107"/>
      <c r="G133" s="107"/>
      <c r="H133" s="107"/>
      <c r="I133" s="107"/>
      <c r="J133" s="107"/>
      <c r="K133" s="107"/>
      <c r="L133" s="107"/>
      <c r="M133" s="107"/>
      <c r="N133" s="107"/>
      <c r="O133" s="107"/>
      <c r="P133" s="107"/>
      <c r="Q133" s="107"/>
      <c r="R133" s="92"/>
      <c r="S133" s="92"/>
      <c r="T133" s="92"/>
      <c r="U133" s="107"/>
      <c r="V133" s="107"/>
      <c r="W133" s="107"/>
      <c r="X133" s="107"/>
      <c r="Y133" s="107"/>
      <c r="Z133" s="107"/>
      <c r="AA133" s="107"/>
      <c r="AB133" s="107"/>
      <c r="AC133" s="107"/>
      <c r="AD133" s="107"/>
      <c r="AE133" s="107"/>
      <c r="AF133" s="107"/>
      <c r="AG133" s="85"/>
      <c r="AH133" s="81"/>
      <c r="AI133" s="11"/>
      <c r="AJ133" s="11"/>
    </row>
    <row r="134" ht="13.5" customHeight="1">
      <c r="A134" s="11"/>
      <c r="B134" s="81"/>
      <c r="C134" s="81"/>
      <c r="D134" s="81"/>
      <c r="E134" s="81"/>
      <c r="F134" s="81"/>
      <c r="G134" s="81"/>
      <c r="H134" s="81"/>
      <c r="I134" s="81"/>
      <c r="J134" s="81"/>
      <c r="K134" s="81"/>
      <c r="L134" s="81"/>
      <c r="M134" s="81"/>
      <c r="N134" s="81"/>
      <c r="O134" s="85"/>
      <c r="P134" s="81"/>
      <c r="Q134" s="81"/>
      <c r="R134" s="92"/>
      <c r="S134" s="92"/>
      <c r="T134" s="92"/>
      <c r="U134" s="81"/>
      <c r="V134" s="81"/>
      <c r="W134" s="81"/>
      <c r="X134" s="81"/>
      <c r="Y134" s="81"/>
      <c r="Z134" s="81"/>
      <c r="AA134" s="81"/>
      <c r="AB134" s="81"/>
      <c r="AC134" s="81"/>
      <c r="AD134" s="81"/>
      <c r="AE134" s="81"/>
      <c r="AF134" s="81"/>
      <c r="AG134" s="81"/>
      <c r="AH134" s="81"/>
      <c r="AI134" s="11"/>
      <c r="AJ134" s="11"/>
    </row>
    <row r="135" ht="13.5" customHeight="1">
      <c r="A135" s="11"/>
      <c r="B135" s="81"/>
      <c r="C135" s="81"/>
      <c r="D135" s="81"/>
      <c r="E135" s="81"/>
      <c r="F135" s="81"/>
      <c r="G135" s="81"/>
      <c r="H135" s="81"/>
      <c r="I135" s="81"/>
      <c r="J135" s="81"/>
      <c r="K135" s="81"/>
      <c r="L135" s="81"/>
      <c r="M135" s="81"/>
      <c r="N135" s="81"/>
      <c r="O135" s="85"/>
      <c r="P135" s="81"/>
      <c r="Q135" s="81"/>
      <c r="R135" s="92"/>
      <c r="S135" s="92"/>
      <c r="T135" s="92"/>
      <c r="U135" s="81"/>
      <c r="V135" s="81"/>
      <c r="W135" s="81"/>
      <c r="X135" s="81"/>
      <c r="Y135" s="81"/>
      <c r="Z135" s="81"/>
      <c r="AA135" s="81"/>
      <c r="AB135" s="81"/>
      <c r="AC135" s="81"/>
      <c r="AD135" s="81"/>
      <c r="AE135" s="81"/>
      <c r="AF135" s="81"/>
      <c r="AG135" s="81"/>
      <c r="AH135" s="81"/>
      <c r="AI135" s="11"/>
      <c r="AJ135" s="11"/>
    </row>
    <row r="136" ht="13.5" customHeight="1">
      <c r="A136" s="11"/>
      <c r="B136" s="81"/>
      <c r="C136" s="81"/>
      <c r="D136" s="81"/>
      <c r="E136" s="81"/>
      <c r="F136" s="81"/>
      <c r="G136" s="81"/>
      <c r="H136" s="81"/>
      <c r="I136" s="81"/>
      <c r="J136" s="81"/>
      <c r="K136" s="81"/>
      <c r="L136" s="81"/>
      <c r="M136" s="81"/>
      <c r="N136" s="81"/>
      <c r="O136" s="85"/>
      <c r="P136" s="81"/>
      <c r="Q136" s="81"/>
      <c r="R136" s="92"/>
      <c r="S136" s="92"/>
      <c r="T136" s="92"/>
      <c r="U136" s="81"/>
      <c r="V136" s="81"/>
      <c r="W136" s="81"/>
      <c r="X136" s="81"/>
      <c r="Y136" s="81"/>
      <c r="Z136" s="81"/>
      <c r="AA136" s="81"/>
      <c r="AB136" s="81"/>
      <c r="AC136" s="81"/>
      <c r="AD136" s="81"/>
      <c r="AE136" s="81"/>
      <c r="AF136" s="81"/>
      <c r="AG136" s="81"/>
      <c r="AH136" s="81"/>
      <c r="AI136" s="11"/>
      <c r="AJ136" s="11"/>
    </row>
    <row r="137" ht="13.5" customHeight="1">
      <c r="A137" s="83" t="s">
        <v>201</v>
      </c>
      <c r="B137" s="81">
        <f t="shared" ref="B137:N137" si="175">SUMIF($A$9:$A$132,"*"&amp;$A137&amp;"*",B$9:B$132)</f>
        <v>38333.32</v>
      </c>
      <c r="C137" s="81">
        <f t="shared" si="175"/>
        <v>27897.23</v>
      </c>
      <c r="D137" s="81">
        <f t="shared" si="175"/>
        <v>38333.32</v>
      </c>
      <c r="E137" s="81">
        <f t="shared" si="175"/>
        <v>48324.65</v>
      </c>
      <c r="F137" s="81">
        <f t="shared" si="175"/>
        <v>69698.22</v>
      </c>
      <c r="G137" s="81">
        <f t="shared" si="175"/>
        <v>57128.18</v>
      </c>
      <c r="H137" s="81">
        <f t="shared" si="175"/>
        <v>57596.54</v>
      </c>
      <c r="I137" s="81">
        <f t="shared" si="175"/>
        <v>62503.19</v>
      </c>
      <c r="J137" s="81">
        <f t="shared" si="175"/>
        <v>97900</v>
      </c>
      <c r="K137" s="81">
        <f t="shared" si="175"/>
        <v>116100</v>
      </c>
      <c r="L137" s="81">
        <f t="shared" si="175"/>
        <v>118400</v>
      </c>
      <c r="M137" s="81">
        <f t="shared" si="175"/>
        <v>118400</v>
      </c>
      <c r="N137" s="81">
        <f t="shared" si="175"/>
        <v>850614.65</v>
      </c>
      <c r="O137" s="85"/>
      <c r="P137" s="11"/>
      <c r="Q137" s="11"/>
      <c r="R137" s="92"/>
      <c r="S137" s="92"/>
      <c r="T137" s="92"/>
      <c r="U137" s="81">
        <f t="shared" ref="U137:AG137" si="176">SUMIF($A$9:$A$132,"*"&amp;$A137&amp;"*",U$9:U$132)</f>
        <v>56722.58333</v>
      </c>
      <c r="V137" s="81">
        <f t="shared" si="176"/>
        <v>56722.58333</v>
      </c>
      <c r="W137" s="81">
        <f t="shared" si="176"/>
        <v>56722.58333</v>
      </c>
      <c r="X137" s="81">
        <f t="shared" si="176"/>
        <v>56722.58333</v>
      </c>
      <c r="Y137" s="81">
        <f t="shared" si="176"/>
        <v>56722.58333</v>
      </c>
      <c r="Z137" s="81">
        <f t="shared" si="176"/>
        <v>56722.58333</v>
      </c>
      <c r="AA137" s="81">
        <f t="shared" si="176"/>
        <v>56722.58333</v>
      </c>
      <c r="AB137" s="81">
        <f t="shared" si="176"/>
        <v>62139.25</v>
      </c>
      <c r="AC137" s="81">
        <f t="shared" si="176"/>
        <v>62139.25</v>
      </c>
      <c r="AD137" s="81">
        <f t="shared" si="176"/>
        <v>64003.4275</v>
      </c>
      <c r="AE137" s="81">
        <f t="shared" si="176"/>
        <v>64003.4275</v>
      </c>
      <c r="AF137" s="81">
        <f t="shared" si="176"/>
        <v>64003.4275</v>
      </c>
      <c r="AG137" s="81">
        <f t="shared" si="176"/>
        <v>713346.8658</v>
      </c>
      <c r="AH137" s="85"/>
      <c r="AI137" s="11"/>
      <c r="AJ137" s="81"/>
    </row>
    <row r="138" ht="13.5" customHeight="1">
      <c r="A138" s="83" t="s">
        <v>202</v>
      </c>
      <c r="B138" s="81">
        <f t="shared" ref="B138:N138" si="177">SUMIF($A$9:$A$132,"*"&amp;$A138&amp;"*",B$9:B$132)</f>
        <v>0</v>
      </c>
      <c r="C138" s="81">
        <f t="shared" si="177"/>
        <v>0</v>
      </c>
      <c r="D138" s="81">
        <f t="shared" si="177"/>
        <v>0</v>
      </c>
      <c r="E138" s="81">
        <f t="shared" si="177"/>
        <v>0</v>
      </c>
      <c r="F138" s="81">
        <f t="shared" si="177"/>
        <v>0</v>
      </c>
      <c r="G138" s="81">
        <f t="shared" si="177"/>
        <v>0</v>
      </c>
      <c r="H138" s="81">
        <f t="shared" si="177"/>
        <v>0</v>
      </c>
      <c r="I138" s="81">
        <f t="shared" si="177"/>
        <v>0</v>
      </c>
      <c r="J138" s="81">
        <f t="shared" si="177"/>
        <v>0</v>
      </c>
      <c r="K138" s="81">
        <f t="shared" si="177"/>
        <v>0</v>
      </c>
      <c r="L138" s="81">
        <f t="shared" si="177"/>
        <v>0</v>
      </c>
      <c r="M138" s="81">
        <f t="shared" si="177"/>
        <v>0</v>
      </c>
      <c r="N138" s="81">
        <f t="shared" si="177"/>
        <v>0</v>
      </c>
      <c r="O138" s="81"/>
      <c r="P138" s="81"/>
      <c r="Q138" s="81"/>
      <c r="R138" s="92"/>
      <c r="S138" s="92"/>
      <c r="T138" s="92"/>
      <c r="U138" s="81">
        <f t="shared" ref="U138:AG138" si="178">SUMIF($A$9:$A$132,"*"&amp;$A138&amp;"*",U$9:U$132)</f>
        <v>0</v>
      </c>
      <c r="V138" s="81">
        <f t="shared" si="178"/>
        <v>0</v>
      </c>
      <c r="W138" s="81">
        <f t="shared" si="178"/>
        <v>0</v>
      </c>
      <c r="X138" s="81">
        <f t="shared" si="178"/>
        <v>0</v>
      </c>
      <c r="Y138" s="81">
        <f t="shared" si="178"/>
        <v>0</v>
      </c>
      <c r="Z138" s="81">
        <f t="shared" si="178"/>
        <v>0</v>
      </c>
      <c r="AA138" s="81">
        <f t="shared" si="178"/>
        <v>0</v>
      </c>
      <c r="AB138" s="81">
        <f t="shared" si="178"/>
        <v>0</v>
      </c>
      <c r="AC138" s="81">
        <f t="shared" si="178"/>
        <v>0</v>
      </c>
      <c r="AD138" s="81">
        <f t="shared" si="178"/>
        <v>0</v>
      </c>
      <c r="AE138" s="81">
        <f t="shared" si="178"/>
        <v>0</v>
      </c>
      <c r="AF138" s="81">
        <f t="shared" si="178"/>
        <v>0</v>
      </c>
      <c r="AG138" s="81">
        <f t="shared" si="178"/>
        <v>0</v>
      </c>
      <c r="AH138" s="81"/>
      <c r="AI138" s="11"/>
      <c r="AJ138" s="11"/>
    </row>
    <row r="139" ht="13.5" customHeight="1">
      <c r="A139" s="83" t="s">
        <v>203</v>
      </c>
      <c r="B139" s="81">
        <f t="shared" ref="B139:N139" si="179">SUMIF($A$9:$A$132,"*"&amp;$A139&amp;"*",B$9:B$132)</f>
        <v>2025.41</v>
      </c>
      <c r="C139" s="81">
        <f t="shared" si="179"/>
        <v>6652.05</v>
      </c>
      <c r="D139" s="81">
        <f t="shared" si="179"/>
        <v>1617.41</v>
      </c>
      <c r="E139" s="81">
        <f t="shared" si="179"/>
        <v>1966.43</v>
      </c>
      <c r="F139" s="81">
        <f t="shared" si="179"/>
        <v>2481.03</v>
      </c>
      <c r="G139" s="81">
        <f t="shared" si="179"/>
        <v>1978.27</v>
      </c>
      <c r="H139" s="81">
        <f t="shared" si="179"/>
        <v>1940.51</v>
      </c>
      <c r="I139" s="81">
        <f t="shared" si="179"/>
        <v>3746.33</v>
      </c>
      <c r="J139" s="81">
        <f t="shared" si="179"/>
        <v>3916</v>
      </c>
      <c r="K139" s="81">
        <f t="shared" si="179"/>
        <v>4644</v>
      </c>
      <c r="L139" s="81">
        <f t="shared" si="179"/>
        <v>4736</v>
      </c>
      <c r="M139" s="81">
        <f t="shared" si="179"/>
        <v>4736</v>
      </c>
      <c r="N139" s="81">
        <f t="shared" si="179"/>
        <v>40439.44</v>
      </c>
      <c r="O139" s="81"/>
      <c r="P139" s="81"/>
      <c r="Q139" s="81"/>
      <c r="R139" s="92"/>
      <c r="S139" s="92"/>
      <c r="T139" s="92"/>
      <c r="U139" s="81">
        <f t="shared" ref="U139:AG139" si="180">SUMIF($A$9:$A$132,"*"&amp;$A139&amp;"*",U$9:U$132)</f>
        <v>3857.135667</v>
      </c>
      <c r="V139" s="81">
        <f t="shared" si="180"/>
        <v>3857.135667</v>
      </c>
      <c r="W139" s="81">
        <f t="shared" si="180"/>
        <v>3857.135667</v>
      </c>
      <c r="X139" s="81">
        <f t="shared" si="180"/>
        <v>3857.135667</v>
      </c>
      <c r="Y139" s="81">
        <f t="shared" si="180"/>
        <v>3857.135667</v>
      </c>
      <c r="Z139" s="81">
        <f t="shared" si="180"/>
        <v>3857.135667</v>
      </c>
      <c r="AA139" s="81">
        <f t="shared" si="180"/>
        <v>3857.135667</v>
      </c>
      <c r="AB139" s="81">
        <f t="shared" si="180"/>
        <v>4225.469</v>
      </c>
      <c r="AC139" s="81">
        <f t="shared" si="180"/>
        <v>4225.469</v>
      </c>
      <c r="AD139" s="81">
        <f t="shared" si="180"/>
        <v>4352.23307</v>
      </c>
      <c r="AE139" s="81">
        <f t="shared" si="180"/>
        <v>4352.23307</v>
      </c>
      <c r="AF139" s="81">
        <f t="shared" si="180"/>
        <v>4352.23307</v>
      </c>
      <c r="AG139" s="81">
        <f t="shared" si="180"/>
        <v>48507.58688</v>
      </c>
      <c r="AH139" s="81"/>
      <c r="AI139" s="11"/>
      <c r="AJ139" s="81"/>
    </row>
    <row r="140" ht="13.5" customHeight="1">
      <c r="A140" s="83" t="s">
        <v>204</v>
      </c>
      <c r="B140" s="81">
        <f t="shared" ref="B140:N140" si="181">SUMIF($A$9:$A$132,"*"&amp;$A140&amp;"*",B$9:B$132)</f>
        <v>2047.73</v>
      </c>
      <c r="C140" s="81">
        <f t="shared" si="181"/>
        <v>5252.34</v>
      </c>
      <c r="D140" s="81">
        <f t="shared" si="181"/>
        <v>3981.87</v>
      </c>
      <c r="E140" s="81">
        <f t="shared" si="181"/>
        <v>4255.59</v>
      </c>
      <c r="F140" s="81">
        <f t="shared" si="181"/>
        <v>4157.09</v>
      </c>
      <c r="G140" s="81">
        <f t="shared" si="181"/>
        <v>4325.33</v>
      </c>
      <c r="H140" s="81">
        <f t="shared" si="181"/>
        <v>3959.5</v>
      </c>
      <c r="I140" s="81">
        <f t="shared" si="181"/>
        <v>3814.97</v>
      </c>
      <c r="J140" s="81">
        <f t="shared" si="181"/>
        <v>10573</v>
      </c>
      <c r="K140" s="81">
        <f t="shared" si="181"/>
        <v>12539</v>
      </c>
      <c r="L140" s="81">
        <f t="shared" si="181"/>
        <v>12787</v>
      </c>
      <c r="M140" s="81">
        <f t="shared" si="181"/>
        <v>12787</v>
      </c>
      <c r="N140" s="81">
        <f t="shared" si="181"/>
        <v>80480.42</v>
      </c>
      <c r="O140" s="81"/>
      <c r="P140" s="81"/>
      <c r="Q140" s="81"/>
      <c r="R140" s="92"/>
      <c r="S140" s="92"/>
      <c r="T140" s="92"/>
      <c r="U140" s="81">
        <f t="shared" ref="U140:AG140" si="182">SUMIF($A$9:$A$132,"*"&amp;$A140&amp;"*",U$9:U$132)</f>
        <v>9302.503667</v>
      </c>
      <c r="V140" s="81">
        <f t="shared" si="182"/>
        <v>9302.503667</v>
      </c>
      <c r="W140" s="81">
        <f t="shared" si="182"/>
        <v>9302.503667</v>
      </c>
      <c r="X140" s="81">
        <f t="shared" si="182"/>
        <v>9302.503667</v>
      </c>
      <c r="Y140" s="81">
        <f t="shared" si="182"/>
        <v>9302.503667</v>
      </c>
      <c r="Z140" s="81">
        <f t="shared" si="182"/>
        <v>9302.503667</v>
      </c>
      <c r="AA140" s="81">
        <f t="shared" si="182"/>
        <v>9302.503667</v>
      </c>
      <c r="AB140" s="81">
        <f t="shared" si="182"/>
        <v>10190.837</v>
      </c>
      <c r="AC140" s="81">
        <f t="shared" si="182"/>
        <v>10190.837</v>
      </c>
      <c r="AD140" s="81">
        <f t="shared" si="182"/>
        <v>10496.56211</v>
      </c>
      <c r="AE140" s="81">
        <f t="shared" si="182"/>
        <v>10496.56211</v>
      </c>
      <c r="AF140" s="81">
        <f t="shared" si="182"/>
        <v>10496.56211</v>
      </c>
      <c r="AG140" s="81">
        <f t="shared" si="182"/>
        <v>116988.886</v>
      </c>
      <c r="AH140" s="81"/>
      <c r="AI140" s="11"/>
      <c r="AJ140" s="81"/>
    </row>
    <row r="141" ht="13.5" customHeight="1">
      <c r="A141" s="11"/>
      <c r="B141" s="81"/>
      <c r="C141" s="81"/>
      <c r="D141" s="81"/>
      <c r="E141" s="81"/>
      <c r="F141" s="81"/>
      <c r="G141" s="81"/>
      <c r="H141" s="81"/>
      <c r="I141" s="81"/>
      <c r="J141" s="81"/>
      <c r="K141" s="81"/>
      <c r="L141" s="81"/>
      <c r="M141" s="81"/>
      <c r="N141" s="81"/>
      <c r="O141" s="81"/>
      <c r="P141" s="81"/>
      <c r="Q141" s="81"/>
      <c r="R141" s="92"/>
      <c r="S141" s="92"/>
      <c r="T141" s="92"/>
      <c r="U141" s="81"/>
      <c r="V141" s="81"/>
      <c r="W141" s="81"/>
      <c r="X141" s="81"/>
      <c r="Y141" s="81"/>
      <c r="Z141" s="81"/>
      <c r="AA141" s="81"/>
      <c r="AB141" s="81"/>
      <c r="AC141" s="81"/>
      <c r="AD141" s="81"/>
      <c r="AE141" s="81"/>
      <c r="AF141" s="81"/>
      <c r="AG141" s="81"/>
      <c r="AH141" s="81"/>
      <c r="AI141" s="11"/>
      <c r="AJ141" s="81"/>
    </row>
    <row r="142" ht="13.5" customHeight="1">
      <c r="A142" s="11" t="s">
        <v>205</v>
      </c>
      <c r="B142" s="85">
        <f t="shared" ref="B142:N142" si="183">IFERROR(SUM(B139:B140)/SUM(B137:B138),"")</f>
        <v>0.106255863</v>
      </c>
      <c r="C142" s="85">
        <f t="shared" si="183"/>
        <v>0.4267230116</v>
      </c>
      <c r="D142" s="85">
        <f t="shared" si="183"/>
        <v>0.1460682247</v>
      </c>
      <c r="E142" s="85">
        <f t="shared" si="183"/>
        <v>0.1287545797</v>
      </c>
      <c r="F142" s="85">
        <f t="shared" si="183"/>
        <v>0.09524088277</v>
      </c>
      <c r="G142" s="85">
        <f t="shared" si="183"/>
        <v>0.1103413412</v>
      </c>
      <c r="H142" s="85">
        <f t="shared" si="183"/>
        <v>0.1024368825</v>
      </c>
      <c r="I142" s="85">
        <f t="shared" si="183"/>
        <v>0.1209746255</v>
      </c>
      <c r="J142" s="85">
        <f t="shared" si="183"/>
        <v>0.1479979571</v>
      </c>
      <c r="K142" s="85">
        <f t="shared" si="183"/>
        <v>0.1480017227</v>
      </c>
      <c r="L142" s="85">
        <f t="shared" si="183"/>
        <v>0.1479983108</v>
      </c>
      <c r="M142" s="85">
        <f t="shared" si="183"/>
        <v>0.1479983108</v>
      </c>
      <c r="N142" s="85">
        <f t="shared" si="183"/>
        <v>0.1421558634</v>
      </c>
      <c r="O142" s="85"/>
      <c r="P142" s="85"/>
      <c r="Q142" s="85"/>
      <c r="R142" s="92"/>
      <c r="S142" s="92"/>
      <c r="T142" s="92"/>
      <c r="U142" s="85">
        <f t="shared" ref="U142:AG142" si="184">IFERROR(SUM(U139:U140)/SUM(U137:U138),"")</f>
        <v>0.232</v>
      </c>
      <c r="V142" s="85">
        <f t="shared" si="184"/>
        <v>0.232</v>
      </c>
      <c r="W142" s="85">
        <f t="shared" si="184"/>
        <v>0.232</v>
      </c>
      <c r="X142" s="85">
        <f t="shared" si="184"/>
        <v>0.232</v>
      </c>
      <c r="Y142" s="85">
        <f t="shared" si="184"/>
        <v>0.232</v>
      </c>
      <c r="Z142" s="85">
        <f t="shared" si="184"/>
        <v>0.232</v>
      </c>
      <c r="AA142" s="85">
        <f t="shared" si="184"/>
        <v>0.232</v>
      </c>
      <c r="AB142" s="85">
        <f t="shared" si="184"/>
        <v>0.232</v>
      </c>
      <c r="AC142" s="85">
        <f t="shared" si="184"/>
        <v>0.232</v>
      </c>
      <c r="AD142" s="85">
        <f t="shared" si="184"/>
        <v>0.232</v>
      </c>
      <c r="AE142" s="85">
        <f t="shared" si="184"/>
        <v>0.232</v>
      </c>
      <c r="AF142" s="85">
        <f t="shared" si="184"/>
        <v>0.232</v>
      </c>
      <c r="AG142" s="85">
        <f t="shared" si="184"/>
        <v>0.232</v>
      </c>
      <c r="AH142" s="85"/>
      <c r="AI142" s="85"/>
      <c r="AJ142" s="85"/>
    </row>
    <row r="143" ht="13.5" customHeight="1">
      <c r="A143" s="11"/>
      <c r="B143" s="81"/>
      <c r="C143" s="81"/>
      <c r="D143" s="81"/>
      <c r="E143" s="81"/>
      <c r="F143" s="81"/>
      <c r="G143" s="81"/>
      <c r="H143" s="81"/>
      <c r="I143" s="81"/>
      <c r="J143" s="81"/>
      <c r="K143" s="81"/>
      <c r="L143" s="81"/>
      <c r="M143" s="81"/>
      <c r="N143" s="81"/>
      <c r="O143" s="85"/>
      <c r="P143" s="81"/>
      <c r="Q143" s="81"/>
      <c r="R143" s="92"/>
      <c r="S143" s="92"/>
      <c r="T143" s="92"/>
      <c r="U143" s="81"/>
      <c r="V143" s="81"/>
      <c r="W143" s="81"/>
      <c r="X143" s="81"/>
      <c r="Y143" s="81"/>
      <c r="Z143" s="81"/>
      <c r="AA143" s="81"/>
      <c r="AB143" s="81"/>
      <c r="AC143" s="81"/>
      <c r="AD143" s="81"/>
      <c r="AE143" s="81"/>
      <c r="AF143" s="81"/>
      <c r="AG143" s="81"/>
      <c r="AH143" s="81"/>
      <c r="AI143" s="81"/>
      <c r="AJ143" s="11"/>
    </row>
    <row r="144" ht="13.5" customHeight="1">
      <c r="A144" s="11"/>
      <c r="B144" s="81"/>
      <c r="C144" s="81"/>
      <c r="D144" s="81"/>
      <c r="E144" s="81"/>
      <c r="F144" s="81"/>
      <c r="G144" s="81"/>
      <c r="H144" s="81"/>
      <c r="I144" s="81"/>
      <c r="J144" s="81"/>
      <c r="K144" s="81"/>
      <c r="L144" s="81"/>
      <c r="M144" s="81"/>
      <c r="N144" s="81"/>
      <c r="O144" s="85"/>
      <c r="P144" s="81"/>
      <c r="Q144" s="81"/>
      <c r="R144" s="92"/>
      <c r="S144" s="92"/>
      <c r="T144" s="92"/>
      <c r="U144" s="81"/>
      <c r="V144" s="81"/>
      <c r="W144" s="81"/>
      <c r="X144" s="81"/>
      <c r="Y144" s="81"/>
      <c r="Z144" s="81"/>
      <c r="AA144" s="81"/>
      <c r="AB144" s="81"/>
      <c r="AC144" s="81"/>
      <c r="AD144" s="81"/>
      <c r="AE144" s="81"/>
      <c r="AF144" s="81"/>
      <c r="AG144" s="81"/>
      <c r="AH144" s="81"/>
      <c r="AI144" s="11"/>
      <c r="AJ144" s="11"/>
    </row>
    <row r="145" ht="13.5" customHeight="1">
      <c r="A145" s="11"/>
      <c r="B145" s="11"/>
      <c r="C145" s="11"/>
      <c r="D145" s="11"/>
      <c r="E145" s="11"/>
      <c r="F145" s="11"/>
      <c r="G145" s="11"/>
      <c r="H145" s="11"/>
      <c r="I145" s="11"/>
      <c r="J145" s="11"/>
      <c r="K145" s="11"/>
      <c r="L145" s="11"/>
      <c r="M145" s="11"/>
      <c r="N145" s="11"/>
      <c r="O145" s="85"/>
      <c r="P145" s="11"/>
      <c r="Q145" s="11"/>
      <c r="R145" s="108"/>
      <c r="S145" s="108"/>
      <c r="T145" s="108"/>
      <c r="U145" s="11"/>
      <c r="V145" s="11"/>
      <c r="W145" s="11"/>
      <c r="X145" s="11"/>
      <c r="Y145" s="11"/>
      <c r="Z145" s="11"/>
      <c r="AA145" s="11"/>
      <c r="AB145" s="11"/>
      <c r="AC145" s="11"/>
      <c r="AD145" s="11"/>
      <c r="AE145" s="11"/>
      <c r="AF145" s="11"/>
      <c r="AG145" s="11"/>
      <c r="AH145" s="11"/>
      <c r="AI145" s="11"/>
      <c r="AJ145" s="11"/>
    </row>
    <row r="146" ht="13.5" customHeight="1">
      <c r="A146" s="11"/>
      <c r="B146" s="11"/>
      <c r="C146" s="11"/>
      <c r="D146" s="11"/>
      <c r="E146" s="11"/>
      <c r="F146" s="11"/>
      <c r="G146" s="11"/>
      <c r="H146" s="11"/>
      <c r="I146" s="11"/>
      <c r="J146" s="11"/>
      <c r="K146" s="11"/>
      <c r="L146" s="11"/>
      <c r="M146" s="11"/>
      <c r="N146" s="11"/>
      <c r="O146" s="85"/>
      <c r="P146" s="11"/>
      <c r="Q146" s="11"/>
      <c r="R146" s="108"/>
      <c r="S146" s="108"/>
      <c r="T146" s="108"/>
      <c r="U146" s="11"/>
      <c r="V146" s="11"/>
      <c r="W146" s="11"/>
      <c r="X146" s="11"/>
      <c r="Y146" s="11"/>
      <c r="Z146" s="11"/>
      <c r="AA146" s="11"/>
      <c r="AB146" s="11"/>
      <c r="AC146" s="11"/>
      <c r="AD146" s="11"/>
      <c r="AE146" s="11"/>
      <c r="AF146" s="11"/>
      <c r="AG146" s="11"/>
      <c r="AH146" s="11"/>
      <c r="AI146" s="11"/>
      <c r="AJ146" s="11"/>
    </row>
    <row r="147" ht="13.5" customHeight="1">
      <c r="A147" s="11"/>
      <c r="B147" s="11"/>
      <c r="C147" s="11"/>
      <c r="D147" s="11"/>
      <c r="E147" s="11"/>
      <c r="F147" s="11"/>
      <c r="G147" s="11"/>
      <c r="H147" s="11"/>
      <c r="I147" s="11"/>
      <c r="J147" s="11"/>
      <c r="K147" s="11"/>
      <c r="L147" s="11"/>
      <c r="M147" s="11"/>
      <c r="N147" s="11"/>
      <c r="O147" s="85"/>
      <c r="P147" s="11"/>
      <c r="Q147" s="11"/>
      <c r="R147" s="108"/>
      <c r="S147" s="108"/>
      <c r="T147" s="108"/>
      <c r="U147" s="11"/>
      <c r="V147" s="11"/>
      <c r="W147" s="11"/>
      <c r="X147" s="11"/>
      <c r="Y147" s="11"/>
      <c r="Z147" s="11"/>
      <c r="AA147" s="11"/>
      <c r="AB147" s="11"/>
      <c r="AC147" s="11"/>
      <c r="AD147" s="11"/>
      <c r="AE147" s="11"/>
      <c r="AF147" s="11"/>
      <c r="AG147" s="11"/>
      <c r="AH147" s="11"/>
      <c r="AI147" s="11"/>
      <c r="AJ147" s="11"/>
    </row>
    <row r="148" ht="13.5" customHeight="1">
      <c r="A148" s="11"/>
      <c r="B148" s="11"/>
      <c r="C148" s="11"/>
      <c r="D148" s="11"/>
      <c r="E148" s="11"/>
      <c r="F148" s="11"/>
      <c r="G148" s="11"/>
      <c r="H148" s="11"/>
      <c r="I148" s="11"/>
      <c r="J148" s="11"/>
      <c r="K148" s="11"/>
      <c r="L148" s="11"/>
      <c r="M148" s="11"/>
      <c r="N148" s="11"/>
      <c r="O148" s="85"/>
      <c r="P148" s="11"/>
      <c r="Q148" s="11"/>
      <c r="R148" s="108"/>
      <c r="S148" s="108"/>
      <c r="T148" s="108"/>
      <c r="U148" s="11"/>
      <c r="V148" s="11"/>
      <c r="W148" s="11"/>
      <c r="X148" s="11"/>
      <c r="Y148" s="11"/>
      <c r="Z148" s="11"/>
      <c r="AA148" s="11"/>
      <c r="AB148" s="11"/>
      <c r="AC148" s="11"/>
      <c r="AD148" s="11"/>
      <c r="AE148" s="11"/>
      <c r="AF148" s="11"/>
      <c r="AG148" s="11"/>
      <c r="AH148" s="11"/>
      <c r="AI148" s="11"/>
      <c r="AJ148" s="11"/>
    </row>
    <row r="149" ht="13.5" customHeight="1">
      <c r="A149" s="11"/>
      <c r="B149" s="11"/>
      <c r="C149" s="11"/>
      <c r="D149" s="11"/>
      <c r="E149" s="11"/>
      <c r="F149" s="11"/>
      <c r="G149" s="11"/>
      <c r="H149" s="11"/>
      <c r="I149" s="11"/>
      <c r="J149" s="11"/>
      <c r="K149" s="11"/>
      <c r="L149" s="11"/>
      <c r="M149" s="11"/>
      <c r="N149" s="11"/>
      <c r="O149" s="85"/>
      <c r="P149" s="11"/>
      <c r="Q149" s="11"/>
      <c r="R149" s="108"/>
      <c r="S149" s="108"/>
      <c r="T149" s="108"/>
      <c r="U149" s="11"/>
      <c r="V149" s="11"/>
      <c r="W149" s="11"/>
      <c r="X149" s="11"/>
      <c r="Y149" s="11"/>
      <c r="Z149" s="11"/>
      <c r="AA149" s="11"/>
      <c r="AB149" s="11"/>
      <c r="AC149" s="11"/>
      <c r="AD149" s="11"/>
      <c r="AE149" s="11"/>
      <c r="AF149" s="11"/>
      <c r="AG149" s="11"/>
      <c r="AH149" s="11"/>
      <c r="AI149" s="11"/>
      <c r="AJ149" s="11"/>
    </row>
    <row r="150" ht="13.5" customHeight="1">
      <c r="A150" s="11"/>
      <c r="B150" s="11"/>
      <c r="C150" s="11"/>
      <c r="D150" s="11"/>
      <c r="E150" s="11"/>
      <c r="F150" s="11"/>
      <c r="G150" s="11"/>
      <c r="H150" s="11"/>
      <c r="I150" s="11"/>
      <c r="J150" s="11"/>
      <c r="K150" s="11"/>
      <c r="L150" s="11"/>
      <c r="M150" s="11"/>
      <c r="N150" s="11"/>
      <c r="O150" s="85"/>
      <c r="P150" s="11"/>
      <c r="Q150" s="11"/>
      <c r="R150" s="108"/>
      <c r="S150" s="108"/>
      <c r="T150" s="108"/>
      <c r="U150" s="11"/>
      <c r="V150" s="11"/>
      <c r="W150" s="11"/>
      <c r="X150" s="11"/>
      <c r="Y150" s="11"/>
      <c r="Z150" s="11"/>
      <c r="AA150" s="11"/>
      <c r="AB150" s="11"/>
      <c r="AC150" s="11"/>
      <c r="AD150" s="11"/>
      <c r="AE150" s="11"/>
      <c r="AF150" s="11"/>
      <c r="AG150" s="11"/>
      <c r="AH150" s="11"/>
      <c r="AI150" s="11"/>
      <c r="AJ150" s="11"/>
    </row>
    <row r="151" ht="13.5" customHeight="1">
      <c r="A151" s="11"/>
      <c r="B151" s="11"/>
      <c r="C151" s="11"/>
      <c r="D151" s="11"/>
      <c r="E151" s="11"/>
      <c r="F151" s="11"/>
      <c r="G151" s="11"/>
      <c r="H151" s="11"/>
      <c r="I151" s="11"/>
      <c r="J151" s="11"/>
      <c r="K151" s="11"/>
      <c r="L151" s="11"/>
      <c r="M151" s="11"/>
      <c r="N151" s="11"/>
      <c r="O151" s="85"/>
      <c r="P151" s="11"/>
      <c r="Q151" s="11"/>
      <c r="R151" s="108"/>
      <c r="S151" s="108"/>
      <c r="T151" s="108"/>
      <c r="U151" s="11"/>
      <c r="V151" s="11"/>
      <c r="W151" s="11"/>
      <c r="X151" s="11"/>
      <c r="Y151" s="11"/>
      <c r="Z151" s="11"/>
      <c r="AA151" s="11"/>
      <c r="AB151" s="11"/>
      <c r="AC151" s="11"/>
      <c r="AD151" s="11"/>
      <c r="AE151" s="11"/>
      <c r="AF151" s="11"/>
      <c r="AG151" s="11"/>
      <c r="AH151" s="11"/>
      <c r="AI151" s="11"/>
      <c r="AJ151" s="11"/>
    </row>
    <row r="152" ht="13.5" customHeight="1">
      <c r="A152" s="11"/>
      <c r="B152" s="11"/>
      <c r="C152" s="11"/>
      <c r="D152" s="11"/>
      <c r="E152" s="11"/>
      <c r="F152" s="11"/>
      <c r="G152" s="11"/>
      <c r="H152" s="11"/>
      <c r="I152" s="11"/>
      <c r="J152" s="11"/>
      <c r="K152" s="11"/>
      <c r="L152" s="11"/>
      <c r="M152" s="11"/>
      <c r="N152" s="11"/>
      <c r="O152" s="85"/>
      <c r="P152" s="11"/>
      <c r="Q152" s="11"/>
      <c r="R152" s="108"/>
      <c r="S152" s="108"/>
      <c r="T152" s="108"/>
      <c r="U152" s="11"/>
      <c r="V152" s="11"/>
      <c r="W152" s="11"/>
      <c r="X152" s="11"/>
      <c r="Y152" s="11"/>
      <c r="Z152" s="11"/>
      <c r="AA152" s="11"/>
      <c r="AB152" s="11"/>
      <c r="AC152" s="11"/>
      <c r="AD152" s="11"/>
      <c r="AE152" s="11"/>
      <c r="AF152" s="11"/>
      <c r="AG152" s="11"/>
      <c r="AH152" s="11"/>
      <c r="AI152" s="11"/>
      <c r="AJ152" s="11"/>
    </row>
    <row r="153" ht="13.5" customHeight="1">
      <c r="A153" s="11"/>
      <c r="B153" s="11"/>
      <c r="C153" s="11"/>
      <c r="D153" s="11"/>
      <c r="E153" s="11"/>
      <c r="F153" s="11"/>
      <c r="G153" s="11"/>
      <c r="H153" s="11"/>
      <c r="I153" s="11"/>
      <c r="J153" s="11"/>
      <c r="K153" s="11"/>
      <c r="L153" s="11"/>
      <c r="M153" s="11"/>
      <c r="N153" s="11"/>
      <c r="O153" s="85"/>
      <c r="P153" s="11"/>
      <c r="Q153" s="11"/>
      <c r="R153" s="108"/>
      <c r="S153" s="108"/>
      <c r="T153" s="108"/>
      <c r="U153" s="11"/>
      <c r="V153" s="11"/>
      <c r="W153" s="11"/>
      <c r="X153" s="11"/>
      <c r="Y153" s="11"/>
      <c r="Z153" s="11"/>
      <c r="AA153" s="11"/>
      <c r="AB153" s="11"/>
      <c r="AC153" s="11"/>
      <c r="AD153" s="11"/>
      <c r="AE153" s="11"/>
      <c r="AF153" s="11"/>
      <c r="AG153" s="11"/>
      <c r="AH153" s="11"/>
      <c r="AI153" s="11"/>
      <c r="AJ153" s="11"/>
    </row>
    <row r="154" ht="13.5" customHeight="1">
      <c r="A154" s="11"/>
      <c r="B154" s="11"/>
      <c r="C154" s="11"/>
      <c r="D154" s="11"/>
      <c r="E154" s="11"/>
      <c r="F154" s="11"/>
      <c r="G154" s="11"/>
      <c r="H154" s="11"/>
      <c r="I154" s="11"/>
      <c r="J154" s="11"/>
      <c r="K154" s="11"/>
      <c r="L154" s="11"/>
      <c r="M154" s="11"/>
      <c r="N154" s="11"/>
      <c r="O154" s="85"/>
      <c r="P154" s="11"/>
      <c r="Q154" s="11"/>
      <c r="R154" s="108"/>
      <c r="S154" s="108"/>
      <c r="T154" s="108"/>
      <c r="U154" s="11"/>
      <c r="V154" s="11"/>
      <c r="W154" s="11"/>
      <c r="X154" s="11"/>
      <c r="Y154" s="11"/>
      <c r="Z154" s="11"/>
      <c r="AA154" s="11"/>
      <c r="AB154" s="11"/>
      <c r="AC154" s="11"/>
      <c r="AD154" s="11"/>
      <c r="AE154" s="11"/>
      <c r="AF154" s="11"/>
      <c r="AG154" s="11"/>
      <c r="AH154" s="11"/>
      <c r="AI154" s="11"/>
      <c r="AJ154" s="11"/>
    </row>
    <row r="155" ht="13.5" customHeight="1">
      <c r="A155" s="11"/>
      <c r="B155" s="11"/>
      <c r="C155" s="11"/>
      <c r="D155" s="11"/>
      <c r="E155" s="11"/>
      <c r="F155" s="11"/>
      <c r="G155" s="11"/>
      <c r="H155" s="11"/>
      <c r="I155" s="11"/>
      <c r="J155" s="11"/>
      <c r="K155" s="11"/>
      <c r="L155" s="11"/>
      <c r="M155" s="11"/>
      <c r="N155" s="11"/>
      <c r="O155" s="85"/>
      <c r="P155" s="11"/>
      <c r="Q155" s="11"/>
      <c r="R155" s="108"/>
      <c r="S155" s="108"/>
      <c r="T155" s="108"/>
      <c r="U155" s="11"/>
      <c r="V155" s="11"/>
      <c r="W155" s="11"/>
      <c r="X155" s="11"/>
      <c r="Y155" s="11"/>
      <c r="Z155" s="11"/>
      <c r="AA155" s="11"/>
      <c r="AB155" s="11"/>
      <c r="AC155" s="11"/>
      <c r="AD155" s="11"/>
      <c r="AE155" s="11"/>
      <c r="AF155" s="11"/>
      <c r="AG155" s="11"/>
      <c r="AH155" s="11"/>
      <c r="AI155" s="11"/>
      <c r="AJ155" s="11"/>
    </row>
    <row r="156" ht="13.5" customHeight="1">
      <c r="A156" s="11"/>
      <c r="B156" s="11"/>
      <c r="C156" s="11"/>
      <c r="D156" s="11"/>
      <c r="E156" s="11"/>
      <c r="F156" s="11"/>
      <c r="G156" s="11"/>
      <c r="H156" s="11"/>
      <c r="I156" s="11"/>
      <c r="J156" s="11"/>
      <c r="K156" s="11"/>
      <c r="L156" s="11"/>
      <c r="M156" s="11"/>
      <c r="N156" s="11"/>
      <c r="O156" s="85"/>
      <c r="P156" s="11"/>
      <c r="Q156" s="11"/>
      <c r="R156" s="108"/>
      <c r="S156" s="108"/>
      <c r="T156" s="108"/>
      <c r="U156" s="11"/>
      <c r="V156" s="11"/>
      <c r="W156" s="11"/>
      <c r="X156" s="11"/>
      <c r="Y156" s="11"/>
      <c r="Z156" s="11"/>
      <c r="AA156" s="11"/>
      <c r="AB156" s="11"/>
      <c r="AC156" s="11"/>
      <c r="AD156" s="11"/>
      <c r="AE156" s="11"/>
      <c r="AF156" s="11"/>
      <c r="AG156" s="11"/>
      <c r="AH156" s="11"/>
      <c r="AI156" s="11"/>
      <c r="AJ156" s="11"/>
    </row>
    <row r="157" ht="13.5" customHeight="1">
      <c r="A157" s="11"/>
      <c r="B157" s="11"/>
      <c r="C157" s="11"/>
      <c r="D157" s="11"/>
      <c r="E157" s="11"/>
      <c r="F157" s="11"/>
      <c r="G157" s="11"/>
      <c r="H157" s="11"/>
      <c r="I157" s="11"/>
      <c r="J157" s="11"/>
      <c r="K157" s="11"/>
      <c r="L157" s="11"/>
      <c r="M157" s="11"/>
      <c r="N157" s="11"/>
      <c r="O157" s="85"/>
      <c r="P157" s="11"/>
      <c r="Q157" s="11"/>
      <c r="R157" s="108"/>
      <c r="S157" s="108"/>
      <c r="T157" s="108"/>
      <c r="U157" s="11"/>
      <c r="V157" s="11"/>
      <c r="W157" s="11"/>
      <c r="X157" s="11"/>
      <c r="Y157" s="11"/>
      <c r="Z157" s="11"/>
      <c r="AA157" s="11"/>
      <c r="AB157" s="11"/>
      <c r="AC157" s="11"/>
      <c r="AD157" s="11"/>
      <c r="AE157" s="11"/>
      <c r="AF157" s="11"/>
      <c r="AG157" s="11"/>
      <c r="AH157" s="11"/>
      <c r="AI157" s="11"/>
      <c r="AJ157" s="11"/>
    </row>
    <row r="158" ht="13.5" customHeight="1">
      <c r="A158" s="11"/>
      <c r="B158" s="11"/>
      <c r="C158" s="11"/>
      <c r="D158" s="11"/>
      <c r="E158" s="11"/>
      <c r="F158" s="11"/>
      <c r="G158" s="11"/>
      <c r="H158" s="11"/>
      <c r="I158" s="11"/>
      <c r="J158" s="11"/>
      <c r="K158" s="11"/>
      <c r="L158" s="11"/>
      <c r="M158" s="11"/>
      <c r="N158" s="11"/>
      <c r="O158" s="85"/>
      <c r="P158" s="11"/>
      <c r="Q158" s="11"/>
      <c r="R158" s="108"/>
      <c r="S158" s="108"/>
      <c r="T158" s="108"/>
      <c r="U158" s="11"/>
      <c r="V158" s="11"/>
      <c r="W158" s="11"/>
      <c r="X158" s="11"/>
      <c r="Y158" s="11"/>
      <c r="Z158" s="11"/>
      <c r="AA158" s="11"/>
      <c r="AB158" s="11"/>
      <c r="AC158" s="11"/>
      <c r="AD158" s="11"/>
      <c r="AE158" s="11"/>
      <c r="AF158" s="11"/>
      <c r="AG158" s="11"/>
      <c r="AH158" s="11"/>
      <c r="AI158" s="11"/>
      <c r="AJ158" s="11"/>
    </row>
    <row r="159" ht="13.5" customHeight="1">
      <c r="A159" s="11"/>
      <c r="B159" s="11"/>
      <c r="C159" s="11"/>
      <c r="D159" s="11"/>
      <c r="E159" s="11"/>
      <c r="F159" s="11"/>
      <c r="G159" s="11"/>
      <c r="H159" s="11"/>
      <c r="I159" s="11"/>
      <c r="J159" s="11"/>
      <c r="K159" s="11"/>
      <c r="L159" s="11"/>
      <c r="M159" s="11"/>
      <c r="N159" s="11"/>
      <c r="O159" s="85"/>
      <c r="P159" s="11"/>
      <c r="Q159" s="11"/>
      <c r="R159" s="108"/>
      <c r="S159" s="108"/>
      <c r="T159" s="108"/>
      <c r="U159" s="11"/>
      <c r="V159" s="11"/>
      <c r="W159" s="11"/>
      <c r="X159" s="11"/>
      <c r="Y159" s="11"/>
      <c r="Z159" s="11"/>
      <c r="AA159" s="11"/>
      <c r="AB159" s="11"/>
      <c r="AC159" s="11"/>
      <c r="AD159" s="11"/>
      <c r="AE159" s="11"/>
      <c r="AF159" s="11"/>
      <c r="AG159" s="11"/>
      <c r="AH159" s="11"/>
      <c r="AI159" s="11"/>
      <c r="AJ159" s="11"/>
    </row>
    <row r="160" ht="13.5" customHeight="1">
      <c r="A160" s="11"/>
      <c r="B160" s="11"/>
      <c r="C160" s="11"/>
      <c r="D160" s="11"/>
      <c r="E160" s="11"/>
      <c r="F160" s="11"/>
      <c r="G160" s="11"/>
      <c r="H160" s="11"/>
      <c r="I160" s="11"/>
      <c r="J160" s="11"/>
      <c r="K160" s="11"/>
      <c r="L160" s="11"/>
      <c r="M160" s="11"/>
      <c r="N160" s="11"/>
      <c r="O160" s="85"/>
      <c r="P160" s="11"/>
      <c r="Q160" s="11"/>
      <c r="R160" s="108"/>
      <c r="S160" s="108"/>
      <c r="T160" s="108"/>
      <c r="U160" s="11"/>
      <c r="V160" s="11"/>
      <c r="W160" s="11"/>
      <c r="X160" s="11"/>
      <c r="Y160" s="11"/>
      <c r="Z160" s="11"/>
      <c r="AA160" s="11"/>
      <c r="AB160" s="11"/>
      <c r="AC160" s="11"/>
      <c r="AD160" s="11"/>
      <c r="AE160" s="11"/>
      <c r="AF160" s="11"/>
      <c r="AG160" s="11"/>
      <c r="AH160" s="11"/>
      <c r="AI160" s="11"/>
      <c r="AJ160" s="11"/>
    </row>
    <row r="161" ht="13.5" customHeight="1">
      <c r="A161" s="11"/>
      <c r="B161" s="11"/>
      <c r="C161" s="11"/>
      <c r="D161" s="11"/>
      <c r="E161" s="11"/>
      <c r="F161" s="11"/>
      <c r="G161" s="11"/>
      <c r="H161" s="11"/>
      <c r="I161" s="11"/>
      <c r="J161" s="11"/>
      <c r="K161" s="11"/>
      <c r="L161" s="11"/>
      <c r="M161" s="11"/>
      <c r="N161" s="11"/>
      <c r="O161" s="85"/>
      <c r="P161" s="11"/>
      <c r="Q161" s="11"/>
      <c r="R161" s="108"/>
      <c r="S161" s="108"/>
      <c r="T161" s="108"/>
      <c r="U161" s="11"/>
      <c r="V161" s="11"/>
      <c r="W161" s="11"/>
      <c r="X161" s="11"/>
      <c r="Y161" s="11"/>
      <c r="Z161" s="11"/>
      <c r="AA161" s="11"/>
      <c r="AB161" s="11"/>
      <c r="AC161" s="11"/>
      <c r="AD161" s="11"/>
      <c r="AE161" s="11"/>
      <c r="AF161" s="11"/>
      <c r="AG161" s="11"/>
      <c r="AH161" s="11"/>
      <c r="AI161" s="11"/>
      <c r="AJ161" s="11"/>
    </row>
    <row r="162" ht="13.5" customHeight="1">
      <c r="A162" s="11"/>
      <c r="B162" s="11"/>
      <c r="C162" s="11"/>
      <c r="D162" s="11"/>
      <c r="E162" s="11"/>
      <c r="F162" s="11"/>
      <c r="G162" s="11"/>
      <c r="H162" s="11"/>
      <c r="I162" s="11"/>
      <c r="J162" s="11"/>
      <c r="K162" s="11"/>
      <c r="L162" s="11"/>
      <c r="M162" s="11"/>
      <c r="N162" s="11"/>
      <c r="O162" s="85"/>
      <c r="P162" s="11"/>
      <c r="Q162" s="11"/>
      <c r="R162" s="108"/>
      <c r="S162" s="108"/>
      <c r="T162" s="108"/>
      <c r="U162" s="11"/>
      <c r="V162" s="11"/>
      <c r="W162" s="11"/>
      <c r="X162" s="11"/>
      <c r="Y162" s="11"/>
      <c r="Z162" s="11"/>
      <c r="AA162" s="11"/>
      <c r="AB162" s="11"/>
      <c r="AC162" s="11"/>
      <c r="AD162" s="11"/>
      <c r="AE162" s="11"/>
      <c r="AF162" s="11"/>
      <c r="AG162" s="11"/>
      <c r="AH162" s="11"/>
      <c r="AI162" s="11"/>
      <c r="AJ162" s="11"/>
    </row>
    <row r="163" ht="13.5" customHeight="1">
      <c r="A163" s="11"/>
      <c r="B163" s="11"/>
      <c r="C163" s="11"/>
      <c r="D163" s="11"/>
      <c r="E163" s="11"/>
      <c r="F163" s="11"/>
      <c r="G163" s="11"/>
      <c r="H163" s="11"/>
      <c r="I163" s="11"/>
      <c r="J163" s="11"/>
      <c r="K163" s="11"/>
      <c r="L163" s="11"/>
      <c r="M163" s="11"/>
      <c r="N163" s="11"/>
      <c r="O163" s="85"/>
      <c r="P163" s="11"/>
      <c r="Q163" s="11"/>
      <c r="R163" s="108"/>
      <c r="S163" s="108"/>
      <c r="T163" s="108"/>
      <c r="U163" s="11"/>
      <c r="V163" s="11"/>
      <c r="W163" s="11"/>
      <c r="X163" s="11"/>
      <c r="Y163" s="11"/>
      <c r="Z163" s="11"/>
      <c r="AA163" s="11"/>
      <c r="AB163" s="11"/>
      <c r="AC163" s="11"/>
      <c r="AD163" s="11"/>
      <c r="AE163" s="11"/>
      <c r="AF163" s="11"/>
      <c r="AG163" s="11"/>
      <c r="AH163" s="11"/>
      <c r="AI163" s="11"/>
      <c r="AJ163" s="11"/>
    </row>
    <row r="164" ht="13.5" customHeight="1">
      <c r="A164" s="11"/>
      <c r="B164" s="11"/>
      <c r="C164" s="11"/>
      <c r="D164" s="11"/>
      <c r="E164" s="11"/>
      <c r="F164" s="11"/>
      <c r="G164" s="11"/>
      <c r="H164" s="11"/>
      <c r="I164" s="11"/>
      <c r="J164" s="11"/>
      <c r="K164" s="11"/>
      <c r="L164" s="11"/>
      <c r="M164" s="11"/>
      <c r="N164" s="11"/>
      <c r="O164" s="85"/>
      <c r="P164" s="11"/>
      <c r="Q164" s="11"/>
      <c r="R164" s="108"/>
      <c r="S164" s="108"/>
      <c r="T164" s="108"/>
      <c r="U164" s="11"/>
      <c r="V164" s="11"/>
      <c r="W164" s="11"/>
      <c r="X164" s="11"/>
      <c r="Y164" s="11"/>
      <c r="Z164" s="11"/>
      <c r="AA164" s="11"/>
      <c r="AB164" s="11"/>
      <c r="AC164" s="11"/>
      <c r="AD164" s="11"/>
      <c r="AE164" s="11"/>
      <c r="AF164" s="11"/>
      <c r="AG164" s="11"/>
      <c r="AH164" s="11"/>
      <c r="AI164" s="11"/>
      <c r="AJ164" s="11"/>
    </row>
    <row r="165" ht="13.5" customHeight="1">
      <c r="A165" s="11"/>
      <c r="B165" s="11"/>
      <c r="C165" s="11"/>
      <c r="D165" s="11"/>
      <c r="E165" s="11"/>
      <c r="F165" s="11"/>
      <c r="G165" s="11"/>
      <c r="H165" s="11"/>
      <c r="I165" s="11"/>
      <c r="J165" s="11"/>
      <c r="K165" s="11"/>
      <c r="L165" s="11"/>
      <c r="M165" s="11"/>
      <c r="N165" s="11"/>
      <c r="O165" s="85"/>
      <c r="P165" s="11"/>
      <c r="Q165" s="11"/>
      <c r="R165" s="11"/>
      <c r="S165" s="11"/>
      <c r="T165" s="11"/>
      <c r="U165" s="11"/>
      <c r="V165" s="11"/>
      <c r="W165" s="11"/>
      <c r="X165" s="11"/>
      <c r="Y165" s="11"/>
      <c r="Z165" s="11"/>
      <c r="AA165" s="11"/>
      <c r="AB165" s="11"/>
      <c r="AC165" s="11"/>
      <c r="AD165" s="11"/>
      <c r="AE165" s="11"/>
      <c r="AF165" s="11"/>
      <c r="AG165" s="11"/>
      <c r="AH165" s="11"/>
      <c r="AI165" s="11"/>
      <c r="AJ165" s="11"/>
    </row>
    <row r="166" ht="13.5" customHeight="1">
      <c r="A166" s="11"/>
      <c r="B166" s="11"/>
      <c r="C166" s="11"/>
      <c r="D166" s="11"/>
      <c r="E166" s="11"/>
      <c r="F166" s="11"/>
      <c r="G166" s="11"/>
      <c r="H166" s="11"/>
      <c r="I166" s="11"/>
      <c r="J166" s="11"/>
      <c r="K166" s="11"/>
      <c r="L166" s="11"/>
      <c r="M166" s="11"/>
      <c r="N166" s="11"/>
      <c r="O166" s="85"/>
      <c r="P166" s="11"/>
      <c r="Q166" s="11"/>
      <c r="R166" s="11"/>
      <c r="S166" s="11"/>
      <c r="T166" s="11"/>
      <c r="U166" s="11"/>
      <c r="V166" s="11"/>
      <c r="W166" s="11"/>
      <c r="X166" s="11"/>
      <c r="Y166" s="11"/>
      <c r="Z166" s="11"/>
      <c r="AA166" s="11"/>
      <c r="AB166" s="11"/>
      <c r="AC166" s="11"/>
      <c r="AD166" s="11"/>
      <c r="AE166" s="11"/>
      <c r="AF166" s="11"/>
      <c r="AG166" s="11"/>
      <c r="AH166" s="11"/>
      <c r="AI166" s="11"/>
      <c r="AJ166" s="11"/>
    </row>
    <row r="167" ht="13.5" customHeight="1">
      <c r="A167" s="11"/>
      <c r="B167" s="11"/>
      <c r="C167" s="11"/>
      <c r="D167" s="11"/>
      <c r="E167" s="11"/>
      <c r="F167" s="11"/>
      <c r="G167" s="11"/>
      <c r="H167" s="11"/>
      <c r="I167" s="11"/>
      <c r="J167" s="11"/>
      <c r="K167" s="11"/>
      <c r="L167" s="11"/>
      <c r="M167" s="11"/>
      <c r="N167" s="11"/>
      <c r="O167" s="85"/>
      <c r="P167" s="11"/>
      <c r="Q167" s="11"/>
      <c r="R167" s="11"/>
      <c r="S167" s="11"/>
      <c r="T167" s="11"/>
      <c r="U167" s="11"/>
      <c r="V167" s="11"/>
      <c r="W167" s="11"/>
      <c r="X167" s="11"/>
      <c r="Y167" s="11"/>
      <c r="Z167" s="11"/>
      <c r="AA167" s="11"/>
      <c r="AB167" s="11"/>
      <c r="AC167" s="11"/>
      <c r="AD167" s="11"/>
      <c r="AE167" s="11"/>
      <c r="AF167" s="11"/>
      <c r="AG167" s="11"/>
      <c r="AH167" s="11"/>
      <c r="AI167" s="11"/>
      <c r="AJ167" s="11"/>
    </row>
    <row r="168" ht="13.5" customHeight="1">
      <c r="A168" s="11"/>
      <c r="B168" s="11"/>
      <c r="C168" s="11"/>
      <c r="D168" s="11"/>
      <c r="E168" s="11"/>
      <c r="F168" s="11"/>
      <c r="G168" s="11"/>
      <c r="H168" s="11"/>
      <c r="I168" s="11"/>
      <c r="J168" s="11"/>
      <c r="K168" s="11"/>
      <c r="L168" s="11"/>
      <c r="M168" s="11"/>
      <c r="N168" s="11"/>
      <c r="O168" s="85"/>
      <c r="P168" s="11"/>
      <c r="Q168" s="11"/>
      <c r="R168" s="11"/>
      <c r="S168" s="11"/>
      <c r="T168" s="11"/>
      <c r="U168" s="11"/>
      <c r="V168" s="11"/>
      <c r="W168" s="11"/>
      <c r="X168" s="11"/>
      <c r="Y168" s="11"/>
      <c r="Z168" s="11"/>
      <c r="AA168" s="11"/>
      <c r="AB168" s="11"/>
      <c r="AC168" s="11"/>
      <c r="AD168" s="11"/>
      <c r="AE168" s="11"/>
      <c r="AF168" s="11"/>
      <c r="AG168" s="11"/>
      <c r="AH168" s="11"/>
      <c r="AI168" s="11"/>
      <c r="AJ168" s="11"/>
    </row>
    <row r="169" ht="13.5" customHeight="1">
      <c r="A169" s="11"/>
      <c r="B169" s="11"/>
      <c r="C169" s="11"/>
      <c r="D169" s="11"/>
      <c r="E169" s="11"/>
      <c r="F169" s="11"/>
      <c r="G169" s="11"/>
      <c r="H169" s="11"/>
      <c r="I169" s="11"/>
      <c r="J169" s="11"/>
      <c r="K169" s="11"/>
      <c r="L169" s="11"/>
      <c r="M169" s="11"/>
      <c r="N169" s="11"/>
      <c r="O169" s="85"/>
      <c r="P169" s="11"/>
      <c r="Q169" s="11"/>
      <c r="R169" s="11"/>
      <c r="S169" s="11"/>
      <c r="T169" s="11"/>
      <c r="U169" s="11"/>
      <c r="V169" s="11"/>
      <c r="W169" s="11"/>
      <c r="X169" s="11"/>
      <c r="Y169" s="11"/>
      <c r="Z169" s="11"/>
      <c r="AA169" s="11"/>
      <c r="AB169" s="11"/>
      <c r="AC169" s="11"/>
      <c r="AD169" s="11"/>
      <c r="AE169" s="11"/>
      <c r="AF169" s="11"/>
      <c r="AG169" s="11"/>
      <c r="AH169" s="11"/>
      <c r="AI169" s="11"/>
      <c r="AJ169" s="11"/>
    </row>
    <row r="170" ht="13.5" customHeight="1">
      <c r="A170" s="11"/>
      <c r="B170" s="11"/>
      <c r="C170" s="11"/>
      <c r="D170" s="11"/>
      <c r="E170" s="11"/>
      <c r="F170" s="11"/>
      <c r="G170" s="11"/>
      <c r="H170" s="11"/>
      <c r="I170" s="11"/>
      <c r="J170" s="11"/>
      <c r="K170" s="11"/>
      <c r="L170" s="11"/>
      <c r="M170" s="11"/>
      <c r="N170" s="11"/>
      <c r="O170" s="85"/>
      <c r="P170" s="11"/>
      <c r="Q170" s="11"/>
      <c r="R170" s="11"/>
      <c r="S170" s="11"/>
      <c r="T170" s="11"/>
      <c r="U170" s="11"/>
      <c r="V170" s="11"/>
      <c r="W170" s="11"/>
      <c r="X170" s="11"/>
      <c r="Y170" s="11"/>
      <c r="Z170" s="11"/>
      <c r="AA170" s="11"/>
      <c r="AB170" s="11"/>
      <c r="AC170" s="11"/>
      <c r="AD170" s="11"/>
      <c r="AE170" s="11"/>
      <c r="AF170" s="11"/>
      <c r="AG170" s="11"/>
      <c r="AH170" s="11"/>
      <c r="AI170" s="11"/>
      <c r="AJ170" s="11"/>
    </row>
    <row r="171" ht="13.5" customHeight="1">
      <c r="A171" s="11"/>
      <c r="B171" s="11"/>
      <c r="C171" s="11"/>
      <c r="D171" s="11"/>
      <c r="E171" s="11"/>
      <c r="F171" s="11"/>
      <c r="G171" s="11"/>
      <c r="H171" s="11"/>
      <c r="I171" s="11"/>
      <c r="J171" s="11"/>
      <c r="K171" s="11"/>
      <c r="L171" s="11"/>
      <c r="M171" s="11"/>
      <c r="N171" s="11"/>
      <c r="O171" s="85"/>
      <c r="P171" s="11"/>
      <c r="Q171" s="11"/>
      <c r="R171" s="11"/>
      <c r="S171" s="11"/>
      <c r="T171" s="11"/>
      <c r="U171" s="11"/>
      <c r="V171" s="11"/>
      <c r="W171" s="11"/>
      <c r="X171" s="11"/>
      <c r="Y171" s="11"/>
      <c r="Z171" s="11"/>
      <c r="AA171" s="11"/>
      <c r="AB171" s="11"/>
      <c r="AC171" s="11"/>
      <c r="AD171" s="11"/>
      <c r="AE171" s="11"/>
      <c r="AF171" s="11"/>
      <c r="AG171" s="11"/>
      <c r="AH171" s="11"/>
      <c r="AI171" s="11"/>
      <c r="AJ171" s="11"/>
    </row>
    <row r="172" ht="13.5" customHeight="1">
      <c r="A172" s="11"/>
      <c r="B172" s="11"/>
      <c r="C172" s="11"/>
      <c r="D172" s="11"/>
      <c r="E172" s="11"/>
      <c r="F172" s="11"/>
      <c r="G172" s="11"/>
      <c r="H172" s="11"/>
      <c r="I172" s="11"/>
      <c r="J172" s="11"/>
      <c r="K172" s="11"/>
      <c r="L172" s="11"/>
      <c r="M172" s="11"/>
      <c r="N172" s="11"/>
      <c r="O172" s="85"/>
      <c r="P172" s="11"/>
      <c r="Q172" s="11"/>
      <c r="R172" s="11"/>
      <c r="S172" s="11"/>
      <c r="T172" s="11"/>
      <c r="U172" s="11"/>
      <c r="V172" s="11"/>
      <c r="W172" s="11"/>
      <c r="X172" s="11"/>
      <c r="Y172" s="11"/>
      <c r="Z172" s="11"/>
      <c r="AA172" s="11"/>
      <c r="AB172" s="11"/>
      <c r="AC172" s="11"/>
      <c r="AD172" s="11"/>
      <c r="AE172" s="11"/>
      <c r="AF172" s="11"/>
      <c r="AG172" s="11"/>
      <c r="AH172" s="11"/>
      <c r="AI172" s="11"/>
      <c r="AJ172" s="11"/>
    </row>
    <row r="173" ht="13.5" customHeight="1">
      <c r="A173" s="11"/>
      <c r="B173" s="11"/>
      <c r="C173" s="11"/>
      <c r="D173" s="11"/>
      <c r="E173" s="11"/>
      <c r="F173" s="11"/>
      <c r="G173" s="11"/>
      <c r="H173" s="11"/>
      <c r="I173" s="11"/>
      <c r="J173" s="11"/>
      <c r="K173" s="11"/>
      <c r="L173" s="11"/>
      <c r="M173" s="11"/>
      <c r="N173" s="11"/>
      <c r="O173" s="85"/>
      <c r="P173" s="11"/>
      <c r="Q173" s="11"/>
      <c r="R173" s="11"/>
      <c r="S173" s="11"/>
      <c r="T173" s="11"/>
      <c r="U173" s="11"/>
      <c r="V173" s="11"/>
      <c r="W173" s="11"/>
      <c r="X173" s="11"/>
      <c r="Y173" s="11"/>
      <c r="Z173" s="11"/>
      <c r="AA173" s="11"/>
      <c r="AB173" s="11"/>
      <c r="AC173" s="11"/>
      <c r="AD173" s="11"/>
      <c r="AE173" s="11"/>
      <c r="AF173" s="11"/>
      <c r="AG173" s="11"/>
      <c r="AH173" s="11"/>
      <c r="AI173" s="11"/>
      <c r="AJ173" s="11"/>
    </row>
    <row r="174" ht="13.5" customHeight="1">
      <c r="A174" s="11"/>
      <c r="B174" s="11"/>
      <c r="C174" s="11"/>
      <c r="D174" s="11"/>
      <c r="E174" s="11"/>
      <c r="F174" s="11"/>
      <c r="G174" s="11"/>
      <c r="H174" s="11"/>
      <c r="I174" s="11"/>
      <c r="J174" s="11"/>
      <c r="K174" s="11"/>
      <c r="L174" s="11"/>
      <c r="M174" s="11"/>
      <c r="N174" s="11"/>
      <c r="O174" s="85"/>
      <c r="P174" s="11"/>
      <c r="Q174" s="11"/>
      <c r="R174" s="11"/>
      <c r="S174" s="11"/>
      <c r="T174" s="11"/>
      <c r="U174" s="11"/>
      <c r="V174" s="11"/>
      <c r="W174" s="11"/>
      <c r="X174" s="11"/>
      <c r="Y174" s="11"/>
      <c r="Z174" s="11"/>
      <c r="AA174" s="11"/>
      <c r="AB174" s="11"/>
      <c r="AC174" s="11"/>
      <c r="AD174" s="11"/>
      <c r="AE174" s="11"/>
      <c r="AF174" s="11"/>
      <c r="AG174" s="11"/>
      <c r="AH174" s="11"/>
      <c r="AI174" s="11"/>
      <c r="AJ174" s="11"/>
    </row>
    <row r="175" ht="13.5" customHeight="1">
      <c r="A175" s="11"/>
      <c r="B175" s="11"/>
      <c r="C175" s="11"/>
      <c r="D175" s="11"/>
      <c r="E175" s="11"/>
      <c r="F175" s="11"/>
      <c r="G175" s="11"/>
      <c r="H175" s="11"/>
      <c r="I175" s="11"/>
      <c r="J175" s="11"/>
      <c r="K175" s="11"/>
      <c r="L175" s="11"/>
      <c r="M175" s="11"/>
      <c r="N175" s="11"/>
      <c r="O175" s="85"/>
      <c r="P175" s="11"/>
      <c r="Q175" s="11"/>
      <c r="R175" s="11"/>
      <c r="S175" s="11"/>
      <c r="T175" s="11"/>
      <c r="U175" s="11"/>
      <c r="V175" s="11"/>
      <c r="W175" s="11"/>
      <c r="X175" s="11"/>
      <c r="Y175" s="11"/>
      <c r="Z175" s="11"/>
      <c r="AA175" s="11"/>
      <c r="AB175" s="11"/>
      <c r="AC175" s="11"/>
      <c r="AD175" s="11"/>
      <c r="AE175" s="11"/>
      <c r="AF175" s="11"/>
      <c r="AG175" s="11"/>
      <c r="AH175" s="11"/>
      <c r="AI175" s="11"/>
      <c r="AJ175" s="11"/>
    </row>
    <row r="176" ht="13.5" customHeight="1">
      <c r="A176" s="11"/>
      <c r="B176" s="11"/>
      <c r="C176" s="11"/>
      <c r="D176" s="11"/>
      <c r="E176" s="11"/>
      <c r="F176" s="11"/>
      <c r="G176" s="11"/>
      <c r="H176" s="11"/>
      <c r="I176" s="11"/>
      <c r="J176" s="11"/>
      <c r="K176" s="11"/>
      <c r="L176" s="11"/>
      <c r="M176" s="11"/>
      <c r="N176" s="11"/>
      <c r="O176" s="85"/>
      <c r="P176" s="11"/>
      <c r="Q176" s="11"/>
      <c r="R176" s="11"/>
      <c r="S176" s="11"/>
      <c r="T176" s="11"/>
      <c r="U176" s="11"/>
      <c r="V176" s="11"/>
      <c r="W176" s="11"/>
      <c r="X176" s="11"/>
      <c r="Y176" s="11"/>
      <c r="Z176" s="11"/>
      <c r="AA176" s="11"/>
      <c r="AB176" s="11"/>
      <c r="AC176" s="11"/>
      <c r="AD176" s="11"/>
      <c r="AE176" s="11"/>
      <c r="AF176" s="11"/>
      <c r="AG176" s="11"/>
      <c r="AH176" s="11"/>
      <c r="AI176" s="11"/>
      <c r="AJ176" s="11"/>
    </row>
    <row r="177" ht="13.5" customHeight="1">
      <c r="A177" s="11"/>
      <c r="B177" s="11"/>
      <c r="C177" s="11"/>
      <c r="D177" s="11"/>
      <c r="E177" s="11"/>
      <c r="F177" s="11"/>
      <c r="G177" s="11"/>
      <c r="H177" s="11"/>
      <c r="I177" s="11"/>
      <c r="J177" s="11"/>
      <c r="K177" s="11"/>
      <c r="L177" s="11"/>
      <c r="M177" s="11"/>
      <c r="N177" s="11"/>
      <c r="O177" s="85"/>
      <c r="P177" s="11"/>
      <c r="Q177" s="11"/>
      <c r="R177" s="11"/>
      <c r="S177" s="11"/>
      <c r="T177" s="11"/>
      <c r="U177" s="11"/>
      <c r="V177" s="11"/>
      <c r="W177" s="11"/>
      <c r="X177" s="11"/>
      <c r="Y177" s="11"/>
      <c r="Z177" s="11"/>
      <c r="AA177" s="11"/>
      <c r="AB177" s="11"/>
      <c r="AC177" s="11"/>
      <c r="AD177" s="11"/>
      <c r="AE177" s="11"/>
      <c r="AF177" s="11"/>
      <c r="AG177" s="11"/>
      <c r="AH177" s="11"/>
      <c r="AI177" s="11"/>
      <c r="AJ177" s="11"/>
    </row>
    <row r="178" ht="13.5" customHeight="1">
      <c r="A178" s="11"/>
      <c r="B178" s="11"/>
      <c r="C178" s="11"/>
      <c r="D178" s="11"/>
      <c r="E178" s="11"/>
      <c r="F178" s="11"/>
      <c r="G178" s="11"/>
      <c r="H178" s="11"/>
      <c r="I178" s="11"/>
      <c r="J178" s="11"/>
      <c r="K178" s="11"/>
      <c r="L178" s="11"/>
      <c r="M178" s="11"/>
      <c r="N178" s="11"/>
      <c r="O178" s="85"/>
      <c r="P178" s="11"/>
      <c r="Q178" s="11"/>
      <c r="R178" s="11"/>
      <c r="S178" s="11"/>
      <c r="T178" s="11"/>
      <c r="U178" s="11"/>
      <c r="V178" s="11"/>
      <c r="W178" s="11"/>
      <c r="X178" s="11"/>
      <c r="Y178" s="11"/>
      <c r="Z178" s="11"/>
      <c r="AA178" s="11"/>
      <c r="AB178" s="11"/>
      <c r="AC178" s="11"/>
      <c r="AD178" s="11"/>
      <c r="AE178" s="11"/>
      <c r="AF178" s="11"/>
      <c r="AG178" s="11"/>
      <c r="AH178" s="11"/>
      <c r="AI178" s="11"/>
      <c r="AJ178" s="11"/>
    </row>
    <row r="179" ht="13.5" customHeight="1">
      <c r="A179" s="11"/>
      <c r="B179" s="11"/>
      <c r="C179" s="11"/>
      <c r="D179" s="11"/>
      <c r="E179" s="11"/>
      <c r="F179" s="11"/>
      <c r="G179" s="11"/>
      <c r="H179" s="11"/>
      <c r="I179" s="11"/>
      <c r="J179" s="11"/>
      <c r="K179" s="11"/>
      <c r="L179" s="11"/>
      <c r="M179" s="11"/>
      <c r="N179" s="11"/>
      <c r="O179" s="85"/>
      <c r="P179" s="11"/>
      <c r="Q179" s="11"/>
      <c r="R179" s="11"/>
      <c r="S179" s="11"/>
      <c r="T179" s="11"/>
      <c r="U179" s="11"/>
      <c r="V179" s="11"/>
      <c r="W179" s="11"/>
      <c r="X179" s="11"/>
      <c r="Y179" s="11"/>
      <c r="Z179" s="11"/>
      <c r="AA179" s="11"/>
      <c r="AB179" s="11"/>
      <c r="AC179" s="11"/>
      <c r="AD179" s="11"/>
      <c r="AE179" s="11"/>
      <c r="AF179" s="11"/>
      <c r="AG179" s="11"/>
      <c r="AH179" s="11"/>
      <c r="AI179" s="11"/>
      <c r="AJ179" s="11"/>
    </row>
    <row r="180" ht="13.5" customHeight="1">
      <c r="A180" s="11"/>
      <c r="B180" s="11"/>
      <c r="C180" s="11"/>
      <c r="D180" s="11"/>
      <c r="E180" s="11"/>
      <c r="F180" s="11"/>
      <c r="G180" s="11"/>
      <c r="H180" s="11"/>
      <c r="I180" s="11"/>
      <c r="J180" s="11"/>
      <c r="K180" s="11"/>
      <c r="L180" s="11"/>
      <c r="M180" s="11"/>
      <c r="N180" s="11"/>
      <c r="O180" s="85"/>
      <c r="P180" s="11"/>
      <c r="Q180" s="11"/>
      <c r="R180" s="11"/>
      <c r="S180" s="11"/>
      <c r="T180" s="11"/>
      <c r="U180" s="11"/>
      <c r="V180" s="11"/>
      <c r="W180" s="11"/>
      <c r="X180" s="11"/>
      <c r="Y180" s="11"/>
      <c r="Z180" s="11"/>
      <c r="AA180" s="11"/>
      <c r="AB180" s="11"/>
      <c r="AC180" s="11"/>
      <c r="AD180" s="11"/>
      <c r="AE180" s="11"/>
      <c r="AF180" s="11"/>
      <c r="AG180" s="11"/>
      <c r="AH180" s="11"/>
      <c r="AI180" s="11"/>
      <c r="AJ180" s="11"/>
    </row>
    <row r="181" ht="13.5" customHeight="1">
      <c r="A181" s="11"/>
      <c r="B181" s="11"/>
      <c r="C181" s="11"/>
      <c r="D181" s="11"/>
      <c r="E181" s="11"/>
      <c r="F181" s="11"/>
      <c r="G181" s="11"/>
      <c r="H181" s="11"/>
      <c r="I181" s="11"/>
      <c r="J181" s="11"/>
      <c r="K181" s="11"/>
      <c r="L181" s="11"/>
      <c r="M181" s="11"/>
      <c r="N181" s="11"/>
      <c r="O181" s="85"/>
      <c r="P181" s="11"/>
      <c r="Q181" s="11"/>
      <c r="R181" s="11"/>
      <c r="S181" s="11"/>
      <c r="T181" s="11"/>
      <c r="U181" s="11"/>
      <c r="V181" s="11"/>
      <c r="W181" s="11"/>
      <c r="X181" s="11"/>
      <c r="Y181" s="11"/>
      <c r="Z181" s="11"/>
      <c r="AA181" s="11"/>
      <c r="AB181" s="11"/>
      <c r="AC181" s="11"/>
      <c r="AD181" s="11"/>
      <c r="AE181" s="11"/>
      <c r="AF181" s="11"/>
      <c r="AG181" s="11"/>
      <c r="AH181" s="11"/>
      <c r="AI181" s="11"/>
      <c r="AJ181" s="11"/>
    </row>
    <row r="182" ht="13.5" customHeight="1">
      <c r="A182" s="11"/>
      <c r="B182" s="11"/>
      <c r="C182" s="11"/>
      <c r="D182" s="11"/>
      <c r="E182" s="11"/>
      <c r="F182" s="11"/>
      <c r="G182" s="11"/>
      <c r="H182" s="11"/>
      <c r="I182" s="11"/>
      <c r="J182" s="11"/>
      <c r="K182" s="11"/>
      <c r="L182" s="11"/>
      <c r="M182" s="11"/>
      <c r="N182" s="11"/>
      <c r="O182" s="85"/>
      <c r="P182" s="11"/>
      <c r="Q182" s="11"/>
      <c r="R182" s="11"/>
      <c r="S182" s="11"/>
      <c r="T182" s="11"/>
      <c r="U182" s="11"/>
      <c r="V182" s="11"/>
      <c r="W182" s="11"/>
      <c r="X182" s="11"/>
      <c r="Y182" s="11"/>
      <c r="Z182" s="11"/>
      <c r="AA182" s="11"/>
      <c r="AB182" s="11"/>
      <c r="AC182" s="11"/>
      <c r="AD182" s="11"/>
      <c r="AE182" s="11"/>
      <c r="AF182" s="11"/>
      <c r="AG182" s="11"/>
      <c r="AH182" s="11"/>
      <c r="AI182" s="11"/>
      <c r="AJ182" s="11"/>
    </row>
    <row r="183" ht="13.5" customHeight="1">
      <c r="A183" s="11"/>
      <c r="B183" s="11"/>
      <c r="C183" s="11"/>
      <c r="D183" s="11"/>
      <c r="E183" s="11"/>
      <c r="F183" s="11"/>
      <c r="G183" s="11"/>
      <c r="H183" s="11"/>
      <c r="I183" s="11"/>
      <c r="J183" s="11"/>
      <c r="K183" s="11"/>
      <c r="L183" s="11"/>
      <c r="M183" s="11"/>
      <c r="N183" s="11"/>
      <c r="O183" s="85"/>
      <c r="P183" s="11"/>
      <c r="Q183" s="11"/>
      <c r="R183" s="11"/>
      <c r="S183" s="11"/>
      <c r="T183" s="11"/>
      <c r="U183" s="11"/>
      <c r="V183" s="11"/>
      <c r="W183" s="11"/>
      <c r="X183" s="11"/>
      <c r="Y183" s="11"/>
      <c r="Z183" s="11"/>
      <c r="AA183" s="11"/>
      <c r="AB183" s="11"/>
      <c r="AC183" s="11"/>
      <c r="AD183" s="11"/>
      <c r="AE183" s="11"/>
      <c r="AF183" s="11"/>
      <c r="AG183" s="11"/>
      <c r="AH183" s="11"/>
      <c r="AI183" s="11"/>
      <c r="AJ183" s="11"/>
    </row>
    <row r="184" ht="13.5" customHeight="1">
      <c r="A184" s="11"/>
      <c r="B184" s="11"/>
      <c r="C184" s="11"/>
      <c r="D184" s="11"/>
      <c r="E184" s="11"/>
      <c r="F184" s="11"/>
      <c r="G184" s="11"/>
      <c r="H184" s="11"/>
      <c r="I184" s="11"/>
      <c r="J184" s="11"/>
      <c r="K184" s="11"/>
      <c r="L184" s="11"/>
      <c r="M184" s="11"/>
      <c r="N184" s="11"/>
      <c r="O184" s="85"/>
      <c r="P184" s="11"/>
      <c r="Q184" s="11"/>
      <c r="R184" s="11"/>
      <c r="S184" s="11"/>
      <c r="T184" s="11"/>
      <c r="U184" s="11"/>
      <c r="V184" s="11"/>
      <c r="W184" s="11"/>
      <c r="X184" s="11"/>
      <c r="Y184" s="11"/>
      <c r="Z184" s="11"/>
      <c r="AA184" s="11"/>
      <c r="AB184" s="11"/>
      <c r="AC184" s="11"/>
      <c r="AD184" s="11"/>
      <c r="AE184" s="11"/>
      <c r="AF184" s="11"/>
      <c r="AG184" s="11"/>
      <c r="AH184" s="11"/>
      <c r="AI184" s="11"/>
      <c r="AJ184" s="11"/>
    </row>
    <row r="185" ht="13.5" customHeight="1">
      <c r="A185" s="11"/>
      <c r="B185" s="11"/>
      <c r="C185" s="11"/>
      <c r="D185" s="11"/>
      <c r="E185" s="11"/>
      <c r="F185" s="11"/>
      <c r="G185" s="11"/>
      <c r="H185" s="11"/>
      <c r="I185" s="11"/>
      <c r="J185" s="11"/>
      <c r="K185" s="11"/>
      <c r="L185" s="11"/>
      <c r="M185" s="11"/>
      <c r="N185" s="11"/>
      <c r="O185" s="85"/>
      <c r="P185" s="11"/>
      <c r="Q185" s="11"/>
      <c r="R185" s="11"/>
      <c r="S185" s="11"/>
      <c r="T185" s="11"/>
      <c r="U185" s="11"/>
      <c r="V185" s="11"/>
      <c r="W185" s="11"/>
      <c r="X185" s="11"/>
      <c r="Y185" s="11"/>
      <c r="Z185" s="11"/>
      <c r="AA185" s="11"/>
      <c r="AB185" s="11"/>
      <c r="AC185" s="11"/>
      <c r="AD185" s="11"/>
      <c r="AE185" s="11"/>
      <c r="AF185" s="11"/>
      <c r="AG185" s="11"/>
      <c r="AH185" s="11"/>
      <c r="AI185" s="11"/>
      <c r="AJ185" s="11"/>
    </row>
    <row r="186" ht="13.5" customHeight="1">
      <c r="A186" s="11"/>
      <c r="B186" s="11"/>
      <c r="C186" s="11"/>
      <c r="D186" s="11"/>
      <c r="E186" s="11"/>
      <c r="F186" s="11"/>
      <c r="G186" s="11"/>
      <c r="H186" s="11"/>
      <c r="I186" s="11"/>
      <c r="J186" s="11"/>
      <c r="K186" s="11"/>
      <c r="L186" s="11"/>
      <c r="M186" s="11"/>
      <c r="N186" s="11"/>
      <c r="O186" s="85"/>
      <c r="P186" s="11"/>
      <c r="Q186" s="11"/>
      <c r="R186" s="11"/>
      <c r="S186" s="11"/>
      <c r="T186" s="11"/>
      <c r="U186" s="11"/>
      <c r="V186" s="11"/>
      <c r="W186" s="11"/>
      <c r="X186" s="11"/>
      <c r="Y186" s="11"/>
      <c r="Z186" s="11"/>
      <c r="AA186" s="11"/>
      <c r="AB186" s="11"/>
      <c r="AC186" s="11"/>
      <c r="AD186" s="11"/>
      <c r="AE186" s="11"/>
      <c r="AF186" s="11"/>
      <c r="AG186" s="11"/>
      <c r="AH186" s="11"/>
      <c r="AI186" s="11"/>
      <c r="AJ186" s="11"/>
    </row>
    <row r="187" ht="13.5" customHeight="1">
      <c r="A187" s="11"/>
      <c r="B187" s="11"/>
      <c r="C187" s="11"/>
      <c r="D187" s="11"/>
      <c r="E187" s="11"/>
      <c r="F187" s="11"/>
      <c r="G187" s="11"/>
      <c r="H187" s="11"/>
      <c r="I187" s="11"/>
      <c r="J187" s="11"/>
      <c r="K187" s="11"/>
      <c r="L187" s="11"/>
      <c r="M187" s="11"/>
      <c r="N187" s="11"/>
      <c r="O187" s="85"/>
      <c r="P187" s="11"/>
      <c r="Q187" s="11"/>
      <c r="R187" s="11"/>
      <c r="S187" s="11"/>
      <c r="T187" s="11"/>
      <c r="U187" s="11"/>
      <c r="V187" s="11"/>
      <c r="W187" s="11"/>
      <c r="X187" s="11"/>
      <c r="Y187" s="11"/>
      <c r="Z187" s="11"/>
      <c r="AA187" s="11"/>
      <c r="AB187" s="11"/>
      <c r="AC187" s="11"/>
      <c r="AD187" s="11"/>
      <c r="AE187" s="11"/>
      <c r="AF187" s="11"/>
      <c r="AG187" s="11"/>
      <c r="AH187" s="11"/>
      <c r="AI187" s="11"/>
      <c r="AJ187" s="11"/>
    </row>
    <row r="188" ht="13.5" customHeight="1">
      <c r="A188" s="11"/>
      <c r="B188" s="11"/>
      <c r="C188" s="11"/>
      <c r="D188" s="11"/>
      <c r="E188" s="11"/>
      <c r="F188" s="11"/>
      <c r="G188" s="11"/>
      <c r="H188" s="11"/>
      <c r="I188" s="11"/>
      <c r="J188" s="11"/>
      <c r="K188" s="11"/>
      <c r="L188" s="11"/>
      <c r="M188" s="11"/>
      <c r="N188" s="11"/>
      <c r="O188" s="85"/>
      <c r="P188" s="11"/>
      <c r="Q188" s="11"/>
      <c r="R188" s="11"/>
      <c r="S188" s="11"/>
      <c r="T188" s="11"/>
      <c r="U188" s="11"/>
      <c r="V188" s="11"/>
      <c r="W188" s="11"/>
      <c r="X188" s="11"/>
      <c r="Y188" s="11"/>
      <c r="Z188" s="11"/>
      <c r="AA188" s="11"/>
      <c r="AB188" s="11"/>
      <c r="AC188" s="11"/>
      <c r="AD188" s="11"/>
      <c r="AE188" s="11"/>
      <c r="AF188" s="11"/>
      <c r="AG188" s="11"/>
      <c r="AH188" s="11"/>
      <c r="AI188" s="11"/>
      <c r="AJ188" s="11"/>
    </row>
    <row r="189" ht="13.5" customHeight="1">
      <c r="A189" s="11"/>
      <c r="B189" s="11"/>
      <c r="C189" s="11"/>
      <c r="D189" s="11"/>
      <c r="E189" s="11"/>
      <c r="F189" s="11"/>
      <c r="G189" s="11"/>
      <c r="H189" s="11"/>
      <c r="I189" s="11"/>
      <c r="J189" s="11"/>
      <c r="K189" s="11"/>
      <c r="L189" s="11"/>
      <c r="M189" s="11"/>
      <c r="N189" s="11"/>
      <c r="O189" s="85"/>
      <c r="P189" s="11"/>
      <c r="Q189" s="11"/>
      <c r="R189" s="11"/>
      <c r="S189" s="11"/>
      <c r="T189" s="11"/>
      <c r="U189" s="11"/>
      <c r="V189" s="11"/>
      <c r="W189" s="11"/>
      <c r="X189" s="11"/>
      <c r="Y189" s="11"/>
      <c r="Z189" s="11"/>
      <c r="AA189" s="11"/>
      <c r="AB189" s="11"/>
      <c r="AC189" s="11"/>
      <c r="AD189" s="11"/>
      <c r="AE189" s="11"/>
      <c r="AF189" s="11"/>
      <c r="AG189" s="11"/>
      <c r="AH189" s="11"/>
      <c r="AI189" s="11"/>
      <c r="AJ189" s="11"/>
    </row>
    <row r="190" ht="13.5" customHeight="1">
      <c r="A190" s="11"/>
      <c r="B190" s="11"/>
      <c r="C190" s="11"/>
      <c r="D190" s="11"/>
      <c r="E190" s="11"/>
      <c r="F190" s="11"/>
      <c r="G190" s="11"/>
      <c r="H190" s="11"/>
      <c r="I190" s="11"/>
      <c r="J190" s="11"/>
      <c r="K190" s="11"/>
      <c r="L190" s="11"/>
      <c r="M190" s="11"/>
      <c r="N190" s="11"/>
      <c r="O190" s="85"/>
      <c r="P190" s="11"/>
      <c r="Q190" s="11"/>
      <c r="R190" s="11"/>
      <c r="S190" s="11"/>
      <c r="T190" s="11"/>
      <c r="U190" s="11"/>
      <c r="V190" s="11"/>
      <c r="W190" s="11"/>
      <c r="X190" s="11"/>
      <c r="Y190" s="11"/>
      <c r="Z190" s="11"/>
      <c r="AA190" s="11"/>
      <c r="AB190" s="11"/>
      <c r="AC190" s="11"/>
      <c r="AD190" s="11"/>
      <c r="AE190" s="11"/>
      <c r="AF190" s="11"/>
      <c r="AG190" s="11"/>
      <c r="AH190" s="11"/>
      <c r="AI190" s="11"/>
      <c r="AJ190" s="11"/>
    </row>
    <row r="191" ht="13.5" customHeight="1">
      <c r="A191" s="11"/>
      <c r="B191" s="11"/>
      <c r="C191" s="11"/>
      <c r="D191" s="11"/>
      <c r="E191" s="11"/>
      <c r="F191" s="11"/>
      <c r="G191" s="11"/>
      <c r="H191" s="11"/>
      <c r="I191" s="11"/>
      <c r="J191" s="11"/>
      <c r="K191" s="11"/>
      <c r="L191" s="11"/>
      <c r="M191" s="11"/>
      <c r="N191" s="11"/>
      <c r="O191" s="85"/>
      <c r="P191" s="11"/>
      <c r="Q191" s="11"/>
      <c r="R191" s="11"/>
      <c r="S191" s="11"/>
      <c r="T191" s="11"/>
      <c r="U191" s="11"/>
      <c r="V191" s="11"/>
      <c r="W191" s="11"/>
      <c r="X191" s="11"/>
      <c r="Y191" s="11"/>
      <c r="Z191" s="11"/>
      <c r="AA191" s="11"/>
      <c r="AB191" s="11"/>
      <c r="AC191" s="11"/>
      <c r="AD191" s="11"/>
      <c r="AE191" s="11"/>
      <c r="AF191" s="11"/>
      <c r="AG191" s="11"/>
      <c r="AH191" s="11"/>
      <c r="AI191" s="11"/>
      <c r="AJ191" s="11"/>
    </row>
    <row r="192" ht="13.5" customHeight="1">
      <c r="A192" s="11"/>
      <c r="B192" s="11"/>
      <c r="C192" s="11"/>
      <c r="D192" s="11"/>
      <c r="E192" s="11"/>
      <c r="F192" s="11"/>
      <c r="G192" s="11"/>
      <c r="H192" s="11"/>
      <c r="I192" s="11"/>
      <c r="J192" s="11"/>
      <c r="K192" s="11"/>
      <c r="L192" s="11"/>
      <c r="M192" s="11"/>
      <c r="N192" s="11"/>
      <c r="O192" s="85"/>
      <c r="P192" s="11"/>
      <c r="Q192" s="11"/>
      <c r="R192" s="11"/>
      <c r="S192" s="11"/>
      <c r="T192" s="11"/>
      <c r="U192" s="11"/>
      <c r="V192" s="11"/>
      <c r="W192" s="11"/>
      <c r="X192" s="11"/>
      <c r="Y192" s="11"/>
      <c r="Z192" s="11"/>
      <c r="AA192" s="11"/>
      <c r="AB192" s="11"/>
      <c r="AC192" s="11"/>
      <c r="AD192" s="11"/>
      <c r="AE192" s="11"/>
      <c r="AF192" s="11"/>
      <c r="AG192" s="11"/>
      <c r="AH192" s="11"/>
      <c r="AI192" s="11"/>
      <c r="AJ192" s="11"/>
    </row>
    <row r="193" ht="13.5" customHeight="1">
      <c r="A193" s="11"/>
      <c r="B193" s="11"/>
      <c r="C193" s="11"/>
      <c r="D193" s="11"/>
      <c r="E193" s="11"/>
      <c r="F193" s="11"/>
      <c r="G193" s="11"/>
      <c r="H193" s="11"/>
      <c r="I193" s="11"/>
      <c r="J193" s="11"/>
      <c r="K193" s="11"/>
      <c r="L193" s="11"/>
      <c r="M193" s="11"/>
      <c r="N193" s="11"/>
      <c r="O193" s="85"/>
      <c r="P193" s="11"/>
      <c r="Q193" s="11"/>
      <c r="R193" s="11"/>
      <c r="S193" s="11"/>
      <c r="T193" s="11"/>
      <c r="U193" s="11"/>
      <c r="V193" s="11"/>
      <c r="W193" s="11"/>
      <c r="X193" s="11"/>
      <c r="Y193" s="11"/>
      <c r="Z193" s="11"/>
      <c r="AA193" s="11"/>
      <c r="AB193" s="11"/>
      <c r="AC193" s="11"/>
      <c r="AD193" s="11"/>
      <c r="AE193" s="11"/>
      <c r="AF193" s="11"/>
      <c r="AG193" s="11"/>
      <c r="AH193" s="11"/>
      <c r="AI193" s="11"/>
      <c r="AJ193" s="11"/>
    </row>
    <row r="194" ht="13.5" customHeight="1">
      <c r="A194" s="11"/>
      <c r="B194" s="11"/>
      <c r="C194" s="11"/>
      <c r="D194" s="11"/>
      <c r="E194" s="11"/>
      <c r="F194" s="11"/>
      <c r="G194" s="11"/>
      <c r="H194" s="11"/>
      <c r="I194" s="11"/>
      <c r="J194" s="11"/>
      <c r="K194" s="11"/>
      <c r="L194" s="11"/>
      <c r="M194" s="11"/>
      <c r="N194" s="11"/>
      <c r="O194" s="85"/>
      <c r="P194" s="11"/>
      <c r="Q194" s="11"/>
      <c r="R194" s="11"/>
      <c r="S194" s="11"/>
      <c r="T194" s="11"/>
      <c r="U194" s="11"/>
      <c r="V194" s="11"/>
      <c r="W194" s="11"/>
      <c r="X194" s="11"/>
      <c r="Y194" s="11"/>
      <c r="Z194" s="11"/>
      <c r="AA194" s="11"/>
      <c r="AB194" s="11"/>
      <c r="AC194" s="11"/>
      <c r="AD194" s="11"/>
      <c r="AE194" s="11"/>
      <c r="AF194" s="11"/>
      <c r="AG194" s="11"/>
      <c r="AH194" s="11"/>
      <c r="AI194" s="11"/>
      <c r="AJ194" s="11"/>
    </row>
    <row r="195" ht="13.5" customHeight="1">
      <c r="A195" s="11"/>
      <c r="B195" s="11"/>
      <c r="C195" s="11"/>
      <c r="D195" s="11"/>
      <c r="E195" s="11"/>
      <c r="F195" s="11"/>
      <c r="G195" s="11"/>
      <c r="H195" s="11"/>
      <c r="I195" s="11"/>
      <c r="J195" s="11"/>
      <c r="K195" s="11"/>
      <c r="L195" s="11"/>
      <c r="M195" s="11"/>
      <c r="N195" s="11"/>
      <c r="O195" s="85"/>
      <c r="P195" s="11"/>
      <c r="Q195" s="11"/>
      <c r="R195" s="11"/>
      <c r="S195" s="11"/>
      <c r="T195" s="11"/>
      <c r="U195" s="11"/>
      <c r="V195" s="11"/>
      <c r="W195" s="11"/>
      <c r="X195" s="11"/>
      <c r="Y195" s="11"/>
      <c r="Z195" s="11"/>
      <c r="AA195" s="11"/>
      <c r="AB195" s="11"/>
      <c r="AC195" s="11"/>
      <c r="AD195" s="11"/>
      <c r="AE195" s="11"/>
      <c r="AF195" s="11"/>
      <c r="AG195" s="11"/>
      <c r="AH195" s="11"/>
      <c r="AI195" s="11"/>
      <c r="AJ195" s="11"/>
    </row>
    <row r="196" ht="13.5" customHeight="1">
      <c r="A196" s="11"/>
      <c r="B196" s="11"/>
      <c r="C196" s="11"/>
      <c r="D196" s="11"/>
      <c r="E196" s="11"/>
      <c r="F196" s="11"/>
      <c r="G196" s="11"/>
      <c r="H196" s="11"/>
      <c r="I196" s="11"/>
      <c r="J196" s="11"/>
      <c r="K196" s="11"/>
      <c r="L196" s="11"/>
      <c r="M196" s="11"/>
      <c r="N196" s="11"/>
      <c r="O196" s="85"/>
      <c r="P196" s="11"/>
      <c r="Q196" s="11"/>
      <c r="R196" s="11"/>
      <c r="S196" s="11"/>
      <c r="T196" s="11"/>
      <c r="U196" s="11"/>
      <c r="V196" s="11"/>
      <c r="W196" s="11"/>
      <c r="X196" s="11"/>
      <c r="Y196" s="11"/>
      <c r="Z196" s="11"/>
      <c r="AA196" s="11"/>
      <c r="AB196" s="11"/>
      <c r="AC196" s="11"/>
      <c r="AD196" s="11"/>
      <c r="AE196" s="11"/>
      <c r="AF196" s="11"/>
      <c r="AG196" s="11"/>
      <c r="AH196" s="11"/>
      <c r="AI196" s="11"/>
      <c r="AJ196" s="11"/>
    </row>
    <row r="197" ht="13.5" customHeight="1">
      <c r="A197" s="11"/>
      <c r="B197" s="11"/>
      <c r="C197" s="11"/>
      <c r="D197" s="11"/>
      <c r="E197" s="11"/>
      <c r="F197" s="11"/>
      <c r="G197" s="11"/>
      <c r="H197" s="11"/>
      <c r="I197" s="11"/>
      <c r="J197" s="11"/>
      <c r="K197" s="11"/>
      <c r="L197" s="11"/>
      <c r="M197" s="11"/>
      <c r="N197" s="11"/>
      <c r="O197" s="85"/>
      <c r="P197" s="11"/>
      <c r="Q197" s="11"/>
      <c r="R197" s="11"/>
      <c r="S197" s="11"/>
      <c r="T197" s="11"/>
      <c r="U197" s="11"/>
      <c r="V197" s="11"/>
      <c r="W197" s="11"/>
      <c r="X197" s="11"/>
      <c r="Y197" s="11"/>
      <c r="Z197" s="11"/>
      <c r="AA197" s="11"/>
      <c r="AB197" s="11"/>
      <c r="AC197" s="11"/>
      <c r="AD197" s="11"/>
      <c r="AE197" s="11"/>
      <c r="AF197" s="11"/>
      <c r="AG197" s="11"/>
      <c r="AH197" s="11"/>
      <c r="AI197" s="11"/>
      <c r="AJ197" s="11"/>
    </row>
    <row r="198" ht="13.5" customHeight="1">
      <c r="A198" s="11"/>
      <c r="B198" s="11"/>
      <c r="C198" s="11"/>
      <c r="D198" s="11"/>
      <c r="E198" s="11"/>
      <c r="F198" s="11"/>
      <c r="G198" s="11"/>
      <c r="H198" s="11"/>
      <c r="I198" s="11"/>
      <c r="J198" s="11"/>
      <c r="K198" s="11"/>
      <c r="L198" s="11"/>
      <c r="M198" s="11"/>
      <c r="N198" s="11"/>
      <c r="O198" s="85"/>
      <c r="P198" s="11"/>
      <c r="Q198" s="11"/>
      <c r="R198" s="11"/>
      <c r="S198" s="11"/>
      <c r="T198" s="11"/>
      <c r="U198" s="11"/>
      <c r="V198" s="11"/>
      <c r="W198" s="11"/>
      <c r="X198" s="11"/>
      <c r="Y198" s="11"/>
      <c r="Z198" s="11"/>
      <c r="AA198" s="11"/>
      <c r="AB198" s="11"/>
      <c r="AC198" s="11"/>
      <c r="AD198" s="11"/>
      <c r="AE198" s="11"/>
      <c r="AF198" s="11"/>
      <c r="AG198" s="11"/>
      <c r="AH198" s="11"/>
      <c r="AI198" s="11"/>
      <c r="AJ198" s="11"/>
    </row>
    <row r="199" ht="13.5" customHeight="1">
      <c r="A199" s="11"/>
      <c r="B199" s="11"/>
      <c r="C199" s="11"/>
      <c r="D199" s="11"/>
      <c r="E199" s="11"/>
      <c r="F199" s="11"/>
      <c r="G199" s="11"/>
      <c r="H199" s="11"/>
      <c r="I199" s="11"/>
      <c r="J199" s="11"/>
      <c r="K199" s="11"/>
      <c r="L199" s="11"/>
      <c r="M199" s="11"/>
      <c r="N199" s="11"/>
      <c r="O199" s="85"/>
      <c r="P199" s="11"/>
      <c r="Q199" s="11"/>
      <c r="R199" s="11"/>
      <c r="S199" s="11"/>
      <c r="T199" s="11"/>
      <c r="U199" s="11"/>
      <c r="V199" s="11"/>
      <c r="W199" s="11"/>
      <c r="X199" s="11"/>
      <c r="Y199" s="11"/>
      <c r="Z199" s="11"/>
      <c r="AA199" s="11"/>
      <c r="AB199" s="11"/>
      <c r="AC199" s="11"/>
      <c r="AD199" s="11"/>
      <c r="AE199" s="11"/>
      <c r="AF199" s="11"/>
      <c r="AG199" s="11"/>
      <c r="AH199" s="11"/>
      <c r="AI199" s="11"/>
      <c r="AJ199" s="11"/>
    </row>
    <row r="200" ht="13.5" customHeight="1">
      <c r="A200" s="11"/>
      <c r="B200" s="11"/>
      <c r="C200" s="11"/>
      <c r="D200" s="11"/>
      <c r="E200" s="11"/>
      <c r="F200" s="11"/>
      <c r="G200" s="11"/>
      <c r="H200" s="11"/>
      <c r="I200" s="11"/>
      <c r="J200" s="11"/>
      <c r="K200" s="11"/>
      <c r="L200" s="11"/>
      <c r="M200" s="11"/>
      <c r="N200" s="11"/>
      <c r="O200" s="85"/>
      <c r="P200" s="11"/>
      <c r="Q200" s="11"/>
      <c r="R200" s="11"/>
      <c r="S200" s="11"/>
      <c r="T200" s="11"/>
      <c r="U200" s="11"/>
      <c r="V200" s="11"/>
      <c r="W200" s="11"/>
      <c r="X200" s="11"/>
      <c r="Y200" s="11"/>
      <c r="Z200" s="11"/>
      <c r="AA200" s="11"/>
      <c r="AB200" s="11"/>
      <c r="AC200" s="11"/>
      <c r="AD200" s="11"/>
      <c r="AE200" s="11"/>
      <c r="AF200" s="11"/>
      <c r="AG200" s="11"/>
      <c r="AH200" s="11"/>
      <c r="AI200" s="11"/>
      <c r="AJ200" s="11"/>
    </row>
    <row r="201" ht="13.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row>
    <row r="202" ht="13.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row>
    <row r="203" ht="13.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row>
    <row r="204" ht="13.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row>
    <row r="205" ht="13.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row>
    <row r="206" ht="13.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row>
    <row r="207" ht="13.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row>
    <row r="208" ht="13.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row>
    <row r="209" ht="13.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row>
    <row r="210" ht="13.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row>
    <row r="211" ht="13.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row>
    <row r="212" ht="13.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row>
    <row r="213" ht="13.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row>
    <row r="214" ht="13.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row>
    <row r="215" ht="13.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row>
    <row r="216" ht="13.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row>
    <row r="217" ht="13.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row>
    <row r="218" ht="13.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row>
    <row r="219" ht="13.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row>
    <row r="220" ht="13.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row>
    <row r="221" ht="13.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row>
    <row r="222" ht="13.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row>
    <row r="223" ht="13.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row>
    <row r="224" ht="13.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row>
    <row r="225" ht="13.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row>
    <row r="226" ht="13.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row>
    <row r="227" ht="13.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row>
    <row r="228" ht="13.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row>
    <row r="229" ht="13.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row>
    <row r="230" ht="13.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row>
    <row r="231" ht="13.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row>
    <row r="232" ht="13.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row>
    <row r="233" ht="13.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row>
    <row r="234" ht="13.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row>
    <row r="235" ht="13.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row>
    <row r="236" ht="13.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row>
    <row r="237" ht="13.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row>
    <row r="238" ht="13.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row>
    <row r="239" ht="13.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row>
    <row r="240" ht="13.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row>
    <row r="241" ht="13.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row>
    <row r="242" ht="13.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row>
    <row r="243" ht="13.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row>
    <row r="244" ht="13.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row>
    <row r="245" ht="13.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row>
    <row r="246" ht="13.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row>
    <row r="247" ht="13.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row>
    <row r="248" ht="13.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row>
    <row r="249" ht="13.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row>
    <row r="250" ht="13.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row>
    <row r="251" ht="13.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row>
    <row r="252" ht="13.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row>
    <row r="253" ht="13.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row>
    <row r="254" ht="13.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row>
    <row r="255" ht="13.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row>
    <row r="256" ht="13.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row>
    <row r="257" ht="13.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row>
    <row r="258" ht="13.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row>
    <row r="259" ht="13.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row>
    <row r="260" ht="13.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row>
    <row r="261" ht="13.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row>
    <row r="262" ht="13.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row>
    <row r="263" ht="13.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row>
    <row r="264" ht="13.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row>
    <row r="265" ht="13.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row>
    <row r="266" ht="13.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row>
    <row r="267" ht="13.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row>
    <row r="268" ht="13.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row>
    <row r="269" ht="13.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row>
    <row r="270" ht="13.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row>
    <row r="271" ht="13.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row>
    <row r="272" ht="13.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row>
    <row r="273" ht="13.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row>
    <row r="274" ht="13.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row>
    <row r="275" ht="13.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row>
    <row r="276" ht="13.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row>
    <row r="277" ht="13.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row>
    <row r="278" ht="13.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row>
    <row r="279" ht="13.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row>
    <row r="280" ht="13.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row>
    <row r="281" ht="13.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row>
    <row r="282" ht="13.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row>
    <row r="283" ht="13.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row>
    <row r="284" ht="13.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row>
    <row r="285" ht="13.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row>
    <row r="286" ht="13.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row>
    <row r="287" ht="13.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row>
    <row r="288" ht="13.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row>
    <row r="289" ht="13.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row>
    <row r="290" ht="13.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row>
    <row r="291" ht="13.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row>
    <row r="292" ht="13.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row>
    <row r="293" ht="13.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row>
    <row r="294" ht="13.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row>
    <row r="295" ht="13.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row>
    <row r="296" ht="13.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row>
    <row r="297" ht="13.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row>
    <row r="298" ht="13.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row>
    <row r="299" ht="13.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row>
    <row r="300" ht="13.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row>
    <row r="301" ht="13.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row>
    <row r="302" ht="13.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row>
    <row r="303" ht="13.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row>
    <row r="304" ht="13.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row>
    <row r="305" ht="13.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row>
    <row r="306" ht="13.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row>
    <row r="307" ht="13.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row>
    <row r="308" ht="13.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row>
    <row r="309" ht="13.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row>
    <row r="310" ht="13.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row>
    <row r="311" ht="13.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row>
    <row r="312" ht="13.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row>
    <row r="313" ht="13.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row>
    <row r="314" ht="13.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row>
    <row r="315" ht="13.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row>
    <row r="316" ht="13.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row>
    <row r="317" ht="13.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row>
    <row r="318" ht="13.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row>
    <row r="319" ht="13.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row>
    <row r="320" ht="13.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row>
    <row r="321" ht="13.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row>
    <row r="322" ht="13.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row>
    <row r="323" ht="13.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row>
    <row r="324" ht="13.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row>
    <row r="325" ht="13.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row>
    <row r="326" ht="13.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row>
    <row r="327" ht="13.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row>
    <row r="328" ht="13.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row>
    <row r="329" ht="13.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row>
    <row r="330" ht="13.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row>
    <row r="331" ht="13.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row>
    <row r="332" ht="13.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row>
    <row r="333" ht="13.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row>
    <row r="334" ht="13.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row>
    <row r="335" ht="13.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row>
    <row r="336" ht="13.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row>
    <row r="337" ht="13.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row>
    <row r="338" ht="13.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row>
    <row r="339" ht="13.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row>
    <row r="340" ht="13.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row>
    <row r="341" ht="13.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row>
    <row r="342" ht="13.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row>
    <row r="343" ht="13.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row>
    <row r="344" ht="13.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row>
    <row r="345" ht="13.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row>
    <row r="346" ht="13.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row>
    <row r="347" ht="13.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row>
    <row r="348" ht="13.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row>
    <row r="349" ht="13.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row>
    <row r="350" ht="13.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row>
    <row r="351" ht="13.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row>
    <row r="352" ht="13.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row>
    <row r="353" ht="13.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row>
    <row r="354" ht="13.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row>
    <row r="355" ht="13.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row>
    <row r="356" ht="13.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row>
    <row r="357" ht="13.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row>
    <row r="358" ht="13.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row>
    <row r="359" ht="13.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row>
    <row r="360" ht="13.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row>
    <row r="361" ht="13.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row>
    <row r="362" ht="13.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row>
    <row r="363" ht="13.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row>
    <row r="364" ht="13.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row>
    <row r="365" ht="13.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row>
    <row r="366" ht="13.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row>
    <row r="367" ht="13.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row>
    <row r="368" ht="13.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row>
    <row r="369" ht="13.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row>
    <row r="370" ht="13.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row>
    <row r="371" ht="13.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row>
    <row r="372" ht="13.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row>
    <row r="373" ht="13.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row>
    <row r="374" ht="13.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row>
    <row r="375" ht="13.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row>
    <row r="376" ht="13.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row>
    <row r="377" ht="13.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row>
    <row r="378" ht="13.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row>
    <row r="379" ht="13.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row>
    <row r="380" ht="13.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row>
    <row r="381" ht="13.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row>
    <row r="382" ht="13.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row>
    <row r="383" ht="13.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row>
    <row r="384" ht="13.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row>
    <row r="385" ht="13.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row>
    <row r="386" ht="13.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row>
    <row r="387" ht="13.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row>
    <row r="388" ht="13.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row>
    <row r="389" ht="13.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row>
    <row r="390" ht="13.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row>
    <row r="391" ht="13.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row>
    <row r="392" ht="13.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row>
    <row r="393" ht="13.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row>
    <row r="394" ht="13.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row>
    <row r="395" ht="13.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row>
    <row r="396" ht="13.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row>
    <row r="397" ht="13.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row>
    <row r="398" ht="13.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row>
    <row r="399" ht="13.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row>
    <row r="400" ht="13.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row>
    <row r="401" ht="13.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row>
    <row r="402" ht="13.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row>
    <row r="403" ht="13.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row>
    <row r="404" ht="13.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row>
    <row r="405" ht="13.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row>
    <row r="406" ht="13.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row>
    <row r="407" ht="13.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row>
    <row r="408" ht="13.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row>
    <row r="409" ht="13.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row>
    <row r="410" ht="13.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row>
    <row r="411" ht="13.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row>
    <row r="412" ht="13.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row>
    <row r="413" ht="13.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row>
    <row r="414" ht="13.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row>
    <row r="415" ht="13.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row>
    <row r="416" ht="13.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row>
    <row r="417" ht="13.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row>
    <row r="418" ht="13.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row>
    <row r="419" ht="13.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row>
    <row r="420" ht="13.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row>
    <row r="421" ht="13.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row>
    <row r="422" ht="13.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row>
    <row r="423" ht="13.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row>
    <row r="424" ht="13.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row>
    <row r="425" ht="13.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row>
    <row r="426" ht="13.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row>
    <row r="427" ht="13.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row>
    <row r="428" ht="13.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row>
    <row r="429" ht="13.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row>
    <row r="430" ht="13.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row>
    <row r="431" ht="13.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row>
    <row r="432" ht="13.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row>
    <row r="433" ht="13.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row>
    <row r="434" ht="13.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row>
    <row r="435" ht="13.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row>
    <row r="436" ht="13.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row>
    <row r="437" ht="13.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row>
    <row r="438" ht="13.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row>
    <row r="439" ht="13.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row>
    <row r="440" ht="13.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row>
    <row r="441" ht="13.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row>
    <row r="442" ht="13.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row>
    <row r="443" ht="13.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row>
    <row r="444" ht="13.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row>
    <row r="445" ht="13.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row>
    <row r="446" ht="13.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row>
    <row r="447" ht="13.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row>
    <row r="448" ht="13.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row>
    <row r="449" ht="13.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row>
    <row r="450" ht="13.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row>
    <row r="451" ht="13.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row>
    <row r="452" ht="13.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row>
    <row r="453" ht="13.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row>
    <row r="454" ht="13.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row>
    <row r="455" ht="13.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row>
    <row r="456" ht="13.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row>
    <row r="457" ht="13.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row>
    <row r="458" ht="13.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row>
    <row r="459" ht="13.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row>
    <row r="460" ht="13.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row>
    <row r="461" ht="13.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row>
    <row r="462" ht="13.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row>
    <row r="463" ht="13.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row>
    <row r="464" ht="13.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row>
    <row r="465" ht="13.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row>
    <row r="466" ht="13.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row>
    <row r="467" ht="13.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row>
    <row r="468" ht="13.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row>
    <row r="469" ht="13.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row>
    <row r="470" ht="13.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row>
    <row r="471" ht="13.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row>
    <row r="472" ht="13.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row>
    <row r="473" ht="13.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row>
    <row r="474" ht="13.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row>
    <row r="475" ht="13.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row>
    <row r="476" ht="13.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row>
    <row r="477" ht="13.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row>
    <row r="478" ht="13.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row>
    <row r="479" ht="13.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row>
    <row r="480" ht="13.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row>
    <row r="481" ht="13.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row>
    <row r="482" ht="13.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row>
    <row r="483" ht="13.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row>
    <row r="484" ht="13.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row>
    <row r="485" ht="13.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row>
    <row r="486" ht="13.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row>
    <row r="487" ht="13.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row>
    <row r="488" ht="13.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row>
    <row r="489" ht="13.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row>
    <row r="490" ht="13.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row>
    <row r="491" ht="13.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row>
    <row r="492" ht="13.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row>
    <row r="493" ht="13.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row>
    <row r="494" ht="13.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row>
    <row r="495" ht="13.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row>
    <row r="496" ht="13.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row>
    <row r="497" ht="13.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row>
    <row r="498" ht="13.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row>
    <row r="499" ht="13.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row>
    <row r="500" ht="13.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row>
    <row r="501" ht="13.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row>
    <row r="502" ht="13.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row>
    <row r="503" ht="13.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row>
    <row r="504" ht="13.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row>
    <row r="505" ht="13.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row>
    <row r="506" ht="13.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row>
    <row r="507" ht="13.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row>
    <row r="508" ht="13.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row>
    <row r="509" ht="13.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row>
    <row r="510" ht="13.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row>
    <row r="511" ht="13.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row>
    <row r="512" ht="13.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row>
    <row r="513" ht="13.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row>
    <row r="514" ht="13.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row>
    <row r="515" ht="13.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row>
    <row r="516" ht="13.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row>
    <row r="517" ht="13.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row>
    <row r="518" ht="13.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row>
    <row r="519" ht="13.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row>
    <row r="520" ht="13.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row>
    <row r="521" ht="13.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row>
    <row r="522" ht="13.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row>
    <row r="523" ht="13.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row>
    <row r="524" ht="13.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row>
    <row r="525" ht="13.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row>
    <row r="526" ht="13.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row>
    <row r="527" ht="13.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row>
    <row r="528" ht="13.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row>
    <row r="529" ht="13.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row>
    <row r="530" ht="13.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row>
    <row r="531" ht="13.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row>
    <row r="532" ht="13.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row>
    <row r="533" ht="13.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row>
    <row r="534" ht="13.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row>
    <row r="535" ht="13.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row>
    <row r="536" ht="13.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row>
    <row r="537" ht="13.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row>
    <row r="538" ht="13.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row>
    <row r="539" ht="13.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row>
    <row r="540" ht="13.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row>
    <row r="541" ht="13.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row>
    <row r="542" ht="13.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row>
    <row r="543" ht="13.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row>
    <row r="544" ht="13.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row>
    <row r="545" ht="13.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row>
    <row r="546" ht="13.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row>
    <row r="547" ht="13.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row>
    <row r="548" ht="13.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row>
    <row r="549" ht="13.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row>
    <row r="550" ht="13.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row>
    <row r="551" ht="13.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row>
    <row r="552" ht="13.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row>
    <row r="553" ht="13.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row>
    <row r="554" ht="13.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row>
    <row r="555" ht="13.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row>
    <row r="556" ht="13.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row>
    <row r="557" ht="13.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row>
    <row r="558" ht="13.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row>
    <row r="559" ht="13.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row>
    <row r="560" ht="13.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row>
    <row r="561" ht="13.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row>
    <row r="562" ht="13.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row>
    <row r="563" ht="13.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row>
    <row r="564" ht="13.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row>
    <row r="565" ht="13.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row>
    <row r="566" ht="13.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row>
    <row r="567" ht="13.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row>
    <row r="568" ht="13.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row>
    <row r="569" ht="13.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row>
    <row r="570" ht="13.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row>
    <row r="571" ht="13.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row>
    <row r="572" ht="13.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row>
    <row r="573" ht="13.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row>
    <row r="574" ht="13.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row>
    <row r="575" ht="13.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row>
    <row r="576" ht="13.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row>
    <row r="577" ht="13.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row>
    <row r="578" ht="13.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row>
    <row r="579" ht="13.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row>
    <row r="580" ht="13.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row>
    <row r="581" ht="13.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row>
    <row r="582" ht="13.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row>
    <row r="583" ht="13.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row>
    <row r="584" ht="13.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row>
    <row r="585" ht="13.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row>
    <row r="586" ht="13.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row>
    <row r="587" ht="13.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row>
    <row r="588" ht="13.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row>
    <row r="589" ht="13.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row>
    <row r="590" ht="13.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row>
    <row r="591" ht="13.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row>
    <row r="592" ht="13.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row>
    <row r="593" ht="13.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row>
    <row r="594" ht="13.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row>
    <row r="595" ht="13.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row>
    <row r="596" ht="13.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row>
    <row r="597" ht="13.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row>
    <row r="598" ht="13.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row>
    <row r="599" ht="13.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row>
    <row r="600" ht="13.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row>
    <row r="601" ht="13.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row>
    <row r="602" ht="13.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row>
    <row r="603" ht="13.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row>
    <row r="604" ht="13.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row>
    <row r="605" ht="13.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row>
    <row r="606" ht="13.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row>
    <row r="607" ht="13.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row>
    <row r="608" ht="13.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row>
    <row r="609" ht="13.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row>
    <row r="610" ht="13.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row>
    <row r="611" ht="13.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row>
    <row r="612" ht="13.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row>
    <row r="613" ht="13.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row>
    <row r="614" ht="13.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row>
    <row r="615" ht="13.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row>
    <row r="616" ht="13.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row>
    <row r="617" ht="13.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row>
    <row r="618" ht="13.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row>
    <row r="619" ht="13.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row>
    <row r="620" ht="13.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row>
    <row r="621" ht="13.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row>
    <row r="622" ht="13.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row>
    <row r="623" ht="13.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row>
    <row r="624" ht="13.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row>
    <row r="625" ht="13.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row>
    <row r="626" ht="13.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row>
    <row r="627" ht="13.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row>
    <row r="628" ht="13.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row>
    <row r="629" ht="13.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row>
    <row r="630" ht="13.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row>
    <row r="631" ht="13.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row>
    <row r="632" ht="13.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row>
    <row r="633" ht="13.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row>
    <row r="634" ht="13.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row>
    <row r="635" ht="13.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row>
    <row r="636" ht="13.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row>
    <row r="637" ht="13.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row>
    <row r="638" ht="13.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row>
    <row r="639" ht="13.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row>
    <row r="640" ht="13.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row>
    <row r="641" ht="13.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row>
    <row r="642" ht="13.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row>
    <row r="643" ht="13.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row>
    <row r="644" ht="13.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row>
    <row r="645" ht="13.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row>
    <row r="646" ht="13.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row>
    <row r="647" ht="13.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row>
    <row r="648" ht="13.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row>
    <row r="649" ht="13.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row>
    <row r="650" ht="13.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row>
    <row r="651" ht="13.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row>
    <row r="652" ht="13.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row>
    <row r="653" ht="13.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row>
    <row r="654" ht="13.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row>
    <row r="655" ht="13.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row>
    <row r="656" ht="13.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row>
    <row r="657" ht="13.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row>
    <row r="658" ht="13.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row>
    <row r="659" ht="13.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row>
    <row r="660" ht="13.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row>
    <row r="661" ht="13.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row>
    <row r="662" ht="13.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row>
    <row r="663" ht="13.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row>
    <row r="664" ht="13.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row>
    <row r="665" ht="13.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row>
    <row r="666" ht="13.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row>
    <row r="667" ht="13.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row>
    <row r="668" ht="13.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row>
    <row r="669" ht="13.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row>
    <row r="670" ht="13.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row>
    <row r="671" ht="13.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row>
    <row r="672" ht="13.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row>
    <row r="673" ht="13.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row>
    <row r="674" ht="13.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row>
    <row r="675" ht="13.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row>
    <row r="676" ht="13.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row>
    <row r="677" ht="13.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row>
    <row r="678" ht="13.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row>
    <row r="679" ht="13.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row>
    <row r="680" ht="13.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row>
    <row r="681" ht="13.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row>
    <row r="682" ht="13.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row>
    <row r="683" ht="13.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row>
    <row r="684" ht="13.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row>
    <row r="685" ht="13.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row>
    <row r="686" ht="13.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row>
    <row r="687" ht="13.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row>
    <row r="688" ht="13.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row>
    <row r="689" ht="13.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row>
    <row r="690" ht="13.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row>
    <row r="691" ht="13.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row>
    <row r="692" ht="13.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row>
    <row r="693" ht="13.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row>
    <row r="694" ht="13.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row>
    <row r="695" ht="13.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row>
    <row r="696" ht="13.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row>
    <row r="697" ht="13.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row>
    <row r="698" ht="13.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row>
    <row r="699" ht="13.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row>
    <row r="700" ht="13.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row>
    <row r="701" ht="13.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row>
    <row r="702" ht="13.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row>
    <row r="703" ht="13.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row>
    <row r="704" ht="13.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row>
    <row r="705" ht="13.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row>
    <row r="706" ht="13.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row>
    <row r="707" ht="13.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row>
    <row r="708" ht="13.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row>
    <row r="709" ht="13.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row>
    <row r="710" ht="13.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row>
    <row r="711" ht="13.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row>
    <row r="712" ht="13.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row>
    <row r="713" ht="13.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row>
    <row r="714" ht="13.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row>
    <row r="715" ht="13.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row>
    <row r="716" ht="13.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row>
    <row r="717" ht="13.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row>
    <row r="718" ht="13.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row>
    <row r="719" ht="13.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row>
    <row r="720" ht="13.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row>
    <row r="721" ht="13.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row>
    <row r="722" ht="13.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row>
    <row r="723" ht="13.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row>
    <row r="724" ht="13.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row>
    <row r="725" ht="13.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row>
    <row r="726" ht="13.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row>
    <row r="727" ht="13.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row>
    <row r="728" ht="13.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row>
    <row r="729" ht="13.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row>
    <row r="730" ht="13.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row>
    <row r="731" ht="13.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row>
    <row r="732" ht="13.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row>
    <row r="733" ht="13.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row>
    <row r="734" ht="13.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row>
    <row r="735" ht="13.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row>
    <row r="736" ht="13.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row>
    <row r="737" ht="13.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row>
    <row r="738" ht="13.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row>
    <row r="739" ht="13.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row>
    <row r="740" ht="13.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row>
    <row r="741" ht="13.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row>
    <row r="742" ht="13.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row>
    <row r="743" ht="13.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row>
    <row r="744" ht="13.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row>
    <row r="745" ht="13.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row>
    <row r="746" ht="13.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row>
    <row r="747" ht="13.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row>
    <row r="748" ht="13.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row>
    <row r="749" ht="13.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row>
    <row r="750" ht="13.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row>
    <row r="751" ht="13.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row>
    <row r="752" ht="13.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row>
    <row r="753" ht="13.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row>
    <row r="754" ht="13.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row>
    <row r="755" ht="13.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row>
    <row r="756" ht="13.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row>
    <row r="757" ht="13.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row>
    <row r="758" ht="13.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row>
    <row r="759" ht="13.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row>
    <row r="760" ht="13.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row>
    <row r="761" ht="13.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row>
    <row r="762" ht="13.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row>
    <row r="763" ht="13.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row>
    <row r="764" ht="13.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row>
    <row r="765" ht="13.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row>
    <row r="766" ht="13.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row>
    <row r="767" ht="13.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row>
    <row r="768" ht="13.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row>
    <row r="769" ht="13.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row>
    <row r="770" ht="13.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row>
    <row r="771" ht="13.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row>
    <row r="772" ht="13.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row>
    <row r="773" ht="13.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row>
    <row r="774" ht="13.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row>
    <row r="775" ht="13.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row>
    <row r="776" ht="13.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row>
    <row r="777" ht="13.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row>
    <row r="778" ht="13.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row>
    <row r="779" ht="13.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row>
    <row r="780" ht="13.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row>
    <row r="781" ht="13.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row>
    <row r="782" ht="13.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row>
    <row r="783" ht="13.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row>
    <row r="784" ht="13.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row>
    <row r="785" ht="13.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row>
    <row r="786" ht="13.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row>
    <row r="787" ht="13.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row>
    <row r="788" ht="13.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row>
    <row r="789" ht="13.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row>
    <row r="790" ht="13.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row>
    <row r="791" ht="13.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row>
    <row r="792" ht="13.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row>
    <row r="793" ht="13.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row>
    <row r="794" ht="13.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row>
    <row r="795" ht="13.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row>
    <row r="796" ht="13.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row>
    <row r="797" ht="13.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row>
    <row r="798" ht="13.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row>
    <row r="799" ht="13.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row>
    <row r="800" ht="13.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row>
    <row r="801" ht="13.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row>
    <row r="802" ht="13.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row>
    <row r="803" ht="13.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row>
    <row r="804" ht="13.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row>
    <row r="805" ht="13.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row>
    <row r="806" ht="13.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row>
    <row r="807" ht="13.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row>
    <row r="808" ht="13.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row>
    <row r="809" ht="13.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row>
    <row r="810" ht="13.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row>
    <row r="811" ht="13.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row>
    <row r="812" ht="13.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row>
    <row r="813" ht="13.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row>
    <row r="814" ht="13.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row>
    <row r="815" ht="13.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row>
    <row r="816" ht="13.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row>
    <row r="817" ht="13.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row>
    <row r="818" ht="13.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row>
    <row r="819" ht="13.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row>
    <row r="820" ht="13.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row>
    <row r="821" ht="13.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row>
    <row r="822" ht="13.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row>
    <row r="823" ht="13.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row>
    <row r="824" ht="13.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row>
    <row r="825" ht="13.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row>
    <row r="826" ht="13.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row>
    <row r="827" ht="13.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row>
    <row r="828" ht="13.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row>
    <row r="829" ht="13.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row>
    <row r="830" ht="13.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row>
    <row r="831" ht="13.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row>
    <row r="832" ht="13.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row>
    <row r="833" ht="13.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row>
    <row r="834" ht="13.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row>
    <row r="835" ht="13.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row>
    <row r="836" ht="13.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row>
    <row r="837" ht="13.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row>
    <row r="838" ht="13.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row>
    <row r="839" ht="13.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row>
    <row r="840" ht="13.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row>
    <row r="841" ht="13.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row>
    <row r="842" ht="13.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row>
    <row r="843" ht="13.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row>
    <row r="844" ht="13.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row>
    <row r="845" ht="13.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row>
    <row r="846" ht="13.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row>
    <row r="847" ht="13.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row>
    <row r="848" ht="13.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row>
    <row r="849" ht="13.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row>
    <row r="850" ht="13.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row>
    <row r="851" ht="13.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row>
    <row r="852" ht="13.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row>
    <row r="853" ht="13.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row>
    <row r="854" ht="13.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row>
    <row r="855" ht="13.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row>
    <row r="856" ht="13.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row>
    <row r="857" ht="13.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row>
    <row r="858" ht="13.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row>
    <row r="859" ht="13.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row>
    <row r="860" ht="13.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row>
    <row r="861" ht="13.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row>
    <row r="862" ht="13.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row>
    <row r="863" ht="13.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row>
    <row r="864" ht="13.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row>
    <row r="865" ht="13.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row>
    <row r="866" ht="13.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row>
    <row r="867" ht="13.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row>
    <row r="868" ht="13.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row>
    <row r="869" ht="13.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row>
    <row r="870" ht="13.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row>
    <row r="871" ht="13.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row>
    <row r="872" ht="13.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row>
    <row r="873" ht="13.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row>
    <row r="874" ht="13.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row>
    <row r="875" ht="13.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row>
    <row r="876" ht="13.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row>
    <row r="877" ht="13.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row>
    <row r="878" ht="13.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row>
    <row r="879" ht="13.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row>
    <row r="880" ht="13.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row>
    <row r="881" ht="13.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row>
    <row r="882" ht="13.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row>
    <row r="883" ht="13.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row>
    <row r="884" ht="13.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row>
    <row r="885" ht="13.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row>
    <row r="886" ht="13.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row>
    <row r="887" ht="13.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row>
    <row r="888" ht="13.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row>
    <row r="889" ht="13.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row>
    <row r="890" ht="13.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row>
    <row r="891" ht="13.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row>
    <row r="892" ht="13.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row>
    <row r="893" ht="13.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row>
    <row r="894" ht="13.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row>
    <row r="895" ht="13.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row>
    <row r="896" ht="13.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row>
    <row r="897" ht="13.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row>
    <row r="898" ht="13.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row>
    <row r="899" ht="13.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row>
    <row r="900" ht="13.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row>
    <row r="901" ht="13.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row>
    <row r="902" ht="13.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row>
    <row r="903" ht="13.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row>
    <row r="904" ht="13.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row>
    <row r="905" ht="13.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row>
    <row r="906" ht="13.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row>
    <row r="907" ht="13.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row>
    <row r="908" ht="13.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row>
    <row r="909" ht="13.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row>
    <row r="910" ht="13.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row>
    <row r="911" ht="13.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row>
    <row r="912" ht="13.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row>
    <row r="913" ht="13.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row>
    <row r="914" ht="13.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row>
    <row r="915" ht="13.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row>
    <row r="916" ht="13.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row>
    <row r="917" ht="13.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row>
    <row r="918" ht="13.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row>
    <row r="919" ht="13.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row>
    <row r="920" ht="13.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row>
    <row r="921" ht="13.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row>
    <row r="922" ht="13.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row>
    <row r="923" ht="13.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row>
    <row r="924" ht="13.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row>
    <row r="925" ht="13.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row>
    <row r="926" ht="13.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row>
    <row r="927" ht="13.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row>
    <row r="928" ht="13.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row>
    <row r="929" ht="13.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row>
    <row r="930" ht="13.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row>
    <row r="931" ht="13.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row>
    <row r="932" ht="13.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row>
    <row r="933" ht="13.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row>
    <row r="934" ht="13.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row>
    <row r="935" ht="13.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row>
    <row r="936" ht="13.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row>
    <row r="937" ht="13.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row>
    <row r="938" ht="13.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row>
    <row r="939" ht="13.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row>
    <row r="940" ht="13.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row>
    <row r="941" ht="13.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row>
    <row r="942" ht="13.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row>
    <row r="943" ht="13.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row>
    <row r="944" ht="13.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row>
    <row r="945" ht="13.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row>
    <row r="946" ht="13.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row>
    <row r="947" ht="13.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row>
    <row r="948" ht="13.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row>
    <row r="949" ht="13.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row>
    <row r="950" ht="13.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row>
    <row r="951" ht="13.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row>
    <row r="952" ht="13.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row>
    <row r="953" ht="13.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row>
    <row r="954" ht="13.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row>
    <row r="955" ht="13.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row>
    <row r="956" ht="13.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row>
    <row r="957" ht="13.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row>
    <row r="958" ht="13.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row>
    <row r="959" ht="13.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row>
    <row r="960" ht="13.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row>
    <row r="961" ht="13.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row>
    <row r="962" ht="13.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row>
    <row r="963" ht="13.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row>
    <row r="964" ht="13.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row>
    <row r="965" ht="13.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row>
    <row r="966" ht="13.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row>
    <row r="967" ht="13.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row>
    <row r="968" ht="13.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row>
    <row r="969" ht="13.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row>
    <row r="970" ht="13.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row>
    <row r="971" ht="13.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row>
    <row r="972" ht="13.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row>
    <row r="973" ht="13.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row>
    <row r="974" ht="13.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row>
    <row r="975" ht="13.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row>
    <row r="976" ht="13.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row>
    <row r="977" ht="13.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row>
    <row r="978" ht="13.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row>
    <row r="979" ht="13.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row>
    <row r="980" ht="13.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row>
    <row r="981" ht="13.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row>
    <row r="982" ht="13.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row>
    <row r="983" ht="13.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row>
    <row r="984" ht="13.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row>
    <row r="985" ht="13.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row>
    <row r="986" ht="13.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row>
    <row r="987" ht="13.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row>
    <row r="988" ht="13.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row>
    <row r="989" ht="13.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row>
    <row r="990" ht="13.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row>
    <row r="991" ht="13.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row>
    <row r="992" ht="13.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row>
    <row r="993" ht="13.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row>
    <row r="994" ht="13.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row>
    <row r="995" ht="13.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row>
    <row r="996" ht="13.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row>
    <row r="997" ht="13.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row>
    <row r="998" ht="13.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row>
    <row r="999" ht="13.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row>
    <row r="1000" ht="13.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row>
  </sheetData>
  <conditionalFormatting sqref="S12:S13">
    <cfRule type="expression" dxfId="0" priority="1">
      <formula>AND(NOT(ISFORMULA(S12)),ISNUMBER(S12))</formula>
    </cfRule>
  </conditionalFormatting>
  <conditionalFormatting sqref="S15">
    <cfRule type="expression" dxfId="0" priority="2">
      <formula>AND(NOT(ISFORMULA(S15)),ISNUMBER(S15))</formula>
    </cfRule>
  </conditionalFormatting>
  <conditionalFormatting sqref="S19:S22">
    <cfRule type="expression" dxfId="0" priority="3">
      <formula>AND(NOT(ISFORMULA(S19)),ISNUMBER(S19))</formula>
    </cfRule>
  </conditionalFormatting>
  <conditionalFormatting sqref="S24:S26">
    <cfRule type="expression" dxfId="0" priority="4">
      <formula>AND(NOT(ISFORMULA(S24)),ISNUMBER(S24))</formula>
    </cfRule>
  </conditionalFormatting>
  <conditionalFormatting sqref="S28:S31">
    <cfRule type="expression" dxfId="0" priority="5">
      <formula>AND(NOT(ISFORMULA(S28)),ISNUMBER(S28))</formula>
    </cfRule>
  </conditionalFormatting>
  <conditionalFormatting sqref="S38:S42">
    <cfRule type="expression" dxfId="0" priority="6">
      <formula>AND(NOT(ISFORMULA(S38)),ISNUMBER(S38))</formula>
    </cfRule>
  </conditionalFormatting>
  <conditionalFormatting sqref="S44:S50">
    <cfRule type="expression" dxfId="0" priority="7">
      <formula>AND(NOT(ISFORMULA(S44)),ISNUMBER(S44))</formula>
    </cfRule>
  </conditionalFormatting>
  <conditionalFormatting sqref="S58:S60">
    <cfRule type="expression" dxfId="0" priority="8">
      <formula>AND(NOT(ISFORMULA(S58)),ISNUMBER(S58))</formula>
    </cfRule>
  </conditionalFormatting>
  <conditionalFormatting sqref="S62">
    <cfRule type="expression" dxfId="0" priority="9">
      <formula>AND(NOT(ISFORMULA(S62)),ISNUMBER(S62))</formula>
    </cfRule>
  </conditionalFormatting>
  <conditionalFormatting sqref="S70:S72">
    <cfRule type="expression" dxfId="0" priority="10">
      <formula>AND(NOT(ISFORMULA(S70)),ISNUMBER(S70))</formula>
    </cfRule>
  </conditionalFormatting>
  <conditionalFormatting sqref="S74:S80">
    <cfRule type="expression" dxfId="0" priority="11">
      <formula>AND(NOT(ISFORMULA(S74)),ISNUMBER(S74))</formula>
    </cfRule>
  </conditionalFormatting>
  <conditionalFormatting sqref="S82:S86">
    <cfRule type="expression" dxfId="0" priority="12">
      <formula>AND(NOT(ISFORMULA(S82)),ISNUMBER(S82))</formula>
    </cfRule>
  </conditionalFormatting>
  <conditionalFormatting sqref="S88:S115">
    <cfRule type="expression" dxfId="0" priority="13">
      <formula>AND(NOT(ISFORMULA(S88)),ISNUMBER(S88))</formula>
    </cfRule>
  </conditionalFormatting>
  <conditionalFormatting sqref="S120:S121">
    <cfRule type="expression" dxfId="0" priority="14">
      <formula>AND(NOT(ISFORMULA(S120)),ISNUMBER(S120))</formula>
    </cfRule>
  </conditionalFormatting>
  <conditionalFormatting sqref="S124:S129">
    <cfRule type="expression" dxfId="0" priority="15">
      <formula>AND(NOT(ISFORMULA(S124)),ISNUMBER(S124))</formula>
    </cfRule>
  </conditionalFormatting>
  <dataValidations>
    <dataValidation type="decimal" allowBlank="1" showInputMessage="1" showErrorMessage="1" prompt="Numbers only - Please enter a number (no text)." sqref="S12:AF13 S15:AF15 S19:AF22 S24:AF26 S28:AF31 S38:AF42 S44:AF50 S58:AF60 S62:AF62 S70:AF72 S74:AF80 S82:AF86 S88:AF115 S120:AF121 S124:AF129">
      <formula1>-1.0E15</formula1>
      <formula2>1.0E15</formula2>
    </dataValidation>
    <dataValidation type="list" allowBlank="1" showErrorMessage="1" sqref="R12:R13 R15 R19:R22 R24:R26 R28:R31 R38:R42 R44:R50 R58:R60 R62 R70:R72 R74:R80 R82:R86 R88:R115 R120:R121 R124:R129">
      <formula1>"Even,YOY Growth,Manual"</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9.0" topLeftCell="B20" activePane="bottomRight" state="frozen"/>
      <selection activeCell="B1" sqref="B1" pane="topRight"/>
      <selection activeCell="A20" sqref="A20" pane="bottomLeft"/>
      <selection activeCell="B20" sqref="B20" pane="bottomRight"/>
    </sheetView>
  </sheetViews>
  <sheetFormatPr customHeight="1" defaultColWidth="12.63" defaultRowHeight="15.0"/>
  <cols>
    <col customWidth="1" min="1" max="1" width="52.0"/>
    <col customWidth="1" min="2" max="9" width="12.5"/>
    <col customWidth="1" min="10" max="10" width="13.13"/>
    <col customWidth="1" min="11" max="11" width="13.38"/>
    <col customWidth="1" min="12" max="19" width="12.5"/>
    <col customWidth="1" min="20" max="20" width="22.0"/>
    <col customWidth="1" min="21" max="26" width="8.63"/>
  </cols>
  <sheetData>
    <row r="1" ht="14.25" customHeight="1">
      <c r="A1" s="111" t="s">
        <v>207</v>
      </c>
      <c r="B1" s="2"/>
      <c r="C1" s="2"/>
      <c r="D1" s="2"/>
      <c r="E1" s="2"/>
      <c r="F1" s="2"/>
      <c r="G1" s="2"/>
      <c r="H1" s="2"/>
      <c r="I1" s="2"/>
      <c r="J1" s="2"/>
      <c r="K1" s="2"/>
      <c r="L1" s="2"/>
      <c r="M1" s="2"/>
      <c r="N1" s="2"/>
      <c r="O1" s="2"/>
      <c r="P1" s="2"/>
      <c r="Q1" s="2"/>
      <c r="R1" s="2"/>
      <c r="S1" s="2"/>
      <c r="T1" s="2"/>
      <c r="U1" s="2"/>
      <c r="V1" s="2"/>
      <c r="W1" s="2"/>
      <c r="X1" s="2"/>
      <c r="Y1" s="2"/>
      <c r="Z1" s="2"/>
    </row>
    <row r="2" ht="14.25" customHeight="1">
      <c r="A2" s="112" t="s">
        <v>208</v>
      </c>
      <c r="B2" s="2"/>
      <c r="C2" s="2"/>
      <c r="D2" s="2"/>
      <c r="E2" s="2"/>
      <c r="F2" s="2"/>
      <c r="G2" s="2"/>
      <c r="H2" s="2"/>
      <c r="I2" s="2"/>
      <c r="J2" s="2"/>
      <c r="K2" s="2"/>
      <c r="L2" s="2"/>
      <c r="M2" s="2"/>
      <c r="N2" s="2"/>
      <c r="O2" s="2"/>
      <c r="P2" s="2"/>
      <c r="Q2" s="2"/>
      <c r="R2" s="2"/>
      <c r="S2" s="2"/>
      <c r="T2" s="2"/>
      <c r="U2" s="2"/>
      <c r="V2" s="2"/>
      <c r="W2" s="2"/>
      <c r="X2" s="2"/>
      <c r="Y2" s="2"/>
      <c r="Z2" s="2"/>
    </row>
    <row r="3" ht="14.25" customHeight="1">
      <c r="A3" s="2"/>
      <c r="B3" s="2"/>
      <c r="C3" s="2"/>
      <c r="D3" s="2"/>
      <c r="E3" s="2"/>
      <c r="F3" s="2"/>
      <c r="G3" s="2"/>
      <c r="H3" s="2"/>
      <c r="I3" s="2"/>
      <c r="J3" s="2"/>
      <c r="K3" s="2"/>
      <c r="L3" s="2"/>
      <c r="M3" s="2"/>
      <c r="N3" s="2"/>
      <c r="O3" s="2"/>
      <c r="P3" s="2"/>
      <c r="Q3" s="113"/>
      <c r="R3" s="2"/>
      <c r="S3" s="2"/>
      <c r="T3" s="2"/>
      <c r="U3" s="2"/>
      <c r="V3" s="2"/>
      <c r="W3" s="2"/>
      <c r="X3" s="2"/>
      <c r="Y3" s="2"/>
      <c r="Z3" s="2"/>
    </row>
    <row r="4" ht="14.25" customHeight="1">
      <c r="A4" s="114" t="s">
        <v>209</v>
      </c>
      <c r="B4" s="115" t="s">
        <v>210</v>
      </c>
      <c r="C4" s="116"/>
      <c r="D4" s="116"/>
      <c r="E4" s="117" t="s">
        <v>211</v>
      </c>
      <c r="F4" s="117"/>
      <c r="G4" s="117"/>
      <c r="H4" s="117"/>
      <c r="I4" s="2"/>
      <c r="J4" s="117" t="s">
        <v>212</v>
      </c>
      <c r="K4" s="117"/>
      <c r="L4" s="117"/>
      <c r="M4" s="117"/>
      <c r="N4" s="2"/>
      <c r="O4" s="2"/>
      <c r="P4" s="2"/>
      <c r="Q4" s="2"/>
      <c r="R4" s="2"/>
      <c r="S4" s="2"/>
      <c r="T4" s="2"/>
      <c r="U4" s="2"/>
      <c r="V4" s="2"/>
      <c r="W4" s="2"/>
      <c r="X4" s="2"/>
      <c r="Y4" s="2"/>
      <c r="Z4" s="2"/>
    </row>
    <row r="5" ht="14.25" customHeight="1">
      <c r="A5" s="2" t="s">
        <v>213</v>
      </c>
      <c r="B5" s="118">
        <v>1.0</v>
      </c>
      <c r="E5" s="2" t="s">
        <v>214</v>
      </c>
      <c r="F5" s="2"/>
      <c r="G5" s="2"/>
      <c r="H5" s="119">
        <v>90000.0</v>
      </c>
      <c r="I5" s="2"/>
      <c r="J5" s="2" t="s">
        <v>215</v>
      </c>
      <c r="K5" s="2"/>
      <c r="L5" s="2"/>
      <c r="M5" s="120">
        <f>'Prod Payroll'!M5</f>
        <v>0.03</v>
      </c>
      <c r="N5" s="2"/>
      <c r="O5" s="2"/>
      <c r="P5" s="2"/>
      <c r="Q5" s="2"/>
      <c r="R5" s="2"/>
      <c r="S5" s="2"/>
      <c r="T5" s="2"/>
      <c r="U5" s="2"/>
      <c r="V5" s="2"/>
      <c r="W5" s="2"/>
      <c r="X5" s="2"/>
      <c r="Y5" s="2"/>
      <c r="Z5" s="2"/>
    </row>
    <row r="6" ht="14.25" customHeight="1">
      <c r="A6" s="113" t="s">
        <v>216</v>
      </c>
      <c r="B6" s="121">
        <v>63000.0</v>
      </c>
      <c r="E6" s="2" t="s">
        <v>217</v>
      </c>
      <c r="F6" s="2"/>
      <c r="G6" s="2"/>
      <c r="H6" s="122">
        <v>0.068</v>
      </c>
      <c r="I6" s="2"/>
      <c r="J6" s="2" t="s">
        <v>218</v>
      </c>
      <c r="K6" s="2"/>
      <c r="L6" s="2"/>
      <c r="M6" s="123">
        <f>'Prod Payroll'!M6</f>
        <v>46661</v>
      </c>
      <c r="N6" s="2"/>
      <c r="O6" s="2"/>
      <c r="P6" s="2"/>
      <c r="Q6" s="2"/>
      <c r="R6" s="2"/>
      <c r="S6" s="2"/>
      <c r="T6" s="2"/>
      <c r="U6" s="2"/>
      <c r="V6" s="2"/>
      <c r="W6" s="2"/>
      <c r="X6" s="2"/>
      <c r="Y6" s="2"/>
      <c r="Z6" s="2"/>
    </row>
    <row r="7" ht="14.25" customHeight="1">
      <c r="A7" s="2" t="s">
        <v>217</v>
      </c>
      <c r="B7" s="122">
        <v>0.068</v>
      </c>
      <c r="E7" s="2" t="s">
        <v>219</v>
      </c>
      <c r="F7" s="2"/>
      <c r="G7" s="2"/>
      <c r="H7" s="122">
        <v>0.164</v>
      </c>
      <c r="I7" s="2"/>
      <c r="J7" s="2" t="s">
        <v>220</v>
      </c>
      <c r="K7" s="2"/>
      <c r="L7" s="2"/>
      <c r="M7" s="124">
        <f>'Prod Payroll'!M9</f>
        <v>6</v>
      </c>
      <c r="N7" s="2"/>
      <c r="O7" s="2"/>
      <c r="P7" s="2"/>
      <c r="Q7" s="2"/>
      <c r="R7" s="2"/>
      <c r="S7" s="2"/>
      <c r="T7" s="2"/>
      <c r="U7" s="2"/>
      <c r="V7" s="2"/>
      <c r="W7" s="2"/>
      <c r="X7" s="2"/>
      <c r="Y7" s="2"/>
      <c r="Z7" s="2"/>
    </row>
    <row r="8" ht="14.25" customHeight="1">
      <c r="A8" s="2" t="s">
        <v>219</v>
      </c>
      <c r="B8" s="122">
        <v>0.164</v>
      </c>
      <c r="E8" s="2" t="s">
        <v>221</v>
      </c>
      <c r="F8" s="2"/>
      <c r="G8" s="2"/>
      <c r="H8" s="125">
        <v>20.0</v>
      </c>
      <c r="I8" s="2"/>
      <c r="J8" s="126" t="s">
        <v>222</v>
      </c>
      <c r="K8" s="2"/>
      <c r="L8" s="2"/>
      <c r="M8" s="2"/>
      <c r="N8" s="2"/>
      <c r="O8" s="2"/>
      <c r="P8" s="2"/>
      <c r="Q8" s="2"/>
      <c r="R8" s="2"/>
      <c r="S8" s="2"/>
      <c r="T8" s="2"/>
      <c r="U8" s="2"/>
      <c r="V8" s="2"/>
      <c r="W8" s="2"/>
      <c r="X8" s="2"/>
      <c r="Y8" s="2"/>
      <c r="Z8" s="2"/>
    </row>
    <row r="9" ht="14.25" customHeight="1">
      <c r="A9" s="2" t="s">
        <v>223</v>
      </c>
      <c r="B9" s="119">
        <v>2000.0</v>
      </c>
      <c r="C9" s="2"/>
      <c r="D9" s="2"/>
      <c r="E9" s="2" t="s">
        <v>224</v>
      </c>
      <c r="F9" s="2"/>
      <c r="G9" s="2"/>
      <c r="H9" s="127">
        <v>1.0</v>
      </c>
      <c r="I9" s="2"/>
      <c r="J9" s="2"/>
      <c r="K9" s="2"/>
      <c r="L9" s="2"/>
      <c r="M9" s="2"/>
      <c r="N9" s="2"/>
      <c r="O9" s="2"/>
      <c r="P9" s="2"/>
      <c r="Q9" s="2"/>
      <c r="R9" s="2"/>
      <c r="S9" s="2"/>
      <c r="T9" s="2"/>
      <c r="U9" s="2"/>
      <c r="V9" s="2"/>
      <c r="W9" s="2"/>
      <c r="X9" s="2"/>
      <c r="Y9" s="2"/>
      <c r="Z9" s="2"/>
    </row>
    <row r="10" ht="14.25" customHeight="1">
      <c r="A10" s="2" t="s">
        <v>225</v>
      </c>
      <c r="B10" s="125">
        <v>1.0</v>
      </c>
      <c r="C10" s="2"/>
      <c r="D10" s="2"/>
      <c r="E10" s="2" t="s">
        <v>226</v>
      </c>
      <c r="F10" s="2"/>
      <c r="G10" s="2"/>
      <c r="H10" s="119">
        <v>2000.0</v>
      </c>
      <c r="I10" s="2"/>
      <c r="J10" s="117" t="s">
        <v>227</v>
      </c>
      <c r="K10" s="117"/>
      <c r="L10" s="117"/>
      <c r="M10" s="117"/>
      <c r="N10" s="2"/>
      <c r="O10" s="2"/>
      <c r="P10" s="2"/>
      <c r="Q10" s="2"/>
      <c r="R10" s="2"/>
      <c r="S10" s="2"/>
      <c r="T10" s="2"/>
      <c r="U10" s="2"/>
      <c r="V10" s="2"/>
      <c r="W10" s="2"/>
      <c r="X10" s="2"/>
      <c r="Y10" s="2"/>
      <c r="Z10" s="2"/>
    </row>
    <row r="11" ht="14.25" customHeight="1">
      <c r="A11" s="113" t="s">
        <v>228</v>
      </c>
      <c r="B11" s="128">
        <v>14.0</v>
      </c>
      <c r="C11" s="2"/>
      <c r="D11" s="2"/>
      <c r="E11" s="113" t="s">
        <v>229</v>
      </c>
      <c r="F11" s="2"/>
      <c r="G11" s="2"/>
      <c r="H11" s="128">
        <v>1.0</v>
      </c>
      <c r="I11" s="2"/>
      <c r="J11" s="2" t="s">
        <v>230</v>
      </c>
      <c r="K11" s="2"/>
      <c r="L11" s="2"/>
      <c r="M11" s="128">
        <v>40.0</v>
      </c>
      <c r="N11" s="2"/>
      <c r="O11" s="2"/>
      <c r="P11" s="2"/>
      <c r="Q11" s="2"/>
      <c r="R11" s="2"/>
      <c r="S11" s="2"/>
      <c r="T11" s="2"/>
      <c r="U11" s="2"/>
      <c r="V11" s="2"/>
      <c r="W11" s="2"/>
      <c r="X11" s="2"/>
      <c r="Y11" s="2"/>
      <c r="Z11" s="2"/>
    </row>
    <row r="12" ht="14.25" customHeight="1">
      <c r="A12" s="2" t="s">
        <v>231</v>
      </c>
      <c r="B12" s="129">
        <v>0.6</v>
      </c>
      <c r="C12" s="2"/>
      <c r="D12" s="2"/>
      <c r="E12" s="113" t="s">
        <v>232</v>
      </c>
      <c r="F12" s="2"/>
      <c r="G12" s="2"/>
      <c r="H12" s="130"/>
      <c r="I12" s="2"/>
      <c r="J12" s="2" t="s">
        <v>233</v>
      </c>
      <c r="K12" s="2"/>
      <c r="L12" s="2"/>
      <c r="M12" s="125">
        <v>0.0</v>
      </c>
      <c r="N12" s="2"/>
      <c r="O12" s="2"/>
      <c r="P12" s="2"/>
      <c r="Q12" s="2"/>
      <c r="R12" s="2"/>
      <c r="S12" s="2"/>
      <c r="T12" s="2"/>
      <c r="U12" s="2"/>
      <c r="V12" s="2"/>
      <c r="W12" s="2"/>
      <c r="X12" s="2"/>
      <c r="Y12" s="2"/>
      <c r="Z12" s="2"/>
    </row>
    <row r="13" ht="14.25" customHeight="1">
      <c r="A13" s="3" t="s">
        <v>234</v>
      </c>
      <c r="B13" s="2"/>
      <c r="C13" s="2"/>
      <c r="D13" s="2"/>
      <c r="E13" s="2"/>
      <c r="F13" s="2"/>
      <c r="G13" s="2"/>
      <c r="H13" s="2"/>
      <c r="I13" s="2"/>
      <c r="J13" s="2" t="s">
        <v>235</v>
      </c>
      <c r="K13" s="2"/>
      <c r="L13" s="2"/>
      <c r="M13" s="125">
        <v>0.0</v>
      </c>
      <c r="N13" s="2"/>
      <c r="O13" s="2"/>
      <c r="P13" s="2"/>
      <c r="Q13" s="2"/>
      <c r="R13" s="2"/>
      <c r="S13" s="2"/>
      <c r="T13" s="2"/>
      <c r="U13" s="2"/>
      <c r="V13" s="2"/>
      <c r="W13" s="2"/>
      <c r="X13" s="2"/>
      <c r="Y13" s="2"/>
      <c r="Z13" s="2"/>
    </row>
    <row r="14" ht="14.25" customHeight="1">
      <c r="A14" s="114" t="s">
        <v>236</v>
      </c>
      <c r="B14" s="115" t="s">
        <v>237</v>
      </c>
      <c r="C14" s="115"/>
      <c r="D14" s="2"/>
      <c r="E14" s="131" t="s">
        <v>238</v>
      </c>
      <c r="F14" s="117"/>
      <c r="G14" s="117"/>
      <c r="H14" s="117"/>
      <c r="I14" s="2"/>
      <c r="J14" s="2" t="s">
        <v>239</v>
      </c>
      <c r="K14" s="2"/>
      <c r="L14" s="2"/>
      <c r="M14" s="132" t="s">
        <v>240</v>
      </c>
      <c r="N14" s="2"/>
      <c r="O14" s="2"/>
      <c r="P14" s="2"/>
      <c r="Q14" s="2"/>
      <c r="R14" s="2"/>
      <c r="S14" s="2"/>
      <c r="T14" s="2"/>
      <c r="U14" s="2"/>
      <c r="V14" s="2"/>
      <c r="W14" s="2"/>
      <c r="X14" s="2"/>
      <c r="Y14" s="2"/>
      <c r="Z14" s="2"/>
    </row>
    <row r="15" ht="14.25" customHeight="1">
      <c r="A15" s="2" t="s">
        <v>241</v>
      </c>
      <c r="B15" s="133">
        <f>ROUND(AVERAGE(DeploySum!O54:Q54),0)</f>
        <v>7</v>
      </c>
      <c r="C15" s="2"/>
      <c r="D15" s="2"/>
      <c r="E15" s="113" t="s">
        <v>242</v>
      </c>
      <c r="F15" s="2"/>
      <c r="G15" s="2"/>
      <c r="H15" s="121">
        <v>76515.0</v>
      </c>
      <c r="I15" s="2"/>
      <c r="J15" s="2"/>
      <c r="K15" s="2"/>
      <c r="L15" s="2"/>
      <c r="M15" s="2"/>
      <c r="N15" s="2"/>
      <c r="O15" s="2"/>
      <c r="P15" s="2"/>
      <c r="Q15" s="2"/>
      <c r="R15" s="2"/>
      <c r="S15" s="2"/>
      <c r="T15" s="2"/>
      <c r="U15" s="2"/>
      <c r="V15" s="2"/>
      <c r="W15" s="2"/>
      <c r="X15" s="2"/>
      <c r="Y15" s="2"/>
      <c r="Z15" s="2"/>
    </row>
    <row r="16" ht="14.25" customHeight="1">
      <c r="A16" s="2" t="s">
        <v>243</v>
      </c>
      <c r="B16" s="133">
        <f>ROUND(AVERAGE(DeploySum!O57:Q57),0)</f>
        <v>2</v>
      </c>
      <c r="C16" s="2"/>
      <c r="D16" s="2"/>
      <c r="E16" s="113" t="s">
        <v>244</v>
      </c>
      <c r="F16" s="2"/>
      <c r="G16" s="2"/>
      <c r="H16" s="121">
        <v>120000.0</v>
      </c>
      <c r="I16" s="2"/>
      <c r="J16" s="2"/>
      <c r="K16" s="2"/>
      <c r="L16" s="2"/>
      <c r="M16" s="2"/>
      <c r="N16" s="2"/>
      <c r="O16" s="2"/>
      <c r="P16" s="2"/>
      <c r="Q16" s="2"/>
      <c r="R16" s="2"/>
      <c r="S16" s="2"/>
      <c r="T16" s="2"/>
      <c r="U16" s="2"/>
      <c r="V16" s="2"/>
      <c r="W16" s="2"/>
      <c r="X16" s="2"/>
      <c r="Y16" s="2"/>
      <c r="Z16" s="2"/>
    </row>
    <row r="17" ht="14.25" customHeight="1">
      <c r="U17" s="2"/>
      <c r="V17" s="2"/>
      <c r="W17" s="2"/>
      <c r="X17" s="2"/>
      <c r="Y17" s="2"/>
      <c r="Z17" s="2"/>
    </row>
    <row r="18"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4.25" customHeight="1">
      <c r="A19" s="134" t="s">
        <v>245</v>
      </c>
      <c r="B19" s="6">
        <f>DeploySum!B53</f>
        <v>46295</v>
      </c>
      <c r="C19" s="6">
        <f>DeploySum!C53</f>
        <v>46326</v>
      </c>
      <c r="D19" s="6">
        <f>DeploySum!D53</f>
        <v>46356</v>
      </c>
      <c r="E19" s="6">
        <f>DeploySum!E53</f>
        <v>46387</v>
      </c>
      <c r="F19" s="6">
        <f>DeploySum!F53</f>
        <v>46418</v>
      </c>
      <c r="G19" s="6">
        <f>DeploySum!G53</f>
        <v>46446</v>
      </c>
      <c r="H19" s="6">
        <f>DeploySum!H53</f>
        <v>46477</v>
      </c>
      <c r="I19" s="6">
        <f>DeploySum!I53</f>
        <v>46507</v>
      </c>
      <c r="J19" s="6">
        <f>DeploySum!J53</f>
        <v>46538</v>
      </c>
      <c r="K19" s="6">
        <f>DeploySum!K53</f>
        <v>46568</v>
      </c>
      <c r="L19" s="6">
        <f>DeploySum!L53</f>
        <v>46599</v>
      </c>
      <c r="M19" s="6">
        <f>DeploySum!M53</f>
        <v>46630</v>
      </c>
      <c r="N19" s="6">
        <f>DeploySum!N53</f>
        <v>46660</v>
      </c>
      <c r="O19" s="6">
        <f>DeploySum!O53</f>
        <v>46691</v>
      </c>
      <c r="P19" s="6">
        <f>DeploySum!P53</f>
        <v>46721</v>
      </c>
      <c r="Q19" s="6">
        <f>DeploySum!Q53</f>
        <v>46752</v>
      </c>
      <c r="R19" s="5" t="s">
        <v>246</v>
      </c>
      <c r="S19" s="5" t="s">
        <v>2</v>
      </c>
      <c r="T19" s="2"/>
      <c r="U19" s="2"/>
      <c r="V19" s="2"/>
      <c r="W19" s="2"/>
      <c r="X19" s="2"/>
      <c r="Y19" s="2"/>
      <c r="Z19" s="2"/>
    </row>
    <row r="20" ht="14.25" customHeight="1">
      <c r="A20" s="2" t="s">
        <v>247</v>
      </c>
      <c r="B20" s="135">
        <f t="shared" ref="B20:Q20" si="1">$B$11</f>
        <v>14</v>
      </c>
      <c r="C20" s="135">
        <f t="shared" si="1"/>
        <v>14</v>
      </c>
      <c r="D20" s="135">
        <f t="shared" si="1"/>
        <v>14</v>
      </c>
      <c r="E20" s="135">
        <f t="shared" si="1"/>
        <v>14</v>
      </c>
      <c r="F20" s="135">
        <f t="shared" si="1"/>
        <v>14</v>
      </c>
      <c r="G20" s="135">
        <f t="shared" si="1"/>
        <v>14</v>
      </c>
      <c r="H20" s="135">
        <f t="shared" si="1"/>
        <v>14</v>
      </c>
      <c r="I20" s="135">
        <f t="shared" si="1"/>
        <v>14</v>
      </c>
      <c r="J20" s="135">
        <f t="shared" si="1"/>
        <v>14</v>
      </c>
      <c r="K20" s="135">
        <f t="shared" si="1"/>
        <v>14</v>
      </c>
      <c r="L20" s="135">
        <f t="shared" si="1"/>
        <v>14</v>
      </c>
      <c r="M20" s="135">
        <f t="shared" si="1"/>
        <v>14</v>
      </c>
      <c r="N20" s="135">
        <f t="shared" si="1"/>
        <v>14</v>
      </c>
      <c r="O20" s="135">
        <f t="shared" si="1"/>
        <v>14</v>
      </c>
      <c r="P20" s="135">
        <f t="shared" si="1"/>
        <v>14</v>
      </c>
      <c r="Q20" s="135">
        <f t="shared" si="1"/>
        <v>14</v>
      </c>
      <c r="R20" s="136">
        <f>AVERAGE(B20:E20)</f>
        <v>14</v>
      </c>
      <c r="S20" s="136">
        <f>AVERAGE(F20:Q20)</f>
        <v>14</v>
      </c>
      <c r="T20" s="3"/>
      <c r="U20" s="2"/>
      <c r="V20" s="2"/>
      <c r="W20" s="2"/>
      <c r="X20" s="2"/>
      <c r="Y20" s="2"/>
      <c r="Z20" s="2"/>
    </row>
    <row r="21" ht="14.25" customHeight="1">
      <c r="A21" s="2" t="s">
        <v>248</v>
      </c>
      <c r="B21" s="137">
        <f t="shared" ref="B21:Q21" si="2">B20*$B$6/12+IF(B$19&gt;=$M$6,MIN(B20,INDEX($B20:$Q20,IFERROR(MATCH(EOMONTH($M$6,-$M$7-1),$B$19:$Q$19,0),1)))*$B$6/12*$M$5,0)</f>
        <v>73500</v>
      </c>
      <c r="C21" s="137">
        <f t="shared" si="2"/>
        <v>73500</v>
      </c>
      <c r="D21" s="137">
        <f t="shared" si="2"/>
        <v>73500</v>
      </c>
      <c r="E21" s="137">
        <f t="shared" si="2"/>
        <v>73500</v>
      </c>
      <c r="F21" s="137">
        <f t="shared" si="2"/>
        <v>73500</v>
      </c>
      <c r="G21" s="137">
        <f t="shared" si="2"/>
        <v>73500</v>
      </c>
      <c r="H21" s="137">
        <f t="shared" si="2"/>
        <v>73500</v>
      </c>
      <c r="I21" s="137">
        <f t="shared" si="2"/>
        <v>73500</v>
      </c>
      <c r="J21" s="137">
        <f t="shared" si="2"/>
        <v>73500</v>
      </c>
      <c r="K21" s="137">
        <f t="shared" si="2"/>
        <v>73500</v>
      </c>
      <c r="L21" s="137">
        <f t="shared" si="2"/>
        <v>73500</v>
      </c>
      <c r="M21" s="137">
        <f t="shared" si="2"/>
        <v>73500</v>
      </c>
      <c r="N21" s="137">
        <f t="shared" si="2"/>
        <v>73500</v>
      </c>
      <c r="O21" s="137">
        <f t="shared" si="2"/>
        <v>75705</v>
      </c>
      <c r="P21" s="137">
        <f t="shared" si="2"/>
        <v>75705</v>
      </c>
      <c r="Q21" s="137">
        <f t="shared" si="2"/>
        <v>75705</v>
      </c>
      <c r="R21" s="138">
        <f t="shared" ref="R21:R24" si="4">SUM(B21:E21)</f>
        <v>294000</v>
      </c>
      <c r="S21" s="138">
        <f t="shared" ref="S21:S24" si="5">SUM(F21:Q21)</f>
        <v>888615</v>
      </c>
      <c r="T21" s="2"/>
      <c r="U21" s="2"/>
      <c r="V21" s="2"/>
      <c r="W21" s="2"/>
      <c r="X21" s="2"/>
      <c r="Y21" s="2"/>
      <c r="Z21" s="2"/>
    </row>
    <row r="22" ht="14.25" customHeight="1">
      <c r="A22" s="2" t="s">
        <v>249</v>
      </c>
      <c r="B22" s="137">
        <f t="shared" ref="B22:Q22" si="3">B21*$B$7</f>
        <v>4998</v>
      </c>
      <c r="C22" s="137">
        <f t="shared" si="3"/>
        <v>4998</v>
      </c>
      <c r="D22" s="137">
        <f t="shared" si="3"/>
        <v>4998</v>
      </c>
      <c r="E22" s="137">
        <f t="shared" si="3"/>
        <v>4998</v>
      </c>
      <c r="F22" s="137">
        <f t="shared" si="3"/>
        <v>4998</v>
      </c>
      <c r="G22" s="137">
        <f t="shared" si="3"/>
        <v>4998</v>
      </c>
      <c r="H22" s="137">
        <f t="shared" si="3"/>
        <v>4998</v>
      </c>
      <c r="I22" s="137">
        <f t="shared" si="3"/>
        <v>4998</v>
      </c>
      <c r="J22" s="137">
        <f t="shared" si="3"/>
        <v>4998</v>
      </c>
      <c r="K22" s="137">
        <f t="shared" si="3"/>
        <v>4998</v>
      </c>
      <c r="L22" s="137">
        <f t="shared" si="3"/>
        <v>4998</v>
      </c>
      <c r="M22" s="137">
        <f t="shared" si="3"/>
        <v>4998</v>
      </c>
      <c r="N22" s="137">
        <f t="shared" si="3"/>
        <v>4998</v>
      </c>
      <c r="O22" s="137">
        <f t="shared" si="3"/>
        <v>5147.94</v>
      </c>
      <c r="P22" s="137">
        <f t="shared" si="3"/>
        <v>5147.94</v>
      </c>
      <c r="Q22" s="137">
        <f t="shared" si="3"/>
        <v>5147.94</v>
      </c>
      <c r="R22" s="138">
        <f t="shared" si="4"/>
        <v>19992</v>
      </c>
      <c r="S22" s="138">
        <f t="shared" si="5"/>
        <v>60425.82</v>
      </c>
      <c r="T22" s="2"/>
      <c r="U22" s="2"/>
      <c r="V22" s="2"/>
      <c r="W22" s="2"/>
      <c r="X22" s="2"/>
      <c r="Y22" s="2"/>
      <c r="Z22" s="2"/>
    </row>
    <row r="23" ht="14.25" customHeight="1">
      <c r="A23" s="2" t="s">
        <v>204</v>
      </c>
      <c r="B23" s="137">
        <f t="shared" ref="B23:Q23" si="6">B21*$B$8</f>
        <v>12054</v>
      </c>
      <c r="C23" s="137">
        <f t="shared" si="6"/>
        <v>12054</v>
      </c>
      <c r="D23" s="137">
        <f t="shared" si="6"/>
        <v>12054</v>
      </c>
      <c r="E23" s="137">
        <f t="shared" si="6"/>
        <v>12054</v>
      </c>
      <c r="F23" s="137">
        <f t="shared" si="6"/>
        <v>12054</v>
      </c>
      <c r="G23" s="137">
        <f t="shared" si="6"/>
        <v>12054</v>
      </c>
      <c r="H23" s="137">
        <f t="shared" si="6"/>
        <v>12054</v>
      </c>
      <c r="I23" s="137">
        <f t="shared" si="6"/>
        <v>12054</v>
      </c>
      <c r="J23" s="137">
        <f t="shared" si="6"/>
        <v>12054</v>
      </c>
      <c r="K23" s="137">
        <f t="shared" si="6"/>
        <v>12054</v>
      </c>
      <c r="L23" s="137">
        <f t="shared" si="6"/>
        <v>12054</v>
      </c>
      <c r="M23" s="137">
        <f t="shared" si="6"/>
        <v>12054</v>
      </c>
      <c r="N23" s="137">
        <f t="shared" si="6"/>
        <v>12054</v>
      </c>
      <c r="O23" s="137">
        <f t="shared" si="6"/>
        <v>12415.62</v>
      </c>
      <c r="P23" s="137">
        <f t="shared" si="6"/>
        <v>12415.62</v>
      </c>
      <c r="Q23" s="137">
        <f t="shared" si="6"/>
        <v>12415.62</v>
      </c>
      <c r="R23" s="138">
        <f t="shared" si="4"/>
        <v>48216</v>
      </c>
      <c r="S23" s="138">
        <f t="shared" si="5"/>
        <v>145732.86</v>
      </c>
      <c r="T23" s="2"/>
      <c r="U23" s="2"/>
      <c r="V23" s="2"/>
      <c r="W23" s="2"/>
      <c r="X23" s="2"/>
      <c r="Y23" s="2"/>
      <c r="Z23" s="2"/>
    </row>
    <row r="24" ht="14.25" customHeight="1">
      <c r="A24" s="139" t="s">
        <v>250</v>
      </c>
      <c r="B24" s="140">
        <f t="shared" ref="B24:Q24" si="7">SUM(B21:B23)</f>
        <v>90552</v>
      </c>
      <c r="C24" s="140">
        <f t="shared" si="7"/>
        <v>90552</v>
      </c>
      <c r="D24" s="140">
        <f t="shared" si="7"/>
        <v>90552</v>
      </c>
      <c r="E24" s="140">
        <f t="shared" si="7"/>
        <v>90552</v>
      </c>
      <c r="F24" s="140">
        <f t="shared" si="7"/>
        <v>90552</v>
      </c>
      <c r="G24" s="140">
        <f t="shared" si="7"/>
        <v>90552</v>
      </c>
      <c r="H24" s="140">
        <f t="shared" si="7"/>
        <v>90552</v>
      </c>
      <c r="I24" s="140">
        <f t="shared" si="7"/>
        <v>90552</v>
      </c>
      <c r="J24" s="140">
        <f t="shared" si="7"/>
        <v>90552</v>
      </c>
      <c r="K24" s="140">
        <f t="shared" si="7"/>
        <v>90552</v>
      </c>
      <c r="L24" s="140">
        <f t="shared" si="7"/>
        <v>90552</v>
      </c>
      <c r="M24" s="140">
        <f t="shared" si="7"/>
        <v>90552</v>
      </c>
      <c r="N24" s="140">
        <f t="shared" si="7"/>
        <v>90552</v>
      </c>
      <c r="O24" s="140">
        <f t="shared" si="7"/>
        <v>93268.56</v>
      </c>
      <c r="P24" s="140">
        <f t="shared" si="7"/>
        <v>93268.56</v>
      </c>
      <c r="Q24" s="140">
        <f t="shared" si="7"/>
        <v>93268.56</v>
      </c>
      <c r="R24" s="141">
        <f t="shared" si="4"/>
        <v>362208</v>
      </c>
      <c r="S24" s="141">
        <f t="shared" si="5"/>
        <v>1094773.68</v>
      </c>
      <c r="T24" s="2"/>
      <c r="U24" s="2"/>
      <c r="V24" s="2"/>
      <c r="W24" s="2"/>
      <c r="X24" s="2"/>
      <c r="Y24" s="2"/>
      <c r="Z24" s="2"/>
    </row>
    <row r="25" ht="14.25" customHeight="1">
      <c r="U25" s="2"/>
      <c r="V25" s="2"/>
      <c r="W25" s="2"/>
      <c r="X25" s="2"/>
      <c r="Y25" s="2"/>
      <c r="Z25" s="2"/>
    </row>
    <row r="26" ht="14.25" customHeight="1">
      <c r="A26" s="134" t="s">
        <v>251</v>
      </c>
      <c r="B26" s="6">
        <f>DeploySum!B53</f>
        <v>46295</v>
      </c>
      <c r="C26" s="6">
        <f>DeploySum!C53</f>
        <v>46326</v>
      </c>
      <c r="D26" s="6">
        <f>DeploySum!D53</f>
        <v>46356</v>
      </c>
      <c r="E26" s="6">
        <f>DeploySum!E53</f>
        <v>46387</v>
      </c>
      <c r="F26" s="6">
        <f>DeploySum!F53</f>
        <v>46418</v>
      </c>
      <c r="G26" s="6">
        <f>DeploySum!G53</f>
        <v>46446</v>
      </c>
      <c r="H26" s="6">
        <f>DeploySum!H53</f>
        <v>46477</v>
      </c>
      <c r="I26" s="6">
        <f>DeploySum!I53</f>
        <v>46507</v>
      </c>
      <c r="J26" s="6">
        <f>DeploySum!J53</f>
        <v>46538</v>
      </c>
      <c r="K26" s="6">
        <f>DeploySum!K53</f>
        <v>46568</v>
      </c>
      <c r="L26" s="6">
        <f>DeploySum!L53</f>
        <v>46599</v>
      </c>
      <c r="M26" s="6">
        <f>DeploySum!M53</f>
        <v>46630</v>
      </c>
      <c r="N26" s="6">
        <f>DeploySum!N53</f>
        <v>46660</v>
      </c>
      <c r="O26" s="6">
        <f>DeploySum!O53</f>
        <v>46691</v>
      </c>
      <c r="P26" s="6">
        <f>DeploySum!P53</f>
        <v>46721</v>
      </c>
      <c r="Q26" s="6">
        <f>DeploySum!Q53</f>
        <v>46752</v>
      </c>
      <c r="R26" s="5" t="s">
        <v>246</v>
      </c>
      <c r="S26" s="5" t="s">
        <v>2</v>
      </c>
      <c r="T26" s="2"/>
      <c r="U26" s="2"/>
      <c r="V26" s="2"/>
      <c r="W26" s="2"/>
      <c r="X26" s="2"/>
      <c r="Y26" s="2"/>
      <c r="Z26" s="2"/>
    </row>
    <row r="27" ht="14.25" customHeight="1">
      <c r="A27" s="142" t="s">
        <v>252</v>
      </c>
      <c r="B27" s="143">
        <f t="shared" ref="B27:Q27" si="8">COLUMNS($B27:B27)</f>
        <v>1</v>
      </c>
      <c r="C27" s="143">
        <f t="shared" si="8"/>
        <v>2</v>
      </c>
      <c r="D27" s="143">
        <f t="shared" si="8"/>
        <v>3</v>
      </c>
      <c r="E27" s="143">
        <f t="shared" si="8"/>
        <v>4</v>
      </c>
      <c r="F27" s="143">
        <f t="shared" si="8"/>
        <v>5</v>
      </c>
      <c r="G27" s="143">
        <f t="shared" si="8"/>
        <v>6</v>
      </c>
      <c r="H27" s="143">
        <f t="shared" si="8"/>
        <v>7</v>
      </c>
      <c r="I27" s="143">
        <f t="shared" si="8"/>
        <v>8</v>
      </c>
      <c r="J27" s="143">
        <f t="shared" si="8"/>
        <v>9</v>
      </c>
      <c r="K27" s="143">
        <f t="shared" si="8"/>
        <v>10</v>
      </c>
      <c r="L27" s="143">
        <f t="shared" si="8"/>
        <v>11</v>
      </c>
      <c r="M27" s="143">
        <f t="shared" si="8"/>
        <v>12</v>
      </c>
      <c r="N27" s="143">
        <f t="shared" si="8"/>
        <v>13</v>
      </c>
      <c r="O27" s="143">
        <f t="shared" si="8"/>
        <v>14</v>
      </c>
      <c r="P27" s="143">
        <f t="shared" si="8"/>
        <v>15</v>
      </c>
      <c r="Q27" s="143">
        <f t="shared" si="8"/>
        <v>16</v>
      </c>
      <c r="R27" s="144"/>
      <c r="S27" s="144"/>
      <c r="T27" s="3"/>
      <c r="U27" s="2"/>
      <c r="V27" s="2"/>
      <c r="W27" s="2"/>
      <c r="X27" s="2"/>
      <c r="Y27" s="2"/>
      <c r="Z27" s="2"/>
    </row>
    <row r="28" ht="14.25" customHeight="1">
      <c r="A28" s="2" t="s">
        <v>253</v>
      </c>
      <c r="B28" s="145">
        <f>DeploySum!B54</f>
        <v>0</v>
      </c>
      <c r="C28" s="145">
        <f>DeploySum!C54</f>
        <v>0</v>
      </c>
      <c r="D28" s="145">
        <f>DeploySum!D54</f>
        <v>0</v>
      </c>
      <c r="E28" s="145">
        <f>DeploySum!E54</f>
        <v>0</v>
      </c>
      <c r="F28" s="145">
        <f>DeploySum!F54</f>
        <v>3</v>
      </c>
      <c r="G28" s="145">
        <f>DeploySum!G54</f>
        <v>2</v>
      </c>
      <c r="H28" s="145">
        <f>DeploySum!H54</f>
        <v>0</v>
      </c>
      <c r="I28" s="145">
        <f>DeploySum!I54</f>
        <v>3</v>
      </c>
      <c r="J28" s="145">
        <f>DeploySum!J54</f>
        <v>3</v>
      </c>
      <c r="K28" s="145">
        <f>DeploySum!K54</f>
        <v>4</v>
      </c>
      <c r="L28" s="145">
        <f>DeploySum!L54</f>
        <v>4</v>
      </c>
      <c r="M28" s="145">
        <f>DeploySum!M54</f>
        <v>5</v>
      </c>
      <c r="N28" s="145">
        <f>DeploySum!N54</f>
        <v>6</v>
      </c>
      <c r="O28" s="145">
        <f>DeploySum!O54</f>
        <v>6</v>
      </c>
      <c r="P28" s="145">
        <f>DeploySum!P54</f>
        <v>7</v>
      </c>
      <c r="Q28" s="145">
        <f>DeploySum!Q54</f>
        <v>8</v>
      </c>
      <c r="R28" s="146">
        <f t="shared" ref="R28:R29" si="9">SUM(B28:E28)</f>
        <v>0</v>
      </c>
      <c r="S28" s="146">
        <f t="shared" ref="S28:S29" si="10">SUM(F28:Q28)</f>
        <v>51</v>
      </c>
      <c r="T28" s="3"/>
      <c r="U28" s="2"/>
      <c r="V28" s="2"/>
      <c r="W28" s="2"/>
      <c r="X28" s="2"/>
      <c r="Y28" s="2"/>
      <c r="Z28" s="2"/>
    </row>
    <row r="29" ht="14.25" customHeight="1">
      <c r="A29" s="2" t="s">
        <v>254</v>
      </c>
      <c r="B29" s="135">
        <f t="array" ref="B29">IF(B$27+$B$10&gt;COLUMNS(DeploySum!$B$54:$Q$54),$B$15,IFERROR(INDEX(DeploySum!$B$54:$Q$54,B$27+$B$10),0))*$B$5</f>
        <v>0</v>
      </c>
      <c r="C29" s="135">
        <f t="array" ref="C29">IF(C$27+$B$10&gt;COLUMNS(DeploySum!$B$54:$Q$54),$B$15,IFERROR(INDEX(DeploySum!$B$54:$Q$54,C$27+$B$10),0))*$B$5</f>
        <v>0</v>
      </c>
      <c r="D29" s="135">
        <f t="array" ref="D29">IF(D$27+$B$10&gt;COLUMNS(DeploySum!$B$54:$Q$54),$B$15,IFERROR(INDEX(DeploySum!$B$54:$Q$54,D$27+$B$10),0))*$B$5</f>
        <v>0</v>
      </c>
      <c r="E29" s="135">
        <f t="array" ref="E29">IF(E$27+$B$10&gt;COLUMNS(DeploySum!$B$54:$Q$54),$B$15,IFERROR(INDEX(DeploySum!$B$54:$Q$54,E$27+$B$10),0))*$B$5</f>
        <v>3</v>
      </c>
      <c r="F29" s="135">
        <f t="array" ref="F29">IF(F$27+$B$10&gt;COLUMNS(DeploySum!$B$54:$Q$54),$B$15,IFERROR(INDEX(DeploySum!$B$54:$Q$54,F$27+$B$10),0))*$B$5</f>
        <v>2</v>
      </c>
      <c r="G29" s="135">
        <f t="array" ref="G29">IF(G$27+$B$10&gt;COLUMNS(DeploySum!$B$54:$Q$54),$B$15,IFERROR(INDEX(DeploySum!$B$54:$Q$54,G$27+$B$10),0))*$B$5</f>
        <v>0</v>
      </c>
      <c r="H29" s="135">
        <f t="array" ref="H29">IF(H$27+$B$10&gt;COLUMNS(DeploySum!$B$54:$Q$54),$B$15,IFERROR(INDEX(DeploySum!$B$54:$Q$54,H$27+$B$10),0))*$B$5</f>
        <v>3</v>
      </c>
      <c r="I29" s="135">
        <f t="array" ref="I29">IF(I$27+$B$10&gt;COLUMNS(DeploySum!$B$54:$Q$54),$B$15,IFERROR(INDEX(DeploySum!$B$54:$Q$54,I$27+$B$10),0))*$B$5</f>
        <v>3</v>
      </c>
      <c r="J29" s="135">
        <f t="array" ref="J29">IF(J$27+$B$10&gt;COLUMNS(DeploySum!$B$54:$Q$54),$B$15,IFERROR(INDEX(DeploySum!$B$54:$Q$54,J$27+$B$10),0))*$B$5</f>
        <v>4</v>
      </c>
      <c r="K29" s="135">
        <f t="array" ref="K29">IF(K$27+$B$10&gt;COLUMNS(DeploySum!$B$54:$Q$54),$B$15,IFERROR(INDEX(DeploySum!$B$54:$Q$54,K$27+$B$10),0))*$B$5</f>
        <v>4</v>
      </c>
      <c r="L29" s="135">
        <f t="array" ref="L29">IF(L$27+$B$10&gt;COLUMNS(DeploySum!$B$54:$Q$54),$B$15,IFERROR(INDEX(DeploySum!$B$54:$Q$54,L$27+$B$10),0))*$B$5</f>
        <v>5</v>
      </c>
      <c r="M29" s="135">
        <f t="array" ref="M29">IF(M$27+$B$10&gt;COLUMNS(DeploySum!$B$54:$Q$54),$B$15,IFERROR(INDEX(DeploySum!$B$54:$Q$54,M$27+$B$10),0))*$B$5</f>
        <v>6</v>
      </c>
      <c r="N29" s="135">
        <f t="array" ref="N29">IF(N$27+$B$10&gt;COLUMNS(DeploySum!$B$54:$Q$54),$B$15,IFERROR(INDEX(DeploySum!$B$54:$Q$54,N$27+$B$10),0))*$B$5</f>
        <v>6</v>
      </c>
      <c r="O29" s="135">
        <f t="array" ref="O29">IF(O$27+$B$10&gt;COLUMNS(DeploySum!$B$54:$Q$54),$B$15,IFERROR(INDEX(DeploySum!$B$54:$Q$54,O$27+$B$10),0))*$B$5</f>
        <v>7</v>
      </c>
      <c r="P29" s="135">
        <f t="array" ref="P29">IF(P$27+$B$10&gt;COLUMNS(DeploySum!$B$54:$Q$54),$B$15,IFERROR(INDEX(DeploySum!$B$54:$Q$54,P$27+$B$10),0))*$B$5</f>
        <v>8</v>
      </c>
      <c r="Q29" s="135">
        <f t="array" ref="Q29">IF(Q$27+$B$10&gt;COLUMNS(DeploySum!$B$54:$Q$54),$B$15,IFERROR(INDEX(DeploySum!$B$54:$Q$54,Q$27+$B$10),0))*$B$5</f>
        <v>7</v>
      </c>
      <c r="R29" s="146">
        <f t="shared" si="9"/>
        <v>3</v>
      </c>
      <c r="S29" s="146">
        <f t="shared" si="10"/>
        <v>55</v>
      </c>
      <c r="T29" s="3"/>
      <c r="U29" s="2"/>
      <c r="V29" s="2"/>
      <c r="W29" s="2"/>
      <c r="X29" s="2"/>
      <c r="Y29" s="2"/>
      <c r="Z29" s="2"/>
    </row>
    <row r="30" ht="14.25" customHeight="1">
      <c r="A30" s="2" t="s">
        <v>255</v>
      </c>
      <c r="B30" s="135">
        <f>B29</f>
        <v>0</v>
      </c>
      <c r="C30" s="135">
        <f t="shared" ref="C30:Q30" si="11">B30+C29</f>
        <v>0</v>
      </c>
      <c r="D30" s="135">
        <f t="shared" si="11"/>
        <v>0</v>
      </c>
      <c r="E30" s="135">
        <f t="shared" si="11"/>
        <v>3</v>
      </c>
      <c r="F30" s="135">
        <f t="shared" si="11"/>
        <v>5</v>
      </c>
      <c r="G30" s="135">
        <f t="shared" si="11"/>
        <v>5</v>
      </c>
      <c r="H30" s="135">
        <f t="shared" si="11"/>
        <v>8</v>
      </c>
      <c r="I30" s="135">
        <f t="shared" si="11"/>
        <v>11</v>
      </c>
      <c r="J30" s="135">
        <f t="shared" si="11"/>
        <v>15</v>
      </c>
      <c r="K30" s="135">
        <f t="shared" si="11"/>
        <v>19</v>
      </c>
      <c r="L30" s="135">
        <f t="shared" si="11"/>
        <v>24</v>
      </c>
      <c r="M30" s="135">
        <f t="shared" si="11"/>
        <v>30</v>
      </c>
      <c r="N30" s="135">
        <f t="shared" si="11"/>
        <v>36</v>
      </c>
      <c r="O30" s="135">
        <f t="shared" si="11"/>
        <v>43</v>
      </c>
      <c r="P30" s="135">
        <f t="shared" si="11"/>
        <v>51</v>
      </c>
      <c r="Q30" s="135">
        <f t="shared" si="11"/>
        <v>58</v>
      </c>
      <c r="R30" s="136">
        <f>AVERAGE(B30:E30)</f>
        <v>0.75</v>
      </c>
      <c r="S30" s="136">
        <f>AVERAGE(F30:Q30)</f>
        <v>25.41666667</v>
      </c>
      <c r="T30" s="3"/>
      <c r="U30" s="2"/>
      <c r="V30" s="2"/>
      <c r="W30" s="2"/>
      <c r="X30" s="2"/>
      <c r="Y30" s="2"/>
      <c r="Z30" s="2"/>
    </row>
    <row r="31" ht="14.25" customHeight="1">
      <c r="A31" s="2" t="s">
        <v>248</v>
      </c>
      <c r="B31" s="137">
        <f t="shared" ref="B31:Q31" si="12">B30*$B$6/12+IF(B$26&gt;=$M$6,MIN(B30,INDEX($B30:$Q30,IFERROR(MATCH(EOMONTH($M$6,-$M$7-1),$B$26:$Q$26,0),1)))*$B$6/12*$M$5,0)</f>
        <v>0</v>
      </c>
      <c r="C31" s="137">
        <f t="shared" si="12"/>
        <v>0</v>
      </c>
      <c r="D31" s="137">
        <f t="shared" si="12"/>
        <v>0</v>
      </c>
      <c r="E31" s="137">
        <f t="shared" si="12"/>
        <v>15750</v>
      </c>
      <c r="F31" s="137">
        <f t="shared" si="12"/>
        <v>26250</v>
      </c>
      <c r="G31" s="137">
        <f t="shared" si="12"/>
        <v>26250</v>
      </c>
      <c r="H31" s="137">
        <f t="shared" si="12"/>
        <v>42000</v>
      </c>
      <c r="I31" s="137">
        <f t="shared" si="12"/>
        <v>57750</v>
      </c>
      <c r="J31" s="137">
        <f t="shared" si="12"/>
        <v>78750</v>
      </c>
      <c r="K31" s="137">
        <f t="shared" si="12"/>
        <v>99750</v>
      </c>
      <c r="L31" s="137">
        <f t="shared" si="12"/>
        <v>126000</v>
      </c>
      <c r="M31" s="137">
        <f t="shared" si="12"/>
        <v>157500</v>
      </c>
      <c r="N31" s="137">
        <f t="shared" si="12"/>
        <v>189000</v>
      </c>
      <c r="O31" s="137">
        <f t="shared" si="12"/>
        <v>227010</v>
      </c>
      <c r="P31" s="137">
        <f t="shared" si="12"/>
        <v>269010</v>
      </c>
      <c r="Q31" s="137">
        <f t="shared" si="12"/>
        <v>305760</v>
      </c>
      <c r="R31" s="138">
        <f t="shared" ref="R31:R35" si="14">SUM(B31:E31)</f>
        <v>15750</v>
      </c>
      <c r="S31" s="138">
        <f t="shared" ref="S31:S35" si="15">SUM(F31:Q31)</f>
        <v>1605030</v>
      </c>
      <c r="T31" s="2"/>
      <c r="U31" s="2"/>
      <c r="V31" s="2"/>
      <c r="W31" s="2"/>
      <c r="X31" s="2"/>
      <c r="Y31" s="2"/>
      <c r="Z31" s="2"/>
    </row>
    <row r="32" ht="14.25" customHeight="1">
      <c r="A32" s="2" t="s">
        <v>249</v>
      </c>
      <c r="B32" s="137">
        <f t="shared" ref="B32:Q32" si="13">B31*$B$7</f>
        <v>0</v>
      </c>
      <c r="C32" s="137">
        <f t="shared" si="13"/>
        <v>0</v>
      </c>
      <c r="D32" s="137">
        <f t="shared" si="13"/>
        <v>0</v>
      </c>
      <c r="E32" s="137">
        <f t="shared" si="13"/>
        <v>1071</v>
      </c>
      <c r="F32" s="137">
        <f t="shared" si="13"/>
        <v>1785</v>
      </c>
      <c r="G32" s="137">
        <f t="shared" si="13"/>
        <v>1785</v>
      </c>
      <c r="H32" s="137">
        <f t="shared" si="13"/>
        <v>2856</v>
      </c>
      <c r="I32" s="137">
        <f t="shared" si="13"/>
        <v>3927</v>
      </c>
      <c r="J32" s="137">
        <f t="shared" si="13"/>
        <v>5355</v>
      </c>
      <c r="K32" s="137">
        <f t="shared" si="13"/>
        <v>6783</v>
      </c>
      <c r="L32" s="137">
        <f t="shared" si="13"/>
        <v>8568</v>
      </c>
      <c r="M32" s="137">
        <f t="shared" si="13"/>
        <v>10710</v>
      </c>
      <c r="N32" s="137">
        <f t="shared" si="13"/>
        <v>12852</v>
      </c>
      <c r="O32" s="137">
        <f t="shared" si="13"/>
        <v>15436.68</v>
      </c>
      <c r="P32" s="137">
        <f t="shared" si="13"/>
        <v>18292.68</v>
      </c>
      <c r="Q32" s="137">
        <f t="shared" si="13"/>
        <v>20791.68</v>
      </c>
      <c r="R32" s="138">
        <f t="shared" si="14"/>
        <v>1071</v>
      </c>
      <c r="S32" s="138">
        <f t="shared" si="15"/>
        <v>109142.04</v>
      </c>
      <c r="T32" s="2"/>
      <c r="U32" s="2"/>
      <c r="V32" s="2"/>
      <c r="W32" s="2"/>
      <c r="X32" s="2"/>
      <c r="Y32" s="2"/>
      <c r="Z32" s="2"/>
    </row>
    <row r="33" ht="14.25" customHeight="1">
      <c r="A33" s="2" t="s">
        <v>204</v>
      </c>
      <c r="B33" s="137">
        <f t="shared" ref="B33:Q33" si="16">B31*$B$8</f>
        <v>0</v>
      </c>
      <c r="C33" s="137">
        <f t="shared" si="16"/>
        <v>0</v>
      </c>
      <c r="D33" s="137">
        <f t="shared" si="16"/>
        <v>0</v>
      </c>
      <c r="E33" s="137">
        <f t="shared" si="16"/>
        <v>2583</v>
      </c>
      <c r="F33" s="137">
        <f t="shared" si="16"/>
        <v>4305</v>
      </c>
      <c r="G33" s="137">
        <f t="shared" si="16"/>
        <v>4305</v>
      </c>
      <c r="H33" s="137">
        <f t="shared" si="16"/>
        <v>6888</v>
      </c>
      <c r="I33" s="137">
        <f t="shared" si="16"/>
        <v>9471</v>
      </c>
      <c r="J33" s="137">
        <f t="shared" si="16"/>
        <v>12915</v>
      </c>
      <c r="K33" s="137">
        <f t="shared" si="16"/>
        <v>16359</v>
      </c>
      <c r="L33" s="137">
        <f t="shared" si="16"/>
        <v>20664</v>
      </c>
      <c r="M33" s="137">
        <f t="shared" si="16"/>
        <v>25830</v>
      </c>
      <c r="N33" s="137">
        <f t="shared" si="16"/>
        <v>30996</v>
      </c>
      <c r="O33" s="137">
        <f t="shared" si="16"/>
        <v>37229.64</v>
      </c>
      <c r="P33" s="137">
        <f t="shared" si="16"/>
        <v>44117.64</v>
      </c>
      <c r="Q33" s="137">
        <f t="shared" si="16"/>
        <v>50144.64</v>
      </c>
      <c r="R33" s="138">
        <f t="shared" si="14"/>
        <v>2583</v>
      </c>
      <c r="S33" s="138">
        <f t="shared" si="15"/>
        <v>263224.92</v>
      </c>
      <c r="T33" s="2"/>
      <c r="U33" s="2"/>
      <c r="V33" s="2"/>
      <c r="W33" s="2"/>
      <c r="X33" s="2"/>
      <c r="Y33" s="2"/>
      <c r="Z33" s="2"/>
    </row>
    <row r="34" ht="14.25" customHeight="1">
      <c r="A34" s="2" t="s">
        <v>256</v>
      </c>
      <c r="B34" s="137">
        <f t="shared" ref="B34:Q34" si="17">B29*$B$9</f>
        <v>0</v>
      </c>
      <c r="C34" s="137">
        <f t="shared" si="17"/>
        <v>0</v>
      </c>
      <c r="D34" s="137">
        <f t="shared" si="17"/>
        <v>0</v>
      </c>
      <c r="E34" s="137">
        <f t="shared" si="17"/>
        <v>6000</v>
      </c>
      <c r="F34" s="137">
        <f t="shared" si="17"/>
        <v>4000</v>
      </c>
      <c r="G34" s="137">
        <f t="shared" si="17"/>
        <v>0</v>
      </c>
      <c r="H34" s="137">
        <f t="shared" si="17"/>
        <v>6000</v>
      </c>
      <c r="I34" s="137">
        <f t="shared" si="17"/>
        <v>6000</v>
      </c>
      <c r="J34" s="137">
        <f t="shared" si="17"/>
        <v>8000</v>
      </c>
      <c r="K34" s="137">
        <f t="shared" si="17"/>
        <v>8000</v>
      </c>
      <c r="L34" s="137">
        <f t="shared" si="17"/>
        <v>10000</v>
      </c>
      <c r="M34" s="137">
        <f t="shared" si="17"/>
        <v>12000</v>
      </c>
      <c r="N34" s="137">
        <f t="shared" si="17"/>
        <v>12000</v>
      </c>
      <c r="O34" s="137">
        <f t="shared" si="17"/>
        <v>14000</v>
      </c>
      <c r="P34" s="137">
        <f t="shared" si="17"/>
        <v>16000</v>
      </c>
      <c r="Q34" s="137">
        <f t="shared" si="17"/>
        <v>14000</v>
      </c>
      <c r="R34" s="138">
        <f t="shared" si="14"/>
        <v>6000</v>
      </c>
      <c r="S34" s="138">
        <f t="shared" si="15"/>
        <v>110000</v>
      </c>
      <c r="T34" s="2"/>
      <c r="U34" s="2"/>
      <c r="V34" s="2"/>
      <c r="W34" s="2"/>
      <c r="X34" s="2"/>
      <c r="Y34" s="2"/>
      <c r="Z34" s="2"/>
    </row>
    <row r="35" ht="14.25" customHeight="1">
      <c r="A35" s="139" t="s">
        <v>257</v>
      </c>
      <c r="B35" s="140">
        <f t="shared" ref="B35:Q35" si="18">SUM(B31:B34)</f>
        <v>0</v>
      </c>
      <c r="C35" s="140">
        <f t="shared" si="18"/>
        <v>0</v>
      </c>
      <c r="D35" s="140">
        <f t="shared" si="18"/>
        <v>0</v>
      </c>
      <c r="E35" s="140">
        <f t="shared" si="18"/>
        <v>25404</v>
      </c>
      <c r="F35" s="140">
        <f t="shared" si="18"/>
        <v>36340</v>
      </c>
      <c r="G35" s="140">
        <f t="shared" si="18"/>
        <v>32340</v>
      </c>
      <c r="H35" s="140">
        <f t="shared" si="18"/>
        <v>57744</v>
      </c>
      <c r="I35" s="140">
        <f t="shared" si="18"/>
        <v>77148</v>
      </c>
      <c r="J35" s="140">
        <f t="shared" si="18"/>
        <v>105020</v>
      </c>
      <c r="K35" s="140">
        <f t="shared" si="18"/>
        <v>130892</v>
      </c>
      <c r="L35" s="140">
        <f t="shared" si="18"/>
        <v>165232</v>
      </c>
      <c r="M35" s="140">
        <f t="shared" si="18"/>
        <v>206040</v>
      </c>
      <c r="N35" s="140">
        <f t="shared" si="18"/>
        <v>244848</v>
      </c>
      <c r="O35" s="140">
        <f t="shared" si="18"/>
        <v>293676.32</v>
      </c>
      <c r="P35" s="140">
        <f t="shared" si="18"/>
        <v>347420.32</v>
      </c>
      <c r="Q35" s="140">
        <f t="shared" si="18"/>
        <v>390696.32</v>
      </c>
      <c r="R35" s="141">
        <f t="shared" si="14"/>
        <v>25404</v>
      </c>
      <c r="S35" s="141">
        <f t="shared" si="15"/>
        <v>2087396.96</v>
      </c>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134" t="s">
        <v>258</v>
      </c>
      <c r="B37" s="6">
        <f t="shared" ref="B37:Q37" si="19">B$26</f>
        <v>46295</v>
      </c>
      <c r="C37" s="6">
        <f t="shared" si="19"/>
        <v>46326</v>
      </c>
      <c r="D37" s="6">
        <f t="shared" si="19"/>
        <v>46356</v>
      </c>
      <c r="E37" s="6">
        <f t="shared" si="19"/>
        <v>46387</v>
      </c>
      <c r="F37" s="6">
        <f t="shared" si="19"/>
        <v>46418</v>
      </c>
      <c r="G37" s="6">
        <f t="shared" si="19"/>
        <v>46446</v>
      </c>
      <c r="H37" s="6">
        <f t="shared" si="19"/>
        <v>46477</v>
      </c>
      <c r="I37" s="6">
        <f t="shared" si="19"/>
        <v>46507</v>
      </c>
      <c r="J37" s="6">
        <f t="shared" si="19"/>
        <v>46538</v>
      </c>
      <c r="K37" s="6">
        <f t="shared" si="19"/>
        <v>46568</v>
      </c>
      <c r="L37" s="6">
        <f t="shared" si="19"/>
        <v>46599</v>
      </c>
      <c r="M37" s="6">
        <f t="shared" si="19"/>
        <v>46630</v>
      </c>
      <c r="N37" s="6">
        <f t="shared" si="19"/>
        <v>46660</v>
      </c>
      <c r="O37" s="6">
        <f t="shared" si="19"/>
        <v>46691</v>
      </c>
      <c r="P37" s="6">
        <f t="shared" si="19"/>
        <v>46721</v>
      </c>
      <c r="Q37" s="6">
        <f t="shared" si="19"/>
        <v>46752</v>
      </c>
      <c r="R37" s="5" t="s">
        <v>246</v>
      </c>
      <c r="S37" s="5" t="s">
        <v>2</v>
      </c>
      <c r="T37" s="2"/>
      <c r="U37" s="2"/>
      <c r="V37" s="2"/>
      <c r="W37" s="2"/>
      <c r="X37" s="2"/>
      <c r="Y37" s="2"/>
      <c r="Z37" s="2"/>
    </row>
    <row r="38" ht="14.25" customHeight="1">
      <c r="A38" s="2" t="s">
        <v>259</v>
      </c>
      <c r="B38" s="145">
        <f>DeploySum!B57</f>
        <v>0</v>
      </c>
      <c r="C38" s="145">
        <f>DeploySum!C57</f>
        <v>0</v>
      </c>
      <c r="D38" s="145">
        <f>DeploySum!D57</f>
        <v>0</v>
      </c>
      <c r="E38" s="145">
        <f>DeploySum!E57</f>
        <v>0</v>
      </c>
      <c r="F38" s="145">
        <f>DeploySum!F57</f>
        <v>0</v>
      </c>
      <c r="G38" s="145">
        <f>DeploySum!G57</f>
        <v>0</v>
      </c>
      <c r="H38" s="145">
        <f>DeploySum!H57</f>
        <v>0</v>
      </c>
      <c r="I38" s="145">
        <f>DeploySum!I57</f>
        <v>1</v>
      </c>
      <c r="J38" s="145">
        <f>DeploySum!J57</f>
        <v>1</v>
      </c>
      <c r="K38" s="145">
        <f>DeploySum!K57</f>
        <v>2</v>
      </c>
      <c r="L38" s="145">
        <f>DeploySum!L57</f>
        <v>1</v>
      </c>
      <c r="M38" s="145">
        <f>DeploySum!M57</f>
        <v>1</v>
      </c>
      <c r="N38" s="145">
        <f>DeploySum!N57</f>
        <v>2</v>
      </c>
      <c r="O38" s="145">
        <f>DeploySum!O57</f>
        <v>2</v>
      </c>
      <c r="P38" s="145">
        <f>DeploySum!P57</f>
        <v>3</v>
      </c>
      <c r="Q38" s="145">
        <f>DeploySum!Q57</f>
        <v>2</v>
      </c>
      <c r="R38" s="146">
        <f t="shared" ref="R38:R39" si="20">SUM(B38:E38)</f>
        <v>0</v>
      </c>
      <c r="S38" s="146">
        <f t="shared" ref="S38:S39" si="21">SUM(F38:Q38)</f>
        <v>15</v>
      </c>
      <c r="T38" s="3"/>
      <c r="U38" s="2"/>
      <c r="V38" s="2"/>
      <c r="W38" s="2"/>
      <c r="X38" s="2"/>
      <c r="Y38" s="2"/>
      <c r="Z38" s="2"/>
    </row>
    <row r="39" ht="14.25" customHeight="1">
      <c r="A39" s="2" t="s">
        <v>260</v>
      </c>
      <c r="B39" s="135">
        <f t="array" ref="B39">IF(B$27+$B$10&gt;COLUMNS(DeploySum!$B$57:$Q$57),$B$16,IFERROR(INDEX(DeploySum!$B$57:$Q$57,B$27+$B$10),0))</f>
        <v>0</v>
      </c>
      <c r="C39" s="135">
        <f t="array" ref="C39">IF(C$27+$B$10&gt;COLUMNS(DeploySum!$B$57:$Q$57),$B$16,IFERROR(INDEX(DeploySum!$B$57:$Q$57,C$27+$B$10),0))</f>
        <v>0</v>
      </c>
      <c r="D39" s="135">
        <f t="array" ref="D39">IF(D$27+$B$10&gt;COLUMNS(DeploySum!$B$57:$Q$57),$B$16,IFERROR(INDEX(DeploySum!$B$57:$Q$57,D$27+$B$10),0))</f>
        <v>0</v>
      </c>
      <c r="E39" s="135">
        <f t="array" ref="E39">IF(E$27+$B$10&gt;COLUMNS(DeploySum!$B$57:$Q$57),$B$16,IFERROR(INDEX(DeploySum!$B$57:$Q$57,E$27+$B$10),0))</f>
        <v>0</v>
      </c>
      <c r="F39" s="135">
        <f t="array" ref="F39">IF(F$27+$B$10&gt;COLUMNS(DeploySum!$B$57:$Q$57),$B$16,IFERROR(INDEX(DeploySum!$B$57:$Q$57,F$27+$B$10),0))</f>
        <v>0</v>
      </c>
      <c r="G39" s="135">
        <f t="array" ref="G39">IF(G$27+$B$10&gt;COLUMNS(DeploySum!$B$57:$Q$57),$B$16,IFERROR(INDEX(DeploySum!$B$57:$Q$57,G$27+$B$10),0))</f>
        <v>0</v>
      </c>
      <c r="H39" s="135">
        <f t="array" ref="H39">IF(H$27+$B$10&gt;COLUMNS(DeploySum!$B$57:$Q$57),$B$16,IFERROR(INDEX(DeploySum!$B$57:$Q$57,H$27+$B$10),0))</f>
        <v>1</v>
      </c>
      <c r="I39" s="135">
        <f t="array" ref="I39">IF(I$27+$B$10&gt;COLUMNS(DeploySum!$B$57:$Q$57),$B$16,IFERROR(INDEX(DeploySum!$B$57:$Q$57,I$27+$B$10),0))</f>
        <v>1</v>
      </c>
      <c r="J39" s="135">
        <f t="array" ref="J39">IF(J$27+$B$10&gt;COLUMNS(DeploySum!$B$57:$Q$57),$B$16,IFERROR(INDEX(DeploySum!$B$57:$Q$57,J$27+$B$10),0))</f>
        <v>2</v>
      </c>
      <c r="K39" s="135">
        <f t="array" ref="K39">IF(K$27+$B$10&gt;COLUMNS(DeploySum!$B$57:$Q$57),$B$16,IFERROR(INDEX(DeploySum!$B$57:$Q$57,K$27+$B$10),0))</f>
        <v>1</v>
      </c>
      <c r="L39" s="135">
        <f t="array" ref="L39">IF(L$27+$B$10&gt;COLUMNS(DeploySum!$B$57:$Q$57),$B$16,IFERROR(INDEX(DeploySum!$B$57:$Q$57,L$27+$B$10),0))</f>
        <v>1</v>
      </c>
      <c r="M39" s="135">
        <f t="array" ref="M39">IF(M$27+$B$10&gt;COLUMNS(DeploySum!$B$57:$Q$57),$B$16,IFERROR(INDEX(DeploySum!$B$57:$Q$57,M$27+$B$10),0))</f>
        <v>2</v>
      </c>
      <c r="N39" s="135">
        <f t="array" ref="N39">IF(N$27+$B$10&gt;COLUMNS(DeploySum!$B$57:$Q$57),$B$16,IFERROR(INDEX(DeploySum!$B$57:$Q$57,N$27+$B$10),0))</f>
        <v>2</v>
      </c>
      <c r="O39" s="135">
        <f t="array" ref="O39">IF(O$27+$B$10&gt;COLUMNS(DeploySum!$B$57:$Q$57),$B$16,IFERROR(INDEX(DeploySum!$B$57:$Q$57,O$27+$B$10),0))</f>
        <v>3</v>
      </c>
      <c r="P39" s="135">
        <f t="array" ref="P39">IF(P$27+$B$10&gt;COLUMNS(DeploySum!$B$57:$Q$57),$B$16,IFERROR(INDEX(DeploySum!$B$57:$Q$57,P$27+$B$10),0))</f>
        <v>2</v>
      </c>
      <c r="Q39" s="135">
        <f t="array" ref="Q39">IF(Q$27+$B$10&gt;COLUMNS(DeploySum!$B$57:$Q$57),$B$16,IFERROR(INDEX(DeploySum!$B$57:$Q$57,Q$27+$B$10),0))</f>
        <v>2</v>
      </c>
      <c r="R39" s="146">
        <f t="shared" si="20"/>
        <v>0</v>
      </c>
      <c r="S39" s="146">
        <f t="shared" si="21"/>
        <v>17</v>
      </c>
      <c r="T39" s="3"/>
      <c r="U39" s="2"/>
      <c r="V39" s="2"/>
      <c r="W39" s="2"/>
      <c r="X39" s="2"/>
      <c r="Y39" s="2"/>
      <c r="Z39" s="2"/>
    </row>
    <row r="40" ht="14.25" customHeight="1">
      <c r="A40" s="2" t="s">
        <v>261</v>
      </c>
      <c r="B40" s="135">
        <f t="shared" ref="B40:Q40" si="22">ROUND(SUM($B39:B39)*$B$12,0)</f>
        <v>0</v>
      </c>
      <c r="C40" s="135">
        <f t="shared" si="22"/>
        <v>0</v>
      </c>
      <c r="D40" s="135">
        <f t="shared" si="22"/>
        <v>0</v>
      </c>
      <c r="E40" s="135">
        <f t="shared" si="22"/>
        <v>0</v>
      </c>
      <c r="F40" s="135">
        <f t="shared" si="22"/>
        <v>0</v>
      </c>
      <c r="G40" s="135">
        <f t="shared" si="22"/>
        <v>0</v>
      </c>
      <c r="H40" s="135">
        <f t="shared" si="22"/>
        <v>1</v>
      </c>
      <c r="I40" s="135">
        <f t="shared" si="22"/>
        <v>1</v>
      </c>
      <c r="J40" s="135">
        <f t="shared" si="22"/>
        <v>2</v>
      </c>
      <c r="K40" s="135">
        <f t="shared" si="22"/>
        <v>3</v>
      </c>
      <c r="L40" s="135">
        <f t="shared" si="22"/>
        <v>4</v>
      </c>
      <c r="M40" s="135">
        <f t="shared" si="22"/>
        <v>5</v>
      </c>
      <c r="N40" s="135">
        <f t="shared" si="22"/>
        <v>6</v>
      </c>
      <c r="O40" s="135">
        <f t="shared" si="22"/>
        <v>8</v>
      </c>
      <c r="P40" s="135">
        <f t="shared" si="22"/>
        <v>9</v>
      </c>
      <c r="Q40" s="135">
        <f t="shared" si="22"/>
        <v>10</v>
      </c>
      <c r="R40" s="146">
        <f>E40</f>
        <v>0</v>
      </c>
      <c r="S40" s="146">
        <f>Q40</f>
        <v>10</v>
      </c>
      <c r="T40" s="3"/>
      <c r="U40" s="2"/>
      <c r="V40" s="2"/>
      <c r="W40" s="2"/>
      <c r="X40" s="2"/>
      <c r="Y40" s="2"/>
      <c r="Z40" s="2"/>
    </row>
    <row r="41" ht="14.25" customHeight="1">
      <c r="A41" s="2" t="s">
        <v>262</v>
      </c>
      <c r="B41" s="135">
        <f t="shared" ref="B41:Q41" si="23">B40*$B$5</f>
        <v>0</v>
      </c>
      <c r="C41" s="135">
        <f t="shared" si="23"/>
        <v>0</v>
      </c>
      <c r="D41" s="135">
        <f t="shared" si="23"/>
        <v>0</v>
      </c>
      <c r="E41" s="135">
        <f t="shared" si="23"/>
        <v>0</v>
      </c>
      <c r="F41" s="135">
        <f t="shared" si="23"/>
        <v>0</v>
      </c>
      <c r="G41" s="135">
        <f t="shared" si="23"/>
        <v>0</v>
      </c>
      <c r="H41" s="135">
        <f t="shared" si="23"/>
        <v>1</v>
      </c>
      <c r="I41" s="135">
        <f t="shared" si="23"/>
        <v>1</v>
      </c>
      <c r="J41" s="135">
        <f t="shared" si="23"/>
        <v>2</v>
      </c>
      <c r="K41" s="135">
        <f t="shared" si="23"/>
        <v>3</v>
      </c>
      <c r="L41" s="135">
        <f t="shared" si="23"/>
        <v>4</v>
      </c>
      <c r="M41" s="135">
        <f t="shared" si="23"/>
        <v>5</v>
      </c>
      <c r="N41" s="135">
        <f t="shared" si="23"/>
        <v>6</v>
      </c>
      <c r="O41" s="135">
        <f t="shared" si="23"/>
        <v>8</v>
      </c>
      <c r="P41" s="135">
        <f t="shared" si="23"/>
        <v>9</v>
      </c>
      <c r="Q41" s="135">
        <f t="shared" si="23"/>
        <v>10</v>
      </c>
      <c r="R41" s="136">
        <f>AVERAGE(B41:E41)</f>
        <v>0</v>
      </c>
      <c r="S41" s="136">
        <f>AVERAGE(F41:Q41)</f>
        <v>4.083333333</v>
      </c>
      <c r="T41" s="3"/>
      <c r="U41" s="2"/>
      <c r="V41" s="2"/>
      <c r="W41" s="2"/>
      <c r="X41" s="2"/>
      <c r="Y41" s="2"/>
      <c r="Z41" s="2"/>
    </row>
    <row r="42" ht="14.25" customHeight="1">
      <c r="A42" s="2" t="s">
        <v>263</v>
      </c>
      <c r="B42" s="135">
        <f>B41</f>
        <v>0</v>
      </c>
      <c r="C42" s="135">
        <f t="shared" ref="C42:Q42" si="24">MAX(0,C41-B41)</f>
        <v>0</v>
      </c>
      <c r="D42" s="135">
        <f t="shared" si="24"/>
        <v>0</v>
      </c>
      <c r="E42" s="135">
        <f t="shared" si="24"/>
        <v>0</v>
      </c>
      <c r="F42" s="135">
        <f t="shared" si="24"/>
        <v>0</v>
      </c>
      <c r="G42" s="135">
        <f t="shared" si="24"/>
        <v>0</v>
      </c>
      <c r="H42" s="135">
        <f t="shared" si="24"/>
        <v>1</v>
      </c>
      <c r="I42" s="135">
        <f t="shared" si="24"/>
        <v>0</v>
      </c>
      <c r="J42" s="135">
        <f t="shared" si="24"/>
        <v>1</v>
      </c>
      <c r="K42" s="135">
        <f t="shared" si="24"/>
        <v>1</v>
      </c>
      <c r="L42" s="135">
        <f t="shared" si="24"/>
        <v>1</v>
      </c>
      <c r="M42" s="135">
        <f t="shared" si="24"/>
        <v>1</v>
      </c>
      <c r="N42" s="135">
        <f t="shared" si="24"/>
        <v>1</v>
      </c>
      <c r="O42" s="135">
        <f t="shared" si="24"/>
        <v>2</v>
      </c>
      <c r="P42" s="135">
        <f t="shared" si="24"/>
        <v>1</v>
      </c>
      <c r="Q42" s="135">
        <f t="shared" si="24"/>
        <v>1</v>
      </c>
      <c r="R42" s="146">
        <f t="shared" ref="R42:R47" si="26">SUM(B42:E42)</f>
        <v>0</v>
      </c>
      <c r="S42" s="146">
        <f t="shared" ref="S42:S47" si="27">SUM(F42:Q42)</f>
        <v>10</v>
      </c>
      <c r="T42" s="3"/>
      <c r="U42" s="2"/>
      <c r="V42" s="2"/>
      <c r="W42" s="2"/>
      <c r="X42" s="2"/>
      <c r="Y42" s="2"/>
      <c r="Z42" s="2"/>
    </row>
    <row r="43" ht="14.25" customHeight="1">
      <c r="A43" s="2" t="s">
        <v>248</v>
      </c>
      <c r="B43" s="137">
        <f t="shared" ref="B43:Q43" si="25">B41*$B$6/12+IF(B$26&gt;=$M$6,MIN(B41,INDEX($B41:$Q41,IFERROR(MATCH(EOMONTH($M$6,-$M$7-1),$B$26:$Q$26,0),1)))*$B$6/12*$M$5,0)</f>
        <v>0</v>
      </c>
      <c r="C43" s="137">
        <f t="shared" si="25"/>
        <v>0</v>
      </c>
      <c r="D43" s="137">
        <f t="shared" si="25"/>
        <v>0</v>
      </c>
      <c r="E43" s="137">
        <f t="shared" si="25"/>
        <v>0</v>
      </c>
      <c r="F43" s="137">
        <f t="shared" si="25"/>
        <v>0</v>
      </c>
      <c r="G43" s="137">
        <f t="shared" si="25"/>
        <v>0</v>
      </c>
      <c r="H43" s="137">
        <f t="shared" si="25"/>
        <v>5250</v>
      </c>
      <c r="I43" s="137">
        <f t="shared" si="25"/>
        <v>5250</v>
      </c>
      <c r="J43" s="137">
        <f t="shared" si="25"/>
        <v>10500</v>
      </c>
      <c r="K43" s="137">
        <f t="shared" si="25"/>
        <v>15750</v>
      </c>
      <c r="L43" s="137">
        <f t="shared" si="25"/>
        <v>21000</v>
      </c>
      <c r="M43" s="137">
        <f t="shared" si="25"/>
        <v>26250</v>
      </c>
      <c r="N43" s="137">
        <f t="shared" si="25"/>
        <v>31500</v>
      </c>
      <c r="O43" s="137">
        <f t="shared" si="25"/>
        <v>42157.5</v>
      </c>
      <c r="P43" s="137">
        <f t="shared" si="25"/>
        <v>47407.5</v>
      </c>
      <c r="Q43" s="137">
        <f t="shared" si="25"/>
        <v>52657.5</v>
      </c>
      <c r="R43" s="138">
        <f t="shared" si="26"/>
        <v>0</v>
      </c>
      <c r="S43" s="138">
        <f t="shared" si="27"/>
        <v>257722.5</v>
      </c>
      <c r="T43" s="2"/>
      <c r="U43" s="2"/>
      <c r="V43" s="2"/>
      <c r="W43" s="2"/>
      <c r="X43" s="2"/>
      <c r="Y43" s="2"/>
      <c r="Z43" s="2"/>
    </row>
    <row r="44" ht="14.25" customHeight="1">
      <c r="A44" s="2" t="s">
        <v>249</v>
      </c>
      <c r="B44" s="137">
        <f t="shared" ref="B44:Q44" si="28">B43*$B$7</f>
        <v>0</v>
      </c>
      <c r="C44" s="137">
        <f t="shared" si="28"/>
        <v>0</v>
      </c>
      <c r="D44" s="137">
        <f t="shared" si="28"/>
        <v>0</v>
      </c>
      <c r="E44" s="137">
        <f t="shared" si="28"/>
        <v>0</v>
      </c>
      <c r="F44" s="137">
        <f t="shared" si="28"/>
        <v>0</v>
      </c>
      <c r="G44" s="137">
        <f t="shared" si="28"/>
        <v>0</v>
      </c>
      <c r="H44" s="137">
        <f t="shared" si="28"/>
        <v>357</v>
      </c>
      <c r="I44" s="137">
        <f t="shared" si="28"/>
        <v>357</v>
      </c>
      <c r="J44" s="137">
        <f t="shared" si="28"/>
        <v>714</v>
      </c>
      <c r="K44" s="137">
        <f t="shared" si="28"/>
        <v>1071</v>
      </c>
      <c r="L44" s="137">
        <f t="shared" si="28"/>
        <v>1428</v>
      </c>
      <c r="M44" s="137">
        <f t="shared" si="28"/>
        <v>1785</v>
      </c>
      <c r="N44" s="137">
        <f t="shared" si="28"/>
        <v>2142</v>
      </c>
      <c r="O44" s="137">
        <f t="shared" si="28"/>
        <v>2866.71</v>
      </c>
      <c r="P44" s="137">
        <f t="shared" si="28"/>
        <v>3223.71</v>
      </c>
      <c r="Q44" s="137">
        <f t="shared" si="28"/>
        <v>3580.71</v>
      </c>
      <c r="R44" s="138">
        <f t="shared" si="26"/>
        <v>0</v>
      </c>
      <c r="S44" s="138">
        <f t="shared" si="27"/>
        <v>17525.13</v>
      </c>
      <c r="T44" s="2"/>
      <c r="U44" s="2"/>
      <c r="V44" s="2"/>
      <c r="W44" s="2"/>
      <c r="X44" s="2"/>
      <c r="Y44" s="2"/>
      <c r="Z44" s="2"/>
    </row>
    <row r="45" ht="14.25" customHeight="1">
      <c r="A45" s="2" t="s">
        <v>204</v>
      </c>
      <c r="B45" s="137">
        <f t="shared" ref="B45:Q45" si="29">B43*$B$8</f>
        <v>0</v>
      </c>
      <c r="C45" s="137">
        <f t="shared" si="29"/>
        <v>0</v>
      </c>
      <c r="D45" s="137">
        <f t="shared" si="29"/>
        <v>0</v>
      </c>
      <c r="E45" s="137">
        <f t="shared" si="29"/>
        <v>0</v>
      </c>
      <c r="F45" s="137">
        <f t="shared" si="29"/>
        <v>0</v>
      </c>
      <c r="G45" s="137">
        <f t="shared" si="29"/>
        <v>0</v>
      </c>
      <c r="H45" s="137">
        <f t="shared" si="29"/>
        <v>861</v>
      </c>
      <c r="I45" s="137">
        <f t="shared" si="29"/>
        <v>861</v>
      </c>
      <c r="J45" s="137">
        <f t="shared" si="29"/>
        <v>1722</v>
      </c>
      <c r="K45" s="137">
        <f t="shared" si="29"/>
        <v>2583</v>
      </c>
      <c r="L45" s="137">
        <f t="shared" si="29"/>
        <v>3444</v>
      </c>
      <c r="M45" s="137">
        <f t="shared" si="29"/>
        <v>4305</v>
      </c>
      <c r="N45" s="137">
        <f t="shared" si="29"/>
        <v>5166</v>
      </c>
      <c r="O45" s="137">
        <f t="shared" si="29"/>
        <v>6913.83</v>
      </c>
      <c r="P45" s="137">
        <f t="shared" si="29"/>
        <v>7774.83</v>
      </c>
      <c r="Q45" s="137">
        <f t="shared" si="29"/>
        <v>8635.83</v>
      </c>
      <c r="R45" s="138">
        <f t="shared" si="26"/>
        <v>0</v>
      </c>
      <c r="S45" s="138">
        <f t="shared" si="27"/>
        <v>42266.49</v>
      </c>
      <c r="T45" s="2"/>
      <c r="U45" s="2"/>
      <c r="V45" s="2"/>
      <c r="W45" s="2"/>
      <c r="X45" s="2"/>
      <c r="Y45" s="2"/>
      <c r="Z45" s="2"/>
    </row>
    <row r="46" ht="14.25" customHeight="1">
      <c r="A46" s="2" t="s">
        <v>256</v>
      </c>
      <c r="B46" s="137">
        <f t="shared" ref="B46:Q46" si="30">B42*$B$9</f>
        <v>0</v>
      </c>
      <c r="C46" s="137">
        <f t="shared" si="30"/>
        <v>0</v>
      </c>
      <c r="D46" s="137">
        <f t="shared" si="30"/>
        <v>0</v>
      </c>
      <c r="E46" s="137">
        <f t="shared" si="30"/>
        <v>0</v>
      </c>
      <c r="F46" s="137">
        <f t="shared" si="30"/>
        <v>0</v>
      </c>
      <c r="G46" s="137">
        <f t="shared" si="30"/>
        <v>0</v>
      </c>
      <c r="H46" s="137">
        <f t="shared" si="30"/>
        <v>2000</v>
      </c>
      <c r="I46" s="137">
        <f t="shared" si="30"/>
        <v>0</v>
      </c>
      <c r="J46" s="137">
        <f t="shared" si="30"/>
        <v>2000</v>
      </c>
      <c r="K46" s="137">
        <f t="shared" si="30"/>
        <v>2000</v>
      </c>
      <c r="L46" s="137">
        <f t="shared" si="30"/>
        <v>2000</v>
      </c>
      <c r="M46" s="137">
        <f t="shared" si="30"/>
        <v>2000</v>
      </c>
      <c r="N46" s="137">
        <f t="shared" si="30"/>
        <v>2000</v>
      </c>
      <c r="O46" s="137">
        <f t="shared" si="30"/>
        <v>4000</v>
      </c>
      <c r="P46" s="137">
        <f t="shared" si="30"/>
        <v>2000</v>
      </c>
      <c r="Q46" s="137">
        <f t="shared" si="30"/>
        <v>2000</v>
      </c>
      <c r="R46" s="138">
        <f t="shared" si="26"/>
        <v>0</v>
      </c>
      <c r="S46" s="138">
        <f t="shared" si="27"/>
        <v>20000</v>
      </c>
      <c r="T46" s="2"/>
      <c r="U46" s="2"/>
      <c r="V46" s="2"/>
      <c r="W46" s="2"/>
      <c r="X46" s="2"/>
      <c r="Y46" s="2"/>
      <c r="Z46" s="2"/>
    </row>
    <row r="47" ht="14.25" customHeight="1">
      <c r="A47" s="139" t="s">
        <v>264</v>
      </c>
      <c r="B47" s="140">
        <f t="shared" ref="B47:Q47" si="31">SUM(B43:B46)</f>
        <v>0</v>
      </c>
      <c r="C47" s="140">
        <f t="shared" si="31"/>
        <v>0</v>
      </c>
      <c r="D47" s="140">
        <f t="shared" si="31"/>
        <v>0</v>
      </c>
      <c r="E47" s="140">
        <f t="shared" si="31"/>
        <v>0</v>
      </c>
      <c r="F47" s="140">
        <f t="shared" si="31"/>
        <v>0</v>
      </c>
      <c r="G47" s="140">
        <f t="shared" si="31"/>
        <v>0</v>
      </c>
      <c r="H47" s="140">
        <f t="shared" si="31"/>
        <v>8468</v>
      </c>
      <c r="I47" s="140">
        <f t="shared" si="31"/>
        <v>6468</v>
      </c>
      <c r="J47" s="140">
        <f t="shared" si="31"/>
        <v>14936</v>
      </c>
      <c r="K47" s="140">
        <f t="shared" si="31"/>
        <v>21404</v>
      </c>
      <c r="L47" s="140">
        <f t="shared" si="31"/>
        <v>27872</v>
      </c>
      <c r="M47" s="140">
        <f t="shared" si="31"/>
        <v>34340</v>
      </c>
      <c r="N47" s="140">
        <f t="shared" si="31"/>
        <v>40808</v>
      </c>
      <c r="O47" s="140">
        <f t="shared" si="31"/>
        <v>55938.04</v>
      </c>
      <c r="P47" s="140">
        <f t="shared" si="31"/>
        <v>60406.04</v>
      </c>
      <c r="Q47" s="140">
        <f t="shared" si="31"/>
        <v>66874.04</v>
      </c>
      <c r="R47" s="141">
        <f t="shared" si="26"/>
        <v>0</v>
      </c>
      <c r="S47" s="141">
        <f t="shared" si="27"/>
        <v>337514.12</v>
      </c>
      <c r="T47" s="2"/>
      <c r="U47" s="2"/>
      <c r="V47" s="2"/>
      <c r="W47" s="2"/>
      <c r="X47" s="2"/>
      <c r="Y47" s="2"/>
      <c r="Z47" s="2"/>
    </row>
    <row r="48" ht="14.25" customHeight="1">
      <c r="U48" s="2"/>
      <c r="V48" s="2"/>
      <c r="W48" s="2"/>
      <c r="X48" s="2"/>
      <c r="Y48" s="2"/>
      <c r="Z48" s="2"/>
    </row>
    <row r="49" ht="14.25" customHeight="1">
      <c r="A49" s="134" t="s">
        <v>265</v>
      </c>
      <c r="B49" s="6">
        <f t="shared" ref="B49:Q49" si="32">B$26</f>
        <v>46295</v>
      </c>
      <c r="C49" s="6">
        <f t="shared" si="32"/>
        <v>46326</v>
      </c>
      <c r="D49" s="6">
        <f t="shared" si="32"/>
        <v>46356</v>
      </c>
      <c r="E49" s="6">
        <f t="shared" si="32"/>
        <v>46387</v>
      </c>
      <c r="F49" s="6">
        <f t="shared" si="32"/>
        <v>46418</v>
      </c>
      <c r="G49" s="6">
        <f t="shared" si="32"/>
        <v>46446</v>
      </c>
      <c r="H49" s="6">
        <f t="shared" si="32"/>
        <v>46477</v>
      </c>
      <c r="I49" s="6">
        <f t="shared" si="32"/>
        <v>46507</v>
      </c>
      <c r="J49" s="6">
        <f t="shared" si="32"/>
        <v>46538</v>
      </c>
      <c r="K49" s="6">
        <f t="shared" si="32"/>
        <v>46568</v>
      </c>
      <c r="L49" s="6">
        <f t="shared" si="32"/>
        <v>46599</v>
      </c>
      <c r="M49" s="6">
        <f t="shared" si="32"/>
        <v>46630</v>
      </c>
      <c r="N49" s="6">
        <f t="shared" si="32"/>
        <v>46660</v>
      </c>
      <c r="O49" s="6">
        <f t="shared" si="32"/>
        <v>46691</v>
      </c>
      <c r="P49" s="6">
        <f t="shared" si="32"/>
        <v>46721</v>
      </c>
      <c r="Q49" s="6">
        <f t="shared" si="32"/>
        <v>46752</v>
      </c>
      <c r="R49" s="5" t="s">
        <v>246</v>
      </c>
      <c r="S49" s="5" t="s">
        <v>2</v>
      </c>
      <c r="T49" s="2"/>
      <c r="U49" s="2"/>
      <c r="V49" s="2"/>
      <c r="W49" s="2"/>
      <c r="X49" s="2"/>
      <c r="Y49" s="2"/>
      <c r="Z49" s="2"/>
    </row>
    <row r="50" ht="14.25" customHeight="1">
      <c r="A50" s="2" t="s">
        <v>266</v>
      </c>
      <c r="B50" s="135">
        <f t="shared" ref="B50:Q50" si="33">B20+B30+B41</f>
        <v>14</v>
      </c>
      <c r="C50" s="135">
        <f t="shared" si="33"/>
        <v>14</v>
      </c>
      <c r="D50" s="135">
        <f t="shared" si="33"/>
        <v>14</v>
      </c>
      <c r="E50" s="135">
        <f t="shared" si="33"/>
        <v>17</v>
      </c>
      <c r="F50" s="135">
        <f t="shared" si="33"/>
        <v>19</v>
      </c>
      <c r="G50" s="135">
        <f t="shared" si="33"/>
        <v>19</v>
      </c>
      <c r="H50" s="135">
        <f t="shared" si="33"/>
        <v>23</v>
      </c>
      <c r="I50" s="135">
        <f t="shared" si="33"/>
        <v>26</v>
      </c>
      <c r="J50" s="135">
        <f t="shared" si="33"/>
        <v>31</v>
      </c>
      <c r="K50" s="135">
        <f t="shared" si="33"/>
        <v>36</v>
      </c>
      <c r="L50" s="135">
        <f t="shared" si="33"/>
        <v>42</v>
      </c>
      <c r="M50" s="135">
        <f t="shared" si="33"/>
        <v>49</v>
      </c>
      <c r="N50" s="135">
        <f t="shared" si="33"/>
        <v>56</v>
      </c>
      <c r="O50" s="135">
        <f t="shared" si="33"/>
        <v>65</v>
      </c>
      <c r="P50" s="135">
        <f t="shared" si="33"/>
        <v>74</v>
      </c>
      <c r="Q50" s="135">
        <f t="shared" si="33"/>
        <v>82</v>
      </c>
      <c r="R50" s="136">
        <f t="shared" ref="R50:R54" si="35">AVERAGE(B50:E50)</f>
        <v>14.75</v>
      </c>
      <c r="S50" s="136">
        <f t="shared" ref="S50:S54" si="36">AVERAGE(F50:Q50)</f>
        <v>43.5</v>
      </c>
      <c r="T50" s="3"/>
      <c r="U50" s="2"/>
      <c r="V50" s="2"/>
      <c r="W50" s="2"/>
      <c r="X50" s="2"/>
      <c r="Y50" s="2"/>
      <c r="Z50" s="2"/>
    </row>
    <row r="51" ht="14.25" customHeight="1">
      <c r="A51" s="2" t="s">
        <v>267</v>
      </c>
      <c r="B51" s="135">
        <f t="array" ref="B51">IF($M$14="No",0,MAX($M$12,INT(INDEX($B$50:$Q$50,MIN(B$27+$B$10,COLUMNS($B$50:$Q$50)))/$M$11)))</f>
        <v>0</v>
      </c>
      <c r="C51" s="135">
        <f t="shared" ref="C51:Q51" si="34">IF($M$14="No",0,MAX(B51,$M$12,INT(INDEX($B$50:$Q$50,MIN(C$27+$B$10,COLUMNS($B$50:$Q$50)))/$M$11)))</f>
        <v>0</v>
      </c>
      <c r="D51" s="135">
        <f t="shared" si="34"/>
        <v>0</v>
      </c>
      <c r="E51" s="135">
        <f t="shared" si="34"/>
        <v>0</v>
      </c>
      <c r="F51" s="135">
        <f t="shared" si="34"/>
        <v>0</v>
      </c>
      <c r="G51" s="135">
        <f t="shared" si="34"/>
        <v>0</v>
      </c>
      <c r="H51" s="135">
        <f t="shared" si="34"/>
        <v>0</v>
      </c>
      <c r="I51" s="135">
        <f t="shared" si="34"/>
        <v>0</v>
      </c>
      <c r="J51" s="135">
        <f t="shared" si="34"/>
        <v>0</v>
      </c>
      <c r="K51" s="147">
        <f t="shared" si="34"/>
        <v>0</v>
      </c>
      <c r="L51" s="147">
        <f t="shared" si="34"/>
        <v>0</v>
      </c>
      <c r="M51" s="135">
        <f t="shared" si="34"/>
        <v>0</v>
      </c>
      <c r="N51" s="135">
        <f t="shared" si="34"/>
        <v>0</v>
      </c>
      <c r="O51" s="135">
        <f t="shared" si="34"/>
        <v>0</v>
      </c>
      <c r="P51" s="135">
        <f t="shared" si="34"/>
        <v>0</v>
      </c>
      <c r="Q51" s="135">
        <f t="shared" si="34"/>
        <v>0</v>
      </c>
      <c r="R51" s="136">
        <f t="shared" si="35"/>
        <v>0</v>
      </c>
      <c r="S51" s="136">
        <f t="shared" si="36"/>
        <v>0</v>
      </c>
      <c r="T51" s="3"/>
      <c r="U51" s="2"/>
      <c r="V51" s="2"/>
      <c r="W51" s="2"/>
      <c r="X51" s="2"/>
      <c r="Y51" s="2"/>
      <c r="Z51" s="2"/>
    </row>
    <row r="52" ht="14.25" customHeight="1">
      <c r="A52" s="2" t="s">
        <v>268</v>
      </c>
      <c r="B52" s="135">
        <f t="shared" ref="B52:Q52" si="37">IF($M$14="No",0,$M$13)</f>
        <v>0</v>
      </c>
      <c r="C52" s="135">
        <f t="shared" si="37"/>
        <v>0</v>
      </c>
      <c r="D52" s="135">
        <f t="shared" si="37"/>
        <v>0</v>
      </c>
      <c r="E52" s="135">
        <f t="shared" si="37"/>
        <v>0</v>
      </c>
      <c r="F52" s="135">
        <f t="shared" si="37"/>
        <v>0</v>
      </c>
      <c r="G52" s="135">
        <f t="shared" si="37"/>
        <v>0</v>
      </c>
      <c r="H52" s="135">
        <f t="shared" si="37"/>
        <v>0</v>
      </c>
      <c r="I52" s="135">
        <f t="shared" si="37"/>
        <v>0</v>
      </c>
      <c r="J52" s="135">
        <f t="shared" si="37"/>
        <v>0</v>
      </c>
      <c r="K52" s="135">
        <f t="shared" si="37"/>
        <v>0</v>
      </c>
      <c r="L52" s="135">
        <f t="shared" si="37"/>
        <v>0</v>
      </c>
      <c r="M52" s="135">
        <f t="shared" si="37"/>
        <v>0</v>
      </c>
      <c r="N52" s="135">
        <f t="shared" si="37"/>
        <v>0</v>
      </c>
      <c r="O52" s="135">
        <f t="shared" si="37"/>
        <v>0</v>
      </c>
      <c r="P52" s="135">
        <f t="shared" si="37"/>
        <v>0</v>
      </c>
      <c r="Q52" s="135">
        <f t="shared" si="37"/>
        <v>0</v>
      </c>
      <c r="R52" s="136">
        <f t="shared" si="35"/>
        <v>0</v>
      </c>
      <c r="S52" s="136">
        <f t="shared" si="36"/>
        <v>0</v>
      </c>
      <c r="T52" s="3"/>
      <c r="U52" s="2"/>
      <c r="V52" s="2"/>
      <c r="W52" s="2"/>
      <c r="X52" s="2"/>
      <c r="Y52" s="2"/>
      <c r="Z52" s="2"/>
    </row>
    <row r="53" ht="14.25" customHeight="1">
      <c r="A53" s="2" t="s">
        <v>269</v>
      </c>
      <c r="B53" s="135">
        <f t="shared" ref="B53:Q53" si="38">MAX(0,B51-B52)</f>
        <v>0</v>
      </c>
      <c r="C53" s="135">
        <f t="shared" si="38"/>
        <v>0</v>
      </c>
      <c r="D53" s="135">
        <f t="shared" si="38"/>
        <v>0</v>
      </c>
      <c r="E53" s="135">
        <f t="shared" si="38"/>
        <v>0</v>
      </c>
      <c r="F53" s="135">
        <f t="shared" si="38"/>
        <v>0</v>
      </c>
      <c r="G53" s="135">
        <f t="shared" si="38"/>
        <v>0</v>
      </c>
      <c r="H53" s="135">
        <f t="shared" si="38"/>
        <v>0</v>
      </c>
      <c r="I53" s="135">
        <f t="shared" si="38"/>
        <v>0</v>
      </c>
      <c r="J53" s="135">
        <f t="shared" si="38"/>
        <v>0</v>
      </c>
      <c r="K53" s="135">
        <f t="shared" si="38"/>
        <v>0</v>
      </c>
      <c r="L53" s="135">
        <f t="shared" si="38"/>
        <v>0</v>
      </c>
      <c r="M53" s="135">
        <f t="shared" si="38"/>
        <v>0</v>
      </c>
      <c r="N53" s="135">
        <f t="shared" si="38"/>
        <v>0</v>
      </c>
      <c r="O53" s="135">
        <f t="shared" si="38"/>
        <v>0</v>
      </c>
      <c r="P53" s="135">
        <f t="shared" si="38"/>
        <v>0</v>
      </c>
      <c r="Q53" s="135">
        <f t="shared" si="38"/>
        <v>0</v>
      </c>
      <c r="R53" s="136">
        <f t="shared" si="35"/>
        <v>0</v>
      </c>
      <c r="S53" s="136">
        <f t="shared" si="36"/>
        <v>0</v>
      </c>
      <c r="T53" s="3"/>
      <c r="U53" s="2"/>
      <c r="V53" s="2"/>
      <c r="W53" s="2"/>
      <c r="X53" s="2"/>
      <c r="Y53" s="2"/>
      <c r="Z53" s="2"/>
    </row>
    <row r="54" ht="14.25" customHeight="1">
      <c r="A54" s="2" t="s">
        <v>270</v>
      </c>
      <c r="B54" s="135">
        <f t="shared" ref="B54:Q54" si="39">B52+B53</f>
        <v>0</v>
      </c>
      <c r="C54" s="135">
        <f t="shared" si="39"/>
        <v>0</v>
      </c>
      <c r="D54" s="135">
        <f t="shared" si="39"/>
        <v>0</v>
      </c>
      <c r="E54" s="135">
        <f t="shared" si="39"/>
        <v>0</v>
      </c>
      <c r="F54" s="135">
        <f t="shared" si="39"/>
        <v>0</v>
      </c>
      <c r="G54" s="135">
        <f t="shared" si="39"/>
        <v>0</v>
      </c>
      <c r="H54" s="135">
        <f t="shared" si="39"/>
        <v>0</v>
      </c>
      <c r="I54" s="135">
        <f t="shared" si="39"/>
        <v>0</v>
      </c>
      <c r="J54" s="135">
        <f t="shared" si="39"/>
        <v>0</v>
      </c>
      <c r="K54" s="135">
        <f t="shared" si="39"/>
        <v>0</v>
      </c>
      <c r="L54" s="135">
        <f t="shared" si="39"/>
        <v>0</v>
      </c>
      <c r="M54" s="135">
        <f t="shared" si="39"/>
        <v>0</v>
      </c>
      <c r="N54" s="135">
        <f t="shared" si="39"/>
        <v>0</v>
      </c>
      <c r="O54" s="135">
        <f t="shared" si="39"/>
        <v>0</v>
      </c>
      <c r="P54" s="135">
        <f t="shared" si="39"/>
        <v>0</v>
      </c>
      <c r="Q54" s="135">
        <f t="shared" si="39"/>
        <v>0</v>
      </c>
      <c r="R54" s="136">
        <f t="shared" si="35"/>
        <v>0</v>
      </c>
      <c r="S54" s="136">
        <f t="shared" si="36"/>
        <v>0</v>
      </c>
      <c r="T54" s="3"/>
      <c r="U54" s="2"/>
      <c r="V54" s="2"/>
      <c r="W54" s="2"/>
      <c r="X54" s="2"/>
      <c r="Y54" s="2"/>
      <c r="Z54" s="2"/>
    </row>
    <row r="55" ht="14.25" customHeight="1">
      <c r="A55" s="2" t="s">
        <v>271</v>
      </c>
      <c r="B55" s="135">
        <f>B53</f>
        <v>0</v>
      </c>
      <c r="C55" s="135">
        <f t="shared" ref="C55:Q55" si="40">MAX(0,C53-B53)</f>
        <v>0</v>
      </c>
      <c r="D55" s="135">
        <f t="shared" si="40"/>
        <v>0</v>
      </c>
      <c r="E55" s="135">
        <f t="shared" si="40"/>
        <v>0</v>
      </c>
      <c r="F55" s="135">
        <f t="shared" si="40"/>
        <v>0</v>
      </c>
      <c r="G55" s="135">
        <f t="shared" si="40"/>
        <v>0</v>
      </c>
      <c r="H55" s="135">
        <f t="shared" si="40"/>
        <v>0</v>
      </c>
      <c r="I55" s="135">
        <f t="shared" si="40"/>
        <v>0</v>
      </c>
      <c r="J55" s="135">
        <f t="shared" si="40"/>
        <v>0</v>
      </c>
      <c r="K55" s="135">
        <f t="shared" si="40"/>
        <v>0</v>
      </c>
      <c r="L55" s="135">
        <f t="shared" si="40"/>
        <v>0</v>
      </c>
      <c r="M55" s="135">
        <f t="shared" si="40"/>
        <v>0</v>
      </c>
      <c r="N55" s="135">
        <f t="shared" si="40"/>
        <v>0</v>
      </c>
      <c r="O55" s="135">
        <f t="shared" si="40"/>
        <v>0</v>
      </c>
      <c r="P55" s="135">
        <f t="shared" si="40"/>
        <v>0</v>
      </c>
      <c r="Q55" s="135">
        <f t="shared" si="40"/>
        <v>0</v>
      </c>
      <c r="R55" s="146">
        <f t="shared" ref="R55:R60" si="42">SUM(B55:E55)</f>
        <v>0</v>
      </c>
      <c r="S55" s="146">
        <f t="shared" ref="S55:S60" si="43">SUM(F55:Q55)</f>
        <v>0</v>
      </c>
      <c r="T55" s="3"/>
      <c r="U55" s="2"/>
      <c r="V55" s="2"/>
      <c r="W55" s="2"/>
      <c r="X55" s="2"/>
      <c r="Y55" s="2"/>
      <c r="Z55" s="2"/>
    </row>
    <row r="56" ht="14.25" customHeight="1">
      <c r="A56" s="2" t="s">
        <v>248</v>
      </c>
      <c r="B56" s="137">
        <f t="shared" ref="B56:Q56" si="41">B54*$B$6/12+IF(B$26&gt;=$M$6,MIN(B54,INDEX($B54:$Q54,IFERROR(MATCH(EOMONTH($M$6,-$M$7-1),$B$26:$Q$26,0),1)))*$B$6/12*$M$5,0)</f>
        <v>0</v>
      </c>
      <c r="C56" s="137">
        <f t="shared" si="41"/>
        <v>0</v>
      </c>
      <c r="D56" s="137">
        <f t="shared" si="41"/>
        <v>0</v>
      </c>
      <c r="E56" s="137">
        <f t="shared" si="41"/>
        <v>0</v>
      </c>
      <c r="F56" s="137">
        <f t="shared" si="41"/>
        <v>0</v>
      </c>
      <c r="G56" s="137">
        <f t="shared" si="41"/>
        <v>0</v>
      </c>
      <c r="H56" s="137">
        <f t="shared" si="41"/>
        <v>0</v>
      </c>
      <c r="I56" s="137">
        <f t="shared" si="41"/>
        <v>0</v>
      </c>
      <c r="J56" s="137">
        <f t="shared" si="41"/>
        <v>0</v>
      </c>
      <c r="K56" s="137">
        <f t="shared" si="41"/>
        <v>0</v>
      </c>
      <c r="L56" s="137">
        <f t="shared" si="41"/>
        <v>0</v>
      </c>
      <c r="M56" s="137">
        <f t="shared" si="41"/>
        <v>0</v>
      </c>
      <c r="N56" s="137">
        <f t="shared" si="41"/>
        <v>0</v>
      </c>
      <c r="O56" s="137">
        <f t="shared" si="41"/>
        <v>0</v>
      </c>
      <c r="P56" s="137">
        <f t="shared" si="41"/>
        <v>0</v>
      </c>
      <c r="Q56" s="137">
        <f t="shared" si="41"/>
        <v>0</v>
      </c>
      <c r="R56" s="138">
        <f t="shared" si="42"/>
        <v>0</v>
      </c>
      <c r="S56" s="138">
        <f t="shared" si="43"/>
        <v>0</v>
      </c>
      <c r="T56" s="2"/>
      <c r="U56" s="2"/>
      <c r="V56" s="2"/>
      <c r="W56" s="2"/>
      <c r="X56" s="2"/>
      <c r="Y56" s="2"/>
      <c r="Z56" s="2"/>
    </row>
    <row r="57" ht="14.25" customHeight="1">
      <c r="A57" s="2" t="s">
        <v>249</v>
      </c>
      <c r="B57" s="137">
        <f t="shared" ref="B57:Q57" si="44">B56*$B$7</f>
        <v>0</v>
      </c>
      <c r="C57" s="137">
        <f t="shared" si="44"/>
        <v>0</v>
      </c>
      <c r="D57" s="137">
        <f t="shared" si="44"/>
        <v>0</v>
      </c>
      <c r="E57" s="137">
        <f t="shared" si="44"/>
        <v>0</v>
      </c>
      <c r="F57" s="137">
        <f t="shared" si="44"/>
        <v>0</v>
      </c>
      <c r="G57" s="137">
        <f t="shared" si="44"/>
        <v>0</v>
      </c>
      <c r="H57" s="137">
        <f t="shared" si="44"/>
        <v>0</v>
      </c>
      <c r="I57" s="137">
        <f t="shared" si="44"/>
        <v>0</v>
      </c>
      <c r="J57" s="137">
        <f t="shared" si="44"/>
        <v>0</v>
      </c>
      <c r="K57" s="137">
        <f t="shared" si="44"/>
        <v>0</v>
      </c>
      <c r="L57" s="137">
        <f t="shared" si="44"/>
        <v>0</v>
      </c>
      <c r="M57" s="137">
        <f t="shared" si="44"/>
        <v>0</v>
      </c>
      <c r="N57" s="137">
        <f t="shared" si="44"/>
        <v>0</v>
      </c>
      <c r="O57" s="137">
        <f t="shared" si="44"/>
        <v>0</v>
      </c>
      <c r="P57" s="137">
        <f t="shared" si="44"/>
        <v>0</v>
      </c>
      <c r="Q57" s="137">
        <f t="shared" si="44"/>
        <v>0</v>
      </c>
      <c r="R57" s="138">
        <f t="shared" si="42"/>
        <v>0</v>
      </c>
      <c r="S57" s="138">
        <f t="shared" si="43"/>
        <v>0</v>
      </c>
      <c r="T57" s="2"/>
      <c r="U57" s="2"/>
      <c r="V57" s="2"/>
      <c r="W57" s="2"/>
      <c r="X57" s="2"/>
      <c r="Y57" s="2"/>
      <c r="Z57" s="2"/>
    </row>
    <row r="58" ht="14.25" customHeight="1">
      <c r="A58" s="2" t="s">
        <v>204</v>
      </c>
      <c r="B58" s="137">
        <f t="shared" ref="B58:Q58" si="45">B56*$B$8</f>
        <v>0</v>
      </c>
      <c r="C58" s="137">
        <f t="shared" si="45"/>
        <v>0</v>
      </c>
      <c r="D58" s="137">
        <f t="shared" si="45"/>
        <v>0</v>
      </c>
      <c r="E58" s="137">
        <f t="shared" si="45"/>
        <v>0</v>
      </c>
      <c r="F58" s="137">
        <f t="shared" si="45"/>
        <v>0</v>
      </c>
      <c r="G58" s="137">
        <f t="shared" si="45"/>
        <v>0</v>
      </c>
      <c r="H58" s="137">
        <f t="shared" si="45"/>
        <v>0</v>
      </c>
      <c r="I58" s="137">
        <f t="shared" si="45"/>
        <v>0</v>
      </c>
      <c r="J58" s="137">
        <f t="shared" si="45"/>
        <v>0</v>
      </c>
      <c r="K58" s="137">
        <f t="shared" si="45"/>
        <v>0</v>
      </c>
      <c r="L58" s="137">
        <f t="shared" si="45"/>
        <v>0</v>
      </c>
      <c r="M58" s="137">
        <f t="shared" si="45"/>
        <v>0</v>
      </c>
      <c r="N58" s="137">
        <f t="shared" si="45"/>
        <v>0</v>
      </c>
      <c r="O58" s="137">
        <f t="shared" si="45"/>
        <v>0</v>
      </c>
      <c r="P58" s="137">
        <f t="shared" si="45"/>
        <v>0</v>
      </c>
      <c r="Q58" s="137">
        <f t="shared" si="45"/>
        <v>0</v>
      </c>
      <c r="R58" s="138">
        <f t="shared" si="42"/>
        <v>0</v>
      </c>
      <c r="S58" s="138">
        <f t="shared" si="43"/>
        <v>0</v>
      </c>
      <c r="T58" s="2"/>
      <c r="U58" s="2"/>
      <c r="V58" s="2"/>
      <c r="W58" s="2"/>
      <c r="X58" s="2"/>
      <c r="Y58" s="2"/>
      <c r="Z58" s="2"/>
    </row>
    <row r="59" ht="14.25" customHeight="1">
      <c r="A59" s="2" t="s">
        <v>256</v>
      </c>
      <c r="B59" s="137">
        <f t="shared" ref="B59:Q59" si="46">B55*$B$9</f>
        <v>0</v>
      </c>
      <c r="C59" s="137">
        <f t="shared" si="46"/>
        <v>0</v>
      </c>
      <c r="D59" s="137">
        <f t="shared" si="46"/>
        <v>0</v>
      </c>
      <c r="E59" s="137">
        <f t="shared" si="46"/>
        <v>0</v>
      </c>
      <c r="F59" s="137">
        <f t="shared" si="46"/>
        <v>0</v>
      </c>
      <c r="G59" s="137">
        <f t="shared" si="46"/>
        <v>0</v>
      </c>
      <c r="H59" s="137">
        <f t="shared" si="46"/>
        <v>0</v>
      </c>
      <c r="I59" s="137">
        <f t="shared" si="46"/>
        <v>0</v>
      </c>
      <c r="J59" s="137">
        <f t="shared" si="46"/>
        <v>0</v>
      </c>
      <c r="K59" s="137">
        <f t="shared" si="46"/>
        <v>0</v>
      </c>
      <c r="L59" s="137">
        <f t="shared" si="46"/>
        <v>0</v>
      </c>
      <c r="M59" s="137">
        <f t="shared" si="46"/>
        <v>0</v>
      </c>
      <c r="N59" s="137">
        <f t="shared" si="46"/>
        <v>0</v>
      </c>
      <c r="O59" s="137">
        <f t="shared" si="46"/>
        <v>0</v>
      </c>
      <c r="P59" s="137">
        <f t="shared" si="46"/>
        <v>0</v>
      </c>
      <c r="Q59" s="137">
        <f t="shared" si="46"/>
        <v>0</v>
      </c>
      <c r="R59" s="138">
        <f t="shared" si="42"/>
        <v>0</v>
      </c>
      <c r="S59" s="138">
        <f t="shared" si="43"/>
        <v>0</v>
      </c>
      <c r="T59" s="2"/>
      <c r="U59" s="2"/>
      <c r="V59" s="2"/>
      <c r="W59" s="2"/>
      <c r="X59" s="2"/>
      <c r="Y59" s="2"/>
      <c r="Z59" s="2"/>
    </row>
    <row r="60" ht="14.25" customHeight="1">
      <c r="A60" s="139" t="s">
        <v>272</v>
      </c>
      <c r="B60" s="140">
        <f t="shared" ref="B60:Q60" si="47">SUM(B56:B59)</f>
        <v>0</v>
      </c>
      <c r="C60" s="140">
        <f t="shared" si="47"/>
        <v>0</v>
      </c>
      <c r="D60" s="140">
        <f t="shared" si="47"/>
        <v>0</v>
      </c>
      <c r="E60" s="140">
        <f t="shared" si="47"/>
        <v>0</v>
      </c>
      <c r="F60" s="140">
        <f t="shared" si="47"/>
        <v>0</v>
      </c>
      <c r="G60" s="140">
        <f t="shared" si="47"/>
        <v>0</v>
      </c>
      <c r="H60" s="140">
        <f t="shared" si="47"/>
        <v>0</v>
      </c>
      <c r="I60" s="140">
        <f t="shared" si="47"/>
        <v>0</v>
      </c>
      <c r="J60" s="140">
        <f t="shared" si="47"/>
        <v>0</v>
      </c>
      <c r="K60" s="140">
        <f t="shared" si="47"/>
        <v>0</v>
      </c>
      <c r="L60" s="140">
        <f t="shared" si="47"/>
        <v>0</v>
      </c>
      <c r="M60" s="140">
        <f t="shared" si="47"/>
        <v>0</v>
      </c>
      <c r="N60" s="140">
        <f t="shared" si="47"/>
        <v>0</v>
      </c>
      <c r="O60" s="140">
        <f t="shared" si="47"/>
        <v>0</v>
      </c>
      <c r="P60" s="140">
        <f t="shared" si="47"/>
        <v>0</v>
      </c>
      <c r="Q60" s="140">
        <f t="shared" si="47"/>
        <v>0</v>
      </c>
      <c r="R60" s="141">
        <f t="shared" si="42"/>
        <v>0</v>
      </c>
      <c r="S60" s="141">
        <f t="shared" si="43"/>
        <v>0</v>
      </c>
      <c r="T60" s="2"/>
      <c r="U60" s="2"/>
      <c r="V60" s="2"/>
      <c r="W60" s="2"/>
      <c r="X60" s="2"/>
      <c r="Y60" s="2"/>
      <c r="Z60" s="2"/>
    </row>
    <row r="61" ht="14.25" customHeight="1">
      <c r="U61" s="2"/>
      <c r="V61" s="2"/>
      <c r="W61" s="2"/>
      <c r="X61" s="2"/>
      <c r="Y61" s="2"/>
      <c r="Z61" s="2"/>
    </row>
    <row r="62" ht="14.25" customHeight="1">
      <c r="A62" s="134" t="s">
        <v>273</v>
      </c>
      <c r="B62" s="6">
        <f t="shared" ref="B62:Q62" si="48">B$26</f>
        <v>46295</v>
      </c>
      <c r="C62" s="6">
        <f t="shared" si="48"/>
        <v>46326</v>
      </c>
      <c r="D62" s="6">
        <f t="shared" si="48"/>
        <v>46356</v>
      </c>
      <c r="E62" s="6">
        <f t="shared" si="48"/>
        <v>46387</v>
      </c>
      <c r="F62" s="6">
        <f t="shared" si="48"/>
        <v>46418</v>
      </c>
      <c r="G62" s="6">
        <f t="shared" si="48"/>
        <v>46446</v>
      </c>
      <c r="H62" s="6">
        <f t="shared" si="48"/>
        <v>46477</v>
      </c>
      <c r="I62" s="6">
        <f t="shared" si="48"/>
        <v>46507</v>
      </c>
      <c r="J62" s="6">
        <f t="shared" si="48"/>
        <v>46538</v>
      </c>
      <c r="K62" s="6">
        <f t="shared" si="48"/>
        <v>46568</v>
      </c>
      <c r="L62" s="6">
        <f t="shared" si="48"/>
        <v>46599</v>
      </c>
      <c r="M62" s="6">
        <f t="shared" si="48"/>
        <v>46630</v>
      </c>
      <c r="N62" s="6">
        <f t="shared" si="48"/>
        <v>46660</v>
      </c>
      <c r="O62" s="6">
        <f t="shared" si="48"/>
        <v>46691</v>
      </c>
      <c r="P62" s="6">
        <f t="shared" si="48"/>
        <v>46721</v>
      </c>
      <c r="Q62" s="6">
        <f t="shared" si="48"/>
        <v>46752</v>
      </c>
      <c r="R62" s="5" t="s">
        <v>246</v>
      </c>
      <c r="S62" s="5" t="s">
        <v>2</v>
      </c>
      <c r="T62" s="2"/>
      <c r="U62" s="2"/>
      <c r="V62" s="2"/>
      <c r="W62" s="2"/>
      <c r="X62" s="2"/>
      <c r="Y62" s="2"/>
      <c r="Z62" s="2"/>
    </row>
    <row r="63" ht="14.25" customHeight="1">
      <c r="A63" s="113" t="s">
        <v>274</v>
      </c>
      <c r="B63" s="135">
        <f t="shared" ref="B63:Q63" si="49">B50+B54</f>
        <v>14</v>
      </c>
      <c r="C63" s="135">
        <f t="shared" si="49"/>
        <v>14</v>
      </c>
      <c r="D63" s="135">
        <f t="shared" si="49"/>
        <v>14</v>
      </c>
      <c r="E63" s="135">
        <f t="shared" si="49"/>
        <v>17</v>
      </c>
      <c r="F63" s="135">
        <f t="shared" si="49"/>
        <v>19</v>
      </c>
      <c r="G63" s="135">
        <f t="shared" si="49"/>
        <v>19</v>
      </c>
      <c r="H63" s="135">
        <f t="shared" si="49"/>
        <v>23</v>
      </c>
      <c r="I63" s="135">
        <f t="shared" si="49"/>
        <v>26</v>
      </c>
      <c r="J63" s="135">
        <f t="shared" si="49"/>
        <v>31</v>
      </c>
      <c r="K63" s="135">
        <f t="shared" si="49"/>
        <v>36</v>
      </c>
      <c r="L63" s="135">
        <f t="shared" si="49"/>
        <v>42</v>
      </c>
      <c r="M63" s="135">
        <f t="shared" si="49"/>
        <v>49</v>
      </c>
      <c r="N63" s="135">
        <f t="shared" si="49"/>
        <v>56</v>
      </c>
      <c r="O63" s="135">
        <f t="shared" si="49"/>
        <v>65</v>
      </c>
      <c r="P63" s="135">
        <f t="shared" si="49"/>
        <v>74</v>
      </c>
      <c r="Q63" s="135">
        <f t="shared" si="49"/>
        <v>82</v>
      </c>
      <c r="R63" s="136">
        <f t="shared" ref="R63:R67" si="51">AVERAGE(B63:E63)</f>
        <v>14.75</v>
      </c>
      <c r="S63" s="136">
        <f t="shared" ref="S63:S67" si="52">AVERAGE(F63:Q63)</f>
        <v>43.5</v>
      </c>
      <c r="T63" s="3"/>
      <c r="U63" s="2"/>
      <c r="V63" s="2"/>
      <c r="W63" s="2"/>
      <c r="X63" s="2"/>
      <c r="Y63" s="2"/>
      <c r="Z63" s="2"/>
    </row>
    <row r="64" ht="14.25" customHeight="1">
      <c r="A64" s="113" t="s">
        <v>275</v>
      </c>
      <c r="B64" s="135">
        <f>MAX($H$9,ROUNDUP(B63/$H$8,0))</f>
        <v>1</v>
      </c>
      <c r="C64" s="135">
        <f t="shared" ref="C64:Q64" si="50">MAX(B64,$H$9,ROUNDUP(C63/$H$8,0))</f>
        <v>1</v>
      </c>
      <c r="D64" s="135">
        <f t="shared" si="50"/>
        <v>1</v>
      </c>
      <c r="E64" s="135">
        <f t="shared" si="50"/>
        <v>1</v>
      </c>
      <c r="F64" s="135">
        <f t="shared" si="50"/>
        <v>1</v>
      </c>
      <c r="G64" s="135">
        <f t="shared" si="50"/>
        <v>1</v>
      </c>
      <c r="H64" s="135">
        <f t="shared" si="50"/>
        <v>2</v>
      </c>
      <c r="I64" s="135">
        <f t="shared" si="50"/>
        <v>2</v>
      </c>
      <c r="J64" s="135">
        <f t="shared" si="50"/>
        <v>2</v>
      </c>
      <c r="K64" s="135">
        <f t="shared" si="50"/>
        <v>2</v>
      </c>
      <c r="L64" s="135">
        <f t="shared" si="50"/>
        <v>3</v>
      </c>
      <c r="M64" s="135">
        <f t="shared" si="50"/>
        <v>3</v>
      </c>
      <c r="N64" s="135">
        <f t="shared" si="50"/>
        <v>3</v>
      </c>
      <c r="O64" s="135">
        <f t="shared" si="50"/>
        <v>4</v>
      </c>
      <c r="P64" s="135">
        <f t="shared" si="50"/>
        <v>4</v>
      </c>
      <c r="Q64" s="135">
        <f t="shared" si="50"/>
        <v>5</v>
      </c>
      <c r="R64" s="136">
        <f t="shared" si="51"/>
        <v>1</v>
      </c>
      <c r="S64" s="136">
        <f t="shared" si="52"/>
        <v>2.666666667</v>
      </c>
      <c r="T64" s="3"/>
      <c r="U64" s="2"/>
      <c r="V64" s="2"/>
      <c r="W64" s="2"/>
      <c r="X64" s="2"/>
      <c r="Y64" s="2"/>
      <c r="Z64" s="2"/>
    </row>
    <row r="65" ht="14.25" customHeight="1">
      <c r="A65" s="113" t="s">
        <v>276</v>
      </c>
      <c r="B65" s="135">
        <f t="shared" ref="B65:Q65" si="53">$H$11</f>
        <v>1</v>
      </c>
      <c r="C65" s="135">
        <f t="shared" si="53"/>
        <v>1</v>
      </c>
      <c r="D65" s="135">
        <f t="shared" si="53"/>
        <v>1</v>
      </c>
      <c r="E65" s="135">
        <f t="shared" si="53"/>
        <v>1</v>
      </c>
      <c r="F65" s="135">
        <f t="shared" si="53"/>
        <v>1</v>
      </c>
      <c r="G65" s="135">
        <f t="shared" si="53"/>
        <v>1</v>
      </c>
      <c r="H65" s="135">
        <f t="shared" si="53"/>
        <v>1</v>
      </c>
      <c r="I65" s="135">
        <f t="shared" si="53"/>
        <v>1</v>
      </c>
      <c r="J65" s="135">
        <f t="shared" si="53"/>
        <v>1</v>
      </c>
      <c r="K65" s="135">
        <f t="shared" si="53"/>
        <v>1</v>
      </c>
      <c r="L65" s="135">
        <f t="shared" si="53"/>
        <v>1</v>
      </c>
      <c r="M65" s="135">
        <f t="shared" si="53"/>
        <v>1</v>
      </c>
      <c r="N65" s="135">
        <f t="shared" si="53"/>
        <v>1</v>
      </c>
      <c r="O65" s="135">
        <f t="shared" si="53"/>
        <v>1</v>
      </c>
      <c r="P65" s="135">
        <f t="shared" si="53"/>
        <v>1</v>
      </c>
      <c r="Q65" s="135">
        <f t="shared" si="53"/>
        <v>1</v>
      </c>
      <c r="R65" s="136">
        <f t="shared" si="51"/>
        <v>1</v>
      </c>
      <c r="S65" s="136">
        <f t="shared" si="52"/>
        <v>1</v>
      </c>
      <c r="T65" s="3"/>
      <c r="U65" s="2"/>
      <c r="V65" s="2"/>
      <c r="W65" s="2"/>
      <c r="X65" s="2"/>
      <c r="Y65" s="2"/>
      <c r="Z65" s="2"/>
    </row>
    <row r="66" ht="14.25" customHeight="1">
      <c r="A66" s="113" t="s">
        <v>277</v>
      </c>
      <c r="B66" s="135">
        <f t="shared" ref="B66:Q66" si="54">MAX(0,B64-B65)</f>
        <v>0</v>
      </c>
      <c r="C66" s="135">
        <f t="shared" si="54"/>
        <v>0</v>
      </c>
      <c r="D66" s="135">
        <f t="shared" si="54"/>
        <v>0</v>
      </c>
      <c r="E66" s="135">
        <f t="shared" si="54"/>
        <v>0</v>
      </c>
      <c r="F66" s="135">
        <f t="shared" si="54"/>
        <v>0</v>
      </c>
      <c r="G66" s="135">
        <f t="shared" si="54"/>
        <v>0</v>
      </c>
      <c r="H66" s="135">
        <f t="shared" si="54"/>
        <v>1</v>
      </c>
      <c r="I66" s="135">
        <f t="shared" si="54"/>
        <v>1</v>
      </c>
      <c r="J66" s="135">
        <f t="shared" si="54"/>
        <v>1</v>
      </c>
      <c r="K66" s="135">
        <f t="shared" si="54"/>
        <v>1</v>
      </c>
      <c r="L66" s="135">
        <f t="shared" si="54"/>
        <v>2</v>
      </c>
      <c r="M66" s="135">
        <f t="shared" si="54"/>
        <v>2</v>
      </c>
      <c r="N66" s="135">
        <f t="shared" si="54"/>
        <v>2</v>
      </c>
      <c r="O66" s="135">
        <f t="shared" si="54"/>
        <v>3</v>
      </c>
      <c r="P66" s="135">
        <f t="shared" si="54"/>
        <v>3</v>
      </c>
      <c r="Q66" s="135">
        <f t="shared" si="54"/>
        <v>4</v>
      </c>
      <c r="R66" s="136">
        <f t="shared" si="51"/>
        <v>0</v>
      </c>
      <c r="S66" s="136">
        <f t="shared" si="52"/>
        <v>1.666666667</v>
      </c>
      <c r="T66" s="3"/>
      <c r="U66" s="2"/>
      <c r="V66" s="2"/>
      <c r="W66" s="2"/>
      <c r="X66" s="2"/>
      <c r="Y66" s="2"/>
      <c r="Z66" s="2"/>
    </row>
    <row r="67" ht="14.25" customHeight="1">
      <c r="A67" s="113" t="s">
        <v>278</v>
      </c>
      <c r="B67" s="135">
        <f t="shared" ref="B67:Q67" si="55">B65+B66</f>
        <v>1</v>
      </c>
      <c r="C67" s="135">
        <f t="shared" si="55"/>
        <v>1</v>
      </c>
      <c r="D67" s="135">
        <f t="shared" si="55"/>
        <v>1</v>
      </c>
      <c r="E67" s="135">
        <f t="shared" si="55"/>
        <v>1</v>
      </c>
      <c r="F67" s="135">
        <f t="shared" si="55"/>
        <v>1</v>
      </c>
      <c r="G67" s="135">
        <f t="shared" si="55"/>
        <v>1</v>
      </c>
      <c r="H67" s="135">
        <f t="shared" si="55"/>
        <v>2</v>
      </c>
      <c r="I67" s="135">
        <f t="shared" si="55"/>
        <v>2</v>
      </c>
      <c r="J67" s="135">
        <f t="shared" si="55"/>
        <v>2</v>
      </c>
      <c r="K67" s="135">
        <f t="shared" si="55"/>
        <v>2</v>
      </c>
      <c r="L67" s="135">
        <f t="shared" si="55"/>
        <v>3</v>
      </c>
      <c r="M67" s="135">
        <f t="shared" si="55"/>
        <v>3</v>
      </c>
      <c r="N67" s="135">
        <f t="shared" si="55"/>
        <v>3</v>
      </c>
      <c r="O67" s="135">
        <f t="shared" si="55"/>
        <v>4</v>
      </c>
      <c r="P67" s="135">
        <f t="shared" si="55"/>
        <v>4</v>
      </c>
      <c r="Q67" s="135">
        <f t="shared" si="55"/>
        <v>5</v>
      </c>
      <c r="R67" s="136">
        <f t="shared" si="51"/>
        <v>1</v>
      </c>
      <c r="S67" s="136">
        <f t="shared" si="52"/>
        <v>2.666666667</v>
      </c>
      <c r="T67" s="3"/>
      <c r="U67" s="2"/>
      <c r="V67" s="2"/>
      <c r="W67" s="2"/>
      <c r="X67" s="2"/>
      <c r="Y67" s="2"/>
      <c r="Z67" s="2"/>
    </row>
    <row r="68" ht="14.25" customHeight="1">
      <c r="A68" s="2" t="s">
        <v>279</v>
      </c>
      <c r="B68" s="135">
        <f>B66</f>
        <v>0</v>
      </c>
      <c r="C68" s="135">
        <f t="shared" ref="C68:Q68" si="56">MAX(0,C66-B66)</f>
        <v>0</v>
      </c>
      <c r="D68" s="135">
        <f t="shared" si="56"/>
        <v>0</v>
      </c>
      <c r="E68" s="135">
        <f t="shared" si="56"/>
        <v>0</v>
      </c>
      <c r="F68" s="135">
        <f t="shared" si="56"/>
        <v>0</v>
      </c>
      <c r="G68" s="135">
        <f t="shared" si="56"/>
        <v>0</v>
      </c>
      <c r="H68" s="135">
        <f t="shared" si="56"/>
        <v>1</v>
      </c>
      <c r="I68" s="135">
        <f t="shared" si="56"/>
        <v>0</v>
      </c>
      <c r="J68" s="135">
        <f t="shared" si="56"/>
        <v>0</v>
      </c>
      <c r="K68" s="135">
        <f t="shared" si="56"/>
        <v>0</v>
      </c>
      <c r="L68" s="135">
        <f t="shared" si="56"/>
        <v>1</v>
      </c>
      <c r="M68" s="135">
        <f t="shared" si="56"/>
        <v>0</v>
      </c>
      <c r="N68" s="135">
        <f t="shared" si="56"/>
        <v>0</v>
      </c>
      <c r="O68" s="135">
        <f t="shared" si="56"/>
        <v>1</v>
      </c>
      <c r="P68" s="135">
        <f t="shared" si="56"/>
        <v>0</v>
      </c>
      <c r="Q68" s="135">
        <f t="shared" si="56"/>
        <v>1</v>
      </c>
      <c r="R68" s="146">
        <f t="shared" ref="R68:R73" si="58">SUM(B68:E68)</f>
        <v>0</v>
      </c>
      <c r="S68" s="146">
        <f t="shared" ref="S68:S73" si="59">SUM(F68:Q68)</f>
        <v>4</v>
      </c>
      <c r="T68" s="3"/>
      <c r="U68" s="2"/>
      <c r="V68" s="2"/>
      <c r="W68" s="2"/>
      <c r="X68" s="2"/>
      <c r="Y68" s="2"/>
      <c r="Z68" s="2"/>
    </row>
    <row r="69" ht="14.25" customHeight="1">
      <c r="A69" s="2" t="s">
        <v>248</v>
      </c>
      <c r="B69" s="137">
        <f t="shared" ref="B69:Q69" si="57">B66*$H$5/12+IF(B$26&gt;=$M$6,MIN(B66,INDEX($B66:$Q66,IFERROR(MATCH(EOMONTH($M$6,-$M$7-1),$B$26:$Q$26,0),1)))*$H$5/12*$M$5,0)</f>
        <v>0</v>
      </c>
      <c r="C69" s="137">
        <f t="shared" si="57"/>
        <v>0</v>
      </c>
      <c r="D69" s="137">
        <f t="shared" si="57"/>
        <v>0</v>
      </c>
      <c r="E69" s="137">
        <f t="shared" si="57"/>
        <v>0</v>
      </c>
      <c r="F69" s="137">
        <f t="shared" si="57"/>
        <v>0</v>
      </c>
      <c r="G69" s="137">
        <f t="shared" si="57"/>
        <v>0</v>
      </c>
      <c r="H69" s="137">
        <f t="shared" si="57"/>
        <v>7500</v>
      </c>
      <c r="I69" s="137">
        <f t="shared" si="57"/>
        <v>7500</v>
      </c>
      <c r="J69" s="137">
        <f t="shared" si="57"/>
        <v>7500</v>
      </c>
      <c r="K69" s="137">
        <f t="shared" si="57"/>
        <v>7500</v>
      </c>
      <c r="L69" s="137">
        <f t="shared" si="57"/>
        <v>15000</v>
      </c>
      <c r="M69" s="137">
        <f t="shared" si="57"/>
        <v>15000</v>
      </c>
      <c r="N69" s="137">
        <f t="shared" si="57"/>
        <v>15000</v>
      </c>
      <c r="O69" s="137">
        <f t="shared" si="57"/>
        <v>22725</v>
      </c>
      <c r="P69" s="137">
        <f t="shared" si="57"/>
        <v>22725</v>
      </c>
      <c r="Q69" s="137">
        <f t="shared" si="57"/>
        <v>30225</v>
      </c>
      <c r="R69" s="138">
        <f t="shared" si="58"/>
        <v>0</v>
      </c>
      <c r="S69" s="138">
        <f t="shared" si="59"/>
        <v>150675</v>
      </c>
      <c r="T69" s="2"/>
      <c r="U69" s="2"/>
      <c r="V69" s="2"/>
      <c r="W69" s="2"/>
      <c r="X69" s="2"/>
      <c r="Y69" s="2"/>
      <c r="Z69" s="2"/>
    </row>
    <row r="70" ht="14.25" customHeight="1">
      <c r="A70" s="2" t="s">
        <v>249</v>
      </c>
      <c r="B70" s="137">
        <f t="shared" ref="B70:Q70" si="60">B69*$H$6</f>
        <v>0</v>
      </c>
      <c r="C70" s="137">
        <f t="shared" si="60"/>
        <v>0</v>
      </c>
      <c r="D70" s="137">
        <f t="shared" si="60"/>
        <v>0</v>
      </c>
      <c r="E70" s="137">
        <f t="shared" si="60"/>
        <v>0</v>
      </c>
      <c r="F70" s="137">
        <f t="shared" si="60"/>
        <v>0</v>
      </c>
      <c r="G70" s="137">
        <f t="shared" si="60"/>
        <v>0</v>
      </c>
      <c r="H70" s="137">
        <f t="shared" si="60"/>
        <v>510</v>
      </c>
      <c r="I70" s="137">
        <f t="shared" si="60"/>
        <v>510</v>
      </c>
      <c r="J70" s="137">
        <f t="shared" si="60"/>
        <v>510</v>
      </c>
      <c r="K70" s="137">
        <f t="shared" si="60"/>
        <v>510</v>
      </c>
      <c r="L70" s="137">
        <f t="shared" si="60"/>
        <v>1020</v>
      </c>
      <c r="M70" s="137">
        <f t="shared" si="60"/>
        <v>1020</v>
      </c>
      <c r="N70" s="137">
        <f t="shared" si="60"/>
        <v>1020</v>
      </c>
      <c r="O70" s="137">
        <f t="shared" si="60"/>
        <v>1545.3</v>
      </c>
      <c r="P70" s="137">
        <f t="shared" si="60"/>
        <v>1545.3</v>
      </c>
      <c r="Q70" s="137">
        <f t="shared" si="60"/>
        <v>2055.3</v>
      </c>
      <c r="R70" s="138">
        <f t="shared" si="58"/>
        <v>0</v>
      </c>
      <c r="S70" s="138">
        <f t="shared" si="59"/>
        <v>10245.9</v>
      </c>
      <c r="T70" s="2"/>
      <c r="U70" s="2"/>
      <c r="V70" s="2"/>
      <c r="W70" s="2"/>
      <c r="X70" s="2"/>
      <c r="Y70" s="2"/>
      <c r="Z70" s="2"/>
    </row>
    <row r="71" ht="14.25" customHeight="1">
      <c r="A71" s="2" t="s">
        <v>204</v>
      </c>
      <c r="B71" s="137">
        <f t="shared" ref="B71:Q71" si="61">B69*$H$7</f>
        <v>0</v>
      </c>
      <c r="C71" s="137">
        <f t="shared" si="61"/>
        <v>0</v>
      </c>
      <c r="D71" s="137">
        <f t="shared" si="61"/>
        <v>0</v>
      </c>
      <c r="E71" s="137">
        <f t="shared" si="61"/>
        <v>0</v>
      </c>
      <c r="F71" s="137">
        <f t="shared" si="61"/>
        <v>0</v>
      </c>
      <c r="G71" s="137">
        <f t="shared" si="61"/>
        <v>0</v>
      </c>
      <c r="H71" s="137">
        <f t="shared" si="61"/>
        <v>1230</v>
      </c>
      <c r="I71" s="137">
        <f t="shared" si="61"/>
        <v>1230</v>
      </c>
      <c r="J71" s="137">
        <f t="shared" si="61"/>
        <v>1230</v>
      </c>
      <c r="K71" s="137">
        <f t="shared" si="61"/>
        <v>1230</v>
      </c>
      <c r="L71" s="137">
        <f t="shared" si="61"/>
        <v>2460</v>
      </c>
      <c r="M71" s="137">
        <f t="shared" si="61"/>
        <v>2460</v>
      </c>
      <c r="N71" s="137">
        <f t="shared" si="61"/>
        <v>2460</v>
      </c>
      <c r="O71" s="137">
        <f t="shared" si="61"/>
        <v>3726.9</v>
      </c>
      <c r="P71" s="137">
        <f t="shared" si="61"/>
        <v>3726.9</v>
      </c>
      <c r="Q71" s="137">
        <f t="shared" si="61"/>
        <v>4956.9</v>
      </c>
      <c r="R71" s="138">
        <f t="shared" si="58"/>
        <v>0</v>
      </c>
      <c r="S71" s="138">
        <f t="shared" si="59"/>
        <v>24710.7</v>
      </c>
      <c r="T71" s="2"/>
      <c r="U71" s="2"/>
      <c r="V71" s="2"/>
      <c r="W71" s="2"/>
      <c r="X71" s="2"/>
      <c r="Y71" s="2"/>
      <c r="Z71" s="2"/>
    </row>
    <row r="72" ht="14.25" customHeight="1">
      <c r="A72" s="2" t="s">
        <v>256</v>
      </c>
      <c r="B72" s="137">
        <f t="shared" ref="B72:Q72" si="62">B68*$H$10</f>
        <v>0</v>
      </c>
      <c r="C72" s="137">
        <f t="shared" si="62"/>
        <v>0</v>
      </c>
      <c r="D72" s="137">
        <f t="shared" si="62"/>
        <v>0</v>
      </c>
      <c r="E72" s="137">
        <f t="shared" si="62"/>
        <v>0</v>
      </c>
      <c r="F72" s="137">
        <f t="shared" si="62"/>
        <v>0</v>
      </c>
      <c r="G72" s="137">
        <f t="shared" si="62"/>
        <v>0</v>
      </c>
      <c r="H72" s="137">
        <f t="shared" si="62"/>
        <v>2000</v>
      </c>
      <c r="I72" s="137">
        <f t="shared" si="62"/>
        <v>0</v>
      </c>
      <c r="J72" s="137">
        <f t="shared" si="62"/>
        <v>0</v>
      </c>
      <c r="K72" s="137">
        <f t="shared" si="62"/>
        <v>0</v>
      </c>
      <c r="L72" s="137">
        <f t="shared" si="62"/>
        <v>2000</v>
      </c>
      <c r="M72" s="137">
        <f t="shared" si="62"/>
        <v>0</v>
      </c>
      <c r="N72" s="137">
        <f t="shared" si="62"/>
        <v>0</v>
      </c>
      <c r="O72" s="137">
        <f t="shared" si="62"/>
        <v>2000</v>
      </c>
      <c r="P72" s="137">
        <f t="shared" si="62"/>
        <v>0</v>
      </c>
      <c r="Q72" s="137">
        <f t="shared" si="62"/>
        <v>2000</v>
      </c>
      <c r="R72" s="138">
        <f t="shared" si="58"/>
        <v>0</v>
      </c>
      <c r="S72" s="138">
        <f t="shared" si="59"/>
        <v>8000</v>
      </c>
      <c r="T72" s="2"/>
      <c r="U72" s="2"/>
      <c r="V72" s="2"/>
      <c r="W72" s="2"/>
      <c r="X72" s="2"/>
      <c r="Y72" s="2"/>
      <c r="Z72" s="2"/>
    </row>
    <row r="73" ht="14.25" customHeight="1">
      <c r="A73" s="139" t="s">
        <v>280</v>
      </c>
      <c r="B73" s="140">
        <f t="shared" ref="B73:Q73" si="63">SUM(B69:B72)</f>
        <v>0</v>
      </c>
      <c r="C73" s="140">
        <f t="shared" si="63"/>
        <v>0</v>
      </c>
      <c r="D73" s="140">
        <f t="shared" si="63"/>
        <v>0</v>
      </c>
      <c r="E73" s="140">
        <f t="shared" si="63"/>
        <v>0</v>
      </c>
      <c r="F73" s="140">
        <f t="shared" si="63"/>
        <v>0</v>
      </c>
      <c r="G73" s="140">
        <f t="shared" si="63"/>
        <v>0</v>
      </c>
      <c r="H73" s="140">
        <f t="shared" si="63"/>
        <v>11240</v>
      </c>
      <c r="I73" s="140">
        <f t="shared" si="63"/>
        <v>9240</v>
      </c>
      <c r="J73" s="140">
        <f t="shared" si="63"/>
        <v>9240</v>
      </c>
      <c r="K73" s="140">
        <f t="shared" si="63"/>
        <v>9240</v>
      </c>
      <c r="L73" s="140">
        <f t="shared" si="63"/>
        <v>20480</v>
      </c>
      <c r="M73" s="140">
        <f t="shared" si="63"/>
        <v>18480</v>
      </c>
      <c r="N73" s="140">
        <f t="shared" si="63"/>
        <v>18480</v>
      </c>
      <c r="O73" s="140">
        <f t="shared" si="63"/>
        <v>29997.2</v>
      </c>
      <c r="P73" s="140">
        <f t="shared" si="63"/>
        <v>27997.2</v>
      </c>
      <c r="Q73" s="140">
        <f t="shared" si="63"/>
        <v>39237.2</v>
      </c>
      <c r="R73" s="141">
        <f t="shared" si="58"/>
        <v>0</v>
      </c>
      <c r="S73" s="141">
        <f t="shared" si="59"/>
        <v>193631.6</v>
      </c>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134" t="s">
        <v>281</v>
      </c>
      <c r="B75" s="6">
        <f t="shared" ref="B75:Q75" si="64">B$26</f>
        <v>46295</v>
      </c>
      <c r="C75" s="6">
        <f t="shared" si="64"/>
        <v>46326</v>
      </c>
      <c r="D75" s="6">
        <f t="shared" si="64"/>
        <v>46356</v>
      </c>
      <c r="E75" s="6">
        <f t="shared" si="64"/>
        <v>46387</v>
      </c>
      <c r="F75" s="6">
        <f t="shared" si="64"/>
        <v>46418</v>
      </c>
      <c r="G75" s="6">
        <f t="shared" si="64"/>
        <v>46446</v>
      </c>
      <c r="H75" s="6">
        <f t="shared" si="64"/>
        <v>46477</v>
      </c>
      <c r="I75" s="6">
        <f t="shared" si="64"/>
        <v>46507</v>
      </c>
      <c r="J75" s="6">
        <f t="shared" si="64"/>
        <v>46538</v>
      </c>
      <c r="K75" s="6">
        <f t="shared" si="64"/>
        <v>46568</v>
      </c>
      <c r="L75" s="6">
        <f t="shared" si="64"/>
        <v>46599</v>
      </c>
      <c r="M75" s="6">
        <f t="shared" si="64"/>
        <v>46630</v>
      </c>
      <c r="N75" s="6">
        <f t="shared" si="64"/>
        <v>46660</v>
      </c>
      <c r="O75" s="6">
        <f t="shared" si="64"/>
        <v>46691</v>
      </c>
      <c r="P75" s="6">
        <f t="shared" si="64"/>
        <v>46721</v>
      </c>
      <c r="Q75" s="6">
        <f t="shared" si="64"/>
        <v>46752</v>
      </c>
      <c r="R75" s="5" t="s">
        <v>246</v>
      </c>
      <c r="S75" s="5" t="s">
        <v>2</v>
      </c>
      <c r="T75" s="2"/>
      <c r="U75" s="2"/>
      <c r="V75" s="2"/>
      <c r="W75" s="2"/>
      <c r="X75" s="2"/>
      <c r="Y75" s="2"/>
      <c r="Z75" s="2"/>
    </row>
    <row r="76" ht="14.25" customHeight="1">
      <c r="A76" s="2" t="s">
        <v>282</v>
      </c>
      <c r="B76" s="137">
        <f t="shared" ref="B76:Q76" si="65">$H$15/12+IF(B$75&gt;=$M$6,$H$15/12*$M$5,0)</f>
        <v>6376.25</v>
      </c>
      <c r="C76" s="137">
        <f t="shared" si="65"/>
        <v>6376.25</v>
      </c>
      <c r="D76" s="137">
        <f t="shared" si="65"/>
        <v>6376.25</v>
      </c>
      <c r="E76" s="137">
        <f t="shared" si="65"/>
        <v>6376.25</v>
      </c>
      <c r="F76" s="137">
        <f t="shared" si="65"/>
        <v>6376.25</v>
      </c>
      <c r="G76" s="137">
        <f t="shared" si="65"/>
        <v>6376.25</v>
      </c>
      <c r="H76" s="137">
        <f t="shared" si="65"/>
        <v>6376.25</v>
      </c>
      <c r="I76" s="137">
        <f t="shared" si="65"/>
        <v>6376.25</v>
      </c>
      <c r="J76" s="137">
        <f t="shared" si="65"/>
        <v>6376.25</v>
      </c>
      <c r="K76" s="137">
        <f t="shared" si="65"/>
        <v>6376.25</v>
      </c>
      <c r="L76" s="137">
        <f t="shared" si="65"/>
        <v>6376.25</v>
      </c>
      <c r="M76" s="137">
        <f t="shared" si="65"/>
        <v>6376.25</v>
      </c>
      <c r="N76" s="137">
        <f t="shared" si="65"/>
        <v>6376.25</v>
      </c>
      <c r="O76" s="137">
        <f t="shared" si="65"/>
        <v>6567.5375</v>
      </c>
      <c r="P76" s="137">
        <f t="shared" si="65"/>
        <v>6567.5375</v>
      </c>
      <c r="Q76" s="137">
        <f t="shared" si="65"/>
        <v>6567.5375</v>
      </c>
      <c r="R76" s="138">
        <f t="shared" ref="R76:R80" si="67">SUM(B76:E76)</f>
        <v>25505</v>
      </c>
      <c r="S76" s="138">
        <f t="shared" ref="S76:S80" si="68">SUM(F76:Q76)</f>
        <v>77088.8625</v>
      </c>
      <c r="T76" s="2"/>
      <c r="U76" s="2"/>
      <c r="V76" s="2"/>
      <c r="W76" s="2"/>
      <c r="X76" s="2"/>
      <c r="Y76" s="2"/>
      <c r="Z76" s="2"/>
    </row>
    <row r="77" ht="14.25" customHeight="1">
      <c r="A77" s="113" t="s">
        <v>283</v>
      </c>
      <c r="B77" s="137">
        <f t="shared" ref="B77:Q77" si="66">$H$16/12+IF(B$75&gt;=$M$6,$H$16/12*$M$5,0)</f>
        <v>10000</v>
      </c>
      <c r="C77" s="137">
        <f t="shared" si="66"/>
        <v>10000</v>
      </c>
      <c r="D77" s="137">
        <f t="shared" si="66"/>
        <v>10000</v>
      </c>
      <c r="E77" s="137">
        <f t="shared" si="66"/>
        <v>10000</v>
      </c>
      <c r="F77" s="137">
        <f t="shared" si="66"/>
        <v>10000</v>
      </c>
      <c r="G77" s="137">
        <f t="shared" si="66"/>
        <v>10000</v>
      </c>
      <c r="H77" s="137">
        <f t="shared" si="66"/>
        <v>10000</v>
      </c>
      <c r="I77" s="137">
        <f t="shared" si="66"/>
        <v>10000</v>
      </c>
      <c r="J77" s="137">
        <f t="shared" si="66"/>
        <v>10000</v>
      </c>
      <c r="K77" s="137">
        <f t="shared" si="66"/>
        <v>10000</v>
      </c>
      <c r="L77" s="137">
        <f t="shared" si="66"/>
        <v>10000</v>
      </c>
      <c r="M77" s="137">
        <f t="shared" si="66"/>
        <v>10000</v>
      </c>
      <c r="N77" s="137">
        <f t="shared" si="66"/>
        <v>10000</v>
      </c>
      <c r="O77" s="137">
        <f t="shared" si="66"/>
        <v>10300</v>
      </c>
      <c r="P77" s="137">
        <f t="shared" si="66"/>
        <v>10300</v>
      </c>
      <c r="Q77" s="137">
        <f t="shared" si="66"/>
        <v>10300</v>
      </c>
      <c r="R77" s="138">
        <f t="shared" si="67"/>
        <v>40000</v>
      </c>
      <c r="S77" s="138">
        <f t="shared" si="68"/>
        <v>120900</v>
      </c>
      <c r="T77" s="2"/>
      <c r="U77" s="2"/>
      <c r="V77" s="2"/>
      <c r="W77" s="2"/>
      <c r="X77" s="2"/>
      <c r="Y77" s="2"/>
      <c r="Z77" s="2"/>
    </row>
    <row r="78" ht="14.25" customHeight="1">
      <c r="A78" s="2" t="s">
        <v>249</v>
      </c>
      <c r="B78" s="137">
        <f t="shared" ref="B78:Q78" si="69">(B76+B77)*$H$6</f>
        <v>1113.585</v>
      </c>
      <c r="C78" s="137">
        <f t="shared" si="69"/>
        <v>1113.585</v>
      </c>
      <c r="D78" s="137">
        <f t="shared" si="69"/>
        <v>1113.585</v>
      </c>
      <c r="E78" s="137">
        <f t="shared" si="69"/>
        <v>1113.585</v>
      </c>
      <c r="F78" s="137">
        <f t="shared" si="69"/>
        <v>1113.585</v>
      </c>
      <c r="G78" s="137">
        <f t="shared" si="69"/>
        <v>1113.585</v>
      </c>
      <c r="H78" s="137">
        <f t="shared" si="69"/>
        <v>1113.585</v>
      </c>
      <c r="I78" s="137">
        <f t="shared" si="69"/>
        <v>1113.585</v>
      </c>
      <c r="J78" s="137">
        <f t="shared" si="69"/>
        <v>1113.585</v>
      </c>
      <c r="K78" s="137">
        <f t="shared" si="69"/>
        <v>1113.585</v>
      </c>
      <c r="L78" s="137">
        <f t="shared" si="69"/>
        <v>1113.585</v>
      </c>
      <c r="M78" s="137">
        <f t="shared" si="69"/>
        <v>1113.585</v>
      </c>
      <c r="N78" s="137">
        <f t="shared" si="69"/>
        <v>1113.585</v>
      </c>
      <c r="O78" s="137">
        <f t="shared" si="69"/>
        <v>1146.99255</v>
      </c>
      <c r="P78" s="137">
        <f t="shared" si="69"/>
        <v>1146.99255</v>
      </c>
      <c r="Q78" s="137">
        <f t="shared" si="69"/>
        <v>1146.99255</v>
      </c>
      <c r="R78" s="138">
        <f t="shared" si="67"/>
        <v>4454.34</v>
      </c>
      <c r="S78" s="138">
        <f t="shared" si="68"/>
        <v>13463.24265</v>
      </c>
      <c r="T78" s="2"/>
      <c r="U78" s="2"/>
      <c r="V78" s="2"/>
      <c r="W78" s="2"/>
      <c r="X78" s="2"/>
      <c r="Y78" s="2"/>
      <c r="Z78" s="2"/>
    </row>
    <row r="79" ht="14.25" customHeight="1">
      <c r="A79" s="2" t="s">
        <v>204</v>
      </c>
      <c r="B79" s="137">
        <f t="shared" ref="B79:Q79" si="70">(B76+B77)*$H$7</f>
        <v>2685.705</v>
      </c>
      <c r="C79" s="137">
        <f t="shared" si="70"/>
        <v>2685.705</v>
      </c>
      <c r="D79" s="137">
        <f t="shared" si="70"/>
        <v>2685.705</v>
      </c>
      <c r="E79" s="137">
        <f t="shared" si="70"/>
        <v>2685.705</v>
      </c>
      <c r="F79" s="137">
        <f t="shared" si="70"/>
        <v>2685.705</v>
      </c>
      <c r="G79" s="137">
        <f t="shared" si="70"/>
        <v>2685.705</v>
      </c>
      <c r="H79" s="137">
        <f t="shared" si="70"/>
        <v>2685.705</v>
      </c>
      <c r="I79" s="137">
        <f t="shared" si="70"/>
        <v>2685.705</v>
      </c>
      <c r="J79" s="137">
        <f t="shared" si="70"/>
        <v>2685.705</v>
      </c>
      <c r="K79" s="137">
        <f t="shared" si="70"/>
        <v>2685.705</v>
      </c>
      <c r="L79" s="137">
        <f t="shared" si="70"/>
        <v>2685.705</v>
      </c>
      <c r="M79" s="137">
        <f t="shared" si="70"/>
        <v>2685.705</v>
      </c>
      <c r="N79" s="137">
        <f t="shared" si="70"/>
        <v>2685.705</v>
      </c>
      <c r="O79" s="137">
        <f t="shared" si="70"/>
        <v>2766.27615</v>
      </c>
      <c r="P79" s="137">
        <f t="shared" si="70"/>
        <v>2766.27615</v>
      </c>
      <c r="Q79" s="137">
        <f t="shared" si="70"/>
        <v>2766.27615</v>
      </c>
      <c r="R79" s="138">
        <f t="shared" si="67"/>
        <v>10742.82</v>
      </c>
      <c r="S79" s="138">
        <f t="shared" si="68"/>
        <v>32470.17345</v>
      </c>
      <c r="T79" s="2"/>
      <c r="U79" s="2"/>
      <c r="V79" s="2"/>
      <c r="W79" s="2"/>
      <c r="X79" s="2"/>
      <c r="Y79" s="2"/>
      <c r="Z79" s="2"/>
    </row>
    <row r="80" ht="14.25" customHeight="1">
      <c r="A80" s="139" t="s">
        <v>284</v>
      </c>
      <c r="B80" s="140">
        <f t="shared" ref="B80:Q80" si="71">SUM(B76:B79)</f>
        <v>20175.54</v>
      </c>
      <c r="C80" s="140">
        <f t="shared" si="71"/>
        <v>20175.54</v>
      </c>
      <c r="D80" s="140">
        <f t="shared" si="71"/>
        <v>20175.54</v>
      </c>
      <c r="E80" s="140">
        <f t="shared" si="71"/>
        <v>20175.54</v>
      </c>
      <c r="F80" s="140">
        <f t="shared" si="71"/>
        <v>20175.54</v>
      </c>
      <c r="G80" s="140">
        <f t="shared" si="71"/>
        <v>20175.54</v>
      </c>
      <c r="H80" s="140">
        <f t="shared" si="71"/>
        <v>20175.54</v>
      </c>
      <c r="I80" s="140">
        <f t="shared" si="71"/>
        <v>20175.54</v>
      </c>
      <c r="J80" s="140">
        <f t="shared" si="71"/>
        <v>20175.54</v>
      </c>
      <c r="K80" s="140">
        <f t="shared" si="71"/>
        <v>20175.54</v>
      </c>
      <c r="L80" s="140">
        <f t="shared" si="71"/>
        <v>20175.54</v>
      </c>
      <c r="M80" s="140">
        <f t="shared" si="71"/>
        <v>20175.54</v>
      </c>
      <c r="N80" s="140">
        <f t="shared" si="71"/>
        <v>20175.54</v>
      </c>
      <c r="O80" s="140">
        <f t="shared" si="71"/>
        <v>20780.8062</v>
      </c>
      <c r="P80" s="140">
        <f t="shared" si="71"/>
        <v>20780.8062</v>
      </c>
      <c r="Q80" s="140">
        <f t="shared" si="71"/>
        <v>20780.8062</v>
      </c>
      <c r="R80" s="141">
        <f t="shared" si="67"/>
        <v>80702.16</v>
      </c>
      <c r="S80" s="141">
        <f t="shared" si="68"/>
        <v>243922.2786</v>
      </c>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148" t="s">
        <v>285</v>
      </c>
      <c r="B82" s="149">
        <f t="shared" ref="B82:Q82" si="72">B24+B35+B47+B60+B73+B80</f>
        <v>110727.54</v>
      </c>
      <c r="C82" s="149">
        <f t="shared" si="72"/>
        <v>110727.54</v>
      </c>
      <c r="D82" s="149">
        <f t="shared" si="72"/>
        <v>110727.54</v>
      </c>
      <c r="E82" s="149">
        <f t="shared" si="72"/>
        <v>136131.54</v>
      </c>
      <c r="F82" s="149">
        <f t="shared" si="72"/>
        <v>147067.54</v>
      </c>
      <c r="G82" s="149">
        <f t="shared" si="72"/>
        <v>143067.54</v>
      </c>
      <c r="H82" s="149">
        <f t="shared" si="72"/>
        <v>188179.54</v>
      </c>
      <c r="I82" s="149">
        <f t="shared" si="72"/>
        <v>203583.54</v>
      </c>
      <c r="J82" s="149">
        <f t="shared" si="72"/>
        <v>239923.54</v>
      </c>
      <c r="K82" s="149">
        <f t="shared" si="72"/>
        <v>272263.54</v>
      </c>
      <c r="L82" s="149">
        <f t="shared" si="72"/>
        <v>324311.54</v>
      </c>
      <c r="M82" s="149">
        <f t="shared" si="72"/>
        <v>369587.54</v>
      </c>
      <c r="N82" s="149">
        <f t="shared" si="72"/>
        <v>414863.54</v>
      </c>
      <c r="O82" s="149">
        <f t="shared" si="72"/>
        <v>493660.9262</v>
      </c>
      <c r="P82" s="149">
        <f t="shared" si="72"/>
        <v>549872.9262</v>
      </c>
      <c r="Q82" s="149">
        <f t="shared" si="72"/>
        <v>610856.9262</v>
      </c>
      <c r="R82" s="149">
        <f>SUM(B82:E82)</f>
        <v>468314.16</v>
      </c>
      <c r="S82" s="149">
        <f>SUM(F82:Q82)</f>
        <v>3957238.639</v>
      </c>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4.2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4.2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4.2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4.2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4.2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4.2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14.2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dataValidations>
    <dataValidation type="decimal" operator="greaterThanOrEqual" allowBlank="1" showInputMessage="1" showErrorMessage="1" prompt="Invalid input - Must be a whole number of at least 1. To turn floaters off, set L14 to No." sqref="M11">
      <formula1>1.0</formula1>
    </dataValidation>
    <dataValidation type="decimal" operator="greaterThanOrEqual" allowBlank="1" showInputMessage="1" showErrorMessage="1" prompt="Invalid input - Must be 0 or more." sqref="B5">
      <formula1>0.0</formula1>
    </dataValidation>
    <dataValidation type="decimal" operator="greaterThanOrEqual" allowBlank="1" showInputMessage="1" showErrorMessage="1" prompt="Invalid input - Must be a whole number, 0 or more." sqref="H9 B11 H11 M12:M13">
      <formula1>0.0</formula1>
    </dataValidation>
    <dataValidation type="decimal" allowBlank="1" showInputMessage="1" showErrorMessage="1" prompt="Invalid input - Lead time must be 0–12 months." sqref="B10">
      <formula1>0.0</formula1>
      <formula2>12.0</formula2>
    </dataValidation>
    <dataValidation type="decimal" allowBlank="1" showInputMessage="1" showErrorMessage="1" prompt="Invalid input - Enter a percentage between 0% and 100%." sqref="H6:H7 B7:B8 B12">
      <formula1>0.0</formula1>
      <formula2>1.0</formula2>
    </dataValidation>
    <dataValidation type="decimal" operator="greaterThanOrEqual" allowBlank="1" showInputMessage="1" showErrorMessage="1" prompt="Invalid input - Must be a whole number of at least 1." sqref="H8">
      <formula1>1.0</formula1>
    </dataValidation>
    <dataValidation type="list" allowBlank="1" showErrorMessage="1" sqref="M14">
      <formula1>"Yes,No"</formula1>
    </dataValidation>
  </dataValidation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4.0" topLeftCell="B25" activePane="bottomRight" state="frozen"/>
      <selection activeCell="B1" sqref="B1" pane="topRight"/>
      <selection activeCell="A25" sqref="A25" pane="bottomLeft"/>
      <selection activeCell="B25" sqref="B25" pane="bottomRight"/>
    </sheetView>
  </sheetViews>
  <sheetFormatPr customHeight="1" defaultColWidth="12.63" defaultRowHeight="15.0"/>
  <cols>
    <col customWidth="1" min="1" max="1" width="51.0"/>
    <col customWidth="1" min="2" max="9" width="12.5"/>
    <col customWidth="1" min="10" max="10" width="14.13"/>
    <col customWidth="1" min="11" max="12" width="12.88"/>
    <col customWidth="1" min="13" max="19" width="12.5"/>
    <col customWidth="1" min="20" max="20" width="22.0"/>
    <col customWidth="1" min="21" max="26" width="8.63"/>
  </cols>
  <sheetData>
    <row r="1" ht="14.25" customHeight="1">
      <c r="A1" s="150" t="s">
        <v>286</v>
      </c>
      <c r="J1" s="151" t="s">
        <v>287</v>
      </c>
    </row>
    <row r="2" ht="14.25" customHeight="1">
      <c r="A2" s="152" t="s">
        <v>288</v>
      </c>
    </row>
    <row r="3" ht="14.25" customHeight="1"/>
    <row r="4" ht="15.0" customHeight="1">
      <c r="A4" s="153" t="s">
        <v>289</v>
      </c>
      <c r="B4" s="154" t="s">
        <v>290</v>
      </c>
      <c r="C4" s="154" t="s">
        <v>291</v>
      </c>
      <c r="E4" s="155" t="s">
        <v>292</v>
      </c>
      <c r="F4" s="155"/>
      <c r="G4" s="155"/>
      <c r="H4" s="155"/>
      <c r="J4" s="155" t="s">
        <v>293</v>
      </c>
      <c r="K4" s="155"/>
      <c r="L4" s="155"/>
      <c r="M4" s="155"/>
      <c r="O4" s="156" t="s">
        <v>294</v>
      </c>
      <c r="Q4" s="157" t="s">
        <v>295</v>
      </c>
      <c r="R4" s="157" t="s">
        <v>296</v>
      </c>
      <c r="S4" s="157" t="s">
        <v>297</v>
      </c>
    </row>
    <row r="5" ht="14.25" customHeight="1">
      <c r="A5" s="151" t="s">
        <v>298</v>
      </c>
      <c r="B5" s="158">
        <f t="shared" ref="B5:C5" si="1">$S$9</f>
        <v>57200.052</v>
      </c>
      <c r="C5" s="158">
        <f t="shared" si="1"/>
        <v>57200.052</v>
      </c>
      <c r="E5" s="151" t="s">
        <v>214</v>
      </c>
      <c r="H5" s="159">
        <v>75000.0</v>
      </c>
      <c r="J5" s="151" t="s">
        <v>215</v>
      </c>
      <c r="M5" s="160">
        <v>0.03</v>
      </c>
      <c r="O5" s="151" t="s">
        <v>299</v>
      </c>
      <c r="Q5" s="161">
        <v>0.33333</v>
      </c>
      <c r="R5" s="162">
        <v>25.0</v>
      </c>
      <c r="S5" s="163">
        <f t="shared" ref="S5:S7" si="2">R5*2080</f>
        <v>52000</v>
      </c>
    </row>
    <row r="6" ht="14.25" customHeight="1">
      <c r="A6" s="151" t="s">
        <v>217</v>
      </c>
      <c r="B6" s="160">
        <v>0.075</v>
      </c>
      <c r="C6" s="160">
        <v>0.075</v>
      </c>
      <c r="E6" s="151" t="s">
        <v>217</v>
      </c>
      <c r="H6" s="160">
        <v>0.075</v>
      </c>
      <c r="J6" s="151" t="s">
        <v>218</v>
      </c>
      <c r="M6" s="164">
        <v>46661.0</v>
      </c>
      <c r="O6" s="151" t="s">
        <v>300</v>
      </c>
      <c r="Q6" s="161">
        <v>0.33333</v>
      </c>
      <c r="R6" s="162">
        <v>27.5</v>
      </c>
      <c r="S6" s="163">
        <f t="shared" si="2"/>
        <v>57200</v>
      </c>
    </row>
    <row r="7" ht="14.25" customHeight="1">
      <c r="A7" s="151" t="s">
        <v>219</v>
      </c>
      <c r="B7" s="160">
        <v>0.075</v>
      </c>
      <c r="C7" s="160">
        <v>0.08</v>
      </c>
      <c r="E7" s="151" t="s">
        <v>219</v>
      </c>
      <c r="H7" s="160">
        <v>0.075</v>
      </c>
      <c r="J7" s="151" t="s">
        <v>301</v>
      </c>
      <c r="M7" s="159">
        <v>1000.0</v>
      </c>
      <c r="O7" s="151" t="s">
        <v>302</v>
      </c>
      <c r="Q7" s="165">
        <f>1-(SUM(Q5:Q6))</f>
        <v>0.33334</v>
      </c>
      <c r="R7" s="162">
        <v>30.0</v>
      </c>
      <c r="S7" s="163">
        <f t="shared" si="2"/>
        <v>62400</v>
      </c>
    </row>
    <row r="8" ht="14.25" customHeight="1">
      <c r="A8" s="151" t="s">
        <v>303</v>
      </c>
      <c r="B8" s="166">
        <v>2.0</v>
      </c>
      <c r="C8" s="166">
        <v>10.0</v>
      </c>
      <c r="E8" s="151" t="s">
        <v>304</v>
      </c>
      <c r="H8" s="166">
        <v>15.0</v>
      </c>
      <c r="J8" s="151" t="s">
        <v>305</v>
      </c>
      <c r="M8" s="159">
        <v>5000.0</v>
      </c>
      <c r="R8" s="167"/>
    </row>
    <row r="9" ht="14.25" customHeight="1">
      <c r="A9" s="151" t="s">
        <v>306</v>
      </c>
      <c r="B9" s="166">
        <v>7.0</v>
      </c>
      <c r="C9" s="166">
        <v>2.0</v>
      </c>
      <c r="E9" s="151" t="s">
        <v>224</v>
      </c>
      <c r="H9" s="166">
        <v>1.0</v>
      </c>
      <c r="J9" s="151" t="s">
        <v>307</v>
      </c>
      <c r="M9" s="166">
        <v>6.0</v>
      </c>
      <c r="O9" s="156" t="s">
        <v>308</v>
      </c>
      <c r="P9" s="156"/>
      <c r="Q9" s="168">
        <f>SUM(Q5:Q8)</f>
        <v>1</v>
      </c>
      <c r="R9" s="169">
        <f>S9/2080</f>
        <v>27.500025</v>
      </c>
      <c r="S9" s="170">
        <f>(S5*Q5)+(S6*Q6)+(S7*Q7)</f>
        <v>57200.052</v>
      </c>
    </row>
    <row r="10" ht="14.25" customHeight="1">
      <c r="A10" s="152" t="s">
        <v>309</v>
      </c>
      <c r="E10" s="171" t="s">
        <v>310</v>
      </c>
      <c r="H10" s="166">
        <v>0.0</v>
      </c>
      <c r="J10" s="151" t="s">
        <v>311</v>
      </c>
      <c r="M10" s="172">
        <v>1.5</v>
      </c>
    </row>
    <row r="11" ht="14.25" customHeight="1">
      <c r="E11" s="152" t="s">
        <v>312</v>
      </c>
    </row>
    <row r="12" ht="14.25" customHeight="1"/>
    <row r="13" ht="14.25" customHeight="1">
      <c r="E13" s="152"/>
    </row>
    <row r="14" ht="15.0" customHeight="1">
      <c r="A14" s="155" t="s">
        <v>313</v>
      </c>
      <c r="B14" s="155"/>
      <c r="C14" s="155"/>
      <c r="D14" s="155"/>
      <c r="E14" s="155"/>
      <c r="F14" s="155"/>
      <c r="G14" s="155"/>
      <c r="H14" s="155"/>
      <c r="I14" s="155"/>
      <c r="J14" s="155"/>
      <c r="K14" s="155"/>
      <c r="L14" s="155"/>
      <c r="M14" s="155"/>
      <c r="N14" s="155"/>
      <c r="O14" s="155"/>
    </row>
    <row r="15" ht="14.25" customHeight="1">
      <c r="A15" s="173" t="s">
        <v>314</v>
      </c>
      <c r="B15" s="174">
        <v>2.0</v>
      </c>
      <c r="C15" s="174">
        <v>3.0</v>
      </c>
      <c r="D15" s="174">
        <v>4.0</v>
      </c>
      <c r="E15" s="174">
        <v>5.0</v>
      </c>
      <c r="F15" s="174">
        <v>6.0</v>
      </c>
      <c r="G15" s="174">
        <v>7.0</v>
      </c>
      <c r="H15" s="174">
        <v>8.0</v>
      </c>
      <c r="I15" s="174">
        <v>9.0</v>
      </c>
      <c r="J15" s="174">
        <v>10.0</v>
      </c>
      <c r="K15" s="174">
        <v>11.0</v>
      </c>
      <c r="L15" s="174">
        <v>12.0</v>
      </c>
      <c r="M15" s="174">
        <v>13.0</v>
      </c>
      <c r="N15" s="174">
        <v>14.0</v>
      </c>
      <c r="O15" s="174">
        <v>15.0</v>
      </c>
    </row>
    <row r="16" ht="14.25" customHeight="1">
      <c r="A16" s="175" t="s">
        <v>315</v>
      </c>
      <c r="B16" s="176">
        <v>7.0</v>
      </c>
      <c r="C16" s="176">
        <v>3.0</v>
      </c>
      <c r="D16" s="176">
        <v>3.0</v>
      </c>
      <c r="E16" s="176">
        <v>3.0</v>
      </c>
      <c r="F16" s="176">
        <v>3.0</v>
      </c>
      <c r="G16" s="176">
        <v>3.0</v>
      </c>
      <c r="H16" s="176">
        <v>3.0</v>
      </c>
      <c r="I16" s="176">
        <v>3.0</v>
      </c>
      <c r="J16" s="176">
        <v>4.0</v>
      </c>
      <c r="K16" s="176">
        <v>3.0</v>
      </c>
      <c r="L16" s="176">
        <v>3.0</v>
      </c>
      <c r="M16" s="176">
        <v>3.0</v>
      </c>
      <c r="N16" s="176">
        <v>3.0</v>
      </c>
      <c r="O16" s="176">
        <v>3.0</v>
      </c>
      <c r="P16" s="152" t="s">
        <v>316</v>
      </c>
    </row>
    <row r="17" ht="14.25" customHeight="1">
      <c r="A17" s="177" t="s">
        <v>317</v>
      </c>
      <c r="B17" s="178">
        <f>B16</f>
        <v>7</v>
      </c>
      <c r="C17" s="178">
        <f t="shared" ref="C17:O17" si="3">B17+C16</f>
        <v>10</v>
      </c>
      <c r="D17" s="178">
        <f t="shared" si="3"/>
        <v>13</v>
      </c>
      <c r="E17" s="178">
        <f t="shared" si="3"/>
        <v>16</v>
      </c>
      <c r="F17" s="178">
        <f t="shared" si="3"/>
        <v>19</v>
      </c>
      <c r="G17" s="178">
        <f t="shared" si="3"/>
        <v>22</v>
      </c>
      <c r="H17" s="178">
        <f t="shared" si="3"/>
        <v>25</v>
      </c>
      <c r="I17" s="178">
        <f t="shared" si="3"/>
        <v>28</v>
      </c>
      <c r="J17" s="178">
        <f t="shared" si="3"/>
        <v>32</v>
      </c>
      <c r="K17" s="178">
        <f t="shared" si="3"/>
        <v>35</v>
      </c>
      <c r="L17" s="178">
        <f t="shared" si="3"/>
        <v>38</v>
      </c>
      <c r="M17" s="178">
        <f t="shared" si="3"/>
        <v>41</v>
      </c>
      <c r="N17" s="178">
        <f t="shared" si="3"/>
        <v>44</v>
      </c>
      <c r="O17" s="178">
        <f t="shared" si="3"/>
        <v>47</v>
      </c>
    </row>
    <row r="18" ht="14.25" customHeight="1"/>
    <row r="19" ht="14.25" customHeight="1">
      <c r="A19" s="155" t="s">
        <v>318</v>
      </c>
      <c r="B19" s="155"/>
      <c r="C19" s="155"/>
      <c r="D19" s="155"/>
      <c r="E19" s="155"/>
      <c r="F19" s="155"/>
      <c r="G19" s="155"/>
      <c r="H19" s="155"/>
      <c r="I19" s="155"/>
      <c r="J19" s="155"/>
      <c r="K19" s="155"/>
      <c r="L19" s="155"/>
      <c r="M19" s="155"/>
      <c r="N19" s="155"/>
      <c r="O19" s="155"/>
    </row>
    <row r="20" ht="14.25" customHeight="1">
      <c r="A20" s="173" t="s">
        <v>319</v>
      </c>
      <c r="B20" s="179">
        <v>10.0</v>
      </c>
      <c r="C20" s="179">
        <v>20.0</v>
      </c>
      <c r="D20" s="179">
        <v>30.0</v>
      </c>
      <c r="E20" s="179">
        <v>40.0</v>
      </c>
      <c r="F20" s="179">
        <v>50.0</v>
      </c>
      <c r="G20" s="179">
        <v>60.0</v>
      </c>
      <c r="H20" s="179">
        <v>70.0</v>
      </c>
      <c r="I20" s="179">
        <v>80.0</v>
      </c>
      <c r="J20" s="179">
        <v>90.0</v>
      </c>
      <c r="K20" s="179">
        <v>100.0</v>
      </c>
      <c r="L20" s="179">
        <v>110.0</v>
      </c>
      <c r="M20" s="179">
        <v>120.0</v>
      </c>
      <c r="N20" s="179">
        <v>130.0</v>
      </c>
      <c r="O20" s="179">
        <v>140.0</v>
      </c>
    </row>
    <row r="21" ht="14.25" customHeight="1">
      <c r="A21" s="175" t="s">
        <v>315</v>
      </c>
      <c r="B21" s="176">
        <v>3.0</v>
      </c>
      <c r="C21" s="176">
        <v>3.0</v>
      </c>
      <c r="D21" s="176">
        <v>3.0</v>
      </c>
      <c r="E21" s="176">
        <v>3.0</v>
      </c>
      <c r="F21" s="176">
        <v>3.0</v>
      </c>
      <c r="G21" s="176">
        <v>3.0</v>
      </c>
      <c r="H21" s="176">
        <v>3.0</v>
      </c>
      <c r="I21" s="176">
        <v>3.0</v>
      </c>
      <c r="J21" s="176">
        <v>3.0</v>
      </c>
      <c r="K21" s="176">
        <v>3.0</v>
      </c>
      <c r="L21" s="176">
        <v>3.0</v>
      </c>
      <c r="M21" s="176">
        <v>3.0</v>
      </c>
      <c r="N21" s="176">
        <v>3.0</v>
      </c>
      <c r="O21" s="176">
        <v>3.0</v>
      </c>
      <c r="P21" s="152" t="s">
        <v>320</v>
      </c>
    </row>
    <row r="22" ht="14.25" customHeight="1">
      <c r="A22" s="177" t="s">
        <v>317</v>
      </c>
      <c r="B22" s="178">
        <f>B21</f>
        <v>3</v>
      </c>
      <c r="C22" s="178">
        <f t="shared" ref="C22:O22" si="4">B22+C21</f>
        <v>6</v>
      </c>
      <c r="D22" s="178">
        <f t="shared" si="4"/>
        <v>9</v>
      </c>
      <c r="E22" s="178">
        <f t="shared" si="4"/>
        <v>12</v>
      </c>
      <c r="F22" s="178">
        <f t="shared" si="4"/>
        <v>15</v>
      </c>
      <c r="G22" s="178">
        <f t="shared" si="4"/>
        <v>18</v>
      </c>
      <c r="H22" s="178">
        <f t="shared" si="4"/>
        <v>21</v>
      </c>
      <c r="I22" s="178">
        <f t="shared" si="4"/>
        <v>24</v>
      </c>
      <c r="J22" s="178">
        <f t="shared" si="4"/>
        <v>27</v>
      </c>
      <c r="K22" s="178">
        <f t="shared" si="4"/>
        <v>30</v>
      </c>
      <c r="L22" s="178">
        <f t="shared" si="4"/>
        <v>33</v>
      </c>
      <c r="M22" s="178">
        <f t="shared" si="4"/>
        <v>36</v>
      </c>
      <c r="N22" s="178">
        <f t="shared" si="4"/>
        <v>39</v>
      </c>
      <c r="O22" s="178">
        <f t="shared" si="4"/>
        <v>42</v>
      </c>
    </row>
    <row r="23" ht="14.25" customHeight="1"/>
    <row r="24" ht="14.25" customHeight="1">
      <c r="A24" s="180" t="s">
        <v>321</v>
      </c>
      <c r="B24" s="181" t="str">
        <f>DeploySum!B4</f>
        <v>#REF!</v>
      </c>
      <c r="C24" s="181" t="str">
        <f>DeploySum!C4</f>
        <v>#REF!</v>
      </c>
      <c r="D24" s="181" t="str">
        <f>DeploySum!D4</f>
        <v>#REF!</v>
      </c>
      <c r="E24" s="181" t="str">
        <f>DeploySum!E4</f>
        <v>#REF!</v>
      </c>
      <c r="F24" s="181" t="str">
        <f>DeploySum!F4</f>
        <v>#REF!</v>
      </c>
      <c r="G24" s="181" t="str">
        <f>DeploySum!G4</f>
        <v>#REF!</v>
      </c>
      <c r="H24" s="181" t="str">
        <f>DeploySum!H4</f>
        <v>#REF!</v>
      </c>
      <c r="I24" s="181" t="str">
        <f>DeploySum!I4</f>
        <v>#REF!</v>
      </c>
      <c r="J24" s="181" t="str">
        <f>DeploySum!J4</f>
        <v>#REF!</v>
      </c>
      <c r="K24" s="181" t="str">
        <f>DeploySum!K4</f>
        <v>#REF!</v>
      </c>
      <c r="L24" s="181" t="str">
        <f>DeploySum!L4</f>
        <v>#REF!</v>
      </c>
      <c r="M24" s="181" t="str">
        <f>DeploySum!M4</f>
        <v>#REF!</v>
      </c>
      <c r="N24" s="181" t="str">
        <f>DeploySum!N4</f>
        <v>#REF!</v>
      </c>
      <c r="O24" s="181" t="str">
        <f>DeploySum!O4</f>
        <v>#REF!</v>
      </c>
      <c r="P24" s="181" t="str">
        <f>DeploySum!P4</f>
        <v>#REF!</v>
      </c>
      <c r="Q24" s="181" t="str">
        <f>DeploySum!Q4</f>
        <v>#REF!</v>
      </c>
      <c r="R24" s="182" t="s">
        <v>246</v>
      </c>
      <c r="S24" s="182" t="s">
        <v>2</v>
      </c>
    </row>
    <row r="25" ht="14.25" customHeight="1">
      <c r="A25" s="151" t="s">
        <v>322</v>
      </c>
      <c r="B25" s="183" t="str">
        <f>DeploySum!B24</f>
        <v>#ERROR!</v>
      </c>
      <c r="C25" s="183" t="str">
        <f>DeploySum!C24</f>
        <v>#ERROR!</v>
      </c>
      <c r="D25" s="183" t="str">
        <f>DeploySum!D24</f>
        <v>#ERROR!</v>
      </c>
      <c r="E25" s="183" t="str">
        <f>DeploySum!E24</f>
        <v>#ERROR!</v>
      </c>
      <c r="F25" s="183" t="str">
        <f>DeploySum!F24</f>
        <v>#ERROR!</v>
      </c>
      <c r="G25" s="183" t="str">
        <f>DeploySum!G24</f>
        <v>#ERROR!</v>
      </c>
      <c r="H25" s="183" t="str">
        <f>DeploySum!H24</f>
        <v>#ERROR!</v>
      </c>
      <c r="I25" s="183" t="str">
        <f>DeploySum!I24</f>
        <v>#ERROR!</v>
      </c>
      <c r="J25" s="183" t="str">
        <f>DeploySum!J24</f>
        <v>#ERROR!</v>
      </c>
      <c r="K25" s="183" t="str">
        <f>DeploySum!K24</f>
        <v>#ERROR!</v>
      </c>
      <c r="L25" s="183" t="str">
        <f>DeploySum!L24</f>
        <v>#ERROR!</v>
      </c>
      <c r="M25" s="183" t="str">
        <f>DeploySum!M24</f>
        <v>#ERROR!</v>
      </c>
      <c r="N25" s="183" t="str">
        <f>DeploySum!N24</f>
        <v>#ERROR!</v>
      </c>
      <c r="O25" s="183" t="str">
        <f>DeploySum!O24</f>
        <v>#ERROR!</v>
      </c>
      <c r="P25" s="183" t="str">
        <f>DeploySum!P24</f>
        <v>#ERROR!</v>
      </c>
      <c r="Q25" s="183" t="str">
        <f>DeploySum!Q24</f>
        <v>#ERROR!</v>
      </c>
      <c r="R25" s="184" t="str">
        <f>SUM(B25:E25)</f>
        <v>#ERROR!</v>
      </c>
      <c r="S25" s="184" t="str">
        <f>SUM(F25:Q25)</f>
        <v>#ERROR!</v>
      </c>
    </row>
    <row r="26" ht="14.25" customHeight="1">
      <c r="A26" s="151" t="s">
        <v>323</v>
      </c>
      <c r="B26" s="185" t="str">
        <f>DeploySum!B27</f>
        <v>#ERROR!</v>
      </c>
      <c r="C26" s="185" t="str">
        <f>DeploySum!C27</f>
        <v>#ERROR!</v>
      </c>
      <c r="D26" s="185" t="str">
        <f>DeploySum!D27</f>
        <v>#ERROR!</v>
      </c>
      <c r="E26" s="185" t="str">
        <f>DeploySum!E27</f>
        <v>#ERROR!</v>
      </c>
      <c r="F26" s="185" t="str">
        <f>DeploySum!F27</f>
        <v>#ERROR!</v>
      </c>
      <c r="G26" s="185" t="str">
        <f>DeploySum!G27</f>
        <v>#ERROR!</v>
      </c>
      <c r="H26" s="185" t="str">
        <f>DeploySum!H27</f>
        <v>#ERROR!</v>
      </c>
      <c r="I26" s="185" t="str">
        <f>DeploySum!I27</f>
        <v>#ERROR!</v>
      </c>
      <c r="J26" s="185" t="str">
        <f>DeploySum!J27</f>
        <v>#ERROR!</v>
      </c>
      <c r="K26" s="185" t="str">
        <f>DeploySum!K27</f>
        <v>#ERROR!</v>
      </c>
      <c r="L26" s="185" t="str">
        <f>DeploySum!L27</f>
        <v>#ERROR!</v>
      </c>
      <c r="M26" s="185" t="str">
        <f>DeploySum!M27</f>
        <v>#ERROR!</v>
      </c>
      <c r="N26" s="185" t="str">
        <f>DeploySum!N27</f>
        <v>#ERROR!</v>
      </c>
      <c r="O26" s="185" t="str">
        <f>DeploySum!O27</f>
        <v>#ERROR!</v>
      </c>
      <c r="P26" s="185" t="str">
        <f>DeploySum!P27</f>
        <v>#ERROR!</v>
      </c>
      <c r="Q26" s="185" t="str">
        <f>DeploySum!Q27</f>
        <v>#ERROR!</v>
      </c>
      <c r="R26" s="186" t="str">
        <f>AVERAGE(B26:E26)</f>
        <v>#ERROR!</v>
      </c>
      <c r="S26" s="186" t="str">
        <f>AVERAGE(F26:Q26)</f>
        <v>#ERROR!</v>
      </c>
      <c r="T26" s="152" t="s">
        <v>324</v>
      </c>
    </row>
    <row r="27" ht="14.25" customHeight="1">
      <c r="A27" s="151" t="s">
        <v>325</v>
      </c>
      <c r="B27" s="187" t="str">
        <f t="shared" ref="B27:Q27" si="5">MIN(MAX($B$8,ROUNDUP(B26,0)),MAX($B$15:$O$15))</f>
        <v>#ERROR!</v>
      </c>
      <c r="C27" s="187" t="str">
        <f t="shared" si="5"/>
        <v>#ERROR!</v>
      </c>
      <c r="D27" s="187" t="str">
        <f t="shared" si="5"/>
        <v>#ERROR!</v>
      </c>
      <c r="E27" s="187" t="str">
        <f t="shared" si="5"/>
        <v>#ERROR!</v>
      </c>
      <c r="F27" s="187" t="str">
        <f t="shared" si="5"/>
        <v>#ERROR!</v>
      </c>
      <c r="G27" s="187" t="str">
        <f t="shared" si="5"/>
        <v>#ERROR!</v>
      </c>
      <c r="H27" s="187" t="str">
        <f t="shared" si="5"/>
        <v>#ERROR!</v>
      </c>
      <c r="I27" s="187" t="str">
        <f t="shared" si="5"/>
        <v>#ERROR!</v>
      </c>
      <c r="J27" s="187" t="str">
        <f t="shared" si="5"/>
        <v>#ERROR!</v>
      </c>
      <c r="K27" s="187" t="str">
        <f t="shared" si="5"/>
        <v>#ERROR!</v>
      </c>
      <c r="L27" s="187" t="str">
        <f t="shared" si="5"/>
        <v>#ERROR!</v>
      </c>
      <c r="M27" s="187" t="str">
        <f t="shared" si="5"/>
        <v>#ERROR!</v>
      </c>
      <c r="N27" s="187" t="str">
        <f t="shared" si="5"/>
        <v>#ERROR!</v>
      </c>
      <c r="O27" s="187" t="str">
        <f t="shared" si="5"/>
        <v>#ERROR!</v>
      </c>
      <c r="P27" s="187" t="str">
        <f t="shared" si="5"/>
        <v>#ERROR!</v>
      </c>
      <c r="Q27" s="187" t="str">
        <f t="shared" si="5"/>
        <v>#ERROR!</v>
      </c>
      <c r="R27" s="188"/>
      <c r="S27" s="188"/>
      <c r="T27" s="152"/>
    </row>
    <row r="28" ht="14.25" customHeight="1">
      <c r="A28" s="151" t="s">
        <v>326</v>
      </c>
      <c r="B28" s="189" t="str">
        <f t="array" ref="B28">INDEX($B$17:$O$17,MATCH(B27,$B$15:$O$15,0))</f>
        <v>#ERROR!</v>
      </c>
      <c r="C28" s="189" t="str">
        <f t="shared" ref="C28:Q28" si="6">MAX(B28,INDEX($B$17:$O$17,MATCH(C27,$B$15:$O$15,0)))</f>
        <v>#ERROR!</v>
      </c>
      <c r="D28" s="189" t="str">
        <f t="shared" si="6"/>
        <v>#ERROR!</v>
      </c>
      <c r="E28" s="189" t="str">
        <f t="shared" si="6"/>
        <v>#ERROR!</v>
      </c>
      <c r="F28" s="189" t="str">
        <f t="shared" si="6"/>
        <v>#ERROR!</v>
      </c>
      <c r="G28" s="189" t="str">
        <f t="shared" si="6"/>
        <v>#ERROR!</v>
      </c>
      <c r="H28" s="189" t="str">
        <f t="shared" si="6"/>
        <v>#ERROR!</v>
      </c>
      <c r="I28" s="189" t="str">
        <f t="shared" si="6"/>
        <v>#ERROR!</v>
      </c>
      <c r="J28" s="189" t="str">
        <f t="shared" si="6"/>
        <v>#ERROR!</v>
      </c>
      <c r="K28" s="189" t="str">
        <f t="shared" si="6"/>
        <v>#ERROR!</v>
      </c>
      <c r="L28" s="189" t="str">
        <f t="shared" si="6"/>
        <v>#ERROR!</v>
      </c>
      <c r="M28" s="189" t="str">
        <f t="shared" si="6"/>
        <v>#ERROR!</v>
      </c>
      <c r="N28" s="189" t="str">
        <f t="shared" si="6"/>
        <v>#ERROR!</v>
      </c>
      <c r="O28" s="189" t="str">
        <f t="shared" si="6"/>
        <v>#ERROR!</v>
      </c>
      <c r="P28" s="189" t="str">
        <f t="shared" si="6"/>
        <v>#ERROR!</v>
      </c>
      <c r="Q28" s="189" t="str">
        <f t="shared" si="6"/>
        <v>#ERROR!</v>
      </c>
      <c r="R28" s="190" t="str">
        <f t="shared" ref="R28:R31" si="8">AVERAGE(B28:E28)</f>
        <v>#ERROR!</v>
      </c>
      <c r="S28" s="190" t="str">
        <f t="shared" ref="S28:S31" si="9">AVERAGE(F28:Q28)</f>
        <v>#ERROR!</v>
      </c>
      <c r="T28" s="152"/>
    </row>
    <row r="29" ht="14.25" customHeight="1">
      <c r="A29" s="151" t="s">
        <v>306</v>
      </c>
      <c r="B29" s="189">
        <f t="shared" ref="B29:Q29" si="7">$B$9</f>
        <v>7</v>
      </c>
      <c r="C29" s="189">
        <f t="shared" si="7"/>
        <v>7</v>
      </c>
      <c r="D29" s="189">
        <f t="shared" si="7"/>
        <v>7</v>
      </c>
      <c r="E29" s="189">
        <f t="shared" si="7"/>
        <v>7</v>
      </c>
      <c r="F29" s="189">
        <f t="shared" si="7"/>
        <v>7</v>
      </c>
      <c r="G29" s="189">
        <f t="shared" si="7"/>
        <v>7</v>
      </c>
      <c r="H29" s="189">
        <f t="shared" si="7"/>
        <v>7</v>
      </c>
      <c r="I29" s="189">
        <f t="shared" si="7"/>
        <v>7</v>
      </c>
      <c r="J29" s="189">
        <f t="shared" si="7"/>
        <v>7</v>
      </c>
      <c r="K29" s="189">
        <f t="shared" si="7"/>
        <v>7</v>
      </c>
      <c r="L29" s="189">
        <f t="shared" si="7"/>
        <v>7</v>
      </c>
      <c r="M29" s="189">
        <f t="shared" si="7"/>
        <v>7</v>
      </c>
      <c r="N29" s="189">
        <f t="shared" si="7"/>
        <v>7</v>
      </c>
      <c r="O29" s="189">
        <f t="shared" si="7"/>
        <v>7</v>
      </c>
      <c r="P29" s="189">
        <f t="shared" si="7"/>
        <v>7</v>
      </c>
      <c r="Q29" s="189">
        <f t="shared" si="7"/>
        <v>7</v>
      </c>
      <c r="R29" s="190">
        <f t="shared" si="8"/>
        <v>7</v>
      </c>
      <c r="S29" s="190">
        <f t="shared" si="9"/>
        <v>7</v>
      </c>
      <c r="T29" s="152"/>
    </row>
    <row r="30" ht="14.25" customHeight="1">
      <c r="A30" s="151" t="s">
        <v>327</v>
      </c>
      <c r="B30" s="189" t="str">
        <f t="shared" ref="B30:Q30" si="10">MAX(0,B28-B29)</f>
        <v>#ERROR!</v>
      </c>
      <c r="C30" s="189" t="str">
        <f t="shared" si="10"/>
        <v>#ERROR!</v>
      </c>
      <c r="D30" s="189" t="str">
        <f t="shared" si="10"/>
        <v>#ERROR!</v>
      </c>
      <c r="E30" s="189" t="str">
        <f t="shared" si="10"/>
        <v>#ERROR!</v>
      </c>
      <c r="F30" s="189" t="str">
        <f t="shared" si="10"/>
        <v>#ERROR!</v>
      </c>
      <c r="G30" s="189" t="str">
        <f t="shared" si="10"/>
        <v>#ERROR!</v>
      </c>
      <c r="H30" s="189" t="str">
        <f t="shared" si="10"/>
        <v>#ERROR!</v>
      </c>
      <c r="I30" s="189" t="str">
        <f t="shared" si="10"/>
        <v>#ERROR!</v>
      </c>
      <c r="J30" s="189" t="str">
        <f t="shared" si="10"/>
        <v>#ERROR!</v>
      </c>
      <c r="K30" s="189" t="str">
        <f t="shared" si="10"/>
        <v>#ERROR!</v>
      </c>
      <c r="L30" s="189" t="str">
        <f t="shared" si="10"/>
        <v>#ERROR!</v>
      </c>
      <c r="M30" s="189" t="str">
        <f t="shared" si="10"/>
        <v>#ERROR!</v>
      </c>
      <c r="N30" s="189" t="str">
        <f t="shared" si="10"/>
        <v>#ERROR!</v>
      </c>
      <c r="O30" s="189" t="str">
        <f t="shared" si="10"/>
        <v>#ERROR!</v>
      </c>
      <c r="P30" s="189" t="str">
        <f t="shared" si="10"/>
        <v>#ERROR!</v>
      </c>
      <c r="Q30" s="189" t="str">
        <f t="shared" si="10"/>
        <v>#ERROR!</v>
      </c>
      <c r="R30" s="190" t="str">
        <f t="shared" si="8"/>
        <v>#ERROR!</v>
      </c>
      <c r="S30" s="190" t="str">
        <f t="shared" si="9"/>
        <v>#ERROR!</v>
      </c>
      <c r="T30" s="152"/>
    </row>
    <row r="31" ht="14.25" customHeight="1">
      <c r="A31" s="151" t="s">
        <v>328</v>
      </c>
      <c r="B31" s="189" t="str">
        <f t="shared" ref="B31:Q31" si="11">B29+B30</f>
        <v>#ERROR!</v>
      </c>
      <c r="C31" s="189" t="str">
        <f t="shared" si="11"/>
        <v>#ERROR!</v>
      </c>
      <c r="D31" s="189" t="str">
        <f t="shared" si="11"/>
        <v>#ERROR!</v>
      </c>
      <c r="E31" s="189" t="str">
        <f t="shared" si="11"/>
        <v>#ERROR!</v>
      </c>
      <c r="F31" s="189" t="str">
        <f t="shared" si="11"/>
        <v>#ERROR!</v>
      </c>
      <c r="G31" s="189" t="str">
        <f t="shared" si="11"/>
        <v>#ERROR!</v>
      </c>
      <c r="H31" s="189" t="str">
        <f t="shared" si="11"/>
        <v>#ERROR!</v>
      </c>
      <c r="I31" s="189" t="str">
        <f t="shared" si="11"/>
        <v>#ERROR!</v>
      </c>
      <c r="J31" s="189" t="str">
        <f t="shared" si="11"/>
        <v>#ERROR!</v>
      </c>
      <c r="K31" s="189" t="str">
        <f t="shared" si="11"/>
        <v>#ERROR!</v>
      </c>
      <c r="L31" s="189" t="str">
        <f t="shared" si="11"/>
        <v>#ERROR!</v>
      </c>
      <c r="M31" s="189" t="str">
        <f t="shared" si="11"/>
        <v>#ERROR!</v>
      </c>
      <c r="N31" s="189" t="str">
        <f t="shared" si="11"/>
        <v>#ERROR!</v>
      </c>
      <c r="O31" s="189" t="str">
        <f t="shared" si="11"/>
        <v>#ERROR!</v>
      </c>
      <c r="P31" s="189" t="str">
        <f t="shared" si="11"/>
        <v>#ERROR!</v>
      </c>
      <c r="Q31" s="189" t="str">
        <f t="shared" si="11"/>
        <v>#ERROR!</v>
      </c>
      <c r="R31" s="190" t="str">
        <f t="shared" si="8"/>
        <v>#ERROR!</v>
      </c>
      <c r="S31" s="190" t="str">
        <f t="shared" si="9"/>
        <v>#ERROR!</v>
      </c>
      <c r="T31" s="152" t="s">
        <v>329</v>
      </c>
    </row>
    <row r="32" ht="14.25" customHeight="1">
      <c r="A32" s="151" t="s">
        <v>248</v>
      </c>
      <c r="B32" s="191" t="str">
        <f t="shared" ref="B32:Q32" si="12">B31*$B$5/12+IF(B$24&gt;=$M$6,MIN(B31,INDEX($B31:$Q31,IFERROR(MATCH(EOMONTH($M$6,-$M$9-1),$B$24:$Q$24,0),1)))*$B$5/12*$M$5,0)</f>
        <v>#ERROR!</v>
      </c>
      <c r="C32" s="191" t="str">
        <f t="shared" si="12"/>
        <v>#ERROR!</v>
      </c>
      <c r="D32" s="191" t="str">
        <f t="shared" si="12"/>
        <v>#ERROR!</v>
      </c>
      <c r="E32" s="191" t="str">
        <f t="shared" si="12"/>
        <v>#ERROR!</v>
      </c>
      <c r="F32" s="191" t="str">
        <f t="shared" si="12"/>
        <v>#ERROR!</v>
      </c>
      <c r="G32" s="191" t="str">
        <f t="shared" si="12"/>
        <v>#ERROR!</v>
      </c>
      <c r="H32" s="191" t="str">
        <f t="shared" si="12"/>
        <v>#ERROR!</v>
      </c>
      <c r="I32" s="191" t="str">
        <f t="shared" si="12"/>
        <v>#ERROR!</v>
      </c>
      <c r="J32" s="191" t="str">
        <f t="shared" si="12"/>
        <v>#ERROR!</v>
      </c>
      <c r="K32" s="191" t="str">
        <f t="shared" si="12"/>
        <v>#ERROR!</v>
      </c>
      <c r="L32" s="191" t="str">
        <f t="shared" si="12"/>
        <v>#ERROR!</v>
      </c>
      <c r="M32" s="191" t="str">
        <f t="shared" si="12"/>
        <v>#ERROR!</v>
      </c>
      <c r="N32" s="191" t="str">
        <f t="shared" si="12"/>
        <v>#ERROR!</v>
      </c>
      <c r="O32" s="191" t="str">
        <f t="shared" si="12"/>
        <v>#ERROR!</v>
      </c>
      <c r="P32" s="191" t="str">
        <f t="shared" si="12"/>
        <v>#ERROR!</v>
      </c>
      <c r="Q32" s="191" t="str">
        <f t="shared" si="12"/>
        <v>#ERROR!</v>
      </c>
      <c r="R32" s="192" t="str">
        <f>SUM(B32:E32)</f>
        <v>#ERROR!</v>
      </c>
      <c r="S32" s="192" t="str">
        <f>SUM(F32:Q32)</f>
        <v>#ERROR!</v>
      </c>
    </row>
    <row r="33" ht="14.25" customHeight="1">
      <c r="A33" s="151" t="s">
        <v>330</v>
      </c>
      <c r="B33" s="193">
        <v>0.05</v>
      </c>
      <c r="C33" s="193">
        <v>0.05</v>
      </c>
      <c r="D33" s="193">
        <v>0.06</v>
      </c>
      <c r="E33" s="193">
        <v>0.08</v>
      </c>
      <c r="F33" s="193">
        <v>0.05</v>
      </c>
      <c r="G33" s="193">
        <v>0.05</v>
      </c>
      <c r="H33" s="193">
        <v>0.05</v>
      </c>
      <c r="I33" s="193">
        <v>0.05</v>
      </c>
      <c r="J33" s="193">
        <v>0.06</v>
      </c>
      <c r="K33" s="193">
        <v>0.07</v>
      </c>
      <c r="L33" s="193">
        <v>0.08</v>
      </c>
      <c r="M33" s="193">
        <v>0.07</v>
      </c>
      <c r="N33" s="193">
        <v>0.05</v>
      </c>
      <c r="O33" s="193">
        <v>0.05</v>
      </c>
      <c r="P33" s="193">
        <v>0.06</v>
      </c>
      <c r="Q33" s="193">
        <v>0.08</v>
      </c>
      <c r="R33" s="194">
        <f t="shared" ref="R33:S33" si="13">IFERROR(R34/R32,0)</f>
        <v>0</v>
      </c>
      <c r="S33" s="194">
        <f t="shared" si="13"/>
        <v>0</v>
      </c>
      <c r="T33" s="152" t="s">
        <v>331</v>
      </c>
    </row>
    <row r="34" ht="14.25" customHeight="1">
      <c r="A34" s="151" t="s">
        <v>332</v>
      </c>
      <c r="B34" s="191" t="str">
        <f t="shared" ref="B34:Q34" si="14">B32*B33</f>
        <v>#ERROR!</v>
      </c>
      <c r="C34" s="191" t="str">
        <f t="shared" si="14"/>
        <v>#ERROR!</v>
      </c>
      <c r="D34" s="191" t="str">
        <f t="shared" si="14"/>
        <v>#ERROR!</v>
      </c>
      <c r="E34" s="191" t="str">
        <f t="shared" si="14"/>
        <v>#ERROR!</v>
      </c>
      <c r="F34" s="191" t="str">
        <f t="shared" si="14"/>
        <v>#ERROR!</v>
      </c>
      <c r="G34" s="191" t="str">
        <f t="shared" si="14"/>
        <v>#ERROR!</v>
      </c>
      <c r="H34" s="191" t="str">
        <f t="shared" si="14"/>
        <v>#ERROR!</v>
      </c>
      <c r="I34" s="191" t="str">
        <f t="shared" si="14"/>
        <v>#ERROR!</v>
      </c>
      <c r="J34" s="191" t="str">
        <f t="shared" si="14"/>
        <v>#ERROR!</v>
      </c>
      <c r="K34" s="191" t="str">
        <f t="shared" si="14"/>
        <v>#ERROR!</v>
      </c>
      <c r="L34" s="191" t="str">
        <f t="shared" si="14"/>
        <v>#ERROR!</v>
      </c>
      <c r="M34" s="191" t="str">
        <f t="shared" si="14"/>
        <v>#ERROR!</v>
      </c>
      <c r="N34" s="191" t="str">
        <f t="shared" si="14"/>
        <v>#ERROR!</v>
      </c>
      <c r="O34" s="191" t="str">
        <f t="shared" si="14"/>
        <v>#ERROR!</v>
      </c>
      <c r="P34" s="191" t="str">
        <f t="shared" si="14"/>
        <v>#ERROR!</v>
      </c>
      <c r="Q34" s="191" t="str">
        <f t="shared" si="14"/>
        <v>#ERROR!</v>
      </c>
      <c r="R34" s="192" t="str">
        <f>SUM(B34:E34)</f>
        <v>#ERROR!</v>
      </c>
      <c r="S34" s="192" t="str">
        <f>SUM(F34:Q34)</f>
        <v>#ERROR!</v>
      </c>
    </row>
    <row r="35" ht="14.25" customHeight="1">
      <c r="A35" s="151" t="s">
        <v>333</v>
      </c>
      <c r="B35" s="193">
        <v>0.0</v>
      </c>
      <c r="C35" s="193">
        <v>0.0</v>
      </c>
      <c r="D35" s="193">
        <v>0.0</v>
      </c>
      <c r="E35" s="193">
        <v>0.0</v>
      </c>
      <c r="F35" s="193">
        <v>0.0</v>
      </c>
      <c r="G35" s="193">
        <v>0.0</v>
      </c>
      <c r="H35" s="193">
        <v>0.0</v>
      </c>
      <c r="I35" s="193">
        <v>0.0</v>
      </c>
      <c r="J35" s="193">
        <v>0.0</v>
      </c>
      <c r="K35" s="193">
        <v>0.0</v>
      </c>
      <c r="L35" s="193">
        <v>0.0</v>
      </c>
      <c r="M35" s="193">
        <v>0.0</v>
      </c>
      <c r="N35" s="193">
        <v>0.0</v>
      </c>
      <c r="O35" s="193">
        <v>0.0</v>
      </c>
      <c r="P35" s="193">
        <v>0.0</v>
      </c>
      <c r="Q35" s="193">
        <v>0.0</v>
      </c>
      <c r="R35" s="194">
        <f t="shared" ref="R35:S35" si="15">IFERROR(R36/R32/$M$10,0)</f>
        <v>0</v>
      </c>
      <c r="S35" s="194">
        <f t="shared" si="15"/>
        <v>0</v>
      </c>
      <c r="T35" s="152" t="s">
        <v>331</v>
      </c>
    </row>
    <row r="36" ht="14.25" customHeight="1">
      <c r="A36" s="151" t="s">
        <v>334</v>
      </c>
      <c r="B36" s="191" t="str">
        <f t="shared" ref="B36:Q36" si="16">B32*B35*$M$10</f>
        <v>#ERROR!</v>
      </c>
      <c r="C36" s="191" t="str">
        <f t="shared" si="16"/>
        <v>#ERROR!</v>
      </c>
      <c r="D36" s="191" t="str">
        <f t="shared" si="16"/>
        <v>#ERROR!</v>
      </c>
      <c r="E36" s="191" t="str">
        <f t="shared" si="16"/>
        <v>#ERROR!</v>
      </c>
      <c r="F36" s="191" t="str">
        <f t="shared" si="16"/>
        <v>#ERROR!</v>
      </c>
      <c r="G36" s="191" t="str">
        <f t="shared" si="16"/>
        <v>#ERROR!</v>
      </c>
      <c r="H36" s="191" t="str">
        <f t="shared" si="16"/>
        <v>#ERROR!</v>
      </c>
      <c r="I36" s="191" t="str">
        <f t="shared" si="16"/>
        <v>#ERROR!</v>
      </c>
      <c r="J36" s="191" t="str">
        <f t="shared" si="16"/>
        <v>#ERROR!</v>
      </c>
      <c r="K36" s="191" t="str">
        <f t="shared" si="16"/>
        <v>#ERROR!</v>
      </c>
      <c r="L36" s="191" t="str">
        <f t="shared" si="16"/>
        <v>#ERROR!</v>
      </c>
      <c r="M36" s="191" t="str">
        <f t="shared" si="16"/>
        <v>#ERROR!</v>
      </c>
      <c r="N36" s="191" t="str">
        <f t="shared" si="16"/>
        <v>#ERROR!</v>
      </c>
      <c r="O36" s="191" t="str">
        <f t="shared" si="16"/>
        <v>#ERROR!</v>
      </c>
      <c r="P36" s="191" t="str">
        <f t="shared" si="16"/>
        <v>#ERROR!</v>
      </c>
      <c r="Q36" s="191" t="str">
        <f t="shared" si="16"/>
        <v>#ERROR!</v>
      </c>
      <c r="R36" s="192" t="str">
        <f t="shared" ref="R36:R41" si="18">SUM(B36:E36)</f>
        <v>#ERROR!</v>
      </c>
      <c r="S36" s="192" t="str">
        <f t="shared" ref="S36:S41" si="19">SUM(F36:Q36)</f>
        <v>#ERROR!</v>
      </c>
    </row>
    <row r="37" ht="14.25" customHeight="1">
      <c r="A37" s="151" t="s">
        <v>249</v>
      </c>
      <c r="B37" s="191" t="str">
        <f t="shared" ref="B37:Q37" si="17">(B32+B34+B36)*$B$6</f>
        <v>#ERROR!</v>
      </c>
      <c r="C37" s="191" t="str">
        <f t="shared" si="17"/>
        <v>#ERROR!</v>
      </c>
      <c r="D37" s="191" t="str">
        <f t="shared" si="17"/>
        <v>#ERROR!</v>
      </c>
      <c r="E37" s="191" t="str">
        <f t="shared" si="17"/>
        <v>#ERROR!</v>
      </c>
      <c r="F37" s="191" t="str">
        <f t="shared" si="17"/>
        <v>#ERROR!</v>
      </c>
      <c r="G37" s="191" t="str">
        <f t="shared" si="17"/>
        <v>#ERROR!</v>
      </c>
      <c r="H37" s="191" t="str">
        <f t="shared" si="17"/>
        <v>#ERROR!</v>
      </c>
      <c r="I37" s="191" t="str">
        <f t="shared" si="17"/>
        <v>#ERROR!</v>
      </c>
      <c r="J37" s="191" t="str">
        <f t="shared" si="17"/>
        <v>#ERROR!</v>
      </c>
      <c r="K37" s="191" t="str">
        <f t="shared" si="17"/>
        <v>#ERROR!</v>
      </c>
      <c r="L37" s="191" t="str">
        <f t="shared" si="17"/>
        <v>#ERROR!</v>
      </c>
      <c r="M37" s="191" t="str">
        <f t="shared" si="17"/>
        <v>#ERROR!</v>
      </c>
      <c r="N37" s="191" t="str">
        <f t="shared" si="17"/>
        <v>#ERROR!</v>
      </c>
      <c r="O37" s="191" t="str">
        <f t="shared" si="17"/>
        <v>#ERROR!</v>
      </c>
      <c r="P37" s="191" t="str">
        <f t="shared" si="17"/>
        <v>#ERROR!</v>
      </c>
      <c r="Q37" s="191" t="str">
        <f t="shared" si="17"/>
        <v>#ERROR!</v>
      </c>
      <c r="R37" s="192" t="str">
        <f t="shared" si="18"/>
        <v>#ERROR!</v>
      </c>
      <c r="S37" s="192" t="str">
        <f t="shared" si="19"/>
        <v>#ERROR!</v>
      </c>
    </row>
    <row r="38" ht="14.25" customHeight="1">
      <c r="A38" s="151" t="s">
        <v>204</v>
      </c>
      <c r="B38" s="191" t="str">
        <f t="shared" ref="B38:Q38" si="20">B32*$B$7</f>
        <v>#ERROR!</v>
      </c>
      <c r="C38" s="191" t="str">
        <f t="shared" si="20"/>
        <v>#ERROR!</v>
      </c>
      <c r="D38" s="191" t="str">
        <f t="shared" si="20"/>
        <v>#ERROR!</v>
      </c>
      <c r="E38" s="191" t="str">
        <f t="shared" si="20"/>
        <v>#ERROR!</v>
      </c>
      <c r="F38" s="191" t="str">
        <f t="shared" si="20"/>
        <v>#ERROR!</v>
      </c>
      <c r="G38" s="191" t="str">
        <f t="shared" si="20"/>
        <v>#ERROR!</v>
      </c>
      <c r="H38" s="191" t="str">
        <f t="shared" si="20"/>
        <v>#ERROR!</v>
      </c>
      <c r="I38" s="191" t="str">
        <f t="shared" si="20"/>
        <v>#ERROR!</v>
      </c>
      <c r="J38" s="191" t="str">
        <f t="shared" si="20"/>
        <v>#ERROR!</v>
      </c>
      <c r="K38" s="191" t="str">
        <f t="shared" si="20"/>
        <v>#ERROR!</v>
      </c>
      <c r="L38" s="191" t="str">
        <f t="shared" si="20"/>
        <v>#ERROR!</v>
      </c>
      <c r="M38" s="191" t="str">
        <f t="shared" si="20"/>
        <v>#ERROR!</v>
      </c>
      <c r="N38" s="191" t="str">
        <f t="shared" si="20"/>
        <v>#ERROR!</v>
      </c>
      <c r="O38" s="191" t="str">
        <f t="shared" si="20"/>
        <v>#ERROR!</v>
      </c>
      <c r="P38" s="191" t="str">
        <f t="shared" si="20"/>
        <v>#ERROR!</v>
      </c>
      <c r="Q38" s="191" t="str">
        <f t="shared" si="20"/>
        <v>#ERROR!</v>
      </c>
      <c r="R38" s="192" t="str">
        <f t="shared" si="18"/>
        <v>#ERROR!</v>
      </c>
      <c r="S38" s="192" t="str">
        <f t="shared" si="19"/>
        <v>#ERROR!</v>
      </c>
    </row>
    <row r="39" ht="14.25" customHeight="1">
      <c r="A39" s="151" t="s">
        <v>335</v>
      </c>
      <c r="B39" s="189" t="str">
        <f>B30</f>
        <v>#ERROR!</v>
      </c>
      <c r="C39" s="189" t="str">
        <f t="shared" ref="C39:Q39" si="21">MAX(0,C30-B30)</f>
        <v>#ERROR!</v>
      </c>
      <c r="D39" s="189" t="str">
        <f t="shared" si="21"/>
        <v>#ERROR!</v>
      </c>
      <c r="E39" s="189" t="str">
        <f t="shared" si="21"/>
        <v>#ERROR!</v>
      </c>
      <c r="F39" s="189" t="str">
        <f t="shared" si="21"/>
        <v>#ERROR!</v>
      </c>
      <c r="G39" s="189" t="str">
        <f t="shared" si="21"/>
        <v>#ERROR!</v>
      </c>
      <c r="H39" s="189" t="str">
        <f t="shared" si="21"/>
        <v>#ERROR!</v>
      </c>
      <c r="I39" s="189" t="str">
        <f t="shared" si="21"/>
        <v>#ERROR!</v>
      </c>
      <c r="J39" s="189" t="str">
        <f t="shared" si="21"/>
        <v>#ERROR!</v>
      </c>
      <c r="K39" s="189" t="str">
        <f t="shared" si="21"/>
        <v>#ERROR!</v>
      </c>
      <c r="L39" s="189" t="str">
        <f t="shared" si="21"/>
        <v>#ERROR!</v>
      </c>
      <c r="M39" s="189" t="str">
        <f t="shared" si="21"/>
        <v>#ERROR!</v>
      </c>
      <c r="N39" s="189" t="str">
        <f t="shared" si="21"/>
        <v>#ERROR!</v>
      </c>
      <c r="O39" s="189" t="str">
        <f t="shared" si="21"/>
        <v>#ERROR!</v>
      </c>
      <c r="P39" s="189" t="str">
        <f t="shared" si="21"/>
        <v>#ERROR!</v>
      </c>
      <c r="Q39" s="189" t="str">
        <f t="shared" si="21"/>
        <v>#ERROR!</v>
      </c>
      <c r="R39" s="190" t="str">
        <f t="shared" si="18"/>
        <v>#ERROR!</v>
      </c>
      <c r="S39" s="190" t="str">
        <f t="shared" si="19"/>
        <v>#ERROR!</v>
      </c>
      <c r="T39" s="152"/>
    </row>
    <row r="40" ht="14.25" customHeight="1">
      <c r="A40" s="151" t="s">
        <v>256</v>
      </c>
      <c r="B40" s="191" t="str">
        <f t="shared" ref="B40:Q40" si="22">B39*$M$7</f>
        <v>#ERROR!</v>
      </c>
      <c r="C40" s="191" t="str">
        <f t="shared" si="22"/>
        <v>#ERROR!</v>
      </c>
      <c r="D40" s="191" t="str">
        <f t="shared" si="22"/>
        <v>#ERROR!</v>
      </c>
      <c r="E40" s="191" t="str">
        <f t="shared" si="22"/>
        <v>#ERROR!</v>
      </c>
      <c r="F40" s="191" t="str">
        <f t="shared" si="22"/>
        <v>#ERROR!</v>
      </c>
      <c r="G40" s="191" t="str">
        <f t="shared" si="22"/>
        <v>#ERROR!</v>
      </c>
      <c r="H40" s="191" t="str">
        <f t="shared" si="22"/>
        <v>#ERROR!</v>
      </c>
      <c r="I40" s="191" t="str">
        <f t="shared" si="22"/>
        <v>#ERROR!</v>
      </c>
      <c r="J40" s="191" t="str">
        <f t="shared" si="22"/>
        <v>#ERROR!</v>
      </c>
      <c r="K40" s="191" t="str">
        <f t="shared" si="22"/>
        <v>#ERROR!</v>
      </c>
      <c r="L40" s="191" t="str">
        <f t="shared" si="22"/>
        <v>#ERROR!</v>
      </c>
      <c r="M40" s="191" t="str">
        <f t="shared" si="22"/>
        <v>#ERROR!</v>
      </c>
      <c r="N40" s="191" t="str">
        <f t="shared" si="22"/>
        <v>#ERROR!</v>
      </c>
      <c r="O40" s="191" t="str">
        <f t="shared" si="22"/>
        <v>#ERROR!</v>
      </c>
      <c r="P40" s="191" t="str">
        <f t="shared" si="22"/>
        <v>#ERROR!</v>
      </c>
      <c r="Q40" s="191" t="str">
        <f t="shared" si="22"/>
        <v>#ERROR!</v>
      </c>
      <c r="R40" s="192" t="str">
        <f t="shared" si="18"/>
        <v>#ERROR!</v>
      </c>
      <c r="S40" s="192" t="str">
        <f t="shared" si="19"/>
        <v>#ERROR!</v>
      </c>
    </row>
    <row r="41" ht="14.25" customHeight="1">
      <c r="A41" s="195" t="s">
        <v>336</v>
      </c>
      <c r="B41" s="196" t="str">
        <f t="shared" ref="B41:Q41" si="23">B32+B34+B36+B37+B38+B40</f>
        <v>#ERROR!</v>
      </c>
      <c r="C41" s="196" t="str">
        <f t="shared" si="23"/>
        <v>#ERROR!</v>
      </c>
      <c r="D41" s="196" t="str">
        <f t="shared" si="23"/>
        <v>#ERROR!</v>
      </c>
      <c r="E41" s="196" t="str">
        <f t="shared" si="23"/>
        <v>#ERROR!</v>
      </c>
      <c r="F41" s="196" t="str">
        <f t="shared" si="23"/>
        <v>#ERROR!</v>
      </c>
      <c r="G41" s="196" t="str">
        <f t="shared" si="23"/>
        <v>#ERROR!</v>
      </c>
      <c r="H41" s="196" t="str">
        <f t="shared" si="23"/>
        <v>#ERROR!</v>
      </c>
      <c r="I41" s="196" t="str">
        <f t="shared" si="23"/>
        <v>#ERROR!</v>
      </c>
      <c r="J41" s="196" t="str">
        <f t="shared" si="23"/>
        <v>#ERROR!</v>
      </c>
      <c r="K41" s="196" t="str">
        <f t="shared" si="23"/>
        <v>#ERROR!</v>
      </c>
      <c r="L41" s="196" t="str">
        <f t="shared" si="23"/>
        <v>#ERROR!</v>
      </c>
      <c r="M41" s="196" t="str">
        <f t="shared" si="23"/>
        <v>#ERROR!</v>
      </c>
      <c r="N41" s="196" t="str">
        <f t="shared" si="23"/>
        <v>#ERROR!</v>
      </c>
      <c r="O41" s="196" t="str">
        <f t="shared" si="23"/>
        <v>#ERROR!</v>
      </c>
      <c r="P41" s="196" t="str">
        <f t="shared" si="23"/>
        <v>#ERROR!</v>
      </c>
      <c r="Q41" s="196" t="str">
        <f t="shared" si="23"/>
        <v>#ERROR!</v>
      </c>
      <c r="R41" s="197" t="str">
        <f t="shared" si="18"/>
        <v>#ERROR!</v>
      </c>
      <c r="S41" s="197" t="str">
        <f t="shared" si="19"/>
        <v>#ERROR!</v>
      </c>
    </row>
    <row r="42" ht="14.25" customHeight="1">
      <c r="B42" s="198"/>
      <c r="C42" s="198"/>
      <c r="D42" s="198"/>
      <c r="E42" s="198"/>
      <c r="F42" s="198"/>
      <c r="G42" s="198"/>
      <c r="H42" s="198"/>
      <c r="I42" s="198"/>
      <c r="J42" s="198"/>
      <c r="K42" s="198"/>
      <c r="L42" s="198"/>
      <c r="M42" s="198"/>
      <c r="N42" s="198"/>
      <c r="O42" s="198"/>
      <c r="P42" s="198"/>
      <c r="Q42" s="198"/>
      <c r="R42" s="198"/>
      <c r="S42" s="198"/>
    </row>
    <row r="43" ht="14.25" customHeight="1">
      <c r="A43" s="199" t="s">
        <v>337</v>
      </c>
      <c r="B43" s="167" t="str">
        <f t="shared" ref="B43:Q43" si="24">IF(B26&gt;MAX($B$15:$O$15),"OVER","OK")</f>
        <v>#ERROR!</v>
      </c>
      <c r="C43" s="167" t="str">
        <f t="shared" si="24"/>
        <v>#ERROR!</v>
      </c>
      <c r="D43" s="167" t="str">
        <f t="shared" si="24"/>
        <v>#ERROR!</v>
      </c>
      <c r="E43" s="167" t="str">
        <f t="shared" si="24"/>
        <v>#ERROR!</v>
      </c>
      <c r="F43" s="167" t="str">
        <f t="shared" si="24"/>
        <v>#ERROR!</v>
      </c>
      <c r="G43" s="167" t="str">
        <f t="shared" si="24"/>
        <v>#ERROR!</v>
      </c>
      <c r="H43" s="167" t="str">
        <f t="shared" si="24"/>
        <v>#ERROR!</v>
      </c>
      <c r="I43" s="167" t="str">
        <f t="shared" si="24"/>
        <v>#ERROR!</v>
      </c>
      <c r="J43" s="167" t="str">
        <f t="shared" si="24"/>
        <v>#ERROR!</v>
      </c>
      <c r="K43" s="167" t="str">
        <f t="shared" si="24"/>
        <v>#ERROR!</v>
      </c>
      <c r="L43" s="167" t="str">
        <f t="shared" si="24"/>
        <v>#ERROR!</v>
      </c>
      <c r="M43" s="167" t="str">
        <f t="shared" si="24"/>
        <v>#ERROR!</v>
      </c>
      <c r="N43" s="167" t="str">
        <f t="shared" si="24"/>
        <v>#ERROR!</v>
      </c>
      <c r="O43" s="167" t="str">
        <f t="shared" si="24"/>
        <v>#ERROR!</v>
      </c>
      <c r="P43" s="167" t="str">
        <f t="shared" si="24"/>
        <v>#ERROR!</v>
      </c>
      <c r="Q43" s="167" t="str">
        <f t="shared" si="24"/>
        <v>#ERROR!</v>
      </c>
      <c r="R43" s="198"/>
      <c r="S43" s="198"/>
    </row>
    <row r="44" ht="14.25" customHeight="1"/>
    <row r="45" ht="14.25" customHeight="1">
      <c r="A45" s="180" t="s">
        <v>338</v>
      </c>
      <c r="B45" s="181" t="str">
        <f t="shared" ref="B45:Q45" si="25">B$24</f>
        <v>#REF!</v>
      </c>
      <c r="C45" s="181" t="str">
        <f t="shared" si="25"/>
        <v>#REF!</v>
      </c>
      <c r="D45" s="181" t="str">
        <f t="shared" si="25"/>
        <v>#REF!</v>
      </c>
      <c r="E45" s="181" t="str">
        <f t="shared" si="25"/>
        <v>#REF!</v>
      </c>
      <c r="F45" s="181" t="str">
        <f t="shared" si="25"/>
        <v>#REF!</v>
      </c>
      <c r="G45" s="181" t="str">
        <f t="shared" si="25"/>
        <v>#REF!</v>
      </c>
      <c r="H45" s="181" t="str">
        <f t="shared" si="25"/>
        <v>#REF!</v>
      </c>
      <c r="I45" s="181" t="str">
        <f t="shared" si="25"/>
        <v>#REF!</v>
      </c>
      <c r="J45" s="181" t="str">
        <f t="shared" si="25"/>
        <v>#REF!</v>
      </c>
      <c r="K45" s="181" t="str">
        <f t="shared" si="25"/>
        <v>#REF!</v>
      </c>
      <c r="L45" s="181" t="str">
        <f t="shared" si="25"/>
        <v>#REF!</v>
      </c>
      <c r="M45" s="181" t="str">
        <f t="shared" si="25"/>
        <v>#REF!</v>
      </c>
      <c r="N45" s="181" t="str">
        <f t="shared" si="25"/>
        <v>#REF!</v>
      </c>
      <c r="O45" s="181" t="str">
        <f t="shared" si="25"/>
        <v>#REF!</v>
      </c>
      <c r="P45" s="181" t="str">
        <f t="shared" si="25"/>
        <v>#REF!</v>
      </c>
      <c r="Q45" s="181" t="str">
        <f t="shared" si="25"/>
        <v>#REF!</v>
      </c>
      <c r="R45" s="182" t="str">
        <f t="shared" ref="R45:S45" si="26">R24</f>
        <v>Sep–Dec 2026</v>
      </c>
      <c r="S45" s="182" t="str">
        <f t="shared" si="26"/>
        <v>FY2027</v>
      </c>
    </row>
    <row r="46" ht="14.25" customHeight="1">
      <c r="A46" s="151" t="s">
        <v>339</v>
      </c>
      <c r="B46" s="183" t="str">
        <f>DeploySum!B25</f>
        <v>#ERROR!</v>
      </c>
      <c r="C46" s="183" t="str">
        <f>DeploySum!C25</f>
        <v>#ERROR!</v>
      </c>
      <c r="D46" s="183" t="str">
        <f>DeploySum!D25</f>
        <v>#ERROR!</v>
      </c>
      <c r="E46" s="183" t="str">
        <f>DeploySum!E25</f>
        <v>#ERROR!</v>
      </c>
      <c r="F46" s="183" t="str">
        <f>DeploySum!F25</f>
        <v>#ERROR!</v>
      </c>
      <c r="G46" s="183" t="str">
        <f>DeploySum!G25</f>
        <v>#ERROR!</v>
      </c>
      <c r="H46" s="183" t="str">
        <f>DeploySum!H25</f>
        <v>#ERROR!</v>
      </c>
      <c r="I46" s="183" t="str">
        <f>DeploySum!I25</f>
        <v>#ERROR!</v>
      </c>
      <c r="J46" s="183" t="str">
        <f>DeploySum!J25</f>
        <v>#ERROR!</v>
      </c>
      <c r="K46" s="183" t="str">
        <f>DeploySum!K25</f>
        <v>#ERROR!</v>
      </c>
      <c r="L46" s="183" t="str">
        <f>DeploySum!L25</f>
        <v>#ERROR!</v>
      </c>
      <c r="M46" s="183" t="str">
        <f>DeploySum!M25</f>
        <v>#ERROR!</v>
      </c>
      <c r="N46" s="183" t="str">
        <f>DeploySum!N25</f>
        <v>#ERROR!</v>
      </c>
      <c r="O46" s="183" t="str">
        <f>DeploySum!O25</f>
        <v>#ERROR!</v>
      </c>
      <c r="P46" s="183" t="str">
        <f>DeploySum!P25</f>
        <v>#ERROR!</v>
      </c>
      <c r="Q46" s="183" t="str">
        <f>DeploySum!Q25</f>
        <v>#ERROR!</v>
      </c>
      <c r="R46" s="184" t="str">
        <f>SUM(B46:E46)</f>
        <v>#ERROR!</v>
      </c>
      <c r="S46" s="184" t="str">
        <f>SUM(F46:Q46)</f>
        <v>#ERROR!</v>
      </c>
    </row>
    <row r="47" ht="14.25" customHeight="1">
      <c r="A47" s="151" t="s">
        <v>340</v>
      </c>
      <c r="B47" s="185" t="str">
        <f>DeploySum!B28</f>
        <v>#ERROR!</v>
      </c>
      <c r="C47" s="185" t="str">
        <f>DeploySum!C28</f>
        <v>#ERROR!</v>
      </c>
      <c r="D47" s="185" t="str">
        <f>DeploySum!D28</f>
        <v>#ERROR!</v>
      </c>
      <c r="E47" s="185" t="str">
        <f>DeploySum!E28</f>
        <v>#ERROR!</v>
      </c>
      <c r="F47" s="185" t="str">
        <f>DeploySum!F28</f>
        <v>#ERROR!</v>
      </c>
      <c r="G47" s="185" t="str">
        <f>DeploySum!G28</f>
        <v>#ERROR!</v>
      </c>
      <c r="H47" s="185" t="str">
        <f>DeploySum!H28</f>
        <v>#ERROR!</v>
      </c>
      <c r="I47" s="185" t="str">
        <f>DeploySum!I28</f>
        <v>#ERROR!</v>
      </c>
      <c r="J47" s="185" t="str">
        <f>DeploySum!J28</f>
        <v>#ERROR!</v>
      </c>
      <c r="K47" s="185" t="str">
        <f>DeploySum!K28</f>
        <v>#ERROR!</v>
      </c>
      <c r="L47" s="185" t="str">
        <f>DeploySum!L28</f>
        <v>#ERROR!</v>
      </c>
      <c r="M47" s="185" t="str">
        <f>DeploySum!M28</f>
        <v>#ERROR!</v>
      </c>
      <c r="N47" s="185" t="str">
        <f>DeploySum!N28</f>
        <v>#ERROR!</v>
      </c>
      <c r="O47" s="185" t="str">
        <f>DeploySum!O28</f>
        <v>#ERROR!</v>
      </c>
      <c r="P47" s="185" t="str">
        <f>DeploySum!P28</f>
        <v>#ERROR!</v>
      </c>
      <c r="Q47" s="185" t="str">
        <f>DeploySum!Q28</f>
        <v>#ERROR!</v>
      </c>
      <c r="R47" s="186" t="str">
        <f>AVERAGE(B47:E47)</f>
        <v>#ERROR!</v>
      </c>
      <c r="S47" s="186" t="str">
        <f>AVERAGE(F47:Q47)</f>
        <v>#ERROR!</v>
      </c>
      <c r="T47" s="152" t="s">
        <v>324</v>
      </c>
    </row>
    <row r="48" ht="14.25" customHeight="1">
      <c r="A48" s="151" t="s">
        <v>341</v>
      </c>
      <c r="B48" s="187" t="str">
        <f t="shared" ref="B48:Q48" si="27">_xlfn.XLOOKUP(MAX($C$8,B47),$B$20:$O$20,$B$20:$O$20,MAX($B$20:$O$20),1)</f>
        <v>#ERROR!</v>
      </c>
      <c r="C48" s="187" t="str">
        <f t="shared" si="27"/>
        <v>#ERROR!</v>
      </c>
      <c r="D48" s="187" t="str">
        <f t="shared" si="27"/>
        <v>#ERROR!</v>
      </c>
      <c r="E48" s="187" t="str">
        <f t="shared" si="27"/>
        <v>#ERROR!</v>
      </c>
      <c r="F48" s="187" t="str">
        <f t="shared" si="27"/>
        <v>#ERROR!</v>
      </c>
      <c r="G48" s="187" t="str">
        <f t="shared" si="27"/>
        <v>#ERROR!</v>
      </c>
      <c r="H48" s="187" t="str">
        <f t="shared" si="27"/>
        <v>#ERROR!</v>
      </c>
      <c r="I48" s="187" t="str">
        <f t="shared" si="27"/>
        <v>#ERROR!</v>
      </c>
      <c r="J48" s="187" t="str">
        <f t="shared" si="27"/>
        <v>#ERROR!</v>
      </c>
      <c r="K48" s="187" t="str">
        <f t="shared" si="27"/>
        <v>#ERROR!</v>
      </c>
      <c r="L48" s="187" t="str">
        <f t="shared" si="27"/>
        <v>#ERROR!</v>
      </c>
      <c r="M48" s="187" t="str">
        <f t="shared" si="27"/>
        <v>#ERROR!</v>
      </c>
      <c r="N48" s="187" t="str">
        <f t="shared" si="27"/>
        <v>#ERROR!</v>
      </c>
      <c r="O48" s="187" t="str">
        <f t="shared" si="27"/>
        <v>#ERROR!</v>
      </c>
      <c r="P48" s="187" t="str">
        <f t="shared" si="27"/>
        <v>#ERROR!</v>
      </c>
      <c r="Q48" s="187" t="str">
        <f t="shared" si="27"/>
        <v>#ERROR!</v>
      </c>
      <c r="R48" s="188"/>
      <c r="S48" s="188"/>
      <c r="T48" s="152"/>
    </row>
    <row r="49" ht="14.25" customHeight="1">
      <c r="A49" s="151" t="s">
        <v>342</v>
      </c>
      <c r="B49" s="189" t="str">
        <f t="array" ref="B49">INDEX($B$22:$O$22,MATCH(B48,$B$20:$O$20,0))</f>
        <v>#ERROR!</v>
      </c>
      <c r="C49" s="189" t="str">
        <f t="shared" ref="C49:Q49" si="28">MAX(B49,INDEX($B$22:$O$22,MATCH(C48,$B$20:$O$20,0)))</f>
        <v>#ERROR!</v>
      </c>
      <c r="D49" s="189" t="str">
        <f t="shared" si="28"/>
        <v>#ERROR!</v>
      </c>
      <c r="E49" s="189" t="str">
        <f t="shared" si="28"/>
        <v>#ERROR!</v>
      </c>
      <c r="F49" s="189" t="str">
        <f t="shared" si="28"/>
        <v>#ERROR!</v>
      </c>
      <c r="G49" s="189" t="str">
        <f t="shared" si="28"/>
        <v>#ERROR!</v>
      </c>
      <c r="H49" s="189" t="str">
        <f t="shared" si="28"/>
        <v>#ERROR!</v>
      </c>
      <c r="I49" s="189" t="str">
        <f t="shared" si="28"/>
        <v>#ERROR!</v>
      </c>
      <c r="J49" s="189" t="str">
        <f t="shared" si="28"/>
        <v>#ERROR!</v>
      </c>
      <c r="K49" s="189" t="str">
        <f t="shared" si="28"/>
        <v>#ERROR!</v>
      </c>
      <c r="L49" s="189" t="str">
        <f t="shared" si="28"/>
        <v>#ERROR!</v>
      </c>
      <c r="M49" s="189" t="str">
        <f t="shared" si="28"/>
        <v>#ERROR!</v>
      </c>
      <c r="N49" s="189" t="str">
        <f t="shared" si="28"/>
        <v>#ERROR!</v>
      </c>
      <c r="O49" s="189" t="str">
        <f t="shared" si="28"/>
        <v>#ERROR!</v>
      </c>
      <c r="P49" s="189" t="str">
        <f t="shared" si="28"/>
        <v>#ERROR!</v>
      </c>
      <c r="Q49" s="189" t="str">
        <f t="shared" si="28"/>
        <v>#ERROR!</v>
      </c>
      <c r="R49" s="190" t="str">
        <f t="shared" ref="R49:R52" si="30">AVERAGE(B49:E49)</f>
        <v>#ERROR!</v>
      </c>
      <c r="S49" s="190" t="str">
        <f t="shared" ref="S49:S52" si="31">AVERAGE(F49:Q49)</f>
        <v>#ERROR!</v>
      </c>
      <c r="T49" s="152"/>
    </row>
    <row r="50" ht="14.25" customHeight="1">
      <c r="A50" s="151" t="s">
        <v>306</v>
      </c>
      <c r="B50" s="189">
        <f t="shared" ref="B50:Q50" si="29">$C$9</f>
        <v>2</v>
      </c>
      <c r="C50" s="189">
        <f t="shared" si="29"/>
        <v>2</v>
      </c>
      <c r="D50" s="189">
        <f t="shared" si="29"/>
        <v>2</v>
      </c>
      <c r="E50" s="189">
        <f t="shared" si="29"/>
        <v>2</v>
      </c>
      <c r="F50" s="189">
        <f t="shared" si="29"/>
        <v>2</v>
      </c>
      <c r="G50" s="189">
        <f t="shared" si="29"/>
        <v>2</v>
      </c>
      <c r="H50" s="189">
        <f t="shared" si="29"/>
        <v>2</v>
      </c>
      <c r="I50" s="189">
        <f t="shared" si="29"/>
        <v>2</v>
      </c>
      <c r="J50" s="189">
        <f t="shared" si="29"/>
        <v>2</v>
      </c>
      <c r="K50" s="189">
        <f t="shared" si="29"/>
        <v>2</v>
      </c>
      <c r="L50" s="189">
        <f t="shared" si="29"/>
        <v>2</v>
      </c>
      <c r="M50" s="189">
        <f t="shared" si="29"/>
        <v>2</v>
      </c>
      <c r="N50" s="189">
        <f t="shared" si="29"/>
        <v>2</v>
      </c>
      <c r="O50" s="189">
        <f t="shared" si="29"/>
        <v>2</v>
      </c>
      <c r="P50" s="189">
        <f t="shared" si="29"/>
        <v>2</v>
      </c>
      <c r="Q50" s="189">
        <f t="shared" si="29"/>
        <v>2</v>
      </c>
      <c r="R50" s="190">
        <f t="shared" si="30"/>
        <v>2</v>
      </c>
      <c r="S50" s="190">
        <f t="shared" si="31"/>
        <v>2</v>
      </c>
      <c r="T50" s="152"/>
    </row>
    <row r="51" ht="14.25" customHeight="1">
      <c r="A51" s="151" t="s">
        <v>327</v>
      </c>
      <c r="B51" s="189" t="str">
        <f t="shared" ref="B51:Q51" si="32">MAX(0,B49-B50)</f>
        <v>#ERROR!</v>
      </c>
      <c r="C51" s="189" t="str">
        <f t="shared" si="32"/>
        <v>#ERROR!</v>
      </c>
      <c r="D51" s="189" t="str">
        <f t="shared" si="32"/>
        <v>#ERROR!</v>
      </c>
      <c r="E51" s="189" t="str">
        <f t="shared" si="32"/>
        <v>#ERROR!</v>
      </c>
      <c r="F51" s="189" t="str">
        <f t="shared" si="32"/>
        <v>#ERROR!</v>
      </c>
      <c r="G51" s="189" t="str">
        <f t="shared" si="32"/>
        <v>#ERROR!</v>
      </c>
      <c r="H51" s="189" t="str">
        <f t="shared" si="32"/>
        <v>#ERROR!</v>
      </c>
      <c r="I51" s="189" t="str">
        <f t="shared" si="32"/>
        <v>#ERROR!</v>
      </c>
      <c r="J51" s="189" t="str">
        <f t="shared" si="32"/>
        <v>#ERROR!</v>
      </c>
      <c r="K51" s="189" t="str">
        <f t="shared" si="32"/>
        <v>#ERROR!</v>
      </c>
      <c r="L51" s="189" t="str">
        <f t="shared" si="32"/>
        <v>#ERROR!</v>
      </c>
      <c r="M51" s="189" t="str">
        <f t="shared" si="32"/>
        <v>#ERROR!</v>
      </c>
      <c r="N51" s="189" t="str">
        <f t="shared" si="32"/>
        <v>#ERROR!</v>
      </c>
      <c r="O51" s="189" t="str">
        <f t="shared" si="32"/>
        <v>#ERROR!</v>
      </c>
      <c r="P51" s="189" t="str">
        <f t="shared" si="32"/>
        <v>#ERROR!</v>
      </c>
      <c r="Q51" s="189" t="str">
        <f t="shared" si="32"/>
        <v>#ERROR!</v>
      </c>
      <c r="R51" s="190" t="str">
        <f t="shared" si="30"/>
        <v>#ERROR!</v>
      </c>
      <c r="S51" s="190" t="str">
        <f t="shared" si="31"/>
        <v>#ERROR!</v>
      </c>
      <c r="T51" s="152"/>
    </row>
    <row r="52" ht="14.25" customHeight="1">
      <c r="A52" s="151" t="s">
        <v>343</v>
      </c>
      <c r="B52" s="189" t="str">
        <f t="shared" ref="B52:Q52" si="33">B50+B51</f>
        <v>#ERROR!</v>
      </c>
      <c r="C52" s="189" t="str">
        <f t="shared" si="33"/>
        <v>#ERROR!</v>
      </c>
      <c r="D52" s="189" t="str">
        <f t="shared" si="33"/>
        <v>#ERROR!</v>
      </c>
      <c r="E52" s="189" t="str">
        <f t="shared" si="33"/>
        <v>#ERROR!</v>
      </c>
      <c r="F52" s="189" t="str">
        <f t="shared" si="33"/>
        <v>#ERROR!</v>
      </c>
      <c r="G52" s="189" t="str">
        <f t="shared" si="33"/>
        <v>#ERROR!</v>
      </c>
      <c r="H52" s="189" t="str">
        <f t="shared" si="33"/>
        <v>#ERROR!</v>
      </c>
      <c r="I52" s="189" t="str">
        <f t="shared" si="33"/>
        <v>#ERROR!</v>
      </c>
      <c r="J52" s="189" t="str">
        <f t="shared" si="33"/>
        <v>#ERROR!</v>
      </c>
      <c r="K52" s="189" t="str">
        <f t="shared" si="33"/>
        <v>#ERROR!</v>
      </c>
      <c r="L52" s="189" t="str">
        <f t="shared" si="33"/>
        <v>#ERROR!</v>
      </c>
      <c r="M52" s="189" t="str">
        <f t="shared" si="33"/>
        <v>#ERROR!</v>
      </c>
      <c r="N52" s="189" t="str">
        <f t="shared" si="33"/>
        <v>#ERROR!</v>
      </c>
      <c r="O52" s="189" t="str">
        <f t="shared" si="33"/>
        <v>#ERROR!</v>
      </c>
      <c r="P52" s="189" t="str">
        <f t="shared" si="33"/>
        <v>#ERROR!</v>
      </c>
      <c r="Q52" s="189" t="str">
        <f t="shared" si="33"/>
        <v>#ERROR!</v>
      </c>
      <c r="R52" s="190" t="str">
        <f t="shared" si="30"/>
        <v>#ERROR!</v>
      </c>
      <c r="S52" s="190" t="str">
        <f t="shared" si="31"/>
        <v>#ERROR!</v>
      </c>
      <c r="T52" s="152" t="s">
        <v>329</v>
      </c>
    </row>
    <row r="53" ht="14.25" customHeight="1">
      <c r="A53" s="151" t="s">
        <v>248</v>
      </c>
      <c r="B53" s="191" t="str">
        <f t="shared" ref="B53:Q53" si="34">B52*$C$5/12+IF(B$24&gt;=$M$6,MIN(B52,INDEX($B52:$Q52,IFERROR(MATCH(EOMONTH($M$6,-$M$9-1),$B$24:$Q$24,0),1)))*$C$5/12*$M$5,0)</f>
        <v>#ERROR!</v>
      </c>
      <c r="C53" s="191" t="str">
        <f t="shared" si="34"/>
        <v>#ERROR!</v>
      </c>
      <c r="D53" s="191" t="str">
        <f t="shared" si="34"/>
        <v>#ERROR!</v>
      </c>
      <c r="E53" s="191" t="str">
        <f t="shared" si="34"/>
        <v>#ERROR!</v>
      </c>
      <c r="F53" s="191" t="str">
        <f t="shared" si="34"/>
        <v>#ERROR!</v>
      </c>
      <c r="G53" s="191" t="str">
        <f t="shared" si="34"/>
        <v>#ERROR!</v>
      </c>
      <c r="H53" s="191" t="str">
        <f t="shared" si="34"/>
        <v>#ERROR!</v>
      </c>
      <c r="I53" s="191" t="str">
        <f t="shared" si="34"/>
        <v>#ERROR!</v>
      </c>
      <c r="J53" s="191" t="str">
        <f t="shared" si="34"/>
        <v>#ERROR!</v>
      </c>
      <c r="K53" s="191" t="str">
        <f t="shared" si="34"/>
        <v>#ERROR!</v>
      </c>
      <c r="L53" s="191" t="str">
        <f t="shared" si="34"/>
        <v>#ERROR!</v>
      </c>
      <c r="M53" s="191" t="str">
        <f t="shared" si="34"/>
        <v>#ERROR!</v>
      </c>
      <c r="N53" s="191" t="str">
        <f t="shared" si="34"/>
        <v>#ERROR!</v>
      </c>
      <c r="O53" s="191" t="str">
        <f t="shared" si="34"/>
        <v>#ERROR!</v>
      </c>
      <c r="P53" s="191" t="str">
        <f t="shared" si="34"/>
        <v>#ERROR!</v>
      </c>
      <c r="Q53" s="191" t="str">
        <f t="shared" si="34"/>
        <v>#ERROR!</v>
      </c>
      <c r="R53" s="192" t="str">
        <f>SUM(B53:E53)</f>
        <v>#ERROR!</v>
      </c>
      <c r="S53" s="192" t="str">
        <f>SUM(F53:Q53)</f>
        <v>#ERROR!</v>
      </c>
    </row>
    <row r="54" ht="14.25" customHeight="1">
      <c r="A54" s="151" t="s">
        <v>330</v>
      </c>
      <c r="B54" s="193">
        <v>0.05</v>
      </c>
      <c r="C54" s="193">
        <v>0.05</v>
      </c>
      <c r="D54" s="193">
        <v>0.06</v>
      </c>
      <c r="E54" s="193">
        <v>0.08</v>
      </c>
      <c r="F54" s="193">
        <v>0.05</v>
      </c>
      <c r="G54" s="193">
        <v>0.05</v>
      </c>
      <c r="H54" s="193">
        <v>0.05</v>
      </c>
      <c r="I54" s="193">
        <v>0.05</v>
      </c>
      <c r="J54" s="193">
        <v>0.06</v>
      </c>
      <c r="K54" s="193">
        <v>0.07</v>
      </c>
      <c r="L54" s="193">
        <v>0.08</v>
      </c>
      <c r="M54" s="193">
        <v>0.07</v>
      </c>
      <c r="N54" s="193">
        <v>0.05</v>
      </c>
      <c r="O54" s="193">
        <v>0.05</v>
      </c>
      <c r="P54" s="193">
        <v>0.06</v>
      </c>
      <c r="Q54" s="193">
        <v>0.08</v>
      </c>
      <c r="R54" s="194">
        <f t="shared" ref="R54:S54" si="35">IFERROR(R55/R53,0)</f>
        <v>0</v>
      </c>
      <c r="S54" s="194">
        <f t="shared" si="35"/>
        <v>0</v>
      </c>
      <c r="T54" s="152" t="s">
        <v>331</v>
      </c>
    </row>
    <row r="55" ht="14.25" customHeight="1">
      <c r="A55" s="151" t="s">
        <v>332</v>
      </c>
      <c r="B55" s="191" t="str">
        <f t="shared" ref="B55:Q55" si="36">B53*B54</f>
        <v>#ERROR!</v>
      </c>
      <c r="C55" s="191" t="str">
        <f t="shared" si="36"/>
        <v>#ERROR!</v>
      </c>
      <c r="D55" s="191" t="str">
        <f t="shared" si="36"/>
        <v>#ERROR!</v>
      </c>
      <c r="E55" s="191" t="str">
        <f t="shared" si="36"/>
        <v>#ERROR!</v>
      </c>
      <c r="F55" s="191" t="str">
        <f t="shared" si="36"/>
        <v>#ERROR!</v>
      </c>
      <c r="G55" s="191" t="str">
        <f t="shared" si="36"/>
        <v>#ERROR!</v>
      </c>
      <c r="H55" s="191" t="str">
        <f t="shared" si="36"/>
        <v>#ERROR!</v>
      </c>
      <c r="I55" s="191" t="str">
        <f t="shared" si="36"/>
        <v>#ERROR!</v>
      </c>
      <c r="J55" s="191" t="str">
        <f t="shared" si="36"/>
        <v>#ERROR!</v>
      </c>
      <c r="K55" s="191" t="str">
        <f t="shared" si="36"/>
        <v>#ERROR!</v>
      </c>
      <c r="L55" s="191" t="str">
        <f t="shared" si="36"/>
        <v>#ERROR!</v>
      </c>
      <c r="M55" s="191" t="str">
        <f t="shared" si="36"/>
        <v>#ERROR!</v>
      </c>
      <c r="N55" s="191" t="str">
        <f t="shared" si="36"/>
        <v>#ERROR!</v>
      </c>
      <c r="O55" s="191" t="str">
        <f t="shared" si="36"/>
        <v>#ERROR!</v>
      </c>
      <c r="P55" s="191" t="str">
        <f t="shared" si="36"/>
        <v>#ERROR!</v>
      </c>
      <c r="Q55" s="191" t="str">
        <f t="shared" si="36"/>
        <v>#ERROR!</v>
      </c>
      <c r="R55" s="192" t="str">
        <f>SUM(B55:E55)</f>
        <v>#ERROR!</v>
      </c>
      <c r="S55" s="192" t="str">
        <f>SUM(F55:Q55)</f>
        <v>#ERROR!</v>
      </c>
    </row>
    <row r="56" ht="14.25" customHeight="1">
      <c r="A56" s="151" t="s">
        <v>333</v>
      </c>
      <c r="B56" s="193">
        <v>0.0</v>
      </c>
      <c r="C56" s="193">
        <v>0.0</v>
      </c>
      <c r="D56" s="193">
        <v>0.0</v>
      </c>
      <c r="E56" s="193">
        <v>0.0</v>
      </c>
      <c r="F56" s="193">
        <v>0.0</v>
      </c>
      <c r="G56" s="193">
        <v>0.0</v>
      </c>
      <c r="H56" s="193">
        <v>0.0</v>
      </c>
      <c r="I56" s="193">
        <v>0.0</v>
      </c>
      <c r="J56" s="193">
        <v>0.0</v>
      </c>
      <c r="K56" s="193">
        <v>0.0</v>
      </c>
      <c r="L56" s="193">
        <v>0.0</v>
      </c>
      <c r="M56" s="193">
        <v>0.0</v>
      </c>
      <c r="N56" s="193">
        <v>0.0</v>
      </c>
      <c r="O56" s="193">
        <v>0.0</v>
      </c>
      <c r="P56" s="193">
        <v>0.0</v>
      </c>
      <c r="Q56" s="193">
        <v>0.0</v>
      </c>
      <c r="R56" s="194">
        <f t="shared" ref="R56:S56" si="37">IFERROR(R57/R53/$M$10,0)</f>
        <v>0</v>
      </c>
      <c r="S56" s="194">
        <f t="shared" si="37"/>
        <v>0</v>
      </c>
      <c r="T56" s="152" t="s">
        <v>331</v>
      </c>
    </row>
    <row r="57" ht="14.25" customHeight="1">
      <c r="A57" s="151" t="s">
        <v>334</v>
      </c>
      <c r="B57" s="191" t="str">
        <f t="shared" ref="B57:Q57" si="38">B53*B56*$M$10</f>
        <v>#ERROR!</v>
      </c>
      <c r="C57" s="191" t="str">
        <f t="shared" si="38"/>
        <v>#ERROR!</v>
      </c>
      <c r="D57" s="191" t="str">
        <f t="shared" si="38"/>
        <v>#ERROR!</v>
      </c>
      <c r="E57" s="191" t="str">
        <f t="shared" si="38"/>
        <v>#ERROR!</v>
      </c>
      <c r="F57" s="191" t="str">
        <f t="shared" si="38"/>
        <v>#ERROR!</v>
      </c>
      <c r="G57" s="191" t="str">
        <f t="shared" si="38"/>
        <v>#ERROR!</v>
      </c>
      <c r="H57" s="191" t="str">
        <f t="shared" si="38"/>
        <v>#ERROR!</v>
      </c>
      <c r="I57" s="191" t="str">
        <f t="shared" si="38"/>
        <v>#ERROR!</v>
      </c>
      <c r="J57" s="191" t="str">
        <f t="shared" si="38"/>
        <v>#ERROR!</v>
      </c>
      <c r="K57" s="191" t="str">
        <f t="shared" si="38"/>
        <v>#ERROR!</v>
      </c>
      <c r="L57" s="191" t="str">
        <f t="shared" si="38"/>
        <v>#ERROR!</v>
      </c>
      <c r="M57" s="191" t="str">
        <f t="shared" si="38"/>
        <v>#ERROR!</v>
      </c>
      <c r="N57" s="191" t="str">
        <f t="shared" si="38"/>
        <v>#ERROR!</v>
      </c>
      <c r="O57" s="191" t="str">
        <f t="shared" si="38"/>
        <v>#ERROR!</v>
      </c>
      <c r="P57" s="191" t="str">
        <f t="shared" si="38"/>
        <v>#ERROR!</v>
      </c>
      <c r="Q57" s="191" t="str">
        <f t="shared" si="38"/>
        <v>#ERROR!</v>
      </c>
      <c r="R57" s="192" t="str">
        <f t="shared" ref="R57:R62" si="40">SUM(B57:E57)</f>
        <v>#ERROR!</v>
      </c>
      <c r="S57" s="192" t="str">
        <f t="shared" ref="S57:S62" si="41">SUM(F57:Q57)</f>
        <v>#ERROR!</v>
      </c>
    </row>
    <row r="58" ht="14.25" customHeight="1">
      <c r="A58" s="151" t="s">
        <v>249</v>
      </c>
      <c r="B58" s="191" t="str">
        <f t="shared" ref="B58:Q58" si="39">(B53+B55+B57)*$C$6</f>
        <v>#ERROR!</v>
      </c>
      <c r="C58" s="191" t="str">
        <f t="shared" si="39"/>
        <v>#ERROR!</v>
      </c>
      <c r="D58" s="191" t="str">
        <f t="shared" si="39"/>
        <v>#ERROR!</v>
      </c>
      <c r="E58" s="191" t="str">
        <f t="shared" si="39"/>
        <v>#ERROR!</v>
      </c>
      <c r="F58" s="191" t="str">
        <f t="shared" si="39"/>
        <v>#ERROR!</v>
      </c>
      <c r="G58" s="191" t="str">
        <f t="shared" si="39"/>
        <v>#ERROR!</v>
      </c>
      <c r="H58" s="191" t="str">
        <f t="shared" si="39"/>
        <v>#ERROR!</v>
      </c>
      <c r="I58" s="191" t="str">
        <f t="shared" si="39"/>
        <v>#ERROR!</v>
      </c>
      <c r="J58" s="191" t="str">
        <f t="shared" si="39"/>
        <v>#ERROR!</v>
      </c>
      <c r="K58" s="191" t="str">
        <f t="shared" si="39"/>
        <v>#ERROR!</v>
      </c>
      <c r="L58" s="191" t="str">
        <f t="shared" si="39"/>
        <v>#ERROR!</v>
      </c>
      <c r="M58" s="191" t="str">
        <f t="shared" si="39"/>
        <v>#ERROR!</v>
      </c>
      <c r="N58" s="191" t="str">
        <f t="shared" si="39"/>
        <v>#ERROR!</v>
      </c>
      <c r="O58" s="191" t="str">
        <f t="shared" si="39"/>
        <v>#ERROR!</v>
      </c>
      <c r="P58" s="191" t="str">
        <f t="shared" si="39"/>
        <v>#ERROR!</v>
      </c>
      <c r="Q58" s="191" t="str">
        <f t="shared" si="39"/>
        <v>#ERROR!</v>
      </c>
      <c r="R58" s="192" t="str">
        <f t="shared" si="40"/>
        <v>#ERROR!</v>
      </c>
      <c r="S58" s="192" t="str">
        <f t="shared" si="41"/>
        <v>#ERROR!</v>
      </c>
    </row>
    <row r="59" ht="14.25" customHeight="1">
      <c r="A59" s="151" t="s">
        <v>204</v>
      </c>
      <c r="B59" s="191" t="str">
        <f t="shared" ref="B59:Q59" si="42">B53*$C$7</f>
        <v>#ERROR!</v>
      </c>
      <c r="C59" s="191" t="str">
        <f t="shared" si="42"/>
        <v>#ERROR!</v>
      </c>
      <c r="D59" s="191" t="str">
        <f t="shared" si="42"/>
        <v>#ERROR!</v>
      </c>
      <c r="E59" s="191" t="str">
        <f t="shared" si="42"/>
        <v>#ERROR!</v>
      </c>
      <c r="F59" s="191" t="str">
        <f t="shared" si="42"/>
        <v>#ERROR!</v>
      </c>
      <c r="G59" s="191" t="str">
        <f t="shared" si="42"/>
        <v>#ERROR!</v>
      </c>
      <c r="H59" s="191" t="str">
        <f t="shared" si="42"/>
        <v>#ERROR!</v>
      </c>
      <c r="I59" s="191" t="str">
        <f t="shared" si="42"/>
        <v>#ERROR!</v>
      </c>
      <c r="J59" s="191" t="str">
        <f t="shared" si="42"/>
        <v>#ERROR!</v>
      </c>
      <c r="K59" s="191" t="str">
        <f t="shared" si="42"/>
        <v>#ERROR!</v>
      </c>
      <c r="L59" s="191" t="str">
        <f t="shared" si="42"/>
        <v>#ERROR!</v>
      </c>
      <c r="M59" s="191" t="str">
        <f t="shared" si="42"/>
        <v>#ERROR!</v>
      </c>
      <c r="N59" s="191" t="str">
        <f t="shared" si="42"/>
        <v>#ERROR!</v>
      </c>
      <c r="O59" s="191" t="str">
        <f t="shared" si="42"/>
        <v>#ERROR!</v>
      </c>
      <c r="P59" s="191" t="str">
        <f t="shared" si="42"/>
        <v>#ERROR!</v>
      </c>
      <c r="Q59" s="191" t="str">
        <f t="shared" si="42"/>
        <v>#ERROR!</v>
      </c>
      <c r="R59" s="192" t="str">
        <f t="shared" si="40"/>
        <v>#ERROR!</v>
      </c>
      <c r="S59" s="192" t="str">
        <f t="shared" si="41"/>
        <v>#ERROR!</v>
      </c>
    </row>
    <row r="60" ht="14.25" customHeight="1">
      <c r="A60" s="151" t="s">
        <v>344</v>
      </c>
      <c r="B60" s="189" t="str">
        <f>B51</f>
        <v>#ERROR!</v>
      </c>
      <c r="C60" s="189" t="str">
        <f t="shared" ref="C60:Q60" si="43">MAX(0,C51-B51)</f>
        <v>#ERROR!</v>
      </c>
      <c r="D60" s="189" t="str">
        <f t="shared" si="43"/>
        <v>#ERROR!</v>
      </c>
      <c r="E60" s="189" t="str">
        <f t="shared" si="43"/>
        <v>#ERROR!</v>
      </c>
      <c r="F60" s="189" t="str">
        <f t="shared" si="43"/>
        <v>#ERROR!</v>
      </c>
      <c r="G60" s="189" t="str">
        <f t="shared" si="43"/>
        <v>#ERROR!</v>
      </c>
      <c r="H60" s="189" t="str">
        <f t="shared" si="43"/>
        <v>#ERROR!</v>
      </c>
      <c r="I60" s="189" t="str">
        <f t="shared" si="43"/>
        <v>#ERROR!</v>
      </c>
      <c r="J60" s="189" t="str">
        <f t="shared" si="43"/>
        <v>#ERROR!</v>
      </c>
      <c r="K60" s="189" t="str">
        <f t="shared" si="43"/>
        <v>#ERROR!</v>
      </c>
      <c r="L60" s="189" t="str">
        <f t="shared" si="43"/>
        <v>#ERROR!</v>
      </c>
      <c r="M60" s="189" t="str">
        <f t="shared" si="43"/>
        <v>#ERROR!</v>
      </c>
      <c r="N60" s="189" t="str">
        <f t="shared" si="43"/>
        <v>#ERROR!</v>
      </c>
      <c r="O60" s="189" t="str">
        <f t="shared" si="43"/>
        <v>#ERROR!</v>
      </c>
      <c r="P60" s="189" t="str">
        <f t="shared" si="43"/>
        <v>#ERROR!</v>
      </c>
      <c r="Q60" s="189" t="str">
        <f t="shared" si="43"/>
        <v>#ERROR!</v>
      </c>
      <c r="R60" s="190" t="str">
        <f t="shared" si="40"/>
        <v>#ERROR!</v>
      </c>
      <c r="S60" s="190" t="str">
        <f t="shared" si="41"/>
        <v>#ERROR!</v>
      </c>
      <c r="T60" s="152"/>
    </row>
    <row r="61" ht="14.25" customHeight="1">
      <c r="A61" s="151" t="s">
        <v>256</v>
      </c>
      <c r="B61" s="191" t="str">
        <f t="shared" ref="B61:Q61" si="44">B60*$M$7</f>
        <v>#ERROR!</v>
      </c>
      <c r="C61" s="191" t="str">
        <f t="shared" si="44"/>
        <v>#ERROR!</v>
      </c>
      <c r="D61" s="191" t="str">
        <f t="shared" si="44"/>
        <v>#ERROR!</v>
      </c>
      <c r="E61" s="191" t="str">
        <f t="shared" si="44"/>
        <v>#ERROR!</v>
      </c>
      <c r="F61" s="191" t="str">
        <f t="shared" si="44"/>
        <v>#ERROR!</v>
      </c>
      <c r="G61" s="191" t="str">
        <f t="shared" si="44"/>
        <v>#ERROR!</v>
      </c>
      <c r="H61" s="191" t="str">
        <f t="shared" si="44"/>
        <v>#ERROR!</v>
      </c>
      <c r="I61" s="191" t="str">
        <f t="shared" si="44"/>
        <v>#ERROR!</v>
      </c>
      <c r="J61" s="191" t="str">
        <f t="shared" si="44"/>
        <v>#ERROR!</v>
      </c>
      <c r="K61" s="191" t="str">
        <f t="shared" si="44"/>
        <v>#ERROR!</v>
      </c>
      <c r="L61" s="191" t="str">
        <f t="shared" si="44"/>
        <v>#ERROR!</v>
      </c>
      <c r="M61" s="191" t="str">
        <f t="shared" si="44"/>
        <v>#ERROR!</v>
      </c>
      <c r="N61" s="191" t="str">
        <f t="shared" si="44"/>
        <v>#ERROR!</v>
      </c>
      <c r="O61" s="191" t="str">
        <f t="shared" si="44"/>
        <v>#ERROR!</v>
      </c>
      <c r="P61" s="191" t="str">
        <f t="shared" si="44"/>
        <v>#ERROR!</v>
      </c>
      <c r="Q61" s="191" t="str">
        <f t="shared" si="44"/>
        <v>#ERROR!</v>
      </c>
      <c r="R61" s="192" t="str">
        <f t="shared" si="40"/>
        <v>#ERROR!</v>
      </c>
      <c r="S61" s="192" t="str">
        <f t="shared" si="41"/>
        <v>#ERROR!</v>
      </c>
    </row>
    <row r="62" ht="14.25" customHeight="1">
      <c r="A62" s="195" t="s">
        <v>345</v>
      </c>
      <c r="B62" s="196" t="str">
        <f t="shared" ref="B62:Q62" si="45">B53+B55+B57+B58+B59+B61</f>
        <v>#ERROR!</v>
      </c>
      <c r="C62" s="196" t="str">
        <f t="shared" si="45"/>
        <v>#ERROR!</v>
      </c>
      <c r="D62" s="196" t="str">
        <f t="shared" si="45"/>
        <v>#ERROR!</v>
      </c>
      <c r="E62" s="196" t="str">
        <f t="shared" si="45"/>
        <v>#ERROR!</v>
      </c>
      <c r="F62" s="196" t="str">
        <f t="shared" si="45"/>
        <v>#ERROR!</v>
      </c>
      <c r="G62" s="196" t="str">
        <f t="shared" si="45"/>
        <v>#ERROR!</v>
      </c>
      <c r="H62" s="196" t="str">
        <f t="shared" si="45"/>
        <v>#ERROR!</v>
      </c>
      <c r="I62" s="196" t="str">
        <f t="shared" si="45"/>
        <v>#ERROR!</v>
      </c>
      <c r="J62" s="196" t="str">
        <f t="shared" si="45"/>
        <v>#ERROR!</v>
      </c>
      <c r="K62" s="196" t="str">
        <f t="shared" si="45"/>
        <v>#ERROR!</v>
      </c>
      <c r="L62" s="196" t="str">
        <f t="shared" si="45"/>
        <v>#ERROR!</v>
      </c>
      <c r="M62" s="196" t="str">
        <f t="shared" si="45"/>
        <v>#ERROR!</v>
      </c>
      <c r="N62" s="196" t="str">
        <f t="shared" si="45"/>
        <v>#ERROR!</v>
      </c>
      <c r="O62" s="196" t="str">
        <f t="shared" si="45"/>
        <v>#ERROR!</v>
      </c>
      <c r="P62" s="196" t="str">
        <f t="shared" si="45"/>
        <v>#ERROR!</v>
      </c>
      <c r="Q62" s="196" t="str">
        <f t="shared" si="45"/>
        <v>#ERROR!</v>
      </c>
      <c r="R62" s="197" t="str">
        <f t="shared" si="40"/>
        <v>#ERROR!</v>
      </c>
      <c r="S62" s="197" t="str">
        <f t="shared" si="41"/>
        <v>#ERROR!</v>
      </c>
    </row>
    <row r="63" ht="14.25" customHeight="1">
      <c r="B63" s="198"/>
      <c r="C63" s="198"/>
      <c r="D63" s="198"/>
      <c r="E63" s="198"/>
      <c r="F63" s="198"/>
      <c r="G63" s="198"/>
      <c r="H63" s="198"/>
      <c r="I63" s="198"/>
      <c r="J63" s="198"/>
      <c r="K63" s="198"/>
      <c r="L63" s="198"/>
      <c r="M63" s="198"/>
      <c r="N63" s="198"/>
      <c r="O63" s="198"/>
      <c r="P63" s="198"/>
      <c r="Q63" s="198"/>
      <c r="R63" s="198"/>
      <c r="S63" s="198"/>
    </row>
    <row r="64" ht="14.25" customHeight="1">
      <c r="A64" s="199" t="s">
        <v>337</v>
      </c>
      <c r="B64" s="167" t="str">
        <f t="shared" ref="B64:Q64" si="46">IF(B47&gt;MAX($B$20:$O$20),"OVER","OK")</f>
        <v>#ERROR!</v>
      </c>
      <c r="C64" s="167" t="str">
        <f t="shared" si="46"/>
        <v>#ERROR!</v>
      </c>
      <c r="D64" s="167" t="str">
        <f t="shared" si="46"/>
        <v>#ERROR!</v>
      </c>
      <c r="E64" s="167" t="str">
        <f t="shared" si="46"/>
        <v>#ERROR!</v>
      </c>
      <c r="F64" s="167" t="str">
        <f t="shared" si="46"/>
        <v>#ERROR!</v>
      </c>
      <c r="G64" s="167" t="str">
        <f t="shared" si="46"/>
        <v>#ERROR!</v>
      </c>
      <c r="H64" s="167" t="str">
        <f t="shared" si="46"/>
        <v>#ERROR!</v>
      </c>
      <c r="I64" s="167" t="str">
        <f t="shared" si="46"/>
        <v>#ERROR!</v>
      </c>
      <c r="J64" s="167" t="str">
        <f t="shared" si="46"/>
        <v>#ERROR!</v>
      </c>
      <c r="K64" s="167" t="str">
        <f t="shared" si="46"/>
        <v>#ERROR!</v>
      </c>
      <c r="L64" s="167" t="str">
        <f t="shared" si="46"/>
        <v>#ERROR!</v>
      </c>
      <c r="M64" s="167" t="str">
        <f t="shared" si="46"/>
        <v>#ERROR!</v>
      </c>
      <c r="N64" s="167" t="str">
        <f t="shared" si="46"/>
        <v>#ERROR!</v>
      </c>
      <c r="O64" s="167" t="str">
        <f t="shared" si="46"/>
        <v>#ERROR!</v>
      </c>
      <c r="P64" s="167" t="str">
        <f t="shared" si="46"/>
        <v>#ERROR!</v>
      </c>
      <c r="Q64" s="167" t="str">
        <f t="shared" si="46"/>
        <v>#ERROR!</v>
      </c>
      <c r="R64" s="198"/>
      <c r="S64" s="198"/>
    </row>
    <row r="65" ht="14.25" customHeight="1"/>
    <row r="66" ht="14.25" customHeight="1">
      <c r="A66" s="180" t="s">
        <v>346</v>
      </c>
      <c r="B66" s="181" t="str">
        <f t="shared" ref="B66:Q66" si="47">B$24</f>
        <v>#REF!</v>
      </c>
      <c r="C66" s="181" t="str">
        <f t="shared" si="47"/>
        <v>#REF!</v>
      </c>
      <c r="D66" s="181" t="str">
        <f t="shared" si="47"/>
        <v>#REF!</v>
      </c>
      <c r="E66" s="181" t="str">
        <f t="shared" si="47"/>
        <v>#REF!</v>
      </c>
      <c r="F66" s="181" t="str">
        <f t="shared" si="47"/>
        <v>#REF!</v>
      </c>
      <c r="G66" s="181" t="str">
        <f t="shared" si="47"/>
        <v>#REF!</v>
      </c>
      <c r="H66" s="181" t="str">
        <f t="shared" si="47"/>
        <v>#REF!</v>
      </c>
      <c r="I66" s="181" t="str">
        <f t="shared" si="47"/>
        <v>#REF!</v>
      </c>
      <c r="J66" s="181" t="str">
        <f t="shared" si="47"/>
        <v>#REF!</v>
      </c>
      <c r="K66" s="181" t="str">
        <f t="shared" si="47"/>
        <v>#REF!</v>
      </c>
      <c r="L66" s="181" t="str">
        <f t="shared" si="47"/>
        <v>#REF!</v>
      </c>
      <c r="M66" s="181" t="str">
        <f t="shared" si="47"/>
        <v>#REF!</v>
      </c>
      <c r="N66" s="181" t="str">
        <f t="shared" si="47"/>
        <v>#REF!</v>
      </c>
      <c r="O66" s="181" t="str">
        <f t="shared" si="47"/>
        <v>#REF!</v>
      </c>
      <c r="P66" s="181" t="str">
        <f t="shared" si="47"/>
        <v>#REF!</v>
      </c>
      <c r="Q66" s="181" t="str">
        <f t="shared" si="47"/>
        <v>#REF!</v>
      </c>
      <c r="R66" s="182" t="str">
        <f t="shared" ref="R66:S66" si="48">R24</f>
        <v>Sep–Dec 2026</v>
      </c>
      <c r="S66" s="182" t="str">
        <f t="shared" si="48"/>
        <v>FY2027</v>
      </c>
    </row>
    <row r="67" ht="14.25" customHeight="1">
      <c r="A67" s="151" t="s">
        <v>347</v>
      </c>
      <c r="B67" s="189" t="str">
        <f t="shared" ref="B67:Q67" si="49">B31+B52</f>
        <v>#ERROR!</v>
      </c>
      <c r="C67" s="189" t="str">
        <f t="shared" si="49"/>
        <v>#ERROR!</v>
      </c>
      <c r="D67" s="189" t="str">
        <f t="shared" si="49"/>
        <v>#ERROR!</v>
      </c>
      <c r="E67" s="189" t="str">
        <f t="shared" si="49"/>
        <v>#ERROR!</v>
      </c>
      <c r="F67" s="189" t="str">
        <f t="shared" si="49"/>
        <v>#ERROR!</v>
      </c>
      <c r="G67" s="189" t="str">
        <f t="shared" si="49"/>
        <v>#ERROR!</v>
      </c>
      <c r="H67" s="189" t="str">
        <f t="shared" si="49"/>
        <v>#ERROR!</v>
      </c>
      <c r="I67" s="189" t="str">
        <f t="shared" si="49"/>
        <v>#ERROR!</v>
      </c>
      <c r="J67" s="189" t="str">
        <f t="shared" si="49"/>
        <v>#ERROR!</v>
      </c>
      <c r="K67" s="189" t="str">
        <f t="shared" si="49"/>
        <v>#ERROR!</v>
      </c>
      <c r="L67" s="189" t="str">
        <f t="shared" si="49"/>
        <v>#ERROR!</v>
      </c>
      <c r="M67" s="189" t="str">
        <f t="shared" si="49"/>
        <v>#ERROR!</v>
      </c>
      <c r="N67" s="189" t="str">
        <f t="shared" si="49"/>
        <v>#ERROR!</v>
      </c>
      <c r="O67" s="189" t="str">
        <f t="shared" si="49"/>
        <v>#ERROR!</v>
      </c>
      <c r="P67" s="189" t="str">
        <f t="shared" si="49"/>
        <v>#ERROR!</v>
      </c>
      <c r="Q67" s="189" t="str">
        <f t="shared" si="49"/>
        <v>#ERROR!</v>
      </c>
      <c r="R67" s="190" t="str">
        <f t="shared" ref="R67:R71" si="51">AVERAGE(B67:E67)</f>
        <v>#ERROR!</v>
      </c>
      <c r="S67" s="190" t="str">
        <f t="shared" ref="S67:S71" si="52">AVERAGE(F67:Q67)</f>
        <v>#ERROR!</v>
      </c>
      <c r="T67" s="152" t="s">
        <v>329</v>
      </c>
    </row>
    <row r="68" ht="14.25" customHeight="1">
      <c r="A68" s="151" t="s">
        <v>275</v>
      </c>
      <c r="B68" s="189" t="str">
        <f>MAX($H$9,ROUNDUP(B67/$H$8,0))</f>
        <v>#ERROR!</v>
      </c>
      <c r="C68" s="189" t="str">
        <f t="shared" ref="C68:Q68" si="50">MAX(B68,$H$9,ROUNDUP(C67/$H$8,0))</f>
        <v>#ERROR!</v>
      </c>
      <c r="D68" s="189" t="str">
        <f t="shared" si="50"/>
        <v>#ERROR!</v>
      </c>
      <c r="E68" s="189" t="str">
        <f t="shared" si="50"/>
        <v>#ERROR!</v>
      </c>
      <c r="F68" s="189" t="str">
        <f t="shared" si="50"/>
        <v>#ERROR!</v>
      </c>
      <c r="G68" s="189" t="str">
        <f t="shared" si="50"/>
        <v>#ERROR!</v>
      </c>
      <c r="H68" s="189" t="str">
        <f t="shared" si="50"/>
        <v>#ERROR!</v>
      </c>
      <c r="I68" s="189" t="str">
        <f t="shared" si="50"/>
        <v>#ERROR!</v>
      </c>
      <c r="J68" s="189" t="str">
        <f t="shared" si="50"/>
        <v>#ERROR!</v>
      </c>
      <c r="K68" s="189" t="str">
        <f t="shared" si="50"/>
        <v>#ERROR!</v>
      </c>
      <c r="L68" s="189" t="str">
        <f t="shared" si="50"/>
        <v>#ERROR!</v>
      </c>
      <c r="M68" s="189" t="str">
        <f t="shared" si="50"/>
        <v>#ERROR!</v>
      </c>
      <c r="N68" s="189" t="str">
        <f t="shared" si="50"/>
        <v>#ERROR!</v>
      </c>
      <c r="O68" s="189" t="str">
        <f t="shared" si="50"/>
        <v>#ERROR!</v>
      </c>
      <c r="P68" s="189" t="str">
        <f t="shared" si="50"/>
        <v>#ERROR!</v>
      </c>
      <c r="Q68" s="189" t="str">
        <f t="shared" si="50"/>
        <v>#ERROR!</v>
      </c>
      <c r="R68" s="190" t="str">
        <f t="shared" si="51"/>
        <v>#ERROR!</v>
      </c>
      <c r="S68" s="190" t="str">
        <f t="shared" si="52"/>
        <v>#ERROR!</v>
      </c>
      <c r="T68" s="152"/>
    </row>
    <row r="69" ht="14.25" customHeight="1">
      <c r="A69" s="151" t="s">
        <v>310</v>
      </c>
      <c r="B69" s="189">
        <f t="shared" ref="B69:Q69" si="53">$H$10</f>
        <v>0</v>
      </c>
      <c r="C69" s="189">
        <f t="shared" si="53"/>
        <v>0</v>
      </c>
      <c r="D69" s="189">
        <f t="shared" si="53"/>
        <v>0</v>
      </c>
      <c r="E69" s="189">
        <f t="shared" si="53"/>
        <v>0</v>
      </c>
      <c r="F69" s="189">
        <f t="shared" si="53"/>
        <v>0</v>
      </c>
      <c r="G69" s="189">
        <f t="shared" si="53"/>
        <v>0</v>
      </c>
      <c r="H69" s="189">
        <f t="shared" si="53"/>
        <v>0</v>
      </c>
      <c r="I69" s="189">
        <f t="shared" si="53"/>
        <v>0</v>
      </c>
      <c r="J69" s="189">
        <f t="shared" si="53"/>
        <v>0</v>
      </c>
      <c r="K69" s="189">
        <f t="shared" si="53"/>
        <v>0</v>
      </c>
      <c r="L69" s="189">
        <f t="shared" si="53"/>
        <v>0</v>
      </c>
      <c r="M69" s="189">
        <f t="shared" si="53"/>
        <v>0</v>
      </c>
      <c r="N69" s="189">
        <f t="shared" si="53"/>
        <v>0</v>
      </c>
      <c r="O69" s="189">
        <f t="shared" si="53"/>
        <v>0</v>
      </c>
      <c r="P69" s="189">
        <f t="shared" si="53"/>
        <v>0</v>
      </c>
      <c r="Q69" s="189">
        <f t="shared" si="53"/>
        <v>0</v>
      </c>
      <c r="R69" s="190">
        <f t="shared" si="51"/>
        <v>0</v>
      </c>
      <c r="S69" s="190">
        <f t="shared" si="52"/>
        <v>0</v>
      </c>
      <c r="T69" s="152"/>
    </row>
    <row r="70" ht="14.25" customHeight="1">
      <c r="A70" s="151" t="s">
        <v>327</v>
      </c>
      <c r="B70" s="189" t="str">
        <f t="shared" ref="B70:Q70" si="54">MAX(0,B68-B69)</f>
        <v>#ERROR!</v>
      </c>
      <c r="C70" s="189" t="str">
        <f t="shared" si="54"/>
        <v>#ERROR!</v>
      </c>
      <c r="D70" s="189" t="str">
        <f t="shared" si="54"/>
        <v>#ERROR!</v>
      </c>
      <c r="E70" s="189" t="str">
        <f t="shared" si="54"/>
        <v>#ERROR!</v>
      </c>
      <c r="F70" s="189" t="str">
        <f t="shared" si="54"/>
        <v>#ERROR!</v>
      </c>
      <c r="G70" s="189" t="str">
        <f t="shared" si="54"/>
        <v>#ERROR!</v>
      </c>
      <c r="H70" s="189" t="str">
        <f t="shared" si="54"/>
        <v>#ERROR!</v>
      </c>
      <c r="I70" s="189" t="str">
        <f t="shared" si="54"/>
        <v>#ERROR!</v>
      </c>
      <c r="J70" s="189" t="str">
        <f t="shared" si="54"/>
        <v>#ERROR!</v>
      </c>
      <c r="K70" s="189" t="str">
        <f t="shared" si="54"/>
        <v>#ERROR!</v>
      </c>
      <c r="L70" s="189" t="str">
        <f t="shared" si="54"/>
        <v>#ERROR!</v>
      </c>
      <c r="M70" s="189" t="str">
        <f t="shared" si="54"/>
        <v>#ERROR!</v>
      </c>
      <c r="N70" s="189" t="str">
        <f t="shared" si="54"/>
        <v>#ERROR!</v>
      </c>
      <c r="O70" s="189" t="str">
        <f t="shared" si="54"/>
        <v>#ERROR!</v>
      </c>
      <c r="P70" s="189" t="str">
        <f t="shared" si="54"/>
        <v>#ERROR!</v>
      </c>
      <c r="Q70" s="189" t="str">
        <f t="shared" si="54"/>
        <v>#ERROR!</v>
      </c>
      <c r="R70" s="190" t="str">
        <f t="shared" si="51"/>
        <v>#ERROR!</v>
      </c>
      <c r="S70" s="190" t="str">
        <f t="shared" si="52"/>
        <v>#ERROR!</v>
      </c>
      <c r="T70" s="152"/>
    </row>
    <row r="71" ht="14.25" customHeight="1">
      <c r="A71" s="151" t="s">
        <v>348</v>
      </c>
      <c r="B71" s="189" t="str">
        <f t="shared" ref="B71:Q71" si="55">B69+B70</f>
        <v>#ERROR!</v>
      </c>
      <c r="C71" s="189" t="str">
        <f t="shared" si="55"/>
        <v>#ERROR!</v>
      </c>
      <c r="D71" s="189" t="str">
        <f t="shared" si="55"/>
        <v>#ERROR!</v>
      </c>
      <c r="E71" s="189" t="str">
        <f t="shared" si="55"/>
        <v>#ERROR!</v>
      </c>
      <c r="F71" s="189" t="str">
        <f t="shared" si="55"/>
        <v>#ERROR!</v>
      </c>
      <c r="G71" s="189" t="str">
        <f t="shared" si="55"/>
        <v>#ERROR!</v>
      </c>
      <c r="H71" s="189" t="str">
        <f t="shared" si="55"/>
        <v>#ERROR!</v>
      </c>
      <c r="I71" s="189" t="str">
        <f t="shared" si="55"/>
        <v>#ERROR!</v>
      </c>
      <c r="J71" s="189" t="str">
        <f t="shared" si="55"/>
        <v>#ERROR!</v>
      </c>
      <c r="K71" s="189" t="str">
        <f t="shared" si="55"/>
        <v>#ERROR!</v>
      </c>
      <c r="L71" s="189" t="str">
        <f t="shared" si="55"/>
        <v>#ERROR!</v>
      </c>
      <c r="M71" s="189" t="str">
        <f t="shared" si="55"/>
        <v>#ERROR!</v>
      </c>
      <c r="N71" s="189" t="str">
        <f t="shared" si="55"/>
        <v>#ERROR!</v>
      </c>
      <c r="O71" s="189" t="str">
        <f t="shared" si="55"/>
        <v>#ERROR!</v>
      </c>
      <c r="P71" s="189" t="str">
        <f t="shared" si="55"/>
        <v>#ERROR!</v>
      </c>
      <c r="Q71" s="189" t="str">
        <f t="shared" si="55"/>
        <v>#ERROR!</v>
      </c>
      <c r="R71" s="190" t="str">
        <f t="shared" si="51"/>
        <v>#ERROR!</v>
      </c>
      <c r="S71" s="190" t="str">
        <f t="shared" si="52"/>
        <v>#ERROR!</v>
      </c>
      <c r="T71" s="152" t="s">
        <v>349</v>
      </c>
    </row>
    <row r="72" ht="14.25" customHeight="1">
      <c r="A72" s="151" t="s">
        <v>248</v>
      </c>
      <c r="B72" s="191" t="str">
        <f t="shared" ref="B72:Q72" si="56">B71*$H$5/12+IF(B$24&gt;=$M$6,MIN(B71,INDEX($B71:$Q71,IFERROR(MATCH(EOMONTH($M$6,-$M$9-1),$B$24:$Q$24,0),1)))*$H$5/12*$M$5,0)</f>
        <v>#ERROR!</v>
      </c>
      <c r="C72" s="191" t="str">
        <f t="shared" si="56"/>
        <v>#ERROR!</v>
      </c>
      <c r="D72" s="191" t="str">
        <f t="shared" si="56"/>
        <v>#ERROR!</v>
      </c>
      <c r="E72" s="191" t="str">
        <f t="shared" si="56"/>
        <v>#ERROR!</v>
      </c>
      <c r="F72" s="191" t="str">
        <f t="shared" si="56"/>
        <v>#ERROR!</v>
      </c>
      <c r="G72" s="191" t="str">
        <f t="shared" si="56"/>
        <v>#ERROR!</v>
      </c>
      <c r="H72" s="191" t="str">
        <f t="shared" si="56"/>
        <v>#ERROR!</v>
      </c>
      <c r="I72" s="191" t="str">
        <f t="shared" si="56"/>
        <v>#ERROR!</v>
      </c>
      <c r="J72" s="191" t="str">
        <f t="shared" si="56"/>
        <v>#ERROR!</v>
      </c>
      <c r="K72" s="191" t="str">
        <f t="shared" si="56"/>
        <v>#ERROR!</v>
      </c>
      <c r="L72" s="191" t="str">
        <f t="shared" si="56"/>
        <v>#ERROR!</v>
      </c>
      <c r="M72" s="191" t="str">
        <f t="shared" si="56"/>
        <v>#ERROR!</v>
      </c>
      <c r="N72" s="191" t="str">
        <f t="shared" si="56"/>
        <v>#ERROR!</v>
      </c>
      <c r="O72" s="191" t="str">
        <f t="shared" si="56"/>
        <v>#ERROR!</v>
      </c>
      <c r="P72" s="191" t="str">
        <f t="shared" si="56"/>
        <v>#ERROR!</v>
      </c>
      <c r="Q72" s="191" t="str">
        <f t="shared" si="56"/>
        <v>#ERROR!</v>
      </c>
      <c r="R72" s="192" t="str">
        <f>SUM(B72:E72)</f>
        <v>#ERROR!</v>
      </c>
      <c r="S72" s="192" t="str">
        <f>SUM(F72:Q72)</f>
        <v>#ERROR!</v>
      </c>
    </row>
    <row r="73" ht="14.25" customHeight="1">
      <c r="A73" s="151" t="s">
        <v>330</v>
      </c>
      <c r="B73" s="193">
        <v>0.0</v>
      </c>
      <c r="C73" s="193">
        <v>0.0</v>
      </c>
      <c r="D73" s="193">
        <v>0.0</v>
      </c>
      <c r="E73" s="193">
        <v>0.0</v>
      </c>
      <c r="F73" s="193">
        <v>0.0</v>
      </c>
      <c r="G73" s="193">
        <v>0.0</v>
      </c>
      <c r="H73" s="193">
        <v>0.0</v>
      </c>
      <c r="I73" s="193">
        <v>0.0</v>
      </c>
      <c r="J73" s="193">
        <v>0.0</v>
      </c>
      <c r="K73" s="193">
        <v>0.0</v>
      </c>
      <c r="L73" s="193">
        <v>0.0</v>
      </c>
      <c r="M73" s="193">
        <v>0.0</v>
      </c>
      <c r="N73" s="193">
        <v>0.0</v>
      </c>
      <c r="O73" s="193">
        <v>0.0</v>
      </c>
      <c r="P73" s="193">
        <v>0.0</v>
      </c>
      <c r="Q73" s="193">
        <v>0.0</v>
      </c>
      <c r="R73" s="194">
        <f t="shared" ref="R73:S73" si="57">IFERROR(R74/R72,0)</f>
        <v>0</v>
      </c>
      <c r="S73" s="194">
        <f t="shared" si="57"/>
        <v>0</v>
      </c>
      <c r="T73" s="152" t="s">
        <v>331</v>
      </c>
    </row>
    <row r="74" ht="14.25" customHeight="1">
      <c r="A74" s="151" t="s">
        <v>332</v>
      </c>
      <c r="B74" s="191" t="str">
        <f t="shared" ref="B74:Q74" si="58">B72*B73</f>
        <v>#ERROR!</v>
      </c>
      <c r="C74" s="191" t="str">
        <f t="shared" si="58"/>
        <v>#ERROR!</v>
      </c>
      <c r="D74" s="191" t="str">
        <f t="shared" si="58"/>
        <v>#ERROR!</v>
      </c>
      <c r="E74" s="191" t="str">
        <f t="shared" si="58"/>
        <v>#ERROR!</v>
      </c>
      <c r="F74" s="191" t="str">
        <f t="shared" si="58"/>
        <v>#ERROR!</v>
      </c>
      <c r="G74" s="191" t="str">
        <f t="shared" si="58"/>
        <v>#ERROR!</v>
      </c>
      <c r="H74" s="191" t="str">
        <f t="shared" si="58"/>
        <v>#ERROR!</v>
      </c>
      <c r="I74" s="191" t="str">
        <f t="shared" si="58"/>
        <v>#ERROR!</v>
      </c>
      <c r="J74" s="191" t="str">
        <f t="shared" si="58"/>
        <v>#ERROR!</v>
      </c>
      <c r="K74" s="191" t="str">
        <f t="shared" si="58"/>
        <v>#ERROR!</v>
      </c>
      <c r="L74" s="191" t="str">
        <f t="shared" si="58"/>
        <v>#ERROR!</v>
      </c>
      <c r="M74" s="191" t="str">
        <f t="shared" si="58"/>
        <v>#ERROR!</v>
      </c>
      <c r="N74" s="191" t="str">
        <f t="shared" si="58"/>
        <v>#ERROR!</v>
      </c>
      <c r="O74" s="191" t="str">
        <f t="shared" si="58"/>
        <v>#ERROR!</v>
      </c>
      <c r="P74" s="191" t="str">
        <f t="shared" si="58"/>
        <v>#ERROR!</v>
      </c>
      <c r="Q74" s="191" t="str">
        <f t="shared" si="58"/>
        <v>#ERROR!</v>
      </c>
      <c r="R74" s="192" t="str">
        <f t="shared" ref="R74:R79" si="60">SUM(B74:E74)</f>
        <v>#ERROR!</v>
      </c>
      <c r="S74" s="192" t="str">
        <f t="shared" ref="S74:S79" si="61">SUM(F74:Q74)</f>
        <v>#ERROR!</v>
      </c>
    </row>
    <row r="75" ht="14.25" customHeight="1">
      <c r="A75" s="151" t="s">
        <v>249</v>
      </c>
      <c r="B75" s="191" t="str">
        <f t="shared" ref="B75:Q75" si="59">(B72+B74)*$H$6</f>
        <v>#ERROR!</v>
      </c>
      <c r="C75" s="191" t="str">
        <f t="shared" si="59"/>
        <v>#ERROR!</v>
      </c>
      <c r="D75" s="191" t="str">
        <f t="shared" si="59"/>
        <v>#ERROR!</v>
      </c>
      <c r="E75" s="191" t="str">
        <f t="shared" si="59"/>
        <v>#ERROR!</v>
      </c>
      <c r="F75" s="191" t="str">
        <f t="shared" si="59"/>
        <v>#ERROR!</v>
      </c>
      <c r="G75" s="191" t="str">
        <f t="shared" si="59"/>
        <v>#ERROR!</v>
      </c>
      <c r="H75" s="191" t="str">
        <f t="shared" si="59"/>
        <v>#ERROR!</v>
      </c>
      <c r="I75" s="191" t="str">
        <f t="shared" si="59"/>
        <v>#ERROR!</v>
      </c>
      <c r="J75" s="191" t="str">
        <f t="shared" si="59"/>
        <v>#ERROR!</v>
      </c>
      <c r="K75" s="191" t="str">
        <f t="shared" si="59"/>
        <v>#ERROR!</v>
      </c>
      <c r="L75" s="191" t="str">
        <f t="shared" si="59"/>
        <v>#ERROR!</v>
      </c>
      <c r="M75" s="191" t="str">
        <f t="shared" si="59"/>
        <v>#ERROR!</v>
      </c>
      <c r="N75" s="191" t="str">
        <f t="shared" si="59"/>
        <v>#ERROR!</v>
      </c>
      <c r="O75" s="191" t="str">
        <f t="shared" si="59"/>
        <v>#ERROR!</v>
      </c>
      <c r="P75" s="191" t="str">
        <f t="shared" si="59"/>
        <v>#ERROR!</v>
      </c>
      <c r="Q75" s="191" t="str">
        <f t="shared" si="59"/>
        <v>#ERROR!</v>
      </c>
      <c r="R75" s="192" t="str">
        <f t="shared" si="60"/>
        <v>#ERROR!</v>
      </c>
      <c r="S75" s="192" t="str">
        <f t="shared" si="61"/>
        <v>#ERROR!</v>
      </c>
    </row>
    <row r="76" ht="14.25" customHeight="1">
      <c r="A76" s="151" t="s">
        <v>204</v>
      </c>
      <c r="B76" s="191" t="str">
        <f t="shared" ref="B76:Q76" si="62">B72*$H$7</f>
        <v>#ERROR!</v>
      </c>
      <c r="C76" s="191" t="str">
        <f t="shared" si="62"/>
        <v>#ERROR!</v>
      </c>
      <c r="D76" s="191" t="str">
        <f t="shared" si="62"/>
        <v>#ERROR!</v>
      </c>
      <c r="E76" s="191" t="str">
        <f t="shared" si="62"/>
        <v>#ERROR!</v>
      </c>
      <c r="F76" s="191" t="str">
        <f t="shared" si="62"/>
        <v>#ERROR!</v>
      </c>
      <c r="G76" s="191" t="str">
        <f t="shared" si="62"/>
        <v>#ERROR!</v>
      </c>
      <c r="H76" s="191" t="str">
        <f t="shared" si="62"/>
        <v>#ERROR!</v>
      </c>
      <c r="I76" s="191" t="str">
        <f t="shared" si="62"/>
        <v>#ERROR!</v>
      </c>
      <c r="J76" s="191" t="str">
        <f t="shared" si="62"/>
        <v>#ERROR!</v>
      </c>
      <c r="K76" s="191" t="str">
        <f t="shared" si="62"/>
        <v>#ERROR!</v>
      </c>
      <c r="L76" s="191" t="str">
        <f t="shared" si="62"/>
        <v>#ERROR!</v>
      </c>
      <c r="M76" s="191" t="str">
        <f t="shared" si="62"/>
        <v>#ERROR!</v>
      </c>
      <c r="N76" s="191" t="str">
        <f t="shared" si="62"/>
        <v>#ERROR!</v>
      </c>
      <c r="O76" s="191" t="str">
        <f t="shared" si="62"/>
        <v>#ERROR!</v>
      </c>
      <c r="P76" s="191" t="str">
        <f t="shared" si="62"/>
        <v>#ERROR!</v>
      </c>
      <c r="Q76" s="191" t="str">
        <f t="shared" si="62"/>
        <v>#ERROR!</v>
      </c>
      <c r="R76" s="192" t="str">
        <f t="shared" si="60"/>
        <v>#ERROR!</v>
      </c>
      <c r="S76" s="192" t="str">
        <f t="shared" si="61"/>
        <v>#ERROR!</v>
      </c>
    </row>
    <row r="77" ht="14.25" customHeight="1">
      <c r="A77" s="151" t="s">
        <v>350</v>
      </c>
      <c r="B77" s="189" t="str">
        <f>B70</f>
        <v>#ERROR!</v>
      </c>
      <c r="C77" s="189" t="str">
        <f t="shared" ref="C77:Q77" si="63">MAX(0,C70-B70)</f>
        <v>#ERROR!</v>
      </c>
      <c r="D77" s="189" t="str">
        <f t="shared" si="63"/>
        <v>#ERROR!</v>
      </c>
      <c r="E77" s="189" t="str">
        <f t="shared" si="63"/>
        <v>#ERROR!</v>
      </c>
      <c r="F77" s="189" t="str">
        <f t="shared" si="63"/>
        <v>#ERROR!</v>
      </c>
      <c r="G77" s="189" t="str">
        <f t="shared" si="63"/>
        <v>#ERROR!</v>
      </c>
      <c r="H77" s="189" t="str">
        <f t="shared" si="63"/>
        <v>#ERROR!</v>
      </c>
      <c r="I77" s="189" t="str">
        <f t="shared" si="63"/>
        <v>#ERROR!</v>
      </c>
      <c r="J77" s="189" t="str">
        <f t="shared" si="63"/>
        <v>#ERROR!</v>
      </c>
      <c r="K77" s="189" t="str">
        <f t="shared" si="63"/>
        <v>#ERROR!</v>
      </c>
      <c r="L77" s="189" t="str">
        <f t="shared" si="63"/>
        <v>#ERROR!</v>
      </c>
      <c r="M77" s="189" t="str">
        <f t="shared" si="63"/>
        <v>#ERROR!</v>
      </c>
      <c r="N77" s="189" t="str">
        <f t="shared" si="63"/>
        <v>#ERROR!</v>
      </c>
      <c r="O77" s="189" t="str">
        <f t="shared" si="63"/>
        <v>#ERROR!</v>
      </c>
      <c r="P77" s="189" t="str">
        <f t="shared" si="63"/>
        <v>#ERROR!</v>
      </c>
      <c r="Q77" s="189" t="str">
        <f t="shared" si="63"/>
        <v>#ERROR!</v>
      </c>
      <c r="R77" s="190" t="str">
        <f t="shared" si="60"/>
        <v>#ERROR!</v>
      </c>
      <c r="S77" s="190" t="str">
        <f t="shared" si="61"/>
        <v>#ERROR!</v>
      </c>
      <c r="T77" s="152"/>
    </row>
    <row r="78" ht="14.25" customHeight="1">
      <c r="A78" s="151" t="s">
        <v>256</v>
      </c>
      <c r="B78" s="191" t="str">
        <f t="shared" ref="B78:Q78" si="64">B77*$M$8</f>
        <v>#ERROR!</v>
      </c>
      <c r="C78" s="191" t="str">
        <f t="shared" si="64"/>
        <v>#ERROR!</v>
      </c>
      <c r="D78" s="191" t="str">
        <f t="shared" si="64"/>
        <v>#ERROR!</v>
      </c>
      <c r="E78" s="191" t="str">
        <f t="shared" si="64"/>
        <v>#ERROR!</v>
      </c>
      <c r="F78" s="191" t="str">
        <f t="shared" si="64"/>
        <v>#ERROR!</v>
      </c>
      <c r="G78" s="191" t="str">
        <f t="shared" si="64"/>
        <v>#ERROR!</v>
      </c>
      <c r="H78" s="191" t="str">
        <f t="shared" si="64"/>
        <v>#ERROR!</v>
      </c>
      <c r="I78" s="191" t="str">
        <f t="shared" si="64"/>
        <v>#ERROR!</v>
      </c>
      <c r="J78" s="191" t="str">
        <f t="shared" si="64"/>
        <v>#ERROR!</v>
      </c>
      <c r="K78" s="191" t="str">
        <f t="shared" si="64"/>
        <v>#ERROR!</v>
      </c>
      <c r="L78" s="191" t="str">
        <f t="shared" si="64"/>
        <v>#ERROR!</v>
      </c>
      <c r="M78" s="191" t="str">
        <f t="shared" si="64"/>
        <v>#ERROR!</v>
      </c>
      <c r="N78" s="191" t="str">
        <f t="shared" si="64"/>
        <v>#ERROR!</v>
      </c>
      <c r="O78" s="191" t="str">
        <f t="shared" si="64"/>
        <v>#ERROR!</v>
      </c>
      <c r="P78" s="191" t="str">
        <f t="shared" si="64"/>
        <v>#ERROR!</v>
      </c>
      <c r="Q78" s="191" t="str">
        <f t="shared" si="64"/>
        <v>#ERROR!</v>
      </c>
      <c r="R78" s="192" t="str">
        <f t="shared" si="60"/>
        <v>#ERROR!</v>
      </c>
      <c r="S78" s="192" t="str">
        <f t="shared" si="61"/>
        <v>#ERROR!</v>
      </c>
    </row>
    <row r="79" ht="14.25" customHeight="1">
      <c r="A79" s="195" t="s">
        <v>351</v>
      </c>
      <c r="B79" s="196" t="str">
        <f t="shared" ref="B79:Q79" si="65">B72+B74+B75+B76+B78</f>
        <v>#ERROR!</v>
      </c>
      <c r="C79" s="196" t="str">
        <f t="shared" si="65"/>
        <v>#ERROR!</v>
      </c>
      <c r="D79" s="196" t="str">
        <f t="shared" si="65"/>
        <v>#ERROR!</v>
      </c>
      <c r="E79" s="196" t="str">
        <f t="shared" si="65"/>
        <v>#ERROR!</v>
      </c>
      <c r="F79" s="196" t="str">
        <f t="shared" si="65"/>
        <v>#ERROR!</v>
      </c>
      <c r="G79" s="196" t="str">
        <f t="shared" si="65"/>
        <v>#ERROR!</v>
      </c>
      <c r="H79" s="196" t="str">
        <f t="shared" si="65"/>
        <v>#ERROR!</v>
      </c>
      <c r="I79" s="196" t="str">
        <f t="shared" si="65"/>
        <v>#ERROR!</v>
      </c>
      <c r="J79" s="196" t="str">
        <f t="shared" si="65"/>
        <v>#ERROR!</v>
      </c>
      <c r="K79" s="196" t="str">
        <f t="shared" si="65"/>
        <v>#ERROR!</v>
      </c>
      <c r="L79" s="196" t="str">
        <f t="shared" si="65"/>
        <v>#ERROR!</v>
      </c>
      <c r="M79" s="196" t="str">
        <f t="shared" si="65"/>
        <v>#ERROR!</v>
      </c>
      <c r="N79" s="196" t="str">
        <f t="shared" si="65"/>
        <v>#ERROR!</v>
      </c>
      <c r="O79" s="196" t="str">
        <f t="shared" si="65"/>
        <v>#ERROR!</v>
      </c>
      <c r="P79" s="196" t="str">
        <f t="shared" si="65"/>
        <v>#ERROR!</v>
      </c>
      <c r="Q79" s="196" t="str">
        <f t="shared" si="65"/>
        <v>#ERROR!</v>
      </c>
      <c r="R79" s="197" t="str">
        <f t="shared" si="60"/>
        <v>#ERROR!</v>
      </c>
      <c r="S79" s="197" t="str">
        <f t="shared" si="61"/>
        <v>#ERROR!</v>
      </c>
    </row>
    <row r="80" ht="14.25" customHeight="1"/>
    <row r="81" ht="14.25" customHeight="1">
      <c r="A81" s="200" t="s">
        <v>352</v>
      </c>
      <c r="B81" s="201" t="str">
        <f t="shared" ref="B81:Q81" si="66">B41+B62+B79</f>
        <v>#ERROR!</v>
      </c>
      <c r="C81" s="201" t="str">
        <f t="shared" si="66"/>
        <v>#ERROR!</v>
      </c>
      <c r="D81" s="201" t="str">
        <f t="shared" si="66"/>
        <v>#ERROR!</v>
      </c>
      <c r="E81" s="201" t="str">
        <f t="shared" si="66"/>
        <v>#ERROR!</v>
      </c>
      <c r="F81" s="201" t="str">
        <f t="shared" si="66"/>
        <v>#ERROR!</v>
      </c>
      <c r="G81" s="201" t="str">
        <f t="shared" si="66"/>
        <v>#ERROR!</v>
      </c>
      <c r="H81" s="201" t="str">
        <f t="shared" si="66"/>
        <v>#ERROR!</v>
      </c>
      <c r="I81" s="201" t="str">
        <f t="shared" si="66"/>
        <v>#ERROR!</v>
      </c>
      <c r="J81" s="201" t="str">
        <f t="shared" si="66"/>
        <v>#ERROR!</v>
      </c>
      <c r="K81" s="201" t="str">
        <f t="shared" si="66"/>
        <v>#ERROR!</v>
      </c>
      <c r="L81" s="201" t="str">
        <f t="shared" si="66"/>
        <v>#ERROR!</v>
      </c>
      <c r="M81" s="201" t="str">
        <f t="shared" si="66"/>
        <v>#ERROR!</v>
      </c>
      <c r="N81" s="201" t="str">
        <f t="shared" si="66"/>
        <v>#ERROR!</v>
      </c>
      <c r="O81" s="201" t="str">
        <f t="shared" si="66"/>
        <v>#ERROR!</v>
      </c>
      <c r="P81" s="201" t="str">
        <f t="shared" si="66"/>
        <v>#ERROR!</v>
      </c>
      <c r="Q81" s="201" t="str">
        <f t="shared" si="66"/>
        <v>#ERROR!</v>
      </c>
      <c r="R81" s="201" t="str">
        <f>SUM(B81:E81)</f>
        <v>#ERROR!</v>
      </c>
      <c r="S81" s="201" t="str">
        <f>SUM(F81:Q81)</f>
        <v>#ERROR!</v>
      </c>
    </row>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B43:Q43 B64:Q64">
    <cfRule type="containsText" dxfId="1" priority="1" operator="containsText" text="OVER">
      <formula>NOT(ISERROR(SEARCH(("OVER"),(B43))))</formula>
    </cfRule>
  </conditionalFormatting>
  <dataValidations>
    <dataValidation type="list" allowBlank="1" showInputMessage="1" showErrorMessage="1" prompt="Invalid input - Pick a lift/week value from the staffing grid (row 15)." sqref="B8">
      <formula1>$B$15:$O$15</formula1>
    </dataValidation>
    <dataValidation type="decimal" allowBlank="1" showErrorMessage="1" sqref="M9">
      <formula1>0.0</formula1>
      <formula2>24.0</formula2>
    </dataValidation>
    <dataValidation type="decimal" operator="greaterThanOrEqual" allowBlank="1" showInputMessage="1" showErrorMessage="1" prompt="Invalid input - Must be 0 or more." sqref="C8">
      <formula1>0.0</formula1>
    </dataValidation>
    <dataValidation type="decimal" operator="greaterThanOrEqual" allowBlank="1" showInputMessage="1" showErrorMessage="1" prompt="Invalid input - Must be a whole number, 0 or more." sqref="B9:C9 H9:H10">
      <formula1>0.0</formula1>
    </dataValidation>
    <dataValidation type="decimal" allowBlank="1" showInputMessage="1" showErrorMessage="1" prompt="Invalid input - Enter a percentage between 0% and 100%." sqref="M5 B6:C7 H6:H7">
      <formula1>0.0</formula1>
      <formula2>1.0</formula2>
    </dataValidation>
    <dataValidation type="decimal" operator="greaterThanOrEqual" allowBlank="1" showInputMessage="1" showErrorMessage="1" prompt="Invalid input - Must be a whole number of at least 1." sqref="H8">
      <formula1>1.0</formula1>
    </dataValidation>
  </dataValidations>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41.38"/>
    <col customWidth="1" min="2" max="14" width="12.63"/>
    <col customWidth="1" min="15" max="15" width="10.13"/>
  </cols>
  <sheetData>
    <row r="1" ht="15.0" customHeight="1">
      <c r="A1" s="202" t="s">
        <v>353</v>
      </c>
      <c r="B1" s="203"/>
      <c r="C1" s="203"/>
      <c r="D1" s="203"/>
      <c r="E1" s="203"/>
      <c r="F1" s="203"/>
      <c r="G1" s="203"/>
      <c r="H1" s="203"/>
      <c r="I1" s="203"/>
      <c r="J1" s="203"/>
      <c r="K1" s="203"/>
      <c r="L1" s="203"/>
      <c r="M1" s="203"/>
      <c r="N1" s="203"/>
      <c r="O1" s="203"/>
    </row>
    <row r="2" ht="48.0" customHeight="1">
      <c r="A2" s="204" t="s">
        <v>354</v>
      </c>
      <c r="B2" s="205" t="s">
        <v>355</v>
      </c>
      <c r="O2" s="203"/>
    </row>
    <row r="3" ht="15.0" customHeight="1">
      <c r="A3" s="203"/>
      <c r="B3" s="203"/>
      <c r="C3" s="203"/>
      <c r="D3" s="203"/>
      <c r="E3" s="203"/>
      <c r="F3" s="203"/>
      <c r="G3" s="203"/>
      <c r="H3" s="203"/>
      <c r="I3" s="203"/>
      <c r="J3" s="203"/>
      <c r="K3" s="203"/>
      <c r="L3" s="203"/>
      <c r="M3" s="203"/>
      <c r="N3" s="203"/>
      <c r="O3" s="203"/>
    </row>
    <row r="4" ht="27.0" customHeight="1">
      <c r="A4" s="206" t="s">
        <v>356</v>
      </c>
      <c r="B4" s="206" t="s">
        <v>357</v>
      </c>
      <c r="C4" s="206" t="s">
        <v>358</v>
      </c>
      <c r="D4" s="206" t="s">
        <v>359</v>
      </c>
      <c r="E4" s="207"/>
      <c r="F4" s="207"/>
      <c r="G4" s="207"/>
      <c r="H4" s="207"/>
      <c r="I4" s="207"/>
      <c r="J4" s="207"/>
      <c r="K4" s="207"/>
      <c r="L4" s="207"/>
      <c r="M4" s="207"/>
      <c r="N4" s="207"/>
      <c r="O4" s="207"/>
    </row>
    <row r="5" ht="15.0" customHeight="1">
      <c r="A5" s="208" t="s">
        <v>360</v>
      </c>
      <c r="B5" s="209">
        <v>2533.0</v>
      </c>
      <c r="C5" s="208" t="s">
        <v>361</v>
      </c>
      <c r="D5" s="208" t="s">
        <v>362</v>
      </c>
      <c r="E5" s="203"/>
      <c r="F5" s="203"/>
      <c r="G5" s="203"/>
      <c r="H5" s="203"/>
      <c r="I5" s="203"/>
      <c r="J5" s="203"/>
      <c r="K5" s="203"/>
      <c r="L5" s="203"/>
      <c r="M5" s="203"/>
      <c r="N5" s="203"/>
      <c r="O5" s="203"/>
    </row>
    <row r="6" ht="15.0" customHeight="1">
      <c r="A6" s="208" t="s">
        <v>363</v>
      </c>
      <c r="B6" s="210">
        <v>0.3</v>
      </c>
      <c r="C6" s="208" t="s">
        <v>364</v>
      </c>
      <c r="D6" s="208" t="s">
        <v>365</v>
      </c>
      <c r="E6" s="203"/>
      <c r="F6" s="203"/>
      <c r="G6" s="203"/>
      <c r="H6" s="203"/>
      <c r="I6" s="203"/>
      <c r="J6" s="203"/>
      <c r="K6" s="203"/>
      <c r="L6" s="203"/>
      <c r="M6" s="203"/>
      <c r="N6" s="203"/>
      <c r="O6" s="203"/>
    </row>
    <row r="7" ht="15.0" customHeight="1">
      <c r="A7" s="208" t="s">
        <v>366</v>
      </c>
      <c r="B7" s="209">
        <v>3992.0</v>
      </c>
      <c r="C7" s="208" t="s">
        <v>367</v>
      </c>
      <c r="D7" s="208" t="s">
        <v>368</v>
      </c>
      <c r="E7" s="203"/>
      <c r="F7" s="203"/>
      <c r="G7" s="203"/>
      <c r="H7" s="203"/>
      <c r="I7" s="203"/>
      <c r="J7" s="203"/>
      <c r="K7" s="203"/>
      <c r="L7" s="203"/>
      <c r="M7" s="203"/>
      <c r="N7" s="203"/>
      <c r="O7" s="203"/>
    </row>
    <row r="8" ht="15.0" customHeight="1">
      <c r="A8" s="208" t="s">
        <v>369</v>
      </c>
      <c r="B8" s="209">
        <v>4500.0</v>
      </c>
      <c r="C8" s="208" t="s">
        <v>370</v>
      </c>
      <c r="D8" s="208" t="s">
        <v>371</v>
      </c>
      <c r="E8" s="203"/>
      <c r="F8" s="203"/>
      <c r="G8" s="203"/>
      <c r="H8" s="203"/>
      <c r="I8" s="203"/>
      <c r="J8" s="203"/>
      <c r="K8" s="203"/>
      <c r="L8" s="203"/>
      <c r="M8" s="203"/>
      <c r="N8" s="203"/>
      <c r="O8" s="203"/>
    </row>
    <row r="9" ht="15.0" customHeight="1">
      <c r="A9" s="208" t="s">
        <v>372</v>
      </c>
      <c r="B9" s="211">
        <v>27.58</v>
      </c>
      <c r="C9" s="208" t="s">
        <v>373</v>
      </c>
      <c r="D9" s="208" t="s">
        <v>374</v>
      </c>
      <c r="E9" s="203"/>
      <c r="F9" s="203"/>
      <c r="G9" s="203"/>
      <c r="H9" s="203"/>
      <c r="I9" s="203"/>
      <c r="J9" s="203"/>
      <c r="K9" s="203"/>
      <c r="L9" s="203"/>
      <c r="M9" s="203"/>
      <c r="N9" s="203"/>
      <c r="O9" s="203"/>
    </row>
    <row r="10" ht="15.0" customHeight="1">
      <c r="A10" s="208" t="s">
        <v>375</v>
      </c>
      <c r="B10" s="209">
        <v>4130.0</v>
      </c>
      <c r="C10" s="208" t="s">
        <v>376</v>
      </c>
      <c r="D10" s="208" t="s">
        <v>377</v>
      </c>
      <c r="E10" s="203"/>
      <c r="F10" s="203"/>
      <c r="G10" s="203"/>
      <c r="H10" s="203"/>
      <c r="I10" s="203"/>
      <c r="J10" s="203"/>
      <c r="K10" s="203"/>
      <c r="L10" s="203"/>
      <c r="M10" s="203"/>
      <c r="N10" s="203"/>
      <c r="O10" s="203"/>
    </row>
    <row r="11" ht="15.0" customHeight="1">
      <c r="A11" s="208" t="s">
        <v>378</v>
      </c>
      <c r="B11" s="209">
        <v>8704.0</v>
      </c>
      <c r="C11" s="208" t="s">
        <v>367</v>
      </c>
      <c r="D11" s="208" t="s">
        <v>379</v>
      </c>
      <c r="E11" s="203"/>
      <c r="F11" s="203"/>
      <c r="G11" s="203"/>
      <c r="H11" s="203"/>
      <c r="I11" s="203"/>
      <c r="J11" s="203"/>
      <c r="K11" s="203"/>
      <c r="L11" s="203"/>
      <c r="M11" s="203"/>
      <c r="N11" s="203"/>
      <c r="O11" s="203"/>
    </row>
    <row r="12" ht="15.0" customHeight="1">
      <c r="A12" s="208" t="s">
        <v>380</v>
      </c>
      <c r="B12" s="212">
        <v>1.0</v>
      </c>
      <c r="C12" s="208" t="s">
        <v>381</v>
      </c>
      <c r="D12" s="208" t="s">
        <v>382</v>
      </c>
      <c r="E12" s="203"/>
      <c r="F12" s="203"/>
      <c r="G12" s="203"/>
      <c r="H12" s="203"/>
      <c r="I12" s="203"/>
      <c r="J12" s="203"/>
      <c r="K12" s="203"/>
      <c r="L12" s="203"/>
      <c r="M12" s="203"/>
      <c r="N12" s="203"/>
      <c r="O12" s="203"/>
    </row>
    <row r="13" ht="15.0" customHeight="1">
      <c r="A13" s="208" t="s">
        <v>383</v>
      </c>
      <c r="B13" s="212">
        <v>3.0</v>
      </c>
      <c r="C13" s="208" t="s">
        <v>381</v>
      </c>
      <c r="D13" s="208" t="s">
        <v>384</v>
      </c>
      <c r="E13" s="203"/>
      <c r="F13" s="203"/>
      <c r="G13" s="203"/>
      <c r="H13" s="203"/>
      <c r="I13" s="203"/>
      <c r="J13" s="203"/>
      <c r="K13" s="203"/>
      <c r="L13" s="203"/>
      <c r="M13" s="203"/>
      <c r="N13" s="203"/>
      <c r="O13" s="203"/>
    </row>
    <row r="14" ht="15.0" customHeight="1">
      <c r="A14" s="208" t="s">
        <v>385</v>
      </c>
      <c r="B14" s="213">
        <f>DATE(2027,3,1)</f>
        <v>46447</v>
      </c>
      <c r="C14" s="208" t="s">
        <v>386</v>
      </c>
      <c r="D14" s="214">
        <v>46108.0</v>
      </c>
      <c r="E14" s="203"/>
      <c r="F14" s="203"/>
      <c r="G14" s="203"/>
      <c r="H14" s="203"/>
      <c r="I14" s="203"/>
      <c r="J14" s="203"/>
      <c r="K14" s="203"/>
      <c r="L14" s="203"/>
      <c r="M14" s="203"/>
      <c r="N14" s="203"/>
      <c r="O14" s="203"/>
    </row>
    <row r="15" ht="15.0" customHeight="1">
      <c r="A15" s="208" t="s">
        <v>387</v>
      </c>
      <c r="B15" s="212">
        <v>3.0</v>
      </c>
      <c r="C15" s="208" t="s">
        <v>381</v>
      </c>
      <c r="D15" s="208" t="s">
        <v>388</v>
      </c>
      <c r="E15" s="203"/>
      <c r="F15" s="203"/>
      <c r="G15" s="203"/>
      <c r="H15" s="203"/>
      <c r="I15" s="203"/>
      <c r="J15" s="203"/>
      <c r="K15" s="203"/>
      <c r="L15" s="203"/>
      <c r="M15" s="203"/>
      <c r="N15" s="203"/>
      <c r="O15" s="203"/>
    </row>
    <row r="16" ht="15.0" customHeight="1">
      <c r="A16" s="208" t="s">
        <v>389</v>
      </c>
      <c r="B16" s="209">
        <v>21114.0</v>
      </c>
      <c r="C16" s="208" t="s">
        <v>367</v>
      </c>
      <c r="D16" s="208" t="s">
        <v>390</v>
      </c>
      <c r="E16" s="203"/>
      <c r="F16" s="203"/>
      <c r="G16" s="203"/>
      <c r="H16" s="203"/>
      <c r="I16" s="203"/>
      <c r="J16" s="203"/>
      <c r="K16" s="203"/>
      <c r="L16" s="203"/>
      <c r="M16" s="203"/>
      <c r="N16" s="203"/>
      <c r="O16" s="203"/>
    </row>
    <row r="17" ht="15.0" customHeight="1">
      <c r="A17" s="208" t="s">
        <v>391</v>
      </c>
      <c r="B17" s="215">
        <v>0.4682</v>
      </c>
      <c r="C17" s="208" t="s">
        <v>364</v>
      </c>
      <c r="D17" s="208" t="s">
        <v>392</v>
      </c>
      <c r="E17" s="203"/>
      <c r="F17" s="203"/>
      <c r="G17" s="203"/>
      <c r="H17" s="203"/>
      <c r="I17" s="203"/>
      <c r="J17" s="203"/>
      <c r="K17" s="203"/>
      <c r="L17" s="203"/>
      <c r="M17" s="203"/>
      <c r="N17" s="203"/>
      <c r="O17" s="203"/>
    </row>
    <row r="18" ht="15.0" customHeight="1">
      <c r="A18" s="208" t="s">
        <v>393</v>
      </c>
      <c r="B18" s="216">
        <f>$B$16*(1+$B$17)</f>
        <v>30999.5748</v>
      </c>
      <c r="C18" s="208" t="s">
        <v>367</v>
      </c>
      <c r="D18" s="208" t="s">
        <v>394</v>
      </c>
      <c r="E18" s="203"/>
      <c r="F18" s="203"/>
      <c r="G18" s="203"/>
      <c r="H18" s="203"/>
      <c r="I18" s="203"/>
      <c r="J18" s="203"/>
      <c r="K18" s="203"/>
      <c r="L18" s="203"/>
      <c r="M18" s="203"/>
      <c r="N18" s="203"/>
      <c r="O18" s="203"/>
    </row>
    <row r="19" ht="15.0" customHeight="1">
      <c r="A19" s="208" t="s">
        <v>395</v>
      </c>
      <c r="B19" s="217">
        <f>19+16</f>
        <v>35</v>
      </c>
      <c r="C19" s="208" t="s">
        <v>396</v>
      </c>
      <c r="D19" s="218" t="s">
        <v>397</v>
      </c>
      <c r="E19" s="203"/>
      <c r="F19" s="203"/>
      <c r="G19" s="203"/>
      <c r="H19" s="203"/>
      <c r="I19" s="203"/>
      <c r="J19" s="203"/>
      <c r="K19" s="203"/>
      <c r="L19" s="203"/>
      <c r="M19" s="203"/>
      <c r="N19" s="203"/>
      <c r="O19" s="203"/>
    </row>
    <row r="20" ht="15.0" customHeight="1">
      <c r="A20" s="208" t="s">
        <v>398</v>
      </c>
      <c r="B20" s="215">
        <v>0.053</v>
      </c>
      <c r="C20" s="208" t="s">
        <v>399</v>
      </c>
      <c r="D20" s="208" t="s">
        <v>400</v>
      </c>
      <c r="E20" s="203"/>
      <c r="F20" s="203"/>
      <c r="G20" s="203"/>
      <c r="H20" s="203"/>
      <c r="I20" s="203"/>
      <c r="J20" s="203"/>
      <c r="K20" s="203"/>
      <c r="L20" s="203"/>
      <c r="M20" s="203"/>
      <c r="N20" s="203"/>
      <c r="O20" s="203"/>
    </row>
    <row r="21" ht="15.0" customHeight="1">
      <c r="A21" s="208" t="s">
        <v>401</v>
      </c>
      <c r="B21" s="209">
        <v>2604.0</v>
      </c>
      <c r="C21" s="208" t="s">
        <v>367</v>
      </c>
      <c r="D21" s="208" t="s">
        <v>402</v>
      </c>
      <c r="E21" s="203"/>
      <c r="F21" s="203"/>
      <c r="G21" s="203"/>
      <c r="H21" s="203"/>
      <c r="I21" s="203"/>
      <c r="J21" s="203"/>
      <c r="K21" s="203"/>
      <c r="L21" s="203"/>
      <c r="M21" s="203"/>
      <c r="N21" s="203"/>
      <c r="O21" s="203"/>
    </row>
    <row r="22" ht="15.0" customHeight="1">
      <c r="A22" s="208" t="s">
        <v>403</v>
      </c>
      <c r="B22" s="209">
        <v>5000.0</v>
      </c>
      <c r="C22" s="208" t="s">
        <v>404</v>
      </c>
      <c r="D22" s="219" t="s">
        <v>405</v>
      </c>
      <c r="E22" s="203"/>
      <c r="F22" s="203"/>
      <c r="G22" s="203"/>
      <c r="H22" s="203"/>
      <c r="I22" s="203"/>
      <c r="J22" s="203"/>
      <c r="K22" s="203"/>
      <c r="L22" s="203"/>
      <c r="M22" s="203"/>
      <c r="N22" s="203"/>
      <c r="O22" s="203"/>
    </row>
    <row r="23" ht="15.0" customHeight="1">
      <c r="A23" s="208" t="s">
        <v>406</v>
      </c>
      <c r="B23" s="212">
        <v>3.0</v>
      </c>
      <c r="C23" s="208" t="s">
        <v>381</v>
      </c>
      <c r="D23" s="208" t="s">
        <v>407</v>
      </c>
      <c r="E23" s="203"/>
      <c r="F23" s="203"/>
      <c r="G23" s="203"/>
      <c r="H23" s="203"/>
      <c r="I23" s="203"/>
      <c r="J23" s="203"/>
      <c r="K23" s="203"/>
      <c r="L23" s="203"/>
      <c r="M23" s="203"/>
      <c r="N23" s="203"/>
      <c r="O23" s="203"/>
    </row>
    <row r="24" ht="15.0" customHeight="1">
      <c r="A24" s="208" t="s">
        <v>408</v>
      </c>
      <c r="B24" s="212">
        <v>12.0</v>
      </c>
      <c r="C24" s="208" t="s">
        <v>381</v>
      </c>
      <c r="D24" s="208" t="s">
        <v>407</v>
      </c>
      <c r="E24" s="203"/>
      <c r="F24" s="203"/>
      <c r="G24" s="203"/>
      <c r="H24" s="203"/>
      <c r="I24" s="203"/>
      <c r="J24" s="203"/>
      <c r="K24" s="203"/>
      <c r="L24" s="203"/>
      <c r="M24" s="203"/>
      <c r="N24" s="203"/>
      <c r="O24" s="203"/>
    </row>
    <row r="25" ht="15.0" customHeight="1">
      <c r="A25" s="208" t="s">
        <v>409</v>
      </c>
      <c r="B25" s="212">
        <v>1.0</v>
      </c>
      <c r="C25" s="208" t="s">
        <v>381</v>
      </c>
      <c r="D25" s="208" t="s">
        <v>410</v>
      </c>
      <c r="E25" s="203"/>
      <c r="F25" s="203"/>
      <c r="G25" s="203"/>
      <c r="H25" s="203"/>
      <c r="I25" s="203"/>
      <c r="J25" s="203"/>
      <c r="K25" s="203"/>
      <c r="L25" s="203"/>
      <c r="M25" s="203"/>
      <c r="N25" s="203"/>
      <c r="O25" s="203"/>
    </row>
    <row r="26" ht="15.0" customHeight="1">
      <c r="A26" s="208" t="s">
        <v>411</v>
      </c>
      <c r="B26" s="209">
        <v>3000.0</v>
      </c>
      <c r="C26" s="208" t="s">
        <v>367</v>
      </c>
      <c r="D26" s="208" t="s">
        <v>412</v>
      </c>
      <c r="E26" s="203"/>
      <c r="F26" s="203"/>
      <c r="G26" s="203"/>
      <c r="H26" s="203"/>
      <c r="I26" s="203"/>
      <c r="J26" s="203"/>
      <c r="K26" s="203"/>
      <c r="L26" s="203"/>
      <c r="M26" s="203"/>
      <c r="N26" s="203"/>
      <c r="O26" s="203"/>
    </row>
    <row r="27" ht="15.0" customHeight="1">
      <c r="A27" s="203"/>
      <c r="B27" s="203"/>
      <c r="C27" s="203"/>
      <c r="D27" s="203"/>
      <c r="E27" s="203"/>
      <c r="F27" s="203"/>
      <c r="G27" s="203"/>
      <c r="H27" s="203"/>
      <c r="I27" s="203"/>
      <c r="J27" s="203"/>
      <c r="K27" s="203"/>
      <c r="L27" s="203"/>
      <c r="M27" s="203"/>
      <c r="N27" s="203"/>
      <c r="O27" s="203"/>
    </row>
    <row r="28" ht="27.0" customHeight="1">
      <c r="A28" s="206" t="s">
        <v>413</v>
      </c>
      <c r="B28" s="206" t="s">
        <v>357</v>
      </c>
      <c r="C28" s="206" t="s">
        <v>358</v>
      </c>
      <c r="D28" s="206" t="s">
        <v>414</v>
      </c>
      <c r="E28" s="207"/>
      <c r="F28" s="207"/>
      <c r="G28" s="207"/>
      <c r="H28" s="207"/>
      <c r="I28" s="207"/>
      <c r="J28" s="207"/>
      <c r="K28" s="207"/>
      <c r="L28" s="207"/>
      <c r="M28" s="207"/>
      <c r="N28" s="207"/>
      <c r="O28" s="207"/>
    </row>
    <row r="29" ht="15.0" customHeight="1">
      <c r="A29" s="208" t="s">
        <v>415</v>
      </c>
      <c r="B29" s="220">
        <f>B30+'Fld Ops Payroll'!B11</f>
        <v>21</v>
      </c>
      <c r="C29" s="208" t="s">
        <v>381</v>
      </c>
      <c r="D29" s="208" t="s">
        <v>416</v>
      </c>
      <c r="E29" s="203"/>
      <c r="F29" s="203"/>
      <c r="G29" s="203"/>
      <c r="H29" s="203"/>
      <c r="I29" s="203"/>
      <c r="J29" s="203"/>
      <c r="K29" s="203"/>
      <c r="L29" s="203"/>
      <c r="M29" s="203"/>
      <c r="N29" s="203"/>
      <c r="O29" s="203"/>
    </row>
    <row r="30" ht="15.0" customHeight="1">
      <c r="A30" s="208" t="s">
        <v>417</v>
      </c>
      <c r="B30" s="212">
        <v>7.0</v>
      </c>
      <c r="C30" s="208" t="s">
        <v>381</v>
      </c>
      <c r="D30" s="208" t="s">
        <v>418</v>
      </c>
      <c r="E30" s="203"/>
      <c r="F30" s="203"/>
      <c r="G30" s="203"/>
      <c r="H30" s="203"/>
      <c r="I30" s="203"/>
      <c r="J30" s="203"/>
      <c r="K30" s="203"/>
      <c r="L30" s="203"/>
      <c r="M30" s="203"/>
      <c r="N30" s="203"/>
      <c r="O30" s="203"/>
    </row>
    <row r="31" ht="15.0" customHeight="1">
      <c r="A31" s="208" t="s">
        <v>419</v>
      </c>
      <c r="B31" s="221">
        <f>'Fld Ops Payroll'!B5</f>
        <v>1</v>
      </c>
      <c r="C31" s="208" t="s">
        <v>420</v>
      </c>
      <c r="D31" s="208" t="s">
        <v>421</v>
      </c>
      <c r="E31" s="203"/>
      <c r="F31" s="203"/>
      <c r="G31" s="203"/>
      <c r="H31" s="203"/>
      <c r="I31" s="203"/>
      <c r="J31" s="203"/>
      <c r="K31" s="203"/>
      <c r="L31" s="203"/>
      <c r="M31" s="203"/>
      <c r="N31" s="203"/>
      <c r="O31" s="203"/>
    </row>
    <row r="32" ht="15.0" customHeight="1">
      <c r="A32" s="208" t="s">
        <v>422</v>
      </c>
      <c r="B32" s="222">
        <f>'Fld Ops Payroll'!B12</f>
        <v>0.6</v>
      </c>
      <c r="C32" s="208" t="s">
        <v>364</v>
      </c>
      <c r="D32" s="208" t="s">
        <v>423</v>
      </c>
      <c r="E32" s="203"/>
      <c r="F32" s="203"/>
      <c r="G32" s="203"/>
      <c r="H32" s="203"/>
      <c r="I32" s="203"/>
      <c r="J32" s="203"/>
      <c r="K32" s="203"/>
      <c r="L32" s="203"/>
      <c r="M32" s="203"/>
      <c r="N32" s="203"/>
      <c r="O32" s="203"/>
    </row>
    <row r="33" ht="15.0" customHeight="1">
      <c r="A33" s="208" t="s">
        <v>424</v>
      </c>
      <c r="B33" s="223">
        <f>'Fld Ops Payroll'!B10</f>
        <v>1</v>
      </c>
      <c r="C33" s="208" t="s">
        <v>425</v>
      </c>
      <c r="D33" s="208" t="s">
        <v>426</v>
      </c>
      <c r="E33" s="203"/>
      <c r="F33" s="203"/>
      <c r="G33" s="203"/>
      <c r="H33" s="203"/>
      <c r="I33" s="203"/>
      <c r="J33" s="203"/>
      <c r="K33" s="203"/>
      <c r="L33" s="203"/>
      <c r="M33" s="203"/>
      <c r="N33" s="203"/>
      <c r="O33" s="203"/>
    </row>
    <row r="34" ht="15.0" customHeight="1">
      <c r="A34" s="208" t="s">
        <v>427</v>
      </c>
      <c r="B34" s="223">
        <f>'Fld Ops Payroll'!H8</f>
        <v>20</v>
      </c>
      <c r="C34" s="208" t="s">
        <v>381</v>
      </c>
      <c r="D34" s="208" t="s">
        <v>428</v>
      </c>
      <c r="E34" s="203"/>
      <c r="F34" s="203"/>
      <c r="G34" s="203"/>
      <c r="H34" s="203"/>
      <c r="I34" s="203"/>
      <c r="J34" s="203"/>
      <c r="K34" s="203"/>
      <c r="L34" s="203"/>
      <c r="M34" s="203"/>
      <c r="N34" s="203"/>
      <c r="O34" s="203"/>
    </row>
    <row r="35" ht="15.0" customHeight="1">
      <c r="A35" s="208" t="s">
        <v>230</v>
      </c>
      <c r="B35" s="223">
        <f>'Fld Ops Payroll'!M11</f>
        <v>40</v>
      </c>
      <c r="C35" s="208" t="s">
        <v>381</v>
      </c>
      <c r="D35" s="208" t="s">
        <v>429</v>
      </c>
      <c r="E35" s="203"/>
      <c r="F35" s="203"/>
      <c r="G35" s="203"/>
      <c r="H35" s="203"/>
      <c r="I35" s="203"/>
      <c r="J35" s="203"/>
      <c r="K35" s="203"/>
      <c r="L35" s="203"/>
      <c r="M35" s="203"/>
      <c r="N35" s="203"/>
      <c r="O35" s="203"/>
    </row>
    <row r="36" ht="15.0" customHeight="1">
      <c r="A36" s="208" t="s">
        <v>430</v>
      </c>
      <c r="B36" s="224">
        <f>'Fld Ops Payroll'!B9</f>
        <v>2000</v>
      </c>
      <c r="C36" s="208" t="s">
        <v>431</v>
      </c>
      <c r="D36" s="208" t="s">
        <v>432</v>
      </c>
      <c r="E36" s="203"/>
      <c r="F36" s="203"/>
      <c r="G36" s="203"/>
      <c r="H36" s="203"/>
      <c r="I36" s="203"/>
      <c r="J36" s="203"/>
      <c r="K36" s="203"/>
      <c r="L36" s="203"/>
      <c r="M36" s="203"/>
      <c r="N36" s="203"/>
      <c r="O36" s="203"/>
    </row>
    <row r="37" ht="15.0" customHeight="1">
      <c r="A37" s="208" t="s">
        <v>433</v>
      </c>
      <c r="B37" s="225">
        <f>B29-B30</f>
        <v>14</v>
      </c>
      <c r="C37" s="208" t="s">
        <v>381</v>
      </c>
      <c r="D37" s="208" t="s">
        <v>434</v>
      </c>
      <c r="E37" s="203"/>
      <c r="F37" s="203"/>
      <c r="G37" s="203"/>
      <c r="H37" s="203"/>
      <c r="I37" s="203"/>
      <c r="J37" s="203"/>
      <c r="K37" s="203"/>
      <c r="L37" s="203"/>
      <c r="M37" s="203"/>
      <c r="N37" s="203"/>
      <c r="O37" s="203"/>
    </row>
    <row r="38" ht="15.0" customHeight="1">
      <c r="A38" s="203"/>
      <c r="B38" s="203"/>
      <c r="C38" s="203"/>
      <c r="D38" s="203"/>
      <c r="E38" s="203"/>
      <c r="F38" s="203"/>
      <c r="G38" s="203"/>
      <c r="H38" s="203"/>
      <c r="I38" s="203"/>
      <c r="J38" s="203"/>
      <c r="K38" s="203"/>
      <c r="L38" s="203"/>
      <c r="M38" s="203"/>
      <c r="N38" s="203"/>
      <c r="O38" s="203"/>
    </row>
    <row r="39" ht="27.0" customHeight="1">
      <c r="A39" s="206" t="s">
        <v>435</v>
      </c>
      <c r="B39" s="226">
        <f>DATE(2027,1,1)</f>
        <v>46388</v>
      </c>
      <c r="C39" s="226">
        <f>DATE(2027,2,1)</f>
        <v>46419</v>
      </c>
      <c r="D39" s="226">
        <f>DATE(2027,3,1)</f>
        <v>46447</v>
      </c>
      <c r="E39" s="226">
        <f>DATE(2027,4,1)</f>
        <v>46478</v>
      </c>
      <c r="F39" s="226">
        <f>DATE(2027,5,1)</f>
        <v>46508</v>
      </c>
      <c r="G39" s="226">
        <f>DATE(2027,6,1)</f>
        <v>46539</v>
      </c>
      <c r="H39" s="226">
        <f>DATE(2027,7,1)</f>
        <v>46569</v>
      </c>
      <c r="I39" s="226">
        <f>DATE(2027,8,1)</f>
        <v>46600</v>
      </c>
      <c r="J39" s="226">
        <f>DATE(2027,9,1)</f>
        <v>46631</v>
      </c>
      <c r="K39" s="226">
        <f>DATE(2027,10,1)</f>
        <v>46661</v>
      </c>
      <c r="L39" s="226">
        <f>DATE(2027,11,1)</f>
        <v>46692</v>
      </c>
      <c r="M39" s="226">
        <f>DATE(2027,12,1)</f>
        <v>46722</v>
      </c>
      <c r="N39" s="227" t="s">
        <v>2</v>
      </c>
      <c r="O39" s="228"/>
    </row>
    <row r="40" ht="15.0" customHeight="1">
      <c r="A40" s="208" t="s">
        <v>436</v>
      </c>
      <c r="B40" s="229">
        <f>N(DeploySum!F54)</f>
        <v>3</v>
      </c>
      <c r="C40" s="229">
        <f>N(DeploySum!G54)</f>
        <v>2</v>
      </c>
      <c r="D40" s="229">
        <f>N(DeploySum!H54)</f>
        <v>0</v>
      </c>
      <c r="E40" s="229">
        <f>N(DeploySum!I54)</f>
        <v>3</v>
      </c>
      <c r="F40" s="229">
        <f>N(DeploySum!J54)</f>
        <v>3</v>
      </c>
      <c r="G40" s="229">
        <f>N(DeploySum!K54)</f>
        <v>4</v>
      </c>
      <c r="H40" s="229">
        <f>N(DeploySum!L54)</f>
        <v>4</v>
      </c>
      <c r="I40" s="229">
        <f>N(DeploySum!M54)</f>
        <v>5</v>
      </c>
      <c r="J40" s="229">
        <f>N(DeploySum!N54)</f>
        <v>6</v>
      </c>
      <c r="K40" s="229">
        <f>N(DeploySum!O54)</f>
        <v>6</v>
      </c>
      <c r="L40" s="229">
        <f>N(DeploySum!P54)</f>
        <v>7</v>
      </c>
      <c r="M40" s="229">
        <f>N(DeploySum!Q54)</f>
        <v>8</v>
      </c>
      <c r="N40" s="230">
        <f t="shared" ref="N40:N58" si="1">SUM(B40:M40)</f>
        <v>51</v>
      </c>
      <c r="O40" s="203"/>
    </row>
    <row r="41" ht="15.0" customHeight="1">
      <c r="A41" s="208" t="s">
        <v>437</v>
      </c>
      <c r="B41" s="229">
        <f>N(DeploySum!F60)</f>
        <v>0</v>
      </c>
      <c r="C41" s="229">
        <f>N(DeploySum!G60)</f>
        <v>0</v>
      </c>
      <c r="D41" s="229">
        <f>N(DeploySum!H60)</f>
        <v>0</v>
      </c>
      <c r="E41" s="229">
        <f>N(DeploySum!I60)</f>
        <v>1</v>
      </c>
      <c r="F41" s="229">
        <f>N(DeploySum!J60)</f>
        <v>0</v>
      </c>
      <c r="G41" s="229">
        <f>N(DeploySum!K60)</f>
        <v>0</v>
      </c>
      <c r="H41" s="229">
        <f>N(DeploySum!L60)</f>
        <v>0</v>
      </c>
      <c r="I41" s="229">
        <f>N(DeploySum!M60)</f>
        <v>0</v>
      </c>
      <c r="J41" s="229">
        <f>N(DeploySum!N60)</f>
        <v>0</v>
      </c>
      <c r="K41" s="229">
        <f>N(DeploySum!O60)</f>
        <v>0</v>
      </c>
      <c r="L41" s="229">
        <f>N(DeploySum!P60)</f>
        <v>0</v>
      </c>
      <c r="M41" s="229">
        <f>N(DeploySum!Q60)</f>
        <v>0</v>
      </c>
      <c r="N41" s="230">
        <f t="shared" si="1"/>
        <v>1</v>
      </c>
      <c r="O41" s="203"/>
    </row>
    <row r="42" ht="15.0" customHeight="1">
      <c r="A42" s="208" t="s">
        <v>438</v>
      </c>
      <c r="B42" s="229">
        <f>N(DeploySum!F57)</f>
        <v>0</v>
      </c>
      <c r="C42" s="229">
        <f>N(DeploySum!G57)</f>
        <v>0</v>
      </c>
      <c r="D42" s="229">
        <f>N(DeploySum!H57)</f>
        <v>0</v>
      </c>
      <c r="E42" s="229">
        <f>N(DeploySum!I57)</f>
        <v>1</v>
      </c>
      <c r="F42" s="229">
        <f>N(DeploySum!J57)</f>
        <v>1</v>
      </c>
      <c r="G42" s="229">
        <f>N(DeploySum!K57)</f>
        <v>2</v>
      </c>
      <c r="H42" s="229">
        <f>N(DeploySum!L57)</f>
        <v>1</v>
      </c>
      <c r="I42" s="229">
        <f>N(DeploySum!M57)</f>
        <v>1</v>
      </c>
      <c r="J42" s="229">
        <f>N(DeploySum!N57)</f>
        <v>2</v>
      </c>
      <c r="K42" s="229">
        <f>N(DeploySum!O57)</f>
        <v>2</v>
      </c>
      <c r="L42" s="229">
        <f>N(DeploySum!P57)</f>
        <v>3</v>
      </c>
      <c r="M42" s="229">
        <f>N(DeploySum!Q57)</f>
        <v>2</v>
      </c>
      <c r="N42" s="230">
        <f t="shared" si="1"/>
        <v>15</v>
      </c>
      <c r="O42" s="203"/>
    </row>
    <row r="43" ht="15.0" customHeight="1">
      <c r="A43" s="231" t="s">
        <v>439</v>
      </c>
      <c r="B43" s="232">
        <f t="shared" ref="B43:M43" si="2">B40+B41+B42</f>
        <v>3</v>
      </c>
      <c r="C43" s="232">
        <f t="shared" si="2"/>
        <v>2</v>
      </c>
      <c r="D43" s="232">
        <f t="shared" si="2"/>
        <v>0</v>
      </c>
      <c r="E43" s="232">
        <f t="shared" si="2"/>
        <v>5</v>
      </c>
      <c r="F43" s="232">
        <f t="shared" si="2"/>
        <v>4</v>
      </c>
      <c r="G43" s="232">
        <f t="shared" si="2"/>
        <v>6</v>
      </c>
      <c r="H43" s="232">
        <f t="shared" si="2"/>
        <v>5</v>
      </c>
      <c r="I43" s="232">
        <f t="shared" si="2"/>
        <v>6</v>
      </c>
      <c r="J43" s="232">
        <f t="shared" si="2"/>
        <v>8</v>
      </c>
      <c r="K43" s="232">
        <f t="shared" si="2"/>
        <v>8</v>
      </c>
      <c r="L43" s="232">
        <f t="shared" si="2"/>
        <v>10</v>
      </c>
      <c r="M43" s="232">
        <f t="shared" si="2"/>
        <v>10</v>
      </c>
      <c r="N43" s="232">
        <f t="shared" si="1"/>
        <v>67</v>
      </c>
      <c r="O43" s="203"/>
    </row>
    <row r="44" ht="15.0" customHeight="1">
      <c r="A44" s="208" t="s">
        <v>422</v>
      </c>
      <c r="B44" s="230">
        <f t="shared" ref="B44:M44" si="3">B42*$B$32</f>
        <v>0</v>
      </c>
      <c r="C44" s="230">
        <f t="shared" si="3"/>
        <v>0</v>
      </c>
      <c r="D44" s="230">
        <f t="shared" si="3"/>
        <v>0</v>
      </c>
      <c r="E44" s="230">
        <f t="shared" si="3"/>
        <v>0.6</v>
      </c>
      <c r="F44" s="230">
        <f t="shared" si="3"/>
        <v>0.6</v>
      </c>
      <c r="G44" s="230">
        <f t="shared" si="3"/>
        <v>1.2</v>
      </c>
      <c r="H44" s="230">
        <f t="shared" si="3"/>
        <v>0.6</v>
      </c>
      <c r="I44" s="230">
        <f t="shared" si="3"/>
        <v>0.6</v>
      </c>
      <c r="J44" s="230">
        <f t="shared" si="3"/>
        <v>1.2</v>
      </c>
      <c r="K44" s="230">
        <f t="shared" si="3"/>
        <v>1.2</v>
      </c>
      <c r="L44" s="230">
        <f t="shared" si="3"/>
        <v>1.8</v>
      </c>
      <c r="M44" s="230">
        <f t="shared" si="3"/>
        <v>1.2</v>
      </c>
      <c r="N44" s="230">
        <f t="shared" si="1"/>
        <v>9</v>
      </c>
      <c r="O44" s="203"/>
    </row>
    <row r="45" ht="15.0" customHeight="1">
      <c r="A45" s="231" t="s">
        <v>440</v>
      </c>
      <c r="B45" s="232">
        <f t="shared" ref="B45:M45" si="4">B40+B41+B44</f>
        <v>3</v>
      </c>
      <c r="C45" s="232">
        <f t="shared" si="4"/>
        <v>2</v>
      </c>
      <c r="D45" s="232">
        <f t="shared" si="4"/>
        <v>0</v>
      </c>
      <c r="E45" s="232">
        <f t="shared" si="4"/>
        <v>4.6</v>
      </c>
      <c r="F45" s="232">
        <f t="shared" si="4"/>
        <v>3.6</v>
      </c>
      <c r="G45" s="232">
        <f t="shared" si="4"/>
        <v>5.2</v>
      </c>
      <c r="H45" s="232">
        <f t="shared" si="4"/>
        <v>4.6</v>
      </c>
      <c r="I45" s="232">
        <f t="shared" si="4"/>
        <v>5.6</v>
      </c>
      <c r="J45" s="232">
        <f t="shared" si="4"/>
        <v>7.2</v>
      </c>
      <c r="K45" s="232">
        <f t="shared" si="4"/>
        <v>7.2</v>
      </c>
      <c r="L45" s="232">
        <f t="shared" si="4"/>
        <v>8.8</v>
      </c>
      <c r="M45" s="232">
        <f t="shared" si="4"/>
        <v>9.2</v>
      </c>
      <c r="N45" s="232">
        <f t="shared" si="1"/>
        <v>61</v>
      </c>
      <c r="O45" s="203"/>
    </row>
    <row r="46" ht="15.0" customHeight="1">
      <c r="A46" s="208" t="s">
        <v>441</v>
      </c>
      <c r="B46" s="230">
        <f t="shared" ref="B46:M46" si="5">B45*$B$6</f>
        <v>0.9</v>
      </c>
      <c r="C46" s="230">
        <f t="shared" si="5"/>
        <v>0.6</v>
      </c>
      <c r="D46" s="230">
        <f t="shared" si="5"/>
        <v>0</v>
      </c>
      <c r="E46" s="230">
        <f t="shared" si="5"/>
        <v>1.38</v>
      </c>
      <c r="F46" s="230">
        <f t="shared" si="5"/>
        <v>1.08</v>
      </c>
      <c r="G46" s="230">
        <f t="shared" si="5"/>
        <v>1.56</v>
      </c>
      <c r="H46" s="230">
        <f t="shared" si="5"/>
        <v>1.38</v>
      </c>
      <c r="I46" s="230">
        <f t="shared" si="5"/>
        <v>1.68</v>
      </c>
      <c r="J46" s="230">
        <f t="shared" si="5"/>
        <v>2.16</v>
      </c>
      <c r="K46" s="230">
        <f t="shared" si="5"/>
        <v>2.16</v>
      </c>
      <c r="L46" s="230">
        <f t="shared" si="5"/>
        <v>2.64</v>
      </c>
      <c r="M46" s="230">
        <f t="shared" si="5"/>
        <v>2.76</v>
      </c>
      <c r="N46" s="230">
        <f t="shared" si="1"/>
        <v>18.3</v>
      </c>
      <c r="O46" s="203"/>
    </row>
    <row r="47" ht="15.0" customHeight="1">
      <c r="A47" s="208" t="s">
        <v>442</v>
      </c>
      <c r="B47" s="229">
        <f>N(DeploySum!F55)</f>
        <v>20</v>
      </c>
      <c r="C47" s="229">
        <f>N(DeploySum!G55)</f>
        <v>8</v>
      </c>
      <c r="D47" s="229">
        <f>N(DeploySum!H55)</f>
        <v>0</v>
      </c>
      <c r="E47" s="229">
        <f>N(DeploySum!I55)</f>
        <v>12</v>
      </c>
      <c r="F47" s="229">
        <f>N(DeploySum!J55)</f>
        <v>12</v>
      </c>
      <c r="G47" s="229">
        <f>N(DeploySum!K55)</f>
        <v>16</v>
      </c>
      <c r="H47" s="229">
        <f>N(DeploySum!L55)</f>
        <v>16</v>
      </c>
      <c r="I47" s="229">
        <f>N(DeploySum!M55)</f>
        <v>20</v>
      </c>
      <c r="J47" s="229">
        <f>N(DeploySum!N55)</f>
        <v>24</v>
      </c>
      <c r="K47" s="229">
        <f>N(DeploySum!O55)</f>
        <v>24</v>
      </c>
      <c r="L47" s="229">
        <f>N(DeploySum!P55)</f>
        <v>28</v>
      </c>
      <c r="M47" s="229">
        <f>N(DeploySum!Q55)</f>
        <v>32</v>
      </c>
      <c r="N47" s="230">
        <f t="shared" si="1"/>
        <v>212</v>
      </c>
      <c r="O47" s="203"/>
    </row>
    <row r="48" ht="15.0" customHeight="1">
      <c r="A48" s="208" t="s">
        <v>443</v>
      </c>
      <c r="B48" s="229">
        <f>N(DeploySum!F58)</f>
        <v>0</v>
      </c>
      <c r="C48" s="229">
        <f>N(DeploySum!G58)</f>
        <v>0</v>
      </c>
      <c r="D48" s="229">
        <f>N(DeploySum!H58)</f>
        <v>0</v>
      </c>
      <c r="E48" s="229">
        <f>N(DeploySum!I58)</f>
        <v>2</v>
      </c>
      <c r="F48" s="229">
        <f>N(DeploySum!J58)</f>
        <v>2</v>
      </c>
      <c r="G48" s="229">
        <f>N(DeploySum!K58)</f>
        <v>4</v>
      </c>
      <c r="H48" s="229">
        <f>N(DeploySum!L58)</f>
        <v>2</v>
      </c>
      <c r="I48" s="229">
        <f>N(DeploySum!M58)</f>
        <v>2</v>
      </c>
      <c r="J48" s="229">
        <f>N(DeploySum!N58)</f>
        <v>4</v>
      </c>
      <c r="K48" s="229">
        <f>N(DeploySum!O58)</f>
        <v>4</v>
      </c>
      <c r="L48" s="229">
        <f>N(DeploySum!P58)</f>
        <v>6</v>
      </c>
      <c r="M48" s="229">
        <f>N(DeploySum!Q58)</f>
        <v>4</v>
      </c>
      <c r="N48" s="230">
        <f t="shared" si="1"/>
        <v>30</v>
      </c>
      <c r="O48" s="203"/>
    </row>
    <row r="49" ht="15.0" customHeight="1">
      <c r="A49" s="208" t="s">
        <v>444</v>
      </c>
      <c r="B49" s="229">
        <f>N(DeploySum!F61)</f>
        <v>0</v>
      </c>
      <c r="C49" s="229">
        <f>N(DeploySum!G61)</f>
        <v>0</v>
      </c>
      <c r="D49" s="229">
        <f>N(DeploySum!H61)</f>
        <v>0</v>
      </c>
      <c r="E49" s="229">
        <f>N(DeploySum!I61)</f>
        <v>8</v>
      </c>
      <c r="F49" s="229">
        <f>N(DeploySum!J61)</f>
        <v>0</v>
      </c>
      <c r="G49" s="229">
        <f>N(DeploySum!K61)</f>
        <v>0</v>
      </c>
      <c r="H49" s="229">
        <f>N(DeploySum!L61)</f>
        <v>0</v>
      </c>
      <c r="I49" s="229">
        <f>N(DeploySum!M61)</f>
        <v>0</v>
      </c>
      <c r="J49" s="229">
        <f>N(DeploySum!N61)</f>
        <v>0</v>
      </c>
      <c r="K49" s="229">
        <f>N(DeploySum!O61)</f>
        <v>0</v>
      </c>
      <c r="L49" s="229">
        <f>N(DeploySum!P61)</f>
        <v>0</v>
      </c>
      <c r="M49" s="229">
        <f>N(DeploySum!Q61)</f>
        <v>0</v>
      </c>
      <c r="N49" s="230">
        <f t="shared" si="1"/>
        <v>8</v>
      </c>
      <c r="O49" s="203"/>
    </row>
    <row r="50" ht="15.0" customHeight="1">
      <c r="A50" s="231" t="s">
        <v>445</v>
      </c>
      <c r="B50" s="232">
        <f t="shared" ref="B50:M50" si="6">B47+B48+B49</f>
        <v>20</v>
      </c>
      <c r="C50" s="232">
        <f t="shared" si="6"/>
        <v>8</v>
      </c>
      <c r="D50" s="232">
        <f t="shared" si="6"/>
        <v>0</v>
      </c>
      <c r="E50" s="232">
        <f t="shared" si="6"/>
        <v>22</v>
      </c>
      <c r="F50" s="232">
        <f t="shared" si="6"/>
        <v>14</v>
      </c>
      <c r="G50" s="232">
        <f t="shared" si="6"/>
        <v>20</v>
      </c>
      <c r="H50" s="232">
        <f t="shared" si="6"/>
        <v>18</v>
      </c>
      <c r="I50" s="232">
        <f t="shared" si="6"/>
        <v>22</v>
      </c>
      <c r="J50" s="232">
        <f t="shared" si="6"/>
        <v>28</v>
      </c>
      <c r="K50" s="232">
        <f t="shared" si="6"/>
        <v>28</v>
      </c>
      <c r="L50" s="232">
        <f t="shared" si="6"/>
        <v>34</v>
      </c>
      <c r="M50" s="232">
        <f t="shared" si="6"/>
        <v>36</v>
      </c>
      <c r="N50" s="232">
        <f t="shared" si="1"/>
        <v>250</v>
      </c>
      <c r="O50" s="203"/>
    </row>
    <row r="51" ht="15.0" customHeight="1">
      <c r="A51" s="208" t="s">
        <v>446</v>
      </c>
      <c r="B51" s="229">
        <f>N(DeploySum!F56)</f>
        <v>60</v>
      </c>
      <c r="C51" s="229">
        <f>N(DeploySum!G56)</f>
        <v>24</v>
      </c>
      <c r="D51" s="229">
        <f>N(DeploySum!H56)</f>
        <v>0</v>
      </c>
      <c r="E51" s="229">
        <f>N(DeploySum!I56)</f>
        <v>36</v>
      </c>
      <c r="F51" s="229">
        <f>N(DeploySum!J56)</f>
        <v>36</v>
      </c>
      <c r="G51" s="229">
        <f>N(DeploySum!K56)</f>
        <v>48</v>
      </c>
      <c r="H51" s="229">
        <f>N(DeploySum!L56)</f>
        <v>48</v>
      </c>
      <c r="I51" s="229">
        <f>N(DeploySum!M56)</f>
        <v>60</v>
      </c>
      <c r="J51" s="229">
        <f>N(DeploySum!N56)</f>
        <v>72</v>
      </c>
      <c r="K51" s="229">
        <f>N(DeploySum!O56)</f>
        <v>72</v>
      </c>
      <c r="L51" s="229">
        <f>N(DeploySum!P56)</f>
        <v>84</v>
      </c>
      <c r="M51" s="229">
        <f>N(DeploySum!Q56)</f>
        <v>96</v>
      </c>
      <c r="N51" s="230">
        <f t="shared" si="1"/>
        <v>636</v>
      </c>
      <c r="O51" s="203"/>
    </row>
    <row r="52" ht="15.0" customHeight="1">
      <c r="A52" s="208" t="s">
        <v>447</v>
      </c>
      <c r="B52" s="229">
        <f>N(DeploySum!F59)</f>
        <v>0</v>
      </c>
      <c r="C52" s="229">
        <f>N(DeploySum!G59)</f>
        <v>0</v>
      </c>
      <c r="D52" s="229">
        <f>N(DeploySum!H59)</f>
        <v>0</v>
      </c>
      <c r="E52" s="229">
        <f>N(DeploySum!I59)</f>
        <v>25</v>
      </c>
      <c r="F52" s="229">
        <f>N(DeploySum!J59)</f>
        <v>25</v>
      </c>
      <c r="G52" s="229">
        <f>N(DeploySum!K59)</f>
        <v>50</v>
      </c>
      <c r="H52" s="229">
        <f>N(DeploySum!L59)</f>
        <v>25</v>
      </c>
      <c r="I52" s="229">
        <f>N(DeploySum!M59)</f>
        <v>25</v>
      </c>
      <c r="J52" s="229">
        <f>N(DeploySum!N59)</f>
        <v>50</v>
      </c>
      <c r="K52" s="229">
        <f>N(DeploySum!O59)</f>
        <v>50</v>
      </c>
      <c r="L52" s="229">
        <f>N(DeploySum!P59)</f>
        <v>75</v>
      </c>
      <c r="M52" s="229">
        <f>N(DeploySum!Q59)</f>
        <v>50</v>
      </c>
      <c r="N52" s="230">
        <f t="shared" si="1"/>
        <v>375</v>
      </c>
      <c r="O52" s="203"/>
    </row>
    <row r="53" ht="15.0" customHeight="1">
      <c r="A53" s="208" t="s">
        <v>448</v>
      </c>
      <c r="B53" s="229">
        <f>N(DeploySum!F62)</f>
        <v>0</v>
      </c>
      <c r="C53" s="229">
        <f>N(DeploySum!G62)</f>
        <v>0</v>
      </c>
      <c r="D53" s="229">
        <f>N(DeploySum!H62)</f>
        <v>0</v>
      </c>
      <c r="E53" s="229">
        <f>N(DeploySum!I62)</f>
        <v>25</v>
      </c>
      <c r="F53" s="229">
        <f>N(DeploySum!J62)</f>
        <v>0</v>
      </c>
      <c r="G53" s="229">
        <f>N(DeploySum!K62)</f>
        <v>0</v>
      </c>
      <c r="H53" s="229">
        <f>N(DeploySum!L62)</f>
        <v>0</v>
      </c>
      <c r="I53" s="229">
        <f>N(DeploySum!M62)</f>
        <v>0</v>
      </c>
      <c r="J53" s="229">
        <f>N(DeploySum!N62)</f>
        <v>0</v>
      </c>
      <c r="K53" s="229">
        <f>N(DeploySum!O62)</f>
        <v>0</v>
      </c>
      <c r="L53" s="229">
        <f>N(DeploySum!P62)</f>
        <v>0</v>
      </c>
      <c r="M53" s="229">
        <f>N(DeploySum!Q62)</f>
        <v>0</v>
      </c>
      <c r="N53" s="230">
        <f t="shared" si="1"/>
        <v>25</v>
      </c>
      <c r="O53" s="203"/>
    </row>
    <row r="54" ht="15.0" customHeight="1">
      <c r="A54" s="231" t="s">
        <v>449</v>
      </c>
      <c r="B54" s="232">
        <f t="shared" ref="B54:M54" si="7">B51+B52+B53</f>
        <v>60</v>
      </c>
      <c r="C54" s="232">
        <f t="shared" si="7"/>
        <v>24</v>
      </c>
      <c r="D54" s="232">
        <f t="shared" si="7"/>
        <v>0</v>
      </c>
      <c r="E54" s="232">
        <f t="shared" si="7"/>
        <v>86</v>
      </c>
      <c r="F54" s="232">
        <f t="shared" si="7"/>
        <v>61</v>
      </c>
      <c r="G54" s="232">
        <f t="shared" si="7"/>
        <v>98</v>
      </c>
      <c r="H54" s="232">
        <f t="shared" si="7"/>
        <v>73</v>
      </c>
      <c r="I54" s="232">
        <f t="shared" si="7"/>
        <v>85</v>
      </c>
      <c r="J54" s="232">
        <f t="shared" si="7"/>
        <v>122</v>
      </c>
      <c r="K54" s="232">
        <f t="shared" si="7"/>
        <v>122</v>
      </c>
      <c r="L54" s="232">
        <f t="shared" si="7"/>
        <v>159</v>
      </c>
      <c r="M54" s="232">
        <f t="shared" si="7"/>
        <v>146</v>
      </c>
      <c r="N54" s="232">
        <f t="shared" si="1"/>
        <v>1036</v>
      </c>
      <c r="O54" s="203"/>
    </row>
    <row r="55" ht="15.0" customHeight="1">
      <c r="A55" s="208" t="s">
        <v>450</v>
      </c>
      <c r="B55" s="230">
        <f t="shared" ref="B55:M55" si="8">IF(B40=0,0,B40*MAX(ROUNDUP(B47/B40/$B$23,0),ROUNDUP(B51/B40/$B$24,0),$B$25))</f>
        <v>9</v>
      </c>
      <c r="C55" s="230">
        <f t="shared" si="8"/>
        <v>4</v>
      </c>
      <c r="D55" s="230">
        <f t="shared" si="8"/>
        <v>0</v>
      </c>
      <c r="E55" s="230">
        <f t="shared" si="8"/>
        <v>6</v>
      </c>
      <c r="F55" s="230">
        <f t="shared" si="8"/>
        <v>6</v>
      </c>
      <c r="G55" s="230">
        <f t="shared" si="8"/>
        <v>8</v>
      </c>
      <c r="H55" s="230">
        <f t="shared" si="8"/>
        <v>8</v>
      </c>
      <c r="I55" s="230">
        <f t="shared" si="8"/>
        <v>10</v>
      </c>
      <c r="J55" s="230">
        <f t="shared" si="8"/>
        <v>12</v>
      </c>
      <c r="K55" s="230">
        <f t="shared" si="8"/>
        <v>12</v>
      </c>
      <c r="L55" s="230">
        <f t="shared" si="8"/>
        <v>14</v>
      </c>
      <c r="M55" s="230">
        <f t="shared" si="8"/>
        <v>16</v>
      </c>
      <c r="N55" s="230">
        <f t="shared" si="1"/>
        <v>105</v>
      </c>
      <c r="O55" s="203"/>
    </row>
    <row r="56" ht="15.0" customHeight="1">
      <c r="A56" s="208" t="s">
        <v>451</v>
      </c>
      <c r="B56" s="230">
        <f t="shared" ref="B56:M56" si="9">IF(B42=0,0,B42*MAX(ROUNDUP(B48/B42/$B$23,0),ROUNDUP(B52/B42/$B$24,0),$B$25))</f>
        <v>0</v>
      </c>
      <c r="C56" s="230">
        <f t="shared" si="9"/>
        <v>0</v>
      </c>
      <c r="D56" s="230">
        <f t="shared" si="9"/>
        <v>0</v>
      </c>
      <c r="E56" s="230">
        <f t="shared" si="9"/>
        <v>3</v>
      </c>
      <c r="F56" s="230">
        <f t="shared" si="9"/>
        <v>3</v>
      </c>
      <c r="G56" s="230">
        <f t="shared" si="9"/>
        <v>6</v>
      </c>
      <c r="H56" s="230">
        <f t="shared" si="9"/>
        <v>3</v>
      </c>
      <c r="I56" s="230">
        <f t="shared" si="9"/>
        <v>3</v>
      </c>
      <c r="J56" s="230">
        <f t="shared" si="9"/>
        <v>6</v>
      </c>
      <c r="K56" s="230">
        <f t="shared" si="9"/>
        <v>6</v>
      </c>
      <c r="L56" s="230">
        <f t="shared" si="9"/>
        <v>9</v>
      </c>
      <c r="M56" s="230">
        <f t="shared" si="9"/>
        <v>6</v>
      </c>
      <c r="N56" s="230">
        <f t="shared" si="1"/>
        <v>45</v>
      </c>
      <c r="O56" s="203"/>
    </row>
    <row r="57" ht="15.0" customHeight="1">
      <c r="A57" s="208" t="s">
        <v>452</v>
      </c>
      <c r="B57" s="230">
        <f t="shared" ref="B57:M57" si="10">IF(B41=0,0,B41*MAX(ROUNDUP(B49/B41/$B$23,0),ROUNDUP(B53/B41/$B$24,0),$B$25))</f>
        <v>0</v>
      </c>
      <c r="C57" s="230">
        <f t="shared" si="10"/>
        <v>0</v>
      </c>
      <c r="D57" s="230">
        <f t="shared" si="10"/>
        <v>0</v>
      </c>
      <c r="E57" s="230">
        <f t="shared" si="10"/>
        <v>3</v>
      </c>
      <c r="F57" s="230">
        <f t="shared" si="10"/>
        <v>0</v>
      </c>
      <c r="G57" s="230">
        <f t="shared" si="10"/>
        <v>0</v>
      </c>
      <c r="H57" s="230">
        <f t="shared" si="10"/>
        <v>0</v>
      </c>
      <c r="I57" s="230">
        <f t="shared" si="10"/>
        <v>0</v>
      </c>
      <c r="J57" s="230">
        <f t="shared" si="10"/>
        <v>0</v>
      </c>
      <c r="K57" s="230">
        <f t="shared" si="10"/>
        <v>0</v>
      </c>
      <c r="L57" s="230">
        <f t="shared" si="10"/>
        <v>0</v>
      </c>
      <c r="M57" s="230">
        <f t="shared" si="10"/>
        <v>0</v>
      </c>
      <c r="N57" s="230">
        <f t="shared" si="1"/>
        <v>3</v>
      </c>
      <c r="O57" s="203"/>
    </row>
    <row r="58" ht="15.0" customHeight="1">
      <c r="A58" s="231" t="s">
        <v>453</v>
      </c>
      <c r="B58" s="232">
        <f t="shared" ref="B58:M58" si="11">B55+B56+B57</f>
        <v>9</v>
      </c>
      <c r="C58" s="232">
        <f t="shared" si="11"/>
        <v>4</v>
      </c>
      <c r="D58" s="232">
        <f t="shared" si="11"/>
        <v>0</v>
      </c>
      <c r="E58" s="232">
        <f t="shared" si="11"/>
        <v>12</v>
      </c>
      <c r="F58" s="232">
        <f t="shared" si="11"/>
        <v>9</v>
      </c>
      <c r="G58" s="232">
        <f t="shared" si="11"/>
        <v>14</v>
      </c>
      <c r="H58" s="232">
        <f t="shared" si="11"/>
        <v>11</v>
      </c>
      <c r="I58" s="232">
        <f t="shared" si="11"/>
        <v>13</v>
      </c>
      <c r="J58" s="232">
        <f t="shared" si="11"/>
        <v>18</v>
      </c>
      <c r="K58" s="232">
        <f t="shared" si="11"/>
        <v>18</v>
      </c>
      <c r="L58" s="232">
        <f t="shared" si="11"/>
        <v>23</v>
      </c>
      <c r="M58" s="232">
        <f t="shared" si="11"/>
        <v>22</v>
      </c>
      <c r="N58" s="232">
        <f t="shared" si="1"/>
        <v>153</v>
      </c>
      <c r="O58" s="203"/>
    </row>
    <row r="59" ht="15.0" customHeight="1">
      <c r="A59" s="208" t="s">
        <v>454</v>
      </c>
      <c r="B59" s="233">
        <f t="shared" ref="B59:M59" si="12">N($B$19)+SUM($B50:B50)</f>
        <v>55</v>
      </c>
      <c r="C59" s="233">
        <f t="shared" si="12"/>
        <v>63</v>
      </c>
      <c r="D59" s="233">
        <f t="shared" si="12"/>
        <v>63</v>
      </c>
      <c r="E59" s="233">
        <f t="shared" si="12"/>
        <v>85</v>
      </c>
      <c r="F59" s="233">
        <f t="shared" si="12"/>
        <v>99</v>
      </c>
      <c r="G59" s="233">
        <f t="shared" si="12"/>
        <v>119</v>
      </c>
      <c r="H59" s="233">
        <f t="shared" si="12"/>
        <v>137</v>
      </c>
      <c r="I59" s="233">
        <f t="shared" si="12"/>
        <v>159</v>
      </c>
      <c r="J59" s="233">
        <f t="shared" si="12"/>
        <v>187</v>
      </c>
      <c r="K59" s="233">
        <f t="shared" si="12"/>
        <v>215</v>
      </c>
      <c r="L59" s="233">
        <f t="shared" si="12"/>
        <v>249</v>
      </c>
      <c r="M59" s="233">
        <f t="shared" si="12"/>
        <v>285</v>
      </c>
      <c r="N59" s="233"/>
      <c r="O59" s="203"/>
    </row>
    <row r="60" ht="15.0" customHeight="1">
      <c r="A60" s="208" t="s">
        <v>455</v>
      </c>
      <c r="B60" s="234">
        <f t="shared" ref="B60:M60" si="13">IF(N($B$19)&gt;0,B59/$B$19-1,0)</f>
        <v>0.5714285714</v>
      </c>
      <c r="C60" s="234">
        <f t="shared" si="13"/>
        <v>0.8</v>
      </c>
      <c r="D60" s="234">
        <f t="shared" si="13"/>
        <v>0.8</v>
      </c>
      <c r="E60" s="234">
        <f t="shared" si="13"/>
        <v>1.428571429</v>
      </c>
      <c r="F60" s="234">
        <f t="shared" si="13"/>
        <v>1.828571429</v>
      </c>
      <c r="G60" s="234">
        <f t="shared" si="13"/>
        <v>2.4</v>
      </c>
      <c r="H60" s="234">
        <f t="shared" si="13"/>
        <v>2.914285714</v>
      </c>
      <c r="I60" s="234">
        <f t="shared" si="13"/>
        <v>3.542857143</v>
      </c>
      <c r="J60" s="234">
        <f t="shared" si="13"/>
        <v>4.342857143</v>
      </c>
      <c r="K60" s="234">
        <f t="shared" si="13"/>
        <v>5.142857143</v>
      </c>
      <c r="L60" s="234">
        <f t="shared" si="13"/>
        <v>6.114285714</v>
      </c>
      <c r="M60" s="234">
        <f t="shared" si="13"/>
        <v>7.142857143</v>
      </c>
      <c r="N60" s="234"/>
      <c r="O60" s="203"/>
    </row>
    <row r="61" ht="15.0" customHeight="1">
      <c r="A61" s="203"/>
      <c r="B61" s="203"/>
      <c r="C61" s="203"/>
      <c r="D61" s="203"/>
      <c r="E61" s="203"/>
      <c r="F61" s="203"/>
      <c r="G61" s="203"/>
      <c r="H61" s="203"/>
      <c r="I61" s="203"/>
      <c r="J61" s="203"/>
      <c r="K61" s="203"/>
      <c r="L61" s="203"/>
      <c r="M61" s="203"/>
      <c r="N61" s="203"/>
      <c r="O61" s="203"/>
    </row>
    <row r="62" ht="27.0" customHeight="1">
      <c r="A62" s="206" t="s">
        <v>456</v>
      </c>
      <c r="B62" s="226">
        <f t="shared" ref="B62:M62" si="14">B$39</f>
        <v>46388</v>
      </c>
      <c r="C62" s="226">
        <f t="shared" si="14"/>
        <v>46419</v>
      </c>
      <c r="D62" s="226">
        <f t="shared" si="14"/>
        <v>46447</v>
      </c>
      <c r="E62" s="226">
        <f t="shared" si="14"/>
        <v>46478</v>
      </c>
      <c r="F62" s="226">
        <f t="shared" si="14"/>
        <v>46508</v>
      </c>
      <c r="G62" s="226">
        <f t="shared" si="14"/>
        <v>46539</v>
      </c>
      <c r="H62" s="226">
        <f t="shared" si="14"/>
        <v>46569</v>
      </c>
      <c r="I62" s="226">
        <f t="shared" si="14"/>
        <v>46600</v>
      </c>
      <c r="J62" s="226">
        <f t="shared" si="14"/>
        <v>46631</v>
      </c>
      <c r="K62" s="226">
        <f t="shared" si="14"/>
        <v>46661</v>
      </c>
      <c r="L62" s="226">
        <f t="shared" si="14"/>
        <v>46692</v>
      </c>
      <c r="M62" s="226">
        <f t="shared" si="14"/>
        <v>46722</v>
      </c>
      <c r="N62" s="227" t="s">
        <v>457</v>
      </c>
      <c r="O62" s="228"/>
    </row>
    <row r="63" ht="15.0" customHeight="1">
      <c r="A63" s="208" t="s">
        <v>458</v>
      </c>
      <c r="B63" s="230">
        <f t="shared" ref="B63:M63" si="15">$B$37</f>
        <v>14</v>
      </c>
      <c r="C63" s="230">
        <f t="shared" si="15"/>
        <v>14</v>
      </c>
      <c r="D63" s="230">
        <f t="shared" si="15"/>
        <v>14</v>
      </c>
      <c r="E63" s="230">
        <f t="shared" si="15"/>
        <v>14</v>
      </c>
      <c r="F63" s="230">
        <f t="shared" si="15"/>
        <v>14</v>
      </c>
      <c r="G63" s="230">
        <f t="shared" si="15"/>
        <v>14</v>
      </c>
      <c r="H63" s="230">
        <f t="shared" si="15"/>
        <v>14</v>
      </c>
      <c r="I63" s="230">
        <f t="shared" si="15"/>
        <v>14</v>
      </c>
      <c r="J63" s="230">
        <f t="shared" si="15"/>
        <v>14</v>
      </c>
      <c r="K63" s="230">
        <f t="shared" si="15"/>
        <v>14</v>
      </c>
      <c r="L63" s="230">
        <f t="shared" si="15"/>
        <v>14</v>
      </c>
      <c r="M63" s="230">
        <f t="shared" si="15"/>
        <v>14</v>
      </c>
      <c r="N63" s="230">
        <f t="shared" ref="N63:N73" si="16">AVERAGE(B63:M63)</f>
        <v>14</v>
      </c>
      <c r="O63" s="203"/>
    </row>
    <row r="64" ht="15.0" customHeight="1">
      <c r="A64" s="208" t="s">
        <v>459</v>
      </c>
      <c r="B64" s="229">
        <f>'Fld Ops Payroll'!F30</f>
        <v>5</v>
      </c>
      <c r="C64" s="229">
        <f>'Fld Ops Payroll'!G30</f>
        <v>5</v>
      </c>
      <c r="D64" s="229">
        <f>'Fld Ops Payroll'!H30</f>
        <v>8</v>
      </c>
      <c r="E64" s="229">
        <f>'Fld Ops Payroll'!I30</f>
        <v>11</v>
      </c>
      <c r="F64" s="229">
        <f>'Fld Ops Payroll'!J30</f>
        <v>15</v>
      </c>
      <c r="G64" s="229">
        <f>'Fld Ops Payroll'!K30</f>
        <v>19</v>
      </c>
      <c r="H64" s="229">
        <f>'Fld Ops Payroll'!L30</f>
        <v>24</v>
      </c>
      <c r="I64" s="229">
        <f>'Fld Ops Payroll'!M30</f>
        <v>30</v>
      </c>
      <c r="J64" s="229">
        <f>'Fld Ops Payroll'!N30</f>
        <v>36</v>
      </c>
      <c r="K64" s="229">
        <f>'Fld Ops Payroll'!O30</f>
        <v>43</v>
      </c>
      <c r="L64" s="229">
        <f>'Fld Ops Payroll'!P30</f>
        <v>51</v>
      </c>
      <c r="M64" s="229">
        <f>'Fld Ops Payroll'!Q30</f>
        <v>58</v>
      </c>
      <c r="N64" s="230">
        <f t="shared" si="16"/>
        <v>25.41666667</v>
      </c>
      <c r="O64" s="203"/>
    </row>
    <row r="65" ht="15.0" customHeight="1">
      <c r="A65" s="208" t="s">
        <v>460</v>
      </c>
      <c r="B65" s="229">
        <f>'Fld Ops Payroll'!F41</f>
        <v>0</v>
      </c>
      <c r="C65" s="229">
        <f>'Fld Ops Payroll'!G41</f>
        <v>0</v>
      </c>
      <c r="D65" s="229">
        <f>'Fld Ops Payroll'!H41</f>
        <v>1</v>
      </c>
      <c r="E65" s="229">
        <f>'Fld Ops Payroll'!I41</f>
        <v>1</v>
      </c>
      <c r="F65" s="229">
        <f>'Fld Ops Payroll'!J41</f>
        <v>2</v>
      </c>
      <c r="G65" s="229">
        <f>'Fld Ops Payroll'!K41</f>
        <v>3</v>
      </c>
      <c r="H65" s="229">
        <f>'Fld Ops Payroll'!L41</f>
        <v>4</v>
      </c>
      <c r="I65" s="229">
        <f>'Fld Ops Payroll'!M41</f>
        <v>5</v>
      </c>
      <c r="J65" s="229">
        <f>'Fld Ops Payroll'!N41</f>
        <v>6</v>
      </c>
      <c r="K65" s="229">
        <f>'Fld Ops Payroll'!O41</f>
        <v>8</v>
      </c>
      <c r="L65" s="229">
        <f>'Fld Ops Payroll'!P41</f>
        <v>9</v>
      </c>
      <c r="M65" s="229">
        <f>'Fld Ops Payroll'!Q41</f>
        <v>10</v>
      </c>
      <c r="N65" s="230">
        <f t="shared" si="16"/>
        <v>4.083333333</v>
      </c>
      <c r="O65" s="203"/>
    </row>
    <row r="66" ht="15.0" customHeight="1">
      <c r="A66" s="208" t="s">
        <v>461</v>
      </c>
      <c r="B66" s="229">
        <f>'Fld Ops Payroll'!F54</f>
        <v>0</v>
      </c>
      <c r="C66" s="229">
        <f>'Fld Ops Payroll'!G54</f>
        <v>0</v>
      </c>
      <c r="D66" s="229">
        <f>'Fld Ops Payroll'!H54</f>
        <v>0</v>
      </c>
      <c r="E66" s="229">
        <f>'Fld Ops Payroll'!I54</f>
        <v>0</v>
      </c>
      <c r="F66" s="229">
        <f>'Fld Ops Payroll'!J54</f>
        <v>0</v>
      </c>
      <c r="G66" s="229">
        <f>'Fld Ops Payroll'!K54</f>
        <v>0</v>
      </c>
      <c r="H66" s="229">
        <f>'Fld Ops Payroll'!L54</f>
        <v>0</v>
      </c>
      <c r="I66" s="229">
        <f>'Fld Ops Payroll'!M54</f>
        <v>0</v>
      </c>
      <c r="J66" s="229">
        <f>'Fld Ops Payroll'!N54</f>
        <v>0</v>
      </c>
      <c r="K66" s="229">
        <f>'Fld Ops Payroll'!O54</f>
        <v>0</v>
      </c>
      <c r="L66" s="229">
        <f>'Fld Ops Payroll'!P54</f>
        <v>0</v>
      </c>
      <c r="M66" s="229">
        <f>'Fld Ops Payroll'!Q54</f>
        <v>0</v>
      </c>
      <c r="N66" s="230">
        <f t="shared" si="16"/>
        <v>0</v>
      </c>
      <c r="O66" s="203"/>
    </row>
    <row r="67" ht="15.0" customHeight="1">
      <c r="A67" s="208" t="s">
        <v>462</v>
      </c>
      <c r="B67" s="230">
        <f t="shared" ref="B67:M67" si="17">-IF(B$39&gt;=$B$14,$B$15,0)</f>
        <v>0</v>
      </c>
      <c r="C67" s="230">
        <f t="shared" si="17"/>
        <v>0</v>
      </c>
      <c r="D67" s="230">
        <f t="shared" si="17"/>
        <v>-3</v>
      </c>
      <c r="E67" s="230">
        <f t="shared" si="17"/>
        <v>-3</v>
      </c>
      <c r="F67" s="230">
        <f t="shared" si="17"/>
        <v>-3</v>
      </c>
      <c r="G67" s="230">
        <f t="shared" si="17"/>
        <v>-3</v>
      </c>
      <c r="H67" s="230">
        <f t="shared" si="17"/>
        <v>-3</v>
      </c>
      <c r="I67" s="230">
        <f t="shared" si="17"/>
        <v>-3</v>
      </c>
      <c r="J67" s="230">
        <f t="shared" si="17"/>
        <v>-3</v>
      </c>
      <c r="K67" s="230">
        <f t="shared" si="17"/>
        <v>-3</v>
      </c>
      <c r="L67" s="230">
        <f t="shared" si="17"/>
        <v>-3</v>
      </c>
      <c r="M67" s="230">
        <f t="shared" si="17"/>
        <v>-3</v>
      </c>
      <c r="N67" s="230">
        <f t="shared" si="16"/>
        <v>-2.5</v>
      </c>
      <c r="O67" s="203"/>
    </row>
    <row r="68" ht="15.0" customHeight="1">
      <c r="A68" s="231" t="s">
        <v>463</v>
      </c>
      <c r="B68" s="232">
        <f t="shared" ref="B68:M68" si="18">SUM(B63:B67)</f>
        <v>19</v>
      </c>
      <c r="C68" s="232">
        <f t="shared" si="18"/>
        <v>19</v>
      </c>
      <c r="D68" s="232">
        <f t="shared" si="18"/>
        <v>20</v>
      </c>
      <c r="E68" s="232">
        <f t="shared" si="18"/>
        <v>23</v>
      </c>
      <c r="F68" s="232">
        <f t="shared" si="18"/>
        <v>28</v>
      </c>
      <c r="G68" s="232">
        <f t="shared" si="18"/>
        <v>33</v>
      </c>
      <c r="H68" s="232">
        <f t="shared" si="18"/>
        <v>39</v>
      </c>
      <c r="I68" s="232">
        <f t="shared" si="18"/>
        <v>46</v>
      </c>
      <c r="J68" s="232">
        <f t="shared" si="18"/>
        <v>53</v>
      </c>
      <c r="K68" s="232">
        <f t="shared" si="18"/>
        <v>62</v>
      </c>
      <c r="L68" s="232">
        <f t="shared" si="18"/>
        <v>71</v>
      </c>
      <c r="M68" s="232">
        <f t="shared" si="18"/>
        <v>79</v>
      </c>
      <c r="N68" s="232">
        <f t="shared" si="16"/>
        <v>41</v>
      </c>
      <c r="O68" s="203"/>
    </row>
    <row r="69" ht="15.0" customHeight="1">
      <c r="A69" s="208" t="s">
        <v>464</v>
      </c>
      <c r="B69" s="229">
        <f>'Fld Ops Payroll'!F67</f>
        <v>1</v>
      </c>
      <c r="C69" s="229">
        <f>'Fld Ops Payroll'!G67</f>
        <v>1</v>
      </c>
      <c r="D69" s="229">
        <f>'Fld Ops Payroll'!H67</f>
        <v>2</v>
      </c>
      <c r="E69" s="229">
        <f>'Fld Ops Payroll'!I67</f>
        <v>2</v>
      </c>
      <c r="F69" s="229">
        <f>'Fld Ops Payroll'!J67</f>
        <v>2</v>
      </c>
      <c r="G69" s="229">
        <f>'Fld Ops Payroll'!K67</f>
        <v>2</v>
      </c>
      <c r="H69" s="229">
        <f>'Fld Ops Payroll'!L67</f>
        <v>3</v>
      </c>
      <c r="I69" s="229">
        <f>'Fld Ops Payroll'!M67</f>
        <v>3</v>
      </c>
      <c r="J69" s="229">
        <f>'Fld Ops Payroll'!N67</f>
        <v>3</v>
      </c>
      <c r="K69" s="229">
        <f>'Fld Ops Payroll'!O67</f>
        <v>4</v>
      </c>
      <c r="L69" s="229">
        <f>'Fld Ops Payroll'!P67</f>
        <v>4</v>
      </c>
      <c r="M69" s="229">
        <f>'Fld Ops Payroll'!Q67</f>
        <v>5</v>
      </c>
      <c r="N69" s="230">
        <f t="shared" si="16"/>
        <v>2.666666667</v>
      </c>
      <c r="O69" s="203"/>
    </row>
    <row r="70" ht="15.0" customHeight="1">
      <c r="A70" s="208" t="s">
        <v>465</v>
      </c>
      <c r="B70" s="230">
        <f t="shared" ref="B70:M70" si="19">$B$30</f>
        <v>7</v>
      </c>
      <c r="C70" s="230">
        <f t="shared" si="19"/>
        <v>7</v>
      </c>
      <c r="D70" s="230">
        <f t="shared" si="19"/>
        <v>7</v>
      </c>
      <c r="E70" s="230">
        <f t="shared" si="19"/>
        <v>7</v>
      </c>
      <c r="F70" s="230">
        <f t="shared" si="19"/>
        <v>7</v>
      </c>
      <c r="G70" s="230">
        <f t="shared" si="19"/>
        <v>7</v>
      </c>
      <c r="H70" s="230">
        <f t="shared" si="19"/>
        <v>7</v>
      </c>
      <c r="I70" s="230">
        <f t="shared" si="19"/>
        <v>7</v>
      </c>
      <c r="J70" s="230">
        <f t="shared" si="19"/>
        <v>7</v>
      </c>
      <c r="K70" s="230">
        <f t="shared" si="19"/>
        <v>7</v>
      </c>
      <c r="L70" s="230">
        <f t="shared" si="19"/>
        <v>7</v>
      </c>
      <c r="M70" s="230">
        <f t="shared" si="19"/>
        <v>7</v>
      </c>
      <c r="N70" s="230">
        <f t="shared" si="16"/>
        <v>7</v>
      </c>
      <c r="O70" s="203"/>
    </row>
    <row r="71" ht="15.0" customHeight="1">
      <c r="A71" s="208" t="s">
        <v>466</v>
      </c>
      <c r="B71" s="230">
        <f t="shared" ref="B71:M71" si="20">IF(B$39&gt;=$B$14,$B$13,0)</f>
        <v>0</v>
      </c>
      <c r="C71" s="230">
        <f t="shared" si="20"/>
        <v>0</v>
      </c>
      <c r="D71" s="230">
        <f t="shared" si="20"/>
        <v>3</v>
      </c>
      <c r="E71" s="230">
        <f t="shared" si="20"/>
        <v>3</v>
      </c>
      <c r="F71" s="230">
        <f t="shared" si="20"/>
        <v>3</v>
      </c>
      <c r="G71" s="230">
        <f t="shared" si="20"/>
        <v>3</v>
      </c>
      <c r="H71" s="230">
        <f t="shared" si="20"/>
        <v>3</v>
      </c>
      <c r="I71" s="230">
        <f t="shared" si="20"/>
        <v>3</v>
      </c>
      <c r="J71" s="230">
        <f t="shared" si="20"/>
        <v>3</v>
      </c>
      <c r="K71" s="230">
        <f t="shared" si="20"/>
        <v>3</v>
      </c>
      <c r="L71" s="230">
        <f t="shared" si="20"/>
        <v>3</v>
      </c>
      <c r="M71" s="230">
        <f t="shared" si="20"/>
        <v>3</v>
      </c>
      <c r="N71" s="230">
        <f t="shared" si="16"/>
        <v>2.5</v>
      </c>
      <c r="O71" s="203"/>
    </row>
    <row r="72" ht="15.0" customHeight="1">
      <c r="A72" s="208" t="s">
        <v>467</v>
      </c>
      <c r="B72" s="230">
        <f t="shared" ref="B72:M72" si="21">$B$12</f>
        <v>1</v>
      </c>
      <c r="C72" s="230">
        <f t="shared" si="21"/>
        <v>1</v>
      </c>
      <c r="D72" s="230">
        <f t="shared" si="21"/>
        <v>1</v>
      </c>
      <c r="E72" s="230">
        <f t="shared" si="21"/>
        <v>1</v>
      </c>
      <c r="F72" s="230">
        <f t="shared" si="21"/>
        <v>1</v>
      </c>
      <c r="G72" s="230">
        <f t="shared" si="21"/>
        <v>1</v>
      </c>
      <c r="H72" s="230">
        <f t="shared" si="21"/>
        <v>1</v>
      </c>
      <c r="I72" s="230">
        <f t="shared" si="21"/>
        <v>1</v>
      </c>
      <c r="J72" s="230">
        <f t="shared" si="21"/>
        <v>1</v>
      </c>
      <c r="K72" s="230">
        <f t="shared" si="21"/>
        <v>1</v>
      </c>
      <c r="L72" s="230">
        <f t="shared" si="21"/>
        <v>1</v>
      </c>
      <c r="M72" s="230">
        <f t="shared" si="21"/>
        <v>1</v>
      </c>
      <c r="N72" s="230">
        <f t="shared" si="16"/>
        <v>1</v>
      </c>
      <c r="O72" s="203"/>
    </row>
    <row r="73" ht="15.0" customHeight="1">
      <c r="A73" s="231" t="s">
        <v>468</v>
      </c>
      <c r="B73" s="232">
        <f t="shared" ref="B73:M73" si="22">B70+B71+B72</f>
        <v>8</v>
      </c>
      <c r="C73" s="232">
        <f t="shared" si="22"/>
        <v>8</v>
      </c>
      <c r="D73" s="232">
        <f t="shared" si="22"/>
        <v>11</v>
      </c>
      <c r="E73" s="232">
        <f t="shared" si="22"/>
        <v>11</v>
      </c>
      <c r="F73" s="232">
        <f t="shared" si="22"/>
        <v>11</v>
      </c>
      <c r="G73" s="232">
        <f t="shared" si="22"/>
        <v>11</v>
      </c>
      <c r="H73" s="232">
        <f t="shared" si="22"/>
        <v>11</v>
      </c>
      <c r="I73" s="232">
        <f t="shared" si="22"/>
        <v>11</v>
      </c>
      <c r="J73" s="232">
        <f t="shared" si="22"/>
        <v>11</v>
      </c>
      <c r="K73" s="232">
        <f t="shared" si="22"/>
        <v>11</v>
      </c>
      <c r="L73" s="232">
        <f t="shared" si="22"/>
        <v>11</v>
      </c>
      <c r="M73" s="232">
        <f t="shared" si="22"/>
        <v>11</v>
      </c>
      <c r="N73" s="232">
        <f t="shared" si="16"/>
        <v>10.5</v>
      </c>
      <c r="O73" s="203"/>
    </row>
    <row r="74" ht="15.0" customHeight="1">
      <c r="A74" s="203"/>
      <c r="B74" s="203"/>
      <c r="C74" s="203"/>
      <c r="D74" s="203"/>
      <c r="E74" s="203"/>
      <c r="F74" s="203"/>
      <c r="G74" s="203"/>
      <c r="H74" s="203"/>
      <c r="I74" s="203"/>
      <c r="J74" s="203"/>
      <c r="K74" s="203"/>
      <c r="L74" s="203"/>
      <c r="M74" s="203"/>
      <c r="N74" s="203"/>
      <c r="O74" s="203"/>
    </row>
    <row r="75" ht="27.0" customHeight="1">
      <c r="A75" s="206" t="s">
        <v>469</v>
      </c>
      <c r="B75" s="226">
        <f t="shared" ref="B75:M75" si="23">B$39</f>
        <v>46388</v>
      </c>
      <c r="C75" s="226">
        <f t="shared" si="23"/>
        <v>46419</v>
      </c>
      <c r="D75" s="226">
        <f t="shared" si="23"/>
        <v>46447</v>
      </c>
      <c r="E75" s="226">
        <f t="shared" si="23"/>
        <v>46478</v>
      </c>
      <c r="F75" s="226">
        <f t="shared" si="23"/>
        <v>46508</v>
      </c>
      <c r="G75" s="226">
        <f t="shared" si="23"/>
        <v>46539</v>
      </c>
      <c r="H75" s="226">
        <f t="shared" si="23"/>
        <v>46569</v>
      </c>
      <c r="I75" s="226">
        <f t="shared" si="23"/>
        <v>46600</v>
      </c>
      <c r="J75" s="226">
        <f t="shared" si="23"/>
        <v>46631</v>
      </c>
      <c r="K75" s="226">
        <f t="shared" si="23"/>
        <v>46661</v>
      </c>
      <c r="L75" s="226">
        <f t="shared" si="23"/>
        <v>46692</v>
      </c>
      <c r="M75" s="226">
        <f t="shared" si="23"/>
        <v>46722</v>
      </c>
      <c r="N75" s="227" t="s">
        <v>2</v>
      </c>
      <c r="O75" s="227" t="s">
        <v>470</v>
      </c>
      <c r="P75" s="235" t="s">
        <v>471</v>
      </c>
    </row>
    <row r="76" ht="15.0" customHeight="1">
      <c r="A76" s="208" t="s">
        <v>472</v>
      </c>
      <c r="B76" s="236">
        <f t="shared" ref="B76:M76" si="24">B46*$B$5</f>
        <v>2279.7</v>
      </c>
      <c r="C76" s="236">
        <f t="shared" si="24"/>
        <v>1519.8</v>
      </c>
      <c r="D76" s="236">
        <f t="shared" si="24"/>
        <v>0</v>
      </c>
      <c r="E76" s="236">
        <f t="shared" si="24"/>
        <v>3495.54</v>
      </c>
      <c r="F76" s="236">
        <f t="shared" si="24"/>
        <v>2735.64</v>
      </c>
      <c r="G76" s="236">
        <f t="shared" si="24"/>
        <v>3951.48</v>
      </c>
      <c r="H76" s="236">
        <f t="shared" si="24"/>
        <v>3495.54</v>
      </c>
      <c r="I76" s="236">
        <f t="shared" si="24"/>
        <v>4255.44</v>
      </c>
      <c r="J76" s="236">
        <f t="shared" si="24"/>
        <v>5471.28</v>
      </c>
      <c r="K76" s="236">
        <f t="shared" si="24"/>
        <v>5471.28</v>
      </c>
      <c r="L76" s="236">
        <f t="shared" si="24"/>
        <v>6687.12</v>
      </c>
      <c r="M76" s="236">
        <f t="shared" si="24"/>
        <v>6991.08</v>
      </c>
      <c r="N76" s="236">
        <f t="shared" ref="N76:N86" si="26">SUM(B76:M76)</f>
        <v>46353.9</v>
      </c>
      <c r="O76" s="237">
        <v>5050.0</v>
      </c>
    </row>
    <row r="77" ht="15.0" customHeight="1">
      <c r="A77" s="208" t="s">
        <v>473</v>
      </c>
      <c r="B77" s="236">
        <f t="shared" ref="B77:M77" si="25">$B$7</f>
        <v>3992</v>
      </c>
      <c r="C77" s="236">
        <f t="shared" si="25"/>
        <v>3992</v>
      </c>
      <c r="D77" s="236">
        <f t="shared" si="25"/>
        <v>3992</v>
      </c>
      <c r="E77" s="236">
        <f t="shared" si="25"/>
        <v>3992</v>
      </c>
      <c r="F77" s="236">
        <f t="shared" si="25"/>
        <v>3992</v>
      </c>
      <c r="G77" s="236">
        <f t="shared" si="25"/>
        <v>3992</v>
      </c>
      <c r="H77" s="236">
        <f t="shared" si="25"/>
        <v>3992</v>
      </c>
      <c r="I77" s="236">
        <f t="shared" si="25"/>
        <v>3992</v>
      </c>
      <c r="J77" s="236">
        <f t="shared" si="25"/>
        <v>3992</v>
      </c>
      <c r="K77" s="236">
        <f t="shared" si="25"/>
        <v>3992</v>
      </c>
      <c r="L77" s="236">
        <f t="shared" si="25"/>
        <v>3992</v>
      </c>
      <c r="M77" s="236">
        <f t="shared" si="25"/>
        <v>3992</v>
      </c>
      <c r="N77" s="236">
        <f t="shared" si="26"/>
        <v>47904</v>
      </c>
      <c r="O77" s="237">
        <v>5360.0</v>
      </c>
    </row>
    <row r="78" ht="15.0" customHeight="1">
      <c r="A78" s="208" t="s">
        <v>474</v>
      </c>
      <c r="B78" s="236">
        <f t="shared" ref="B78:M78" si="27">B45*$B$8</f>
        <v>13500</v>
      </c>
      <c r="C78" s="236">
        <f t="shared" si="27"/>
        <v>9000</v>
      </c>
      <c r="D78" s="236">
        <f t="shared" si="27"/>
        <v>0</v>
      </c>
      <c r="E78" s="236">
        <f t="shared" si="27"/>
        <v>20700</v>
      </c>
      <c r="F78" s="236">
        <f t="shared" si="27"/>
        <v>16200</v>
      </c>
      <c r="G78" s="236">
        <f t="shared" si="27"/>
        <v>23400</v>
      </c>
      <c r="H78" s="236">
        <f t="shared" si="27"/>
        <v>20700</v>
      </c>
      <c r="I78" s="236">
        <f t="shared" si="27"/>
        <v>25200</v>
      </c>
      <c r="J78" s="236">
        <f t="shared" si="27"/>
        <v>32400</v>
      </c>
      <c r="K78" s="236">
        <f t="shared" si="27"/>
        <v>32400</v>
      </c>
      <c r="L78" s="236">
        <f t="shared" si="27"/>
        <v>39600</v>
      </c>
      <c r="M78" s="236">
        <f t="shared" si="27"/>
        <v>41400</v>
      </c>
      <c r="N78" s="236">
        <f t="shared" si="26"/>
        <v>274500</v>
      </c>
      <c r="O78" s="237">
        <v>5330.0</v>
      </c>
      <c r="P78" s="235" t="s">
        <v>475</v>
      </c>
    </row>
    <row r="79" ht="15.0" customHeight="1">
      <c r="A79" s="208" t="s">
        <v>476</v>
      </c>
      <c r="B79" s="236">
        <f t="shared" ref="B79:M79" si="28">B68*$B$9</f>
        <v>524.02</v>
      </c>
      <c r="C79" s="236">
        <f t="shared" si="28"/>
        <v>524.02</v>
      </c>
      <c r="D79" s="236">
        <f t="shared" si="28"/>
        <v>551.6</v>
      </c>
      <c r="E79" s="236">
        <f t="shared" si="28"/>
        <v>634.34</v>
      </c>
      <c r="F79" s="236">
        <f t="shared" si="28"/>
        <v>772.24</v>
      </c>
      <c r="G79" s="236">
        <f t="shared" si="28"/>
        <v>910.14</v>
      </c>
      <c r="H79" s="236">
        <f t="shared" si="28"/>
        <v>1075.62</v>
      </c>
      <c r="I79" s="236">
        <f t="shared" si="28"/>
        <v>1268.68</v>
      </c>
      <c r="J79" s="236">
        <f t="shared" si="28"/>
        <v>1461.74</v>
      </c>
      <c r="K79" s="236">
        <f t="shared" si="28"/>
        <v>1709.96</v>
      </c>
      <c r="L79" s="236">
        <f t="shared" si="28"/>
        <v>1958.18</v>
      </c>
      <c r="M79" s="236">
        <f t="shared" si="28"/>
        <v>2178.82</v>
      </c>
      <c r="N79" s="236">
        <f t="shared" si="26"/>
        <v>13569.36</v>
      </c>
      <c r="O79" s="237">
        <v>5330.0</v>
      </c>
    </row>
    <row r="80" ht="15.0" customHeight="1">
      <c r="A80" s="208" t="s">
        <v>477</v>
      </c>
      <c r="B80" s="236">
        <f t="shared" ref="B80:M80" si="29">$B$18*(1+B60)</f>
        <v>48713.61754</v>
      </c>
      <c r="C80" s="236">
        <f t="shared" si="29"/>
        <v>55799.23464</v>
      </c>
      <c r="D80" s="236">
        <f t="shared" si="29"/>
        <v>55799.23464</v>
      </c>
      <c r="E80" s="236">
        <f t="shared" si="29"/>
        <v>75284.68166</v>
      </c>
      <c r="F80" s="236">
        <f t="shared" si="29"/>
        <v>87684.51158</v>
      </c>
      <c r="G80" s="236">
        <f t="shared" si="29"/>
        <v>105398.5543</v>
      </c>
      <c r="H80" s="236">
        <f t="shared" si="29"/>
        <v>121341.1928</v>
      </c>
      <c r="I80" s="236">
        <f t="shared" si="29"/>
        <v>140826.6398</v>
      </c>
      <c r="J80" s="236">
        <f t="shared" si="29"/>
        <v>165626.2996</v>
      </c>
      <c r="K80" s="236">
        <f t="shared" si="29"/>
        <v>190425.9595</v>
      </c>
      <c r="L80" s="236">
        <f t="shared" si="29"/>
        <v>220539.8321</v>
      </c>
      <c r="M80" s="236">
        <f t="shared" si="29"/>
        <v>252425.1091</v>
      </c>
      <c r="N80" s="236">
        <f t="shared" si="26"/>
        <v>1519864.867</v>
      </c>
      <c r="O80" s="237">
        <v>5340.0</v>
      </c>
    </row>
    <row r="81" ht="15.0" customHeight="1">
      <c r="A81" s="208" t="s">
        <v>398</v>
      </c>
      <c r="B81" s="236">
        <f t="shared" ref="B81:M81" si="30">B80*$B$20</f>
        <v>2581.82173</v>
      </c>
      <c r="C81" s="236">
        <f t="shared" si="30"/>
        <v>2957.359436</v>
      </c>
      <c r="D81" s="236">
        <f t="shared" si="30"/>
        <v>2957.359436</v>
      </c>
      <c r="E81" s="236">
        <f t="shared" si="30"/>
        <v>3990.088128</v>
      </c>
      <c r="F81" s="236">
        <f t="shared" si="30"/>
        <v>4647.279114</v>
      </c>
      <c r="G81" s="236">
        <f t="shared" si="30"/>
        <v>5586.123379</v>
      </c>
      <c r="H81" s="236">
        <f t="shared" si="30"/>
        <v>6431.083218</v>
      </c>
      <c r="I81" s="236">
        <f t="shared" si="30"/>
        <v>7463.81191</v>
      </c>
      <c r="J81" s="236">
        <f t="shared" si="30"/>
        <v>8778.193881</v>
      </c>
      <c r="K81" s="236">
        <f t="shared" si="30"/>
        <v>10092.57585</v>
      </c>
      <c r="L81" s="236">
        <f t="shared" si="30"/>
        <v>11688.6111</v>
      </c>
      <c r="M81" s="236">
        <f t="shared" si="30"/>
        <v>13378.53078</v>
      </c>
      <c r="N81" s="236">
        <f t="shared" si="26"/>
        <v>80552.83797</v>
      </c>
      <c r="O81" s="237">
        <v>5320.0</v>
      </c>
    </row>
    <row r="82" ht="15.0" customHeight="1">
      <c r="A82" s="208" t="s">
        <v>401</v>
      </c>
      <c r="B82" s="236">
        <f t="shared" ref="B82:M82" si="31">$B$21</f>
        <v>2604</v>
      </c>
      <c r="C82" s="236">
        <f t="shared" si="31"/>
        <v>2604</v>
      </c>
      <c r="D82" s="236">
        <f t="shared" si="31"/>
        <v>2604</v>
      </c>
      <c r="E82" s="236">
        <f t="shared" si="31"/>
        <v>2604</v>
      </c>
      <c r="F82" s="236">
        <f t="shared" si="31"/>
        <v>2604</v>
      </c>
      <c r="G82" s="236">
        <f t="shared" si="31"/>
        <v>2604</v>
      </c>
      <c r="H82" s="236">
        <f t="shared" si="31"/>
        <v>2604</v>
      </c>
      <c r="I82" s="236">
        <f t="shared" si="31"/>
        <v>2604</v>
      </c>
      <c r="J82" s="236">
        <f t="shared" si="31"/>
        <v>2604</v>
      </c>
      <c r="K82" s="236">
        <f t="shared" si="31"/>
        <v>2604</v>
      </c>
      <c r="L82" s="236">
        <f t="shared" si="31"/>
        <v>2604</v>
      </c>
      <c r="M82" s="236">
        <f t="shared" si="31"/>
        <v>2604</v>
      </c>
      <c r="N82" s="236">
        <f t="shared" si="26"/>
        <v>31248</v>
      </c>
      <c r="O82" s="237">
        <v>5320.0</v>
      </c>
    </row>
    <row r="83" ht="15.0" customHeight="1">
      <c r="A83" s="208" t="s">
        <v>478</v>
      </c>
      <c r="B83" s="236">
        <f t="shared" ref="B83:M83" si="32">B58*$B$22</f>
        <v>45000</v>
      </c>
      <c r="C83" s="236">
        <f t="shared" si="32"/>
        <v>20000</v>
      </c>
      <c r="D83" s="236">
        <f t="shared" si="32"/>
        <v>0</v>
      </c>
      <c r="E83" s="236">
        <f t="shared" si="32"/>
        <v>60000</v>
      </c>
      <c r="F83" s="236">
        <f t="shared" si="32"/>
        <v>45000</v>
      </c>
      <c r="G83" s="236">
        <f t="shared" si="32"/>
        <v>70000</v>
      </c>
      <c r="H83" s="236">
        <f t="shared" si="32"/>
        <v>55000</v>
      </c>
      <c r="I83" s="236">
        <f t="shared" si="32"/>
        <v>65000</v>
      </c>
      <c r="J83" s="236">
        <f t="shared" si="32"/>
        <v>90000</v>
      </c>
      <c r="K83" s="236">
        <f t="shared" si="32"/>
        <v>90000</v>
      </c>
      <c r="L83" s="236">
        <f t="shared" si="32"/>
        <v>115000</v>
      </c>
      <c r="M83" s="236">
        <f t="shared" si="32"/>
        <v>110000</v>
      </c>
      <c r="N83" s="236">
        <f t="shared" si="26"/>
        <v>765000</v>
      </c>
      <c r="O83" s="237">
        <v>5040.0</v>
      </c>
    </row>
    <row r="84" ht="15.0" customHeight="1">
      <c r="A84" s="208" t="s">
        <v>479</v>
      </c>
      <c r="B84" s="236">
        <f t="shared" ref="B84:M84" si="33">(B70+B71)*$B$10+B72*$B$11</f>
        <v>37614</v>
      </c>
      <c r="C84" s="236">
        <f t="shared" si="33"/>
        <v>37614</v>
      </c>
      <c r="D84" s="236">
        <f t="shared" si="33"/>
        <v>50004</v>
      </c>
      <c r="E84" s="236">
        <f t="shared" si="33"/>
        <v>50004</v>
      </c>
      <c r="F84" s="236">
        <f t="shared" si="33"/>
        <v>50004</v>
      </c>
      <c r="G84" s="236">
        <f t="shared" si="33"/>
        <v>50004</v>
      </c>
      <c r="H84" s="236">
        <f t="shared" si="33"/>
        <v>50004</v>
      </c>
      <c r="I84" s="236">
        <f t="shared" si="33"/>
        <v>50004</v>
      </c>
      <c r="J84" s="236">
        <f t="shared" si="33"/>
        <v>50004</v>
      </c>
      <c r="K84" s="236">
        <f t="shared" si="33"/>
        <v>50004</v>
      </c>
      <c r="L84" s="236">
        <f t="shared" si="33"/>
        <v>50004</v>
      </c>
      <c r="M84" s="236">
        <f t="shared" si="33"/>
        <v>50004</v>
      </c>
      <c r="N84" s="236">
        <f t="shared" si="26"/>
        <v>575268</v>
      </c>
      <c r="O84" s="237">
        <v>5310.0</v>
      </c>
    </row>
    <row r="85" ht="15.0" customHeight="1">
      <c r="A85" s="208" t="s">
        <v>411</v>
      </c>
      <c r="B85" s="236">
        <f t="shared" ref="B85:M85" si="34">$B$26</f>
        <v>3000</v>
      </c>
      <c r="C85" s="236">
        <f t="shared" si="34"/>
        <v>3000</v>
      </c>
      <c r="D85" s="236">
        <f t="shared" si="34"/>
        <v>3000</v>
      </c>
      <c r="E85" s="236">
        <f t="shared" si="34"/>
        <v>3000</v>
      </c>
      <c r="F85" s="236">
        <f t="shared" si="34"/>
        <v>3000</v>
      </c>
      <c r="G85" s="236">
        <f t="shared" si="34"/>
        <v>3000</v>
      </c>
      <c r="H85" s="236">
        <f t="shared" si="34"/>
        <v>3000</v>
      </c>
      <c r="I85" s="236">
        <f t="shared" si="34"/>
        <v>3000</v>
      </c>
      <c r="J85" s="236">
        <f t="shared" si="34"/>
        <v>3000</v>
      </c>
      <c r="K85" s="236">
        <f t="shared" si="34"/>
        <v>3000</v>
      </c>
      <c r="L85" s="236">
        <f t="shared" si="34"/>
        <v>3000</v>
      </c>
      <c r="M85" s="236">
        <f t="shared" si="34"/>
        <v>3000</v>
      </c>
      <c r="N85" s="236">
        <f t="shared" si="26"/>
        <v>36000</v>
      </c>
      <c r="O85" s="237">
        <v>5350.0</v>
      </c>
    </row>
    <row r="86" ht="15.0" customHeight="1">
      <c r="A86" s="238" t="s">
        <v>480</v>
      </c>
      <c r="B86" s="239">
        <f t="shared" ref="B86:M86" si="35">SUM(B76:B85)</f>
        <v>159809.1593</v>
      </c>
      <c r="C86" s="239">
        <f t="shared" si="35"/>
        <v>137010.4141</v>
      </c>
      <c r="D86" s="239">
        <f t="shared" si="35"/>
        <v>118908.1941</v>
      </c>
      <c r="E86" s="239">
        <f t="shared" si="35"/>
        <v>223704.6498</v>
      </c>
      <c r="F86" s="239">
        <f t="shared" si="35"/>
        <v>216639.6707</v>
      </c>
      <c r="G86" s="239">
        <f t="shared" si="35"/>
        <v>268846.2977</v>
      </c>
      <c r="H86" s="239">
        <f t="shared" si="35"/>
        <v>267643.436</v>
      </c>
      <c r="I86" s="239">
        <f t="shared" si="35"/>
        <v>303614.5717</v>
      </c>
      <c r="J86" s="239">
        <f t="shared" si="35"/>
        <v>363337.5135</v>
      </c>
      <c r="K86" s="239">
        <f t="shared" si="35"/>
        <v>389699.7753</v>
      </c>
      <c r="L86" s="239">
        <f t="shared" si="35"/>
        <v>455073.7433</v>
      </c>
      <c r="M86" s="239">
        <f t="shared" si="35"/>
        <v>485973.5399</v>
      </c>
      <c r="N86" s="239">
        <f t="shared" si="26"/>
        <v>3390260.965</v>
      </c>
      <c r="O86" s="203"/>
    </row>
    <row r="87" ht="15.0" customHeight="1">
      <c r="A87" s="203"/>
      <c r="B87" s="236"/>
      <c r="C87" s="236"/>
      <c r="D87" s="236"/>
      <c r="E87" s="236"/>
      <c r="F87" s="236"/>
      <c r="G87" s="236"/>
      <c r="H87" s="236"/>
      <c r="I87" s="236"/>
      <c r="J87" s="236"/>
      <c r="K87" s="236"/>
      <c r="L87" s="236"/>
      <c r="M87" s="236"/>
      <c r="N87" s="236"/>
      <c r="O87" s="203"/>
    </row>
    <row r="88" ht="27.0" customHeight="1">
      <c r="A88" s="206" t="s">
        <v>481</v>
      </c>
      <c r="B88" s="226">
        <f t="shared" ref="B88:M88" si="36">B$39</f>
        <v>46388</v>
      </c>
      <c r="C88" s="226">
        <f t="shared" si="36"/>
        <v>46419</v>
      </c>
      <c r="D88" s="226">
        <f t="shared" si="36"/>
        <v>46447</v>
      </c>
      <c r="E88" s="226">
        <f t="shared" si="36"/>
        <v>46478</v>
      </c>
      <c r="F88" s="226">
        <f t="shared" si="36"/>
        <v>46508</v>
      </c>
      <c r="G88" s="226">
        <f t="shared" si="36"/>
        <v>46539</v>
      </c>
      <c r="H88" s="226">
        <f t="shared" si="36"/>
        <v>46569</v>
      </c>
      <c r="I88" s="226">
        <f t="shared" si="36"/>
        <v>46600</v>
      </c>
      <c r="J88" s="226">
        <f t="shared" si="36"/>
        <v>46631</v>
      </c>
      <c r="K88" s="226">
        <f t="shared" si="36"/>
        <v>46661</v>
      </c>
      <c r="L88" s="226">
        <f t="shared" si="36"/>
        <v>46692</v>
      </c>
      <c r="M88" s="226">
        <f t="shared" si="36"/>
        <v>46722</v>
      </c>
      <c r="N88" s="240" t="s">
        <v>2</v>
      </c>
      <c r="O88" s="228"/>
    </row>
    <row r="89" ht="15.0" customHeight="1">
      <c r="A89" s="208" t="s">
        <v>96</v>
      </c>
      <c r="B89" s="236">
        <f t="shared" ref="B89:M89" si="37">SUMIF($O$76:$O$85,5040,B$76:B$85)</f>
        <v>45000</v>
      </c>
      <c r="C89" s="236">
        <f t="shared" si="37"/>
        <v>20000</v>
      </c>
      <c r="D89" s="236">
        <f t="shared" si="37"/>
        <v>0</v>
      </c>
      <c r="E89" s="236">
        <f t="shared" si="37"/>
        <v>60000</v>
      </c>
      <c r="F89" s="236">
        <f t="shared" si="37"/>
        <v>45000</v>
      </c>
      <c r="G89" s="236">
        <f t="shared" si="37"/>
        <v>70000</v>
      </c>
      <c r="H89" s="236">
        <f t="shared" si="37"/>
        <v>55000</v>
      </c>
      <c r="I89" s="236">
        <f t="shared" si="37"/>
        <v>65000</v>
      </c>
      <c r="J89" s="236">
        <f t="shared" si="37"/>
        <v>90000</v>
      </c>
      <c r="K89" s="236">
        <f t="shared" si="37"/>
        <v>90000</v>
      </c>
      <c r="L89" s="236">
        <f t="shared" si="37"/>
        <v>115000</v>
      </c>
      <c r="M89" s="236">
        <f t="shared" si="37"/>
        <v>110000</v>
      </c>
      <c r="N89" s="236">
        <f t="shared" ref="N89:N98" si="39">SUM(B89:M89)</f>
        <v>765000</v>
      </c>
      <c r="O89" s="203"/>
    </row>
    <row r="90" ht="15.0" customHeight="1">
      <c r="A90" s="208" t="s">
        <v>98</v>
      </c>
      <c r="B90" s="236">
        <f t="shared" ref="B90:M90" si="38">SUMIF($O$76:$O$85,5050,B$76:B$85)</f>
        <v>2279.7</v>
      </c>
      <c r="C90" s="236">
        <f t="shared" si="38"/>
        <v>1519.8</v>
      </c>
      <c r="D90" s="236">
        <f t="shared" si="38"/>
        <v>0</v>
      </c>
      <c r="E90" s="236">
        <f t="shared" si="38"/>
        <v>3495.54</v>
      </c>
      <c r="F90" s="236">
        <f t="shared" si="38"/>
        <v>2735.64</v>
      </c>
      <c r="G90" s="236">
        <f t="shared" si="38"/>
        <v>3951.48</v>
      </c>
      <c r="H90" s="236">
        <f t="shared" si="38"/>
        <v>3495.54</v>
      </c>
      <c r="I90" s="236">
        <f t="shared" si="38"/>
        <v>4255.44</v>
      </c>
      <c r="J90" s="236">
        <f t="shared" si="38"/>
        <v>5471.28</v>
      </c>
      <c r="K90" s="236">
        <f t="shared" si="38"/>
        <v>5471.28</v>
      </c>
      <c r="L90" s="236">
        <f t="shared" si="38"/>
        <v>6687.12</v>
      </c>
      <c r="M90" s="236">
        <f t="shared" si="38"/>
        <v>6991.08</v>
      </c>
      <c r="N90" s="236">
        <f t="shared" si="39"/>
        <v>46353.9</v>
      </c>
      <c r="O90" s="203"/>
    </row>
    <row r="91" ht="15.0" customHeight="1">
      <c r="A91" s="208" t="s">
        <v>112</v>
      </c>
      <c r="B91" s="236">
        <f t="shared" ref="B91:M91" si="40">SUMIF($O$76:$O$85,5310,B$76:B$85)</f>
        <v>37614</v>
      </c>
      <c r="C91" s="236">
        <f t="shared" si="40"/>
        <v>37614</v>
      </c>
      <c r="D91" s="236">
        <f t="shared" si="40"/>
        <v>50004</v>
      </c>
      <c r="E91" s="236">
        <f t="shared" si="40"/>
        <v>50004</v>
      </c>
      <c r="F91" s="236">
        <f t="shared" si="40"/>
        <v>50004</v>
      </c>
      <c r="G91" s="236">
        <f t="shared" si="40"/>
        <v>50004</v>
      </c>
      <c r="H91" s="236">
        <f t="shared" si="40"/>
        <v>50004</v>
      </c>
      <c r="I91" s="236">
        <f t="shared" si="40"/>
        <v>50004</v>
      </c>
      <c r="J91" s="236">
        <f t="shared" si="40"/>
        <v>50004</v>
      </c>
      <c r="K91" s="236">
        <f t="shared" si="40"/>
        <v>50004</v>
      </c>
      <c r="L91" s="236">
        <f t="shared" si="40"/>
        <v>50004</v>
      </c>
      <c r="M91" s="236">
        <f t="shared" si="40"/>
        <v>50004</v>
      </c>
      <c r="N91" s="236">
        <f t="shared" si="39"/>
        <v>575268</v>
      </c>
      <c r="O91" s="203"/>
    </row>
    <row r="92" ht="15.0" customHeight="1">
      <c r="A92" s="208" t="s">
        <v>113</v>
      </c>
      <c r="B92" s="236">
        <f t="shared" ref="B92:M92" si="41">SUMIF($O$76:$O$85,5320,B$76:B$85)</f>
        <v>5185.82173</v>
      </c>
      <c r="C92" s="236">
        <f t="shared" si="41"/>
        <v>5561.359436</v>
      </c>
      <c r="D92" s="236">
        <f t="shared" si="41"/>
        <v>5561.359436</v>
      </c>
      <c r="E92" s="236">
        <f t="shared" si="41"/>
        <v>6594.088128</v>
      </c>
      <c r="F92" s="236">
        <f t="shared" si="41"/>
        <v>7251.279114</v>
      </c>
      <c r="G92" s="236">
        <f t="shared" si="41"/>
        <v>8190.123379</v>
      </c>
      <c r="H92" s="236">
        <f t="shared" si="41"/>
        <v>9035.083218</v>
      </c>
      <c r="I92" s="236">
        <f t="shared" si="41"/>
        <v>10067.81191</v>
      </c>
      <c r="J92" s="236">
        <f t="shared" si="41"/>
        <v>11382.19388</v>
      </c>
      <c r="K92" s="236">
        <f t="shared" si="41"/>
        <v>12696.57585</v>
      </c>
      <c r="L92" s="236">
        <f t="shared" si="41"/>
        <v>14292.6111</v>
      </c>
      <c r="M92" s="236">
        <f t="shared" si="41"/>
        <v>15982.53078</v>
      </c>
      <c r="N92" s="236">
        <f t="shared" si="39"/>
        <v>111800.838</v>
      </c>
      <c r="O92" s="203"/>
    </row>
    <row r="93" ht="15.0" customHeight="1">
      <c r="A93" s="208" t="s">
        <v>114</v>
      </c>
      <c r="B93" s="236">
        <f t="shared" ref="B93:M93" si="42">SUMIF($O$76:$O$85,5330,B$76:B$85)</f>
        <v>14024.02</v>
      </c>
      <c r="C93" s="236">
        <f t="shared" si="42"/>
        <v>9524.02</v>
      </c>
      <c r="D93" s="236">
        <f t="shared" si="42"/>
        <v>551.6</v>
      </c>
      <c r="E93" s="236">
        <f t="shared" si="42"/>
        <v>21334.34</v>
      </c>
      <c r="F93" s="236">
        <f t="shared" si="42"/>
        <v>16972.24</v>
      </c>
      <c r="G93" s="236">
        <f t="shared" si="42"/>
        <v>24310.14</v>
      </c>
      <c r="H93" s="236">
        <f t="shared" si="42"/>
        <v>21775.62</v>
      </c>
      <c r="I93" s="236">
        <f t="shared" si="42"/>
        <v>26468.68</v>
      </c>
      <c r="J93" s="236">
        <f t="shared" si="42"/>
        <v>33861.74</v>
      </c>
      <c r="K93" s="236">
        <f t="shared" si="42"/>
        <v>34109.96</v>
      </c>
      <c r="L93" s="236">
        <f t="shared" si="42"/>
        <v>41558.18</v>
      </c>
      <c r="M93" s="236">
        <f t="shared" si="42"/>
        <v>43578.82</v>
      </c>
      <c r="N93" s="236">
        <f t="shared" si="39"/>
        <v>288069.36</v>
      </c>
      <c r="O93" s="203"/>
    </row>
    <row r="94" ht="15.0" customHeight="1">
      <c r="A94" s="208" t="s">
        <v>115</v>
      </c>
      <c r="B94" s="236">
        <f t="shared" ref="B94:M94" si="43">SUMIF($O$76:$O$85,5340,B$76:B$85)</f>
        <v>48713.61754</v>
      </c>
      <c r="C94" s="236">
        <f t="shared" si="43"/>
        <v>55799.23464</v>
      </c>
      <c r="D94" s="236">
        <f t="shared" si="43"/>
        <v>55799.23464</v>
      </c>
      <c r="E94" s="236">
        <f t="shared" si="43"/>
        <v>75284.68166</v>
      </c>
      <c r="F94" s="236">
        <f t="shared" si="43"/>
        <v>87684.51158</v>
      </c>
      <c r="G94" s="236">
        <f t="shared" si="43"/>
        <v>105398.5543</v>
      </c>
      <c r="H94" s="236">
        <f t="shared" si="43"/>
        <v>121341.1928</v>
      </c>
      <c r="I94" s="236">
        <f t="shared" si="43"/>
        <v>140826.6398</v>
      </c>
      <c r="J94" s="236">
        <f t="shared" si="43"/>
        <v>165626.2996</v>
      </c>
      <c r="K94" s="236">
        <f t="shared" si="43"/>
        <v>190425.9595</v>
      </c>
      <c r="L94" s="236">
        <f t="shared" si="43"/>
        <v>220539.8321</v>
      </c>
      <c r="M94" s="236">
        <f t="shared" si="43"/>
        <v>252425.1091</v>
      </c>
      <c r="N94" s="236">
        <f t="shared" si="39"/>
        <v>1519864.867</v>
      </c>
      <c r="O94" s="203"/>
    </row>
    <row r="95" ht="15.0" customHeight="1">
      <c r="A95" s="208" t="s">
        <v>116</v>
      </c>
      <c r="B95" s="236">
        <f t="shared" ref="B95:M95" si="44">SUMIF($O$76:$O$85,5350,B$76:B$85)</f>
        <v>3000</v>
      </c>
      <c r="C95" s="236">
        <f t="shared" si="44"/>
        <v>3000</v>
      </c>
      <c r="D95" s="236">
        <f t="shared" si="44"/>
        <v>3000</v>
      </c>
      <c r="E95" s="236">
        <f t="shared" si="44"/>
        <v>3000</v>
      </c>
      <c r="F95" s="236">
        <f t="shared" si="44"/>
        <v>3000</v>
      </c>
      <c r="G95" s="236">
        <f t="shared" si="44"/>
        <v>3000</v>
      </c>
      <c r="H95" s="236">
        <f t="shared" si="44"/>
        <v>3000</v>
      </c>
      <c r="I95" s="236">
        <f t="shared" si="44"/>
        <v>3000</v>
      </c>
      <c r="J95" s="236">
        <f t="shared" si="44"/>
        <v>3000</v>
      </c>
      <c r="K95" s="236">
        <f t="shared" si="44"/>
        <v>3000</v>
      </c>
      <c r="L95" s="236">
        <f t="shared" si="44"/>
        <v>3000</v>
      </c>
      <c r="M95" s="236">
        <f t="shared" si="44"/>
        <v>3000</v>
      </c>
      <c r="N95" s="236">
        <f t="shared" si="39"/>
        <v>36000</v>
      </c>
      <c r="O95" s="203"/>
    </row>
    <row r="96" ht="15.0" customHeight="1">
      <c r="A96" s="208" t="s">
        <v>117</v>
      </c>
      <c r="B96" s="236">
        <f t="shared" ref="B96:M96" si="45">SUMIF($O$76:$O$85,5360,B$76:B$85)</f>
        <v>3992</v>
      </c>
      <c r="C96" s="236">
        <f t="shared" si="45"/>
        <v>3992</v>
      </c>
      <c r="D96" s="236">
        <f t="shared" si="45"/>
        <v>3992</v>
      </c>
      <c r="E96" s="236">
        <f t="shared" si="45"/>
        <v>3992</v>
      </c>
      <c r="F96" s="236">
        <f t="shared" si="45"/>
        <v>3992</v>
      </c>
      <c r="G96" s="236">
        <f t="shared" si="45"/>
        <v>3992</v>
      </c>
      <c r="H96" s="236">
        <f t="shared" si="45"/>
        <v>3992</v>
      </c>
      <c r="I96" s="236">
        <f t="shared" si="45"/>
        <v>3992</v>
      </c>
      <c r="J96" s="236">
        <f t="shared" si="45"/>
        <v>3992</v>
      </c>
      <c r="K96" s="236">
        <f t="shared" si="45"/>
        <v>3992</v>
      </c>
      <c r="L96" s="236">
        <f t="shared" si="45"/>
        <v>3992</v>
      </c>
      <c r="M96" s="236">
        <f t="shared" si="45"/>
        <v>3992</v>
      </c>
      <c r="N96" s="236">
        <f t="shared" si="39"/>
        <v>47904</v>
      </c>
      <c r="O96" s="203"/>
    </row>
    <row r="97" ht="15.0" customHeight="1">
      <c r="A97" s="238" t="s">
        <v>482</v>
      </c>
      <c r="B97" s="239">
        <f t="shared" ref="B97:M97" si="46">SUM(B89:B96)</f>
        <v>159809.1593</v>
      </c>
      <c r="C97" s="239">
        <f t="shared" si="46"/>
        <v>137010.4141</v>
      </c>
      <c r="D97" s="239">
        <f t="shared" si="46"/>
        <v>118908.1941</v>
      </c>
      <c r="E97" s="239">
        <f t="shared" si="46"/>
        <v>223704.6498</v>
      </c>
      <c r="F97" s="239">
        <f t="shared" si="46"/>
        <v>216639.6707</v>
      </c>
      <c r="G97" s="239">
        <f t="shared" si="46"/>
        <v>268846.2977</v>
      </c>
      <c r="H97" s="239">
        <f t="shared" si="46"/>
        <v>267643.436</v>
      </c>
      <c r="I97" s="239">
        <f t="shared" si="46"/>
        <v>303614.5717</v>
      </c>
      <c r="J97" s="239">
        <f t="shared" si="46"/>
        <v>363337.5135</v>
      </c>
      <c r="K97" s="239">
        <f t="shared" si="46"/>
        <v>389699.7753</v>
      </c>
      <c r="L97" s="239">
        <f t="shared" si="46"/>
        <v>455073.7433</v>
      </c>
      <c r="M97" s="239">
        <f t="shared" si="46"/>
        <v>485973.5399</v>
      </c>
      <c r="N97" s="239">
        <f t="shared" si="39"/>
        <v>3390260.965</v>
      </c>
      <c r="O97" s="203"/>
    </row>
    <row r="98" ht="15.0" customHeight="1">
      <c r="A98" s="208" t="s">
        <v>483</v>
      </c>
      <c r="B98" s="236">
        <f t="shared" ref="B98:M98" si="47">ROUND(B97-B86,0)</f>
        <v>0</v>
      </c>
      <c r="C98" s="236">
        <f t="shared" si="47"/>
        <v>0</v>
      </c>
      <c r="D98" s="236">
        <f t="shared" si="47"/>
        <v>0</v>
      </c>
      <c r="E98" s="236">
        <f t="shared" si="47"/>
        <v>0</v>
      </c>
      <c r="F98" s="236">
        <f t="shared" si="47"/>
        <v>0</v>
      </c>
      <c r="G98" s="236">
        <f t="shared" si="47"/>
        <v>0</v>
      </c>
      <c r="H98" s="236">
        <f t="shared" si="47"/>
        <v>0</v>
      </c>
      <c r="I98" s="236">
        <f t="shared" si="47"/>
        <v>0</v>
      </c>
      <c r="J98" s="236">
        <f t="shared" si="47"/>
        <v>0</v>
      </c>
      <c r="K98" s="236">
        <f t="shared" si="47"/>
        <v>0</v>
      </c>
      <c r="L98" s="236">
        <f t="shared" si="47"/>
        <v>0</v>
      </c>
      <c r="M98" s="236">
        <f t="shared" si="47"/>
        <v>0</v>
      </c>
      <c r="N98" s="236">
        <f t="shared" si="39"/>
        <v>0</v>
      </c>
      <c r="O98" s="203"/>
    </row>
    <row r="99" ht="15.0" customHeight="1">
      <c r="A99" s="241" t="s">
        <v>484</v>
      </c>
      <c r="B99" s="203"/>
      <c r="C99" s="203"/>
      <c r="D99" s="203"/>
      <c r="E99" s="203"/>
      <c r="F99" s="203"/>
      <c r="G99" s="203"/>
      <c r="H99" s="203"/>
      <c r="I99" s="203"/>
      <c r="J99" s="203"/>
      <c r="K99" s="203"/>
      <c r="L99" s="203"/>
      <c r="M99" s="203"/>
      <c r="N99" s="203"/>
      <c r="O99" s="203"/>
    </row>
    <row r="100" ht="15.0" customHeight="1">
      <c r="A100" s="203"/>
      <c r="B100" s="203"/>
      <c r="C100" s="203"/>
      <c r="D100" s="203"/>
      <c r="E100" s="203"/>
      <c r="F100" s="203"/>
      <c r="G100" s="203"/>
      <c r="H100" s="203"/>
      <c r="I100" s="203"/>
      <c r="J100" s="203"/>
      <c r="K100" s="203"/>
      <c r="L100" s="203"/>
      <c r="M100" s="203"/>
      <c r="N100" s="203"/>
      <c r="O100" s="203"/>
    </row>
    <row r="101" ht="27.0" customHeight="1">
      <c r="A101" s="206"/>
      <c r="B101" s="226"/>
      <c r="C101" s="226"/>
      <c r="D101" s="226"/>
      <c r="E101" s="226"/>
      <c r="F101" s="226"/>
      <c r="G101" s="226"/>
      <c r="H101" s="226"/>
      <c r="I101" s="226"/>
      <c r="J101" s="226"/>
      <c r="K101" s="226"/>
      <c r="L101" s="226"/>
      <c r="M101" s="226"/>
      <c r="N101" s="240"/>
      <c r="O101" s="203"/>
    </row>
    <row r="102" ht="27.0" customHeight="1">
      <c r="A102" s="208"/>
      <c r="B102" s="236"/>
      <c r="C102" s="236"/>
      <c r="D102" s="236"/>
      <c r="E102" s="236"/>
      <c r="F102" s="236"/>
      <c r="G102" s="236"/>
      <c r="H102" s="236"/>
      <c r="I102" s="236"/>
      <c r="J102" s="236"/>
      <c r="K102" s="236"/>
      <c r="L102" s="236"/>
      <c r="M102" s="236"/>
      <c r="N102" s="236"/>
      <c r="O102" s="203"/>
    </row>
    <row r="103" ht="27.0" customHeight="1">
      <c r="A103" s="208"/>
      <c r="B103" s="236"/>
      <c r="C103" s="236"/>
      <c r="D103" s="236"/>
      <c r="E103" s="236"/>
      <c r="F103" s="236"/>
      <c r="G103" s="236"/>
      <c r="H103" s="236"/>
      <c r="I103" s="236"/>
      <c r="J103" s="236"/>
      <c r="K103" s="236"/>
      <c r="L103" s="236"/>
      <c r="M103" s="236"/>
      <c r="N103" s="236"/>
      <c r="O103" s="203"/>
    </row>
    <row r="104" ht="27.0" customHeight="1">
      <c r="A104" s="208"/>
      <c r="B104" s="236"/>
      <c r="C104" s="236"/>
      <c r="D104" s="236"/>
      <c r="E104" s="236"/>
      <c r="F104" s="236"/>
      <c r="G104" s="236"/>
      <c r="H104" s="236"/>
      <c r="I104" s="236"/>
      <c r="J104" s="236"/>
      <c r="K104" s="236"/>
      <c r="L104" s="236"/>
      <c r="M104" s="236"/>
      <c r="N104" s="236"/>
      <c r="O104" s="203"/>
    </row>
    <row r="105" ht="27.0" customHeight="1">
      <c r="A105" s="208"/>
      <c r="B105" s="236"/>
      <c r="C105" s="236"/>
      <c r="D105" s="236"/>
      <c r="E105" s="236"/>
      <c r="F105" s="236"/>
      <c r="G105" s="236"/>
      <c r="H105" s="236"/>
      <c r="I105" s="236"/>
      <c r="J105" s="236"/>
      <c r="K105" s="236"/>
      <c r="L105" s="236"/>
      <c r="M105" s="236"/>
      <c r="N105" s="236"/>
      <c r="O105" s="203"/>
    </row>
    <row r="106" ht="27.0" customHeight="1">
      <c r="A106" s="208"/>
      <c r="B106" s="236"/>
      <c r="C106" s="236"/>
      <c r="D106" s="236"/>
      <c r="E106" s="236"/>
      <c r="F106" s="236"/>
      <c r="G106" s="236"/>
      <c r="H106" s="236"/>
      <c r="I106" s="236"/>
      <c r="J106" s="236"/>
      <c r="K106" s="236"/>
      <c r="L106" s="236"/>
      <c r="M106" s="236"/>
      <c r="N106" s="236"/>
      <c r="O106" s="203"/>
    </row>
    <row r="107" ht="27.0" customHeight="1">
      <c r="A107" s="208"/>
      <c r="B107" s="236"/>
      <c r="C107" s="236"/>
      <c r="D107" s="236"/>
      <c r="E107" s="236"/>
      <c r="F107" s="236"/>
      <c r="G107" s="236"/>
      <c r="H107" s="236"/>
      <c r="I107" s="236"/>
      <c r="J107" s="236"/>
      <c r="K107" s="236"/>
      <c r="L107" s="236"/>
      <c r="M107" s="236"/>
      <c r="N107" s="236"/>
      <c r="O107" s="203"/>
    </row>
    <row r="108" ht="27.0" customHeight="1">
      <c r="A108" s="208"/>
      <c r="B108" s="236"/>
      <c r="C108" s="236"/>
      <c r="D108" s="236"/>
      <c r="E108" s="236"/>
      <c r="F108" s="236"/>
      <c r="G108" s="236"/>
      <c r="H108" s="236"/>
      <c r="I108" s="236"/>
      <c r="J108" s="236"/>
      <c r="K108" s="236"/>
      <c r="L108" s="236"/>
      <c r="M108" s="236"/>
      <c r="N108" s="236"/>
      <c r="O108" s="203"/>
    </row>
    <row r="109" ht="27.0" customHeight="1">
      <c r="A109" s="238"/>
      <c r="B109" s="239"/>
      <c r="C109" s="239"/>
      <c r="D109" s="239"/>
      <c r="E109" s="239"/>
      <c r="F109" s="239"/>
      <c r="G109" s="239"/>
      <c r="H109" s="239"/>
      <c r="I109" s="239"/>
      <c r="J109" s="239"/>
      <c r="K109" s="239"/>
      <c r="L109" s="239"/>
      <c r="M109" s="239"/>
      <c r="N109" s="239"/>
      <c r="O109" s="203"/>
    </row>
    <row r="110" ht="27.0" customHeight="1">
      <c r="A110" s="208"/>
      <c r="B110" s="236"/>
      <c r="C110" s="236"/>
      <c r="D110" s="236"/>
      <c r="E110" s="236"/>
      <c r="F110" s="236"/>
      <c r="G110" s="236"/>
      <c r="H110" s="236"/>
      <c r="I110" s="236"/>
      <c r="J110" s="236"/>
      <c r="K110" s="236"/>
      <c r="L110" s="236"/>
      <c r="M110" s="236"/>
      <c r="N110" s="236"/>
      <c r="O110" s="203"/>
    </row>
    <row r="111" ht="27.0" customHeight="1">
      <c r="A111" s="206"/>
      <c r="B111" s="227"/>
      <c r="C111" s="227"/>
      <c r="D111" s="227"/>
      <c r="E111" s="206"/>
      <c r="F111" s="203"/>
      <c r="G111" s="203"/>
      <c r="H111" s="203"/>
      <c r="I111" s="203"/>
      <c r="J111" s="203"/>
      <c r="K111" s="203"/>
      <c r="L111" s="203"/>
      <c r="M111" s="203"/>
      <c r="N111" s="203"/>
      <c r="O111" s="203"/>
    </row>
    <row r="112" ht="27.0" customHeight="1">
      <c r="A112" s="206" t="s">
        <v>485</v>
      </c>
      <c r="B112" s="227" t="s">
        <v>486</v>
      </c>
      <c r="C112" s="227" t="s">
        <v>487</v>
      </c>
      <c r="D112" s="227" t="s">
        <v>488</v>
      </c>
      <c r="E112" s="206" t="s">
        <v>489</v>
      </c>
      <c r="F112" s="203"/>
      <c r="G112" s="203"/>
      <c r="H112" s="203"/>
      <c r="I112" s="203"/>
      <c r="J112" s="203"/>
      <c r="K112" s="203"/>
      <c r="L112" s="203"/>
      <c r="M112" s="203"/>
      <c r="N112" s="203"/>
      <c r="O112" s="203"/>
    </row>
    <row r="113" ht="15.0" customHeight="1">
      <c r="A113" s="208" t="s">
        <v>96</v>
      </c>
      <c r="B113" s="242">
        <v>57182.0</v>
      </c>
      <c r="C113" s="236">
        <f t="shared" ref="C113:C120" si="48">N89</f>
        <v>765000</v>
      </c>
      <c r="D113" s="236">
        <f t="shared" ref="D113:D121" si="49">C113-B113</f>
        <v>707818</v>
      </c>
      <c r="E113" s="208" t="s">
        <v>490</v>
      </c>
      <c r="F113" s="203"/>
      <c r="G113" s="203"/>
      <c r="H113" s="203"/>
      <c r="I113" s="203"/>
      <c r="J113" s="203"/>
      <c r="K113" s="203"/>
      <c r="L113" s="203"/>
      <c r="M113" s="203"/>
      <c r="N113" s="203"/>
      <c r="O113" s="203"/>
    </row>
    <row r="114" ht="15.0" customHeight="1">
      <c r="A114" s="208" t="s">
        <v>98</v>
      </c>
      <c r="B114" s="242">
        <v>2684.0</v>
      </c>
      <c r="C114" s="236">
        <f t="shared" si="48"/>
        <v>46353.9</v>
      </c>
      <c r="D114" s="236">
        <f t="shared" si="49"/>
        <v>43669.9</v>
      </c>
      <c r="E114" s="208" t="s">
        <v>491</v>
      </c>
      <c r="F114" s="203"/>
      <c r="G114" s="203"/>
      <c r="H114" s="203"/>
      <c r="I114" s="203"/>
      <c r="J114" s="203"/>
      <c r="K114" s="203"/>
      <c r="L114" s="203"/>
      <c r="M114" s="203"/>
      <c r="N114" s="203"/>
      <c r="O114" s="203"/>
    </row>
    <row r="115" ht="15.0" customHeight="1">
      <c r="A115" s="208" t="s">
        <v>112</v>
      </c>
      <c r="B115" s="242">
        <v>231822.0</v>
      </c>
      <c r="C115" s="236">
        <f t="shared" si="48"/>
        <v>575268</v>
      </c>
      <c r="D115" s="236">
        <f t="shared" si="49"/>
        <v>343446</v>
      </c>
      <c r="E115" s="208" t="s">
        <v>492</v>
      </c>
      <c r="F115" s="203"/>
      <c r="G115" s="203"/>
      <c r="H115" s="203"/>
      <c r="I115" s="203"/>
      <c r="J115" s="203"/>
      <c r="K115" s="203"/>
      <c r="L115" s="203"/>
      <c r="M115" s="203"/>
      <c r="N115" s="203"/>
      <c r="O115" s="203"/>
    </row>
    <row r="116" ht="15.0" customHeight="1">
      <c r="A116" s="208" t="s">
        <v>113</v>
      </c>
      <c r="B116" s="242">
        <v>76383.0</v>
      </c>
      <c r="C116" s="236">
        <f t="shared" si="48"/>
        <v>111800.838</v>
      </c>
      <c r="D116" s="236">
        <f t="shared" si="49"/>
        <v>35417.83797</v>
      </c>
      <c r="E116" s="208" t="s">
        <v>493</v>
      </c>
      <c r="F116" s="203"/>
      <c r="G116" s="203"/>
      <c r="H116" s="203"/>
      <c r="I116" s="203"/>
      <c r="J116" s="203"/>
      <c r="K116" s="203"/>
      <c r="L116" s="203"/>
      <c r="M116" s="203"/>
      <c r="N116" s="203"/>
      <c r="O116" s="203"/>
    </row>
    <row r="117" ht="15.0" customHeight="1">
      <c r="A117" s="208" t="s">
        <v>114</v>
      </c>
      <c r="B117" s="242">
        <v>23121.0</v>
      </c>
      <c r="C117" s="236">
        <f t="shared" si="48"/>
        <v>288069.36</v>
      </c>
      <c r="D117" s="236">
        <f t="shared" si="49"/>
        <v>264948.36</v>
      </c>
      <c r="E117" s="208" t="s">
        <v>494</v>
      </c>
      <c r="F117" s="203"/>
      <c r="G117" s="203"/>
      <c r="H117" s="203"/>
      <c r="I117" s="203"/>
      <c r="J117" s="203"/>
      <c r="K117" s="203"/>
      <c r="L117" s="203"/>
      <c r="M117" s="203"/>
      <c r="N117" s="203"/>
      <c r="O117" s="203"/>
    </row>
    <row r="118" ht="15.0" customHeight="1">
      <c r="A118" s="208" t="s">
        <v>115</v>
      </c>
      <c r="B118" s="242">
        <v>255704.0</v>
      </c>
      <c r="C118" s="236">
        <f t="shared" si="48"/>
        <v>1519864.867</v>
      </c>
      <c r="D118" s="236">
        <f t="shared" si="49"/>
        <v>1264160.867</v>
      </c>
      <c r="E118" s="208" t="s">
        <v>495</v>
      </c>
      <c r="F118" s="203"/>
      <c r="G118" s="203"/>
      <c r="H118" s="203"/>
      <c r="I118" s="203"/>
      <c r="J118" s="203"/>
      <c r="K118" s="203"/>
      <c r="L118" s="203"/>
      <c r="M118" s="203"/>
      <c r="N118" s="203"/>
      <c r="O118" s="203"/>
    </row>
    <row r="119" ht="15.0" customHeight="1">
      <c r="A119" s="208" t="s">
        <v>116</v>
      </c>
      <c r="B119" s="242">
        <v>30960.0</v>
      </c>
      <c r="C119" s="236">
        <f t="shared" si="48"/>
        <v>36000</v>
      </c>
      <c r="D119" s="236">
        <f t="shared" si="49"/>
        <v>5040</v>
      </c>
      <c r="E119" s="208" t="s">
        <v>496</v>
      </c>
      <c r="F119" s="203"/>
      <c r="G119" s="203"/>
      <c r="H119" s="203"/>
      <c r="I119" s="203"/>
      <c r="J119" s="203"/>
      <c r="K119" s="203"/>
      <c r="L119" s="203"/>
      <c r="M119" s="203"/>
      <c r="N119" s="203"/>
      <c r="O119" s="203"/>
    </row>
    <row r="120" ht="15.0" customHeight="1">
      <c r="A120" s="208" t="s">
        <v>117</v>
      </c>
      <c r="B120" s="242">
        <v>45228.0</v>
      </c>
      <c r="C120" s="236">
        <f t="shared" si="48"/>
        <v>47904</v>
      </c>
      <c r="D120" s="236">
        <f t="shared" si="49"/>
        <v>2676</v>
      </c>
      <c r="E120" s="208" t="s">
        <v>497</v>
      </c>
      <c r="F120" s="203"/>
      <c r="G120" s="203"/>
      <c r="H120" s="203"/>
      <c r="I120" s="203"/>
      <c r="J120" s="203"/>
      <c r="K120" s="203"/>
      <c r="L120" s="203"/>
      <c r="M120" s="203"/>
      <c r="N120" s="203"/>
      <c r="O120" s="203"/>
    </row>
    <row r="121" ht="15.0" customHeight="1">
      <c r="A121" s="238" t="s">
        <v>498</v>
      </c>
      <c r="B121" s="239">
        <f t="shared" ref="B121:C121" si="50">SUM(B113:B120)</f>
        <v>723084</v>
      </c>
      <c r="C121" s="239">
        <f t="shared" si="50"/>
        <v>3390260.965</v>
      </c>
      <c r="D121" s="239">
        <f t="shared" si="49"/>
        <v>2667176.965</v>
      </c>
      <c r="E121" s="243"/>
      <c r="F121" s="203"/>
      <c r="G121" s="203"/>
      <c r="H121" s="203"/>
      <c r="I121" s="203"/>
      <c r="J121" s="203"/>
      <c r="K121" s="203"/>
      <c r="L121" s="203"/>
      <c r="M121" s="203"/>
      <c r="N121" s="203"/>
      <c r="O121" s="203"/>
    </row>
    <row r="122" ht="15.0" customHeight="1">
      <c r="A122" s="241" t="s">
        <v>499</v>
      </c>
      <c r="B122" s="203"/>
      <c r="C122" s="203"/>
      <c r="D122" s="203"/>
      <c r="E122" s="203"/>
      <c r="F122" s="203"/>
      <c r="G122" s="203"/>
      <c r="H122" s="203"/>
      <c r="I122" s="203"/>
      <c r="J122" s="203"/>
      <c r="K122" s="203"/>
      <c r="L122" s="203"/>
      <c r="M122" s="203"/>
      <c r="N122" s="203"/>
      <c r="O122" s="203"/>
    </row>
    <row r="123" ht="15.0" customHeight="1">
      <c r="A123" s="203"/>
      <c r="B123" s="203"/>
      <c r="C123" s="203"/>
      <c r="D123" s="203"/>
      <c r="E123" s="203"/>
      <c r="F123" s="203"/>
      <c r="G123" s="203"/>
      <c r="H123" s="203"/>
      <c r="I123" s="203"/>
      <c r="J123" s="203"/>
      <c r="K123" s="203"/>
      <c r="L123" s="203"/>
      <c r="M123" s="203"/>
      <c r="N123" s="203"/>
      <c r="O123" s="203"/>
    </row>
    <row r="124" ht="15.0" customHeight="1">
      <c r="A124" s="206" t="s">
        <v>500</v>
      </c>
      <c r="B124" s="207"/>
      <c r="C124" s="207"/>
      <c r="D124" s="207"/>
      <c r="E124" s="207"/>
      <c r="F124" s="207"/>
      <c r="G124" s="207"/>
      <c r="H124" s="207"/>
      <c r="I124" s="207"/>
      <c r="J124" s="207"/>
      <c r="K124" s="207"/>
      <c r="L124" s="207"/>
      <c r="M124" s="207"/>
      <c r="N124" s="207"/>
      <c r="O124" s="207"/>
    </row>
    <row r="125" ht="15.0" customHeight="1">
      <c r="A125" s="208" t="s">
        <v>501</v>
      </c>
      <c r="B125" s="203"/>
      <c r="C125" s="203"/>
      <c r="D125" s="203"/>
      <c r="E125" s="203"/>
      <c r="F125" s="203"/>
      <c r="G125" s="203"/>
      <c r="H125" s="203"/>
      <c r="I125" s="203"/>
      <c r="J125" s="203"/>
      <c r="K125" s="203"/>
      <c r="L125" s="203"/>
      <c r="M125" s="203"/>
      <c r="N125" s="203"/>
      <c r="O125" s="203"/>
    </row>
    <row r="126" ht="15.0" customHeight="1">
      <c r="A126" s="208" t="s">
        <v>502</v>
      </c>
      <c r="B126" s="203"/>
      <c r="C126" s="203"/>
      <c r="D126" s="203"/>
      <c r="E126" s="203"/>
      <c r="F126" s="203"/>
      <c r="G126" s="203"/>
      <c r="H126" s="203"/>
      <c r="I126" s="203"/>
      <c r="J126" s="203"/>
      <c r="K126" s="203"/>
      <c r="L126" s="203"/>
      <c r="M126" s="203"/>
      <c r="N126" s="203"/>
      <c r="O126" s="203"/>
    </row>
    <row r="127" ht="15.0" customHeight="1">
      <c r="A127" s="208" t="s">
        <v>503</v>
      </c>
      <c r="B127" s="203"/>
      <c r="C127" s="203"/>
      <c r="D127" s="203"/>
      <c r="E127" s="203"/>
      <c r="F127" s="203"/>
      <c r="G127" s="203"/>
      <c r="H127" s="203"/>
      <c r="I127" s="203"/>
      <c r="J127" s="203"/>
      <c r="K127" s="203"/>
      <c r="L127" s="203"/>
      <c r="M127" s="203"/>
      <c r="N127" s="203"/>
      <c r="O127" s="203"/>
    </row>
    <row r="128" ht="15.0" customHeight="1">
      <c r="A128" s="208" t="s">
        <v>504</v>
      </c>
      <c r="B128" s="203"/>
      <c r="C128" s="203"/>
      <c r="D128" s="203"/>
      <c r="E128" s="203"/>
      <c r="F128" s="203"/>
      <c r="G128" s="203"/>
      <c r="H128" s="203"/>
      <c r="I128" s="203"/>
      <c r="J128" s="203"/>
      <c r="K128" s="203"/>
      <c r="L128" s="203"/>
      <c r="M128" s="203"/>
      <c r="N128" s="203"/>
      <c r="O128" s="203"/>
    </row>
    <row r="129" ht="15.0" customHeight="1">
      <c r="A129" s="208" t="s">
        <v>505</v>
      </c>
      <c r="B129" s="203"/>
      <c r="C129" s="203"/>
      <c r="D129" s="203"/>
      <c r="E129" s="203"/>
      <c r="F129" s="203"/>
      <c r="G129" s="203"/>
      <c r="H129" s="203"/>
      <c r="I129" s="203"/>
      <c r="J129" s="203"/>
      <c r="K129" s="203"/>
      <c r="L129" s="203"/>
      <c r="M129" s="203"/>
      <c r="N129" s="203"/>
      <c r="O129" s="203"/>
    </row>
    <row r="130" ht="15.0" customHeight="1">
      <c r="A130" s="208" t="s">
        <v>506</v>
      </c>
      <c r="B130" s="203"/>
      <c r="C130" s="203"/>
      <c r="D130" s="203"/>
      <c r="E130" s="203"/>
      <c r="F130" s="203"/>
      <c r="G130" s="203"/>
      <c r="H130" s="203"/>
      <c r="I130" s="203"/>
      <c r="J130" s="203"/>
      <c r="K130" s="203"/>
      <c r="L130" s="203"/>
      <c r="M130" s="203"/>
      <c r="N130" s="203"/>
      <c r="O130" s="203"/>
    </row>
    <row r="131" ht="15.0" customHeight="1">
      <c r="A131" s="208" t="s">
        <v>507</v>
      </c>
      <c r="B131" s="203"/>
      <c r="C131" s="203"/>
      <c r="D131" s="203"/>
      <c r="E131" s="203"/>
      <c r="F131" s="203"/>
      <c r="G131" s="203"/>
      <c r="H131" s="203"/>
      <c r="I131" s="203"/>
      <c r="J131" s="203"/>
      <c r="K131" s="203"/>
      <c r="L131" s="203"/>
      <c r="M131" s="203"/>
      <c r="N131" s="203"/>
      <c r="O131" s="203"/>
    </row>
    <row r="132" ht="15.0" customHeight="1">
      <c r="A132" s="203"/>
      <c r="B132" s="203"/>
      <c r="C132" s="203"/>
      <c r="D132" s="203"/>
      <c r="E132" s="203"/>
      <c r="F132" s="203"/>
      <c r="G132" s="203"/>
      <c r="H132" s="203"/>
      <c r="I132" s="203"/>
      <c r="J132" s="203"/>
      <c r="K132" s="203"/>
      <c r="L132" s="203"/>
      <c r="M132" s="203"/>
      <c r="N132" s="203"/>
      <c r="O132" s="203"/>
    </row>
    <row r="133" ht="15.0" customHeight="1">
      <c r="A133" s="206" t="s">
        <v>508</v>
      </c>
      <c r="B133" s="207"/>
      <c r="C133" s="207"/>
      <c r="D133" s="207"/>
      <c r="E133" s="207"/>
      <c r="F133" s="207"/>
      <c r="G133" s="207"/>
      <c r="H133" s="207"/>
      <c r="I133" s="207"/>
      <c r="J133" s="207"/>
      <c r="K133" s="207"/>
      <c r="L133" s="207"/>
      <c r="M133" s="207"/>
      <c r="N133" s="207"/>
      <c r="O133" s="207"/>
    </row>
    <row r="134" ht="15.0" customHeight="1">
      <c r="A134" s="208" t="s">
        <v>509</v>
      </c>
      <c r="B134" s="203"/>
      <c r="C134" s="203"/>
      <c r="D134" s="203"/>
      <c r="E134" s="203"/>
      <c r="F134" s="203"/>
      <c r="G134" s="203"/>
      <c r="H134" s="203"/>
      <c r="I134" s="203"/>
      <c r="J134" s="203"/>
      <c r="K134" s="203"/>
      <c r="L134" s="203"/>
      <c r="M134" s="203"/>
      <c r="N134" s="203"/>
      <c r="O134" s="203"/>
    </row>
    <row r="135" ht="15.0" customHeight="1">
      <c r="A135" s="208" t="s">
        <v>510</v>
      </c>
      <c r="B135" s="203"/>
      <c r="C135" s="203"/>
      <c r="D135" s="203"/>
      <c r="E135" s="203"/>
      <c r="F135" s="203"/>
      <c r="G135" s="203"/>
      <c r="H135" s="203"/>
      <c r="I135" s="203"/>
      <c r="J135" s="203"/>
      <c r="K135" s="203"/>
      <c r="L135" s="203"/>
      <c r="M135" s="203"/>
      <c r="N135" s="203"/>
      <c r="O135" s="203"/>
    </row>
    <row r="136" ht="15.0" customHeight="1">
      <c r="A136" s="208" t="s">
        <v>511</v>
      </c>
      <c r="B136" s="203"/>
      <c r="C136" s="203"/>
      <c r="D136" s="203"/>
      <c r="E136" s="203"/>
      <c r="F136" s="203"/>
      <c r="G136" s="203"/>
      <c r="H136" s="203"/>
      <c r="I136" s="203"/>
      <c r="J136" s="203"/>
      <c r="K136" s="203"/>
      <c r="L136" s="203"/>
      <c r="M136" s="203"/>
      <c r="N136" s="203"/>
      <c r="O136" s="203"/>
    </row>
    <row r="137" ht="15.0" customHeight="1">
      <c r="A137" s="208" t="s">
        <v>512</v>
      </c>
      <c r="B137" s="203"/>
      <c r="C137" s="203"/>
      <c r="D137" s="203"/>
      <c r="E137" s="203"/>
      <c r="F137" s="203"/>
      <c r="G137" s="203"/>
      <c r="H137" s="203"/>
      <c r="I137" s="203"/>
      <c r="J137" s="203"/>
      <c r="K137" s="203"/>
      <c r="L137" s="203"/>
      <c r="M137" s="203"/>
      <c r="N137" s="203"/>
      <c r="O137" s="203"/>
    </row>
    <row r="138" ht="15.0" customHeight="1">
      <c r="A138" s="203"/>
      <c r="B138" s="203"/>
      <c r="C138" s="203"/>
      <c r="D138" s="203"/>
      <c r="E138" s="203"/>
      <c r="F138" s="203"/>
      <c r="G138" s="203"/>
      <c r="H138" s="203"/>
      <c r="I138" s="203"/>
      <c r="J138" s="203"/>
      <c r="K138" s="203"/>
      <c r="L138" s="203"/>
      <c r="M138" s="203"/>
      <c r="N138" s="203"/>
      <c r="O138" s="203"/>
    </row>
    <row r="139" ht="15.0" customHeight="1">
      <c r="A139" s="206" t="s">
        <v>513</v>
      </c>
      <c r="B139" s="207"/>
      <c r="C139" s="207"/>
      <c r="D139" s="207"/>
      <c r="E139" s="207"/>
      <c r="F139" s="207"/>
      <c r="G139" s="207"/>
      <c r="H139" s="207"/>
      <c r="I139" s="207"/>
      <c r="J139" s="207"/>
      <c r="K139" s="207"/>
      <c r="L139" s="207"/>
      <c r="M139" s="207"/>
      <c r="N139" s="207"/>
      <c r="O139" s="207"/>
    </row>
    <row r="140" ht="15.0" customHeight="1">
      <c r="A140" s="208" t="s">
        <v>514</v>
      </c>
      <c r="B140" s="203"/>
      <c r="C140" s="203"/>
      <c r="D140" s="203"/>
      <c r="E140" s="203"/>
      <c r="F140" s="203"/>
      <c r="G140" s="203"/>
      <c r="H140" s="203"/>
      <c r="I140" s="203"/>
      <c r="J140" s="203"/>
      <c r="K140" s="203"/>
      <c r="L140" s="203"/>
      <c r="M140" s="203"/>
      <c r="N140" s="203"/>
      <c r="O140" s="203"/>
    </row>
    <row r="141" ht="15.0" customHeight="1">
      <c r="A141" s="203"/>
      <c r="B141" s="203"/>
      <c r="C141" s="203"/>
      <c r="D141" s="203"/>
      <c r="E141" s="203"/>
      <c r="F141" s="203"/>
      <c r="G141" s="203"/>
      <c r="H141" s="203"/>
      <c r="I141" s="203"/>
      <c r="J141" s="203"/>
      <c r="K141" s="203"/>
      <c r="L141" s="203"/>
      <c r="M141" s="203"/>
      <c r="N141" s="203"/>
      <c r="O141" s="203"/>
    </row>
    <row r="142" ht="15.0" customHeight="1">
      <c r="A142" s="206" t="s">
        <v>515</v>
      </c>
      <c r="B142" s="207"/>
      <c r="C142" s="207"/>
      <c r="D142" s="207"/>
      <c r="E142" s="207"/>
      <c r="F142" s="207"/>
      <c r="G142" s="207"/>
      <c r="H142" s="207"/>
      <c r="I142" s="207"/>
      <c r="J142" s="207"/>
      <c r="K142" s="207"/>
      <c r="L142" s="207"/>
      <c r="M142" s="207"/>
      <c r="N142" s="207"/>
      <c r="O142" s="207"/>
    </row>
    <row r="143" ht="15.0" customHeight="1">
      <c r="A143" s="208" t="s">
        <v>516</v>
      </c>
      <c r="B143" s="203"/>
      <c r="C143" s="203"/>
      <c r="D143" s="203"/>
      <c r="E143" s="203"/>
      <c r="F143" s="203"/>
      <c r="G143" s="203"/>
      <c r="H143" s="203"/>
      <c r="I143" s="203"/>
      <c r="J143" s="203"/>
      <c r="K143" s="203"/>
      <c r="L143" s="203"/>
      <c r="M143" s="203"/>
      <c r="N143" s="203"/>
      <c r="O143" s="203"/>
    </row>
  </sheetData>
  <mergeCells count="1">
    <mergeCell ref="B2:N2"/>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41.38"/>
    <col customWidth="1" min="2" max="13" width="12.0"/>
    <col customWidth="1" min="14" max="14" width="12.63"/>
  </cols>
  <sheetData>
    <row r="1">
      <c r="A1" s="244" t="s">
        <v>517</v>
      </c>
      <c r="B1" s="203"/>
      <c r="C1" s="203"/>
      <c r="D1" s="203"/>
      <c r="E1" s="203"/>
      <c r="F1" s="203"/>
      <c r="G1" s="203"/>
      <c r="H1" s="203"/>
      <c r="I1" s="203"/>
      <c r="J1" s="203"/>
      <c r="K1" s="203"/>
      <c r="L1" s="203"/>
      <c r="M1" s="203"/>
      <c r="N1" s="203"/>
    </row>
    <row r="2" ht="52.5" customHeight="1">
      <c r="A2" s="204" t="s">
        <v>354</v>
      </c>
      <c r="B2" s="205" t="s">
        <v>518</v>
      </c>
    </row>
    <row r="3">
      <c r="A3" s="203"/>
      <c r="B3" s="203"/>
      <c r="C3" s="203"/>
      <c r="D3" s="203"/>
      <c r="E3" s="203"/>
      <c r="F3" s="203"/>
      <c r="G3" s="203"/>
      <c r="H3" s="203"/>
      <c r="I3" s="203"/>
      <c r="J3" s="203"/>
      <c r="K3" s="203"/>
      <c r="L3" s="203"/>
      <c r="M3" s="203"/>
      <c r="N3" s="203"/>
    </row>
    <row r="4">
      <c r="A4" s="245" t="s">
        <v>356</v>
      </c>
      <c r="B4" s="245" t="s">
        <v>357</v>
      </c>
      <c r="C4" s="245" t="s">
        <v>358</v>
      </c>
      <c r="D4" s="245" t="s">
        <v>359</v>
      </c>
      <c r="E4" s="203"/>
      <c r="F4" s="203"/>
      <c r="G4" s="203"/>
      <c r="H4" s="203"/>
      <c r="I4" s="203"/>
      <c r="J4" s="203"/>
      <c r="K4" s="203"/>
      <c r="L4" s="203"/>
      <c r="M4" s="203"/>
      <c r="N4" s="203"/>
    </row>
    <row r="5">
      <c r="A5" s="208" t="s">
        <v>519</v>
      </c>
      <c r="B5" s="212">
        <v>4.0</v>
      </c>
      <c r="C5" s="208" t="s">
        <v>381</v>
      </c>
      <c r="D5" s="208" t="s">
        <v>520</v>
      </c>
      <c r="E5" s="203"/>
      <c r="F5" s="203"/>
      <c r="G5" s="203"/>
      <c r="H5" s="203"/>
      <c r="I5" s="203"/>
      <c r="J5" s="203"/>
      <c r="K5" s="203"/>
      <c r="L5" s="203"/>
      <c r="M5" s="203"/>
      <c r="N5" s="203"/>
    </row>
    <row r="6">
      <c r="A6" s="208" t="s">
        <v>521</v>
      </c>
      <c r="B6" s="246">
        <v>1.0</v>
      </c>
      <c r="C6" s="208" t="s">
        <v>364</v>
      </c>
      <c r="D6" s="208" t="s">
        <v>522</v>
      </c>
      <c r="E6" s="203"/>
      <c r="F6" s="203"/>
      <c r="G6" s="203"/>
      <c r="H6" s="203"/>
      <c r="I6" s="203"/>
      <c r="J6" s="203"/>
      <c r="K6" s="203"/>
      <c r="L6" s="203"/>
      <c r="M6" s="203"/>
      <c r="N6" s="203"/>
    </row>
    <row r="7">
      <c r="A7" s="208" t="s">
        <v>422</v>
      </c>
      <c r="B7" s="247">
        <f>'Fld Ops Payroll'!B12</f>
        <v>0.6</v>
      </c>
      <c r="C7" s="208" t="s">
        <v>364</v>
      </c>
      <c r="D7" s="208" t="s">
        <v>523</v>
      </c>
      <c r="E7" s="203"/>
      <c r="F7" s="203"/>
      <c r="G7" s="203"/>
      <c r="H7" s="203"/>
      <c r="I7" s="203"/>
      <c r="J7" s="203"/>
      <c r="K7" s="203"/>
      <c r="L7" s="203"/>
      <c r="M7" s="203"/>
      <c r="N7" s="203"/>
    </row>
    <row r="8">
      <c r="A8" s="208" t="s">
        <v>524</v>
      </c>
      <c r="B8" s="246">
        <v>0.3</v>
      </c>
      <c r="C8" s="208" t="s">
        <v>525</v>
      </c>
      <c r="D8" s="208" t="s">
        <v>526</v>
      </c>
      <c r="E8" s="203"/>
      <c r="F8" s="203"/>
      <c r="G8" s="203"/>
      <c r="H8" s="203"/>
      <c r="I8" s="203"/>
      <c r="J8" s="203"/>
      <c r="K8" s="203"/>
      <c r="L8" s="203"/>
      <c r="M8" s="203"/>
      <c r="N8" s="203"/>
    </row>
    <row r="9">
      <c r="A9" s="208" t="s">
        <v>527</v>
      </c>
      <c r="B9" s="246">
        <v>0.25</v>
      </c>
      <c r="C9" s="208" t="s">
        <v>528</v>
      </c>
      <c r="D9" s="208" t="s">
        <v>529</v>
      </c>
      <c r="E9" s="203"/>
      <c r="F9" s="203"/>
      <c r="G9" s="203"/>
      <c r="H9" s="203"/>
      <c r="I9" s="203"/>
      <c r="J9" s="203"/>
      <c r="K9" s="203"/>
      <c r="L9" s="203"/>
      <c r="M9" s="203"/>
      <c r="N9" s="203"/>
    </row>
    <row r="10">
      <c r="A10" s="208" t="s">
        <v>530</v>
      </c>
      <c r="B10" s="212">
        <v>9.0</v>
      </c>
      <c r="C10" s="208" t="s">
        <v>381</v>
      </c>
      <c r="D10" s="208" t="s">
        <v>531</v>
      </c>
      <c r="E10" s="203"/>
      <c r="F10" s="203"/>
      <c r="G10" s="203"/>
      <c r="H10" s="203"/>
      <c r="I10" s="203"/>
      <c r="J10" s="203"/>
      <c r="K10" s="203"/>
      <c r="L10" s="203"/>
      <c r="M10" s="203"/>
      <c r="N10" s="203"/>
    </row>
    <row r="11">
      <c r="A11" s="203"/>
      <c r="B11" s="203"/>
      <c r="C11" s="203"/>
      <c r="D11" s="203"/>
      <c r="E11" s="203"/>
      <c r="F11" s="203"/>
      <c r="G11" s="203"/>
      <c r="H11" s="203"/>
      <c r="I11" s="203"/>
      <c r="J11" s="203"/>
      <c r="K11" s="203"/>
      <c r="L11" s="203"/>
      <c r="M11" s="203"/>
      <c r="N11" s="203"/>
    </row>
    <row r="12">
      <c r="A12" s="245" t="s">
        <v>532</v>
      </c>
      <c r="B12" s="245" t="s">
        <v>533</v>
      </c>
      <c r="C12" s="245" t="s">
        <v>534</v>
      </c>
      <c r="D12" s="245" t="s">
        <v>359</v>
      </c>
      <c r="E12" s="203"/>
      <c r="F12" s="203"/>
      <c r="G12" s="203"/>
      <c r="H12" s="203"/>
      <c r="I12" s="203"/>
      <c r="J12" s="203"/>
      <c r="K12" s="203"/>
      <c r="L12" s="203"/>
      <c r="M12" s="203"/>
      <c r="N12" s="203"/>
    </row>
    <row r="13">
      <c r="A13" s="208" t="s">
        <v>535</v>
      </c>
      <c r="B13" s="248">
        <v>98591.0</v>
      </c>
      <c r="C13" s="249">
        <f t="shared" ref="C13:C18" si="1">DATE(2027,1,1)</f>
        <v>46388</v>
      </c>
      <c r="D13" s="208" t="s">
        <v>536</v>
      </c>
      <c r="E13" s="203"/>
      <c r="F13" s="203"/>
      <c r="G13" s="203"/>
      <c r="H13" s="203"/>
      <c r="I13" s="203"/>
      <c r="J13" s="203"/>
      <c r="K13" s="203"/>
      <c r="L13" s="203"/>
      <c r="M13" s="203"/>
      <c r="N13" s="203"/>
    </row>
    <row r="14">
      <c r="A14" s="208" t="s">
        <v>537</v>
      </c>
      <c r="B14" s="248">
        <v>72080.0</v>
      </c>
      <c r="C14" s="249">
        <f t="shared" si="1"/>
        <v>46388</v>
      </c>
      <c r="D14" s="208" t="s">
        <v>536</v>
      </c>
      <c r="E14" s="203"/>
      <c r="F14" s="203"/>
      <c r="G14" s="203"/>
      <c r="H14" s="203"/>
      <c r="I14" s="203"/>
      <c r="J14" s="203"/>
      <c r="K14" s="203"/>
      <c r="L14" s="203"/>
      <c r="M14" s="203"/>
      <c r="N14" s="203"/>
    </row>
    <row r="15">
      <c r="A15" s="208" t="s">
        <v>538</v>
      </c>
      <c r="B15" s="248">
        <v>75000.0</v>
      </c>
      <c r="C15" s="249">
        <f t="shared" si="1"/>
        <v>46388</v>
      </c>
      <c r="D15" s="208" t="s">
        <v>536</v>
      </c>
      <c r="E15" s="203"/>
      <c r="F15" s="203"/>
      <c r="G15" s="203"/>
      <c r="H15" s="203"/>
      <c r="I15" s="203"/>
      <c r="J15" s="203"/>
      <c r="K15" s="203"/>
      <c r="L15" s="203"/>
      <c r="M15" s="203"/>
      <c r="N15" s="203"/>
    </row>
    <row r="16">
      <c r="A16" s="208" t="s">
        <v>539</v>
      </c>
      <c r="B16" s="248">
        <v>70000.0</v>
      </c>
      <c r="C16" s="249">
        <f t="shared" si="1"/>
        <v>46388</v>
      </c>
      <c r="D16" s="208" t="s">
        <v>536</v>
      </c>
      <c r="E16" s="203"/>
      <c r="F16" s="203"/>
      <c r="G16" s="203"/>
      <c r="H16" s="203"/>
      <c r="I16" s="203"/>
      <c r="J16" s="203"/>
      <c r="K16" s="203"/>
      <c r="L16" s="203"/>
      <c r="M16" s="203"/>
      <c r="N16" s="203"/>
    </row>
    <row r="17">
      <c r="A17" s="208" t="s">
        <v>540</v>
      </c>
      <c r="B17" s="248">
        <v>160000.0</v>
      </c>
      <c r="C17" s="249">
        <f t="shared" si="1"/>
        <v>46388</v>
      </c>
      <c r="D17" s="208" t="s">
        <v>536</v>
      </c>
      <c r="E17" s="203"/>
      <c r="F17" s="203"/>
      <c r="G17" s="203"/>
      <c r="H17" s="203"/>
      <c r="I17" s="203"/>
      <c r="J17" s="203"/>
      <c r="K17" s="203"/>
      <c r="L17" s="203"/>
      <c r="M17" s="203"/>
      <c r="N17" s="203"/>
    </row>
    <row r="18">
      <c r="A18" s="208" t="s">
        <v>541</v>
      </c>
      <c r="B18" s="248">
        <v>65000.0</v>
      </c>
      <c r="C18" s="249">
        <f t="shared" si="1"/>
        <v>46388</v>
      </c>
      <c r="D18" s="208" t="s">
        <v>536</v>
      </c>
      <c r="E18" s="203"/>
      <c r="F18" s="203"/>
      <c r="G18" s="203"/>
      <c r="H18" s="203"/>
      <c r="I18" s="203"/>
      <c r="J18" s="203"/>
      <c r="K18" s="203"/>
      <c r="L18" s="203"/>
      <c r="M18" s="203"/>
      <c r="N18" s="203"/>
    </row>
    <row r="19">
      <c r="A19" s="208" t="s">
        <v>542</v>
      </c>
      <c r="B19" s="248">
        <f>B18</f>
        <v>65000</v>
      </c>
      <c r="C19" s="249">
        <f>DATE(2027,8,1)</f>
        <v>46600</v>
      </c>
      <c r="D19" s="208" t="s">
        <v>543</v>
      </c>
      <c r="E19" s="203"/>
      <c r="F19" s="203"/>
      <c r="G19" s="203"/>
      <c r="H19" s="203"/>
      <c r="I19" s="203"/>
      <c r="J19" s="203"/>
      <c r="K19" s="203"/>
      <c r="L19" s="203"/>
      <c r="M19" s="203"/>
      <c r="N19" s="203"/>
    </row>
    <row r="20">
      <c r="A20" s="208" t="s">
        <v>544</v>
      </c>
      <c r="B20" s="248">
        <v>140000.0</v>
      </c>
      <c r="C20" s="249">
        <f t="shared" ref="C20:C21" si="2">DATE(2027,1,1)</f>
        <v>46388</v>
      </c>
      <c r="D20" s="208" t="s">
        <v>545</v>
      </c>
      <c r="E20" s="203"/>
      <c r="F20" s="203"/>
      <c r="G20" s="203"/>
      <c r="H20" s="203"/>
      <c r="I20" s="203"/>
      <c r="J20" s="203"/>
      <c r="K20" s="203"/>
      <c r="L20" s="203"/>
      <c r="M20" s="203"/>
      <c r="N20" s="203"/>
    </row>
    <row r="21">
      <c r="A21" s="208" t="s">
        <v>546</v>
      </c>
      <c r="B21" s="248"/>
      <c r="C21" s="249">
        <f t="shared" si="2"/>
        <v>46388</v>
      </c>
      <c r="D21" s="208" t="s">
        <v>547</v>
      </c>
      <c r="E21" s="203"/>
      <c r="F21" s="203"/>
      <c r="G21" s="203"/>
      <c r="H21" s="203"/>
      <c r="I21" s="203"/>
      <c r="J21" s="203"/>
      <c r="K21" s="203"/>
      <c r="L21" s="203"/>
      <c r="M21" s="203"/>
      <c r="N21" s="203"/>
    </row>
    <row r="22">
      <c r="A22" s="208" t="s">
        <v>217</v>
      </c>
      <c r="B22" s="250">
        <f>'Fld Ops Payroll'!B7</f>
        <v>0.068</v>
      </c>
      <c r="C22" s="208" t="s">
        <v>364</v>
      </c>
      <c r="D22" s="208" t="s">
        <v>548</v>
      </c>
      <c r="E22" s="203"/>
      <c r="F22" s="203"/>
      <c r="G22" s="203"/>
      <c r="H22" s="203"/>
      <c r="I22" s="203"/>
      <c r="J22" s="203"/>
      <c r="K22" s="203"/>
      <c r="L22" s="203"/>
      <c r="M22" s="203"/>
      <c r="N22" s="203"/>
    </row>
    <row r="23">
      <c r="A23" s="208" t="s">
        <v>219</v>
      </c>
      <c r="B23" s="250">
        <f>'Fld Ops Payroll'!B8</f>
        <v>0.164</v>
      </c>
      <c r="C23" s="208" t="s">
        <v>364</v>
      </c>
      <c r="D23" s="208" t="s">
        <v>549</v>
      </c>
      <c r="E23" s="203"/>
      <c r="F23" s="203"/>
      <c r="G23" s="203"/>
      <c r="H23" s="203"/>
      <c r="I23" s="203"/>
      <c r="J23" s="203"/>
      <c r="K23" s="203"/>
      <c r="L23" s="203"/>
      <c r="M23" s="203"/>
      <c r="N23" s="203"/>
    </row>
    <row r="24">
      <c r="A24" s="208" t="s">
        <v>215</v>
      </c>
      <c r="B24" s="250">
        <f>'Fld Ops Payroll'!M5</f>
        <v>0.03</v>
      </c>
      <c r="C24" s="208" t="s">
        <v>364</v>
      </c>
      <c r="D24" s="208" t="s">
        <v>550</v>
      </c>
      <c r="E24" s="203"/>
      <c r="F24" s="203"/>
      <c r="G24" s="203"/>
      <c r="H24" s="203"/>
      <c r="I24" s="203"/>
      <c r="J24" s="203"/>
      <c r="K24" s="203"/>
      <c r="L24" s="203"/>
      <c r="M24" s="203"/>
      <c r="N24" s="203"/>
    </row>
    <row r="25">
      <c r="A25" s="208" t="s">
        <v>218</v>
      </c>
      <c r="B25" s="251">
        <f>'Fld Ops Payroll'!M6</f>
        <v>46661</v>
      </c>
      <c r="C25" s="208" t="s">
        <v>386</v>
      </c>
      <c r="D25" s="208" t="s">
        <v>551</v>
      </c>
      <c r="E25" s="203"/>
      <c r="F25" s="203"/>
      <c r="G25" s="203"/>
      <c r="H25" s="203"/>
      <c r="I25" s="203"/>
      <c r="J25" s="203"/>
      <c r="K25" s="203"/>
      <c r="L25" s="203"/>
      <c r="M25" s="203"/>
      <c r="N25" s="203"/>
    </row>
    <row r="26">
      <c r="A26" s="203"/>
      <c r="B26" s="203"/>
      <c r="C26" s="203"/>
      <c r="D26" s="203"/>
      <c r="E26" s="203"/>
      <c r="F26" s="203"/>
      <c r="G26" s="203"/>
      <c r="H26" s="203"/>
      <c r="I26" s="203"/>
      <c r="J26" s="203"/>
      <c r="K26" s="203"/>
      <c r="L26" s="203"/>
      <c r="M26" s="203"/>
      <c r="N26" s="203"/>
    </row>
    <row r="27">
      <c r="A27" s="245" t="s">
        <v>552</v>
      </c>
      <c r="B27" s="252">
        <f>DATE(2026,1,1)</f>
        <v>46023</v>
      </c>
      <c r="C27" s="252">
        <f>DATE(2026,2,1)</f>
        <v>46054</v>
      </c>
      <c r="D27" s="252">
        <f>DATE(2026,3,1)</f>
        <v>46082</v>
      </c>
      <c r="E27" s="252">
        <f>DATE(2026,4,1)</f>
        <v>46113</v>
      </c>
      <c r="F27" s="252">
        <f>DATE(2026,5,1)</f>
        <v>46143</v>
      </c>
      <c r="G27" s="252">
        <f>DATE(2026,6,1)</f>
        <v>46174</v>
      </c>
      <c r="H27" s="252">
        <f>DATE(2026,7,1)</f>
        <v>46204</v>
      </c>
      <c r="I27" s="252">
        <f>DATE(2026,8,1)</f>
        <v>46235</v>
      </c>
      <c r="J27" s="252">
        <f>DATE(2026,9,1)</f>
        <v>46266</v>
      </c>
      <c r="K27" s="253" t="s">
        <v>553</v>
      </c>
      <c r="L27" s="203"/>
      <c r="M27" s="203"/>
      <c r="N27" s="203"/>
    </row>
    <row r="28">
      <c r="A28" s="208" t="s">
        <v>554</v>
      </c>
      <c r="B28" s="254">
        <f>FE!B30</f>
        <v>6093.31</v>
      </c>
      <c r="C28" s="254">
        <f>FE!C30</f>
        <v>3188.15</v>
      </c>
      <c r="D28" s="254">
        <f>FE!D30</f>
        <v>6516.64</v>
      </c>
      <c r="E28" s="254">
        <f>FE!E30</f>
        <v>4232.23</v>
      </c>
      <c r="F28" s="254">
        <f>FE!F30</f>
        <v>13531.9</v>
      </c>
      <c r="G28" s="254">
        <f>FE!G30</f>
        <v>2938.06</v>
      </c>
      <c r="H28" s="254">
        <f>FE!H30</f>
        <v>3402.48</v>
      </c>
      <c r="I28" s="254">
        <f>FE!I30</f>
        <v>5552.25</v>
      </c>
      <c r="J28" s="254">
        <f>FE!J30</f>
        <v>13000</v>
      </c>
      <c r="K28" s="255">
        <f t="shared" ref="K28:K33" si="3">SUM(B28:J28)</f>
        <v>58455.02</v>
      </c>
      <c r="L28" s="203"/>
      <c r="M28" s="203"/>
      <c r="N28" s="203"/>
    </row>
    <row r="29">
      <c r="A29" s="208" t="s">
        <v>555</v>
      </c>
      <c r="B29" s="254">
        <f>FE!B31</f>
        <v>623.1</v>
      </c>
      <c r="C29" s="254">
        <f>FE!C31</f>
        <v>491.08</v>
      </c>
      <c r="D29" s="254">
        <f>FE!D31</f>
        <v>878.77</v>
      </c>
      <c r="E29" s="254">
        <f>FE!E31</f>
        <v>846.11</v>
      </c>
      <c r="F29" s="254">
        <f>FE!F31</f>
        <v>1479.8</v>
      </c>
      <c r="G29" s="254">
        <f>FE!G31</f>
        <v>235.83</v>
      </c>
      <c r="H29" s="254">
        <f>FE!H31</f>
        <v>436.9</v>
      </c>
      <c r="I29" s="254">
        <f>FE!I31</f>
        <v>721.59</v>
      </c>
      <c r="J29" s="254">
        <f>FE!J31</f>
        <v>1400</v>
      </c>
      <c r="K29" s="255">
        <f t="shared" si="3"/>
        <v>7113.18</v>
      </c>
      <c r="L29" s="203"/>
      <c r="M29" s="203"/>
      <c r="N29" s="203"/>
    </row>
    <row r="30">
      <c r="A30" s="208" t="s">
        <v>556</v>
      </c>
      <c r="B30" s="254">
        <f>FE!B74</f>
        <v>0</v>
      </c>
      <c r="C30" s="254">
        <f>FE!C74</f>
        <v>-773.5</v>
      </c>
      <c r="D30" s="254">
        <f>FE!D74</f>
        <v>1130.73</v>
      </c>
      <c r="E30" s="254">
        <f>FE!E74</f>
        <v>8303.22</v>
      </c>
      <c r="F30" s="254">
        <f>FE!F74</f>
        <v>2747.17</v>
      </c>
      <c r="G30" s="254">
        <f>FE!G74</f>
        <v>7608.77</v>
      </c>
      <c r="H30" s="254">
        <f>FE!H74</f>
        <v>1346.83</v>
      </c>
      <c r="I30" s="254">
        <f>FE!I74</f>
        <v>2646.86</v>
      </c>
      <c r="J30" s="254">
        <f>FE!J74</f>
        <v>3000</v>
      </c>
      <c r="K30" s="255">
        <f t="shared" si="3"/>
        <v>26010.08</v>
      </c>
      <c r="L30" s="203"/>
      <c r="M30" s="203"/>
      <c r="N30" s="203"/>
    </row>
    <row r="31">
      <c r="A31" s="208" t="s">
        <v>557</v>
      </c>
      <c r="B31" s="254">
        <f>FE!B75</f>
        <v>12.29</v>
      </c>
      <c r="C31" s="254">
        <f>FE!C75</f>
        <v>0</v>
      </c>
      <c r="D31" s="254">
        <f>FE!D75</f>
        <v>0</v>
      </c>
      <c r="E31" s="254">
        <f>FE!E75</f>
        <v>2986.15</v>
      </c>
      <c r="F31" s="254">
        <f>FE!F75</f>
        <v>0</v>
      </c>
      <c r="G31" s="254">
        <f>FE!G75</f>
        <v>475.67</v>
      </c>
      <c r="H31" s="254">
        <f>FE!H75</f>
        <v>234.79</v>
      </c>
      <c r="I31" s="254">
        <f>FE!I75</f>
        <v>0</v>
      </c>
      <c r="J31" s="254">
        <f>FE!J75</f>
        <v>400</v>
      </c>
      <c r="K31" s="255">
        <f t="shared" si="3"/>
        <v>4108.9</v>
      </c>
      <c r="L31" s="203"/>
      <c r="M31" s="203"/>
      <c r="N31" s="203"/>
    </row>
    <row r="32">
      <c r="A32" s="208" t="s">
        <v>558</v>
      </c>
      <c r="B32" s="254">
        <f>FE!B49</f>
        <v>60</v>
      </c>
      <c r="C32" s="254">
        <f>FE!C49</f>
        <v>0</v>
      </c>
      <c r="D32" s="254">
        <f>FE!D49</f>
        <v>281.44</v>
      </c>
      <c r="E32" s="254">
        <f>FE!E49</f>
        <v>302.03</v>
      </c>
      <c r="F32" s="254">
        <f>FE!F49</f>
        <v>0</v>
      </c>
      <c r="G32" s="254">
        <f>FE!G49</f>
        <v>0</v>
      </c>
      <c r="H32" s="254">
        <f>FE!H49</f>
        <v>0</v>
      </c>
      <c r="I32" s="254">
        <f>FE!I49</f>
        <v>471.85</v>
      </c>
      <c r="J32" s="254">
        <f>FE!J49</f>
        <v>0</v>
      </c>
      <c r="K32" s="255">
        <f t="shared" si="3"/>
        <v>1115.32</v>
      </c>
      <c r="L32" s="203"/>
      <c r="M32" s="203"/>
      <c r="N32" s="203"/>
    </row>
    <row r="33">
      <c r="A33" s="208" t="s">
        <v>559</v>
      </c>
      <c r="B33" s="254">
        <f>FE!B50</f>
        <v>0</v>
      </c>
      <c r="C33" s="254">
        <f>FE!C50</f>
        <v>0</v>
      </c>
      <c r="D33" s="254">
        <f>FE!D50</f>
        <v>160.63</v>
      </c>
      <c r="E33" s="254">
        <f>FE!E50</f>
        <v>0</v>
      </c>
      <c r="F33" s="254">
        <f>FE!F50</f>
        <v>0</v>
      </c>
      <c r="G33" s="254">
        <f>FE!G50</f>
        <v>0</v>
      </c>
      <c r="H33" s="254">
        <f>FE!H50</f>
        <v>0</v>
      </c>
      <c r="I33" s="254">
        <f>FE!I50</f>
        <v>0</v>
      </c>
      <c r="J33" s="254">
        <f>FE!J50</f>
        <v>0</v>
      </c>
      <c r="K33" s="255">
        <f t="shared" si="3"/>
        <v>160.63</v>
      </c>
      <c r="L33" s="203"/>
      <c r="M33" s="203"/>
      <c r="N33" s="203"/>
    </row>
    <row r="34">
      <c r="A34" s="208"/>
      <c r="B34" s="241" t="s">
        <v>560</v>
      </c>
      <c r="C34" s="203"/>
      <c r="D34" s="203"/>
      <c r="E34" s="203"/>
      <c r="F34" s="203"/>
      <c r="G34" s="203"/>
      <c r="H34" s="203"/>
      <c r="I34" s="203"/>
      <c r="J34" s="203"/>
      <c r="K34" s="203"/>
      <c r="L34" s="203"/>
      <c r="M34" s="203"/>
      <c r="N34" s="203"/>
    </row>
    <row r="35">
      <c r="A35" s="203"/>
      <c r="B35" s="203"/>
      <c r="C35" s="203"/>
      <c r="D35" s="203"/>
      <c r="E35" s="203"/>
      <c r="F35" s="203"/>
      <c r="G35" s="203"/>
      <c r="H35" s="203"/>
      <c r="I35" s="203"/>
      <c r="J35" s="203"/>
      <c r="K35" s="203"/>
      <c r="L35" s="203"/>
      <c r="M35" s="203"/>
      <c r="N35" s="203"/>
    </row>
    <row r="36">
      <c r="A36" s="245" t="s">
        <v>561</v>
      </c>
      <c r="B36" s="245" t="s">
        <v>357</v>
      </c>
      <c r="C36" s="245" t="s">
        <v>358</v>
      </c>
      <c r="D36" s="245" t="s">
        <v>562</v>
      </c>
      <c r="E36" s="203"/>
      <c r="F36" s="203"/>
      <c r="G36" s="203"/>
      <c r="H36" s="203"/>
      <c r="I36" s="203"/>
      <c r="J36" s="203"/>
      <c r="K36" s="203"/>
      <c r="L36" s="203"/>
      <c r="M36" s="203"/>
      <c r="N36" s="203"/>
    </row>
    <row r="37">
      <c r="A37" s="208" t="s">
        <v>563</v>
      </c>
      <c r="B37" s="255">
        <f>SUM(B28:J29)</f>
        <v>65568.2</v>
      </c>
      <c r="C37" s="208" t="s">
        <v>564</v>
      </c>
      <c r="D37" s="208" t="s">
        <v>565</v>
      </c>
      <c r="E37" s="203"/>
      <c r="F37" s="203"/>
      <c r="G37" s="203"/>
      <c r="H37" s="203"/>
      <c r="I37" s="203"/>
      <c r="J37" s="203"/>
      <c r="K37" s="203"/>
      <c r="L37" s="203"/>
      <c r="M37" s="203"/>
      <c r="N37" s="203"/>
    </row>
    <row r="38">
      <c r="A38" s="208" t="s">
        <v>566</v>
      </c>
      <c r="B38" s="255">
        <f>F28+F29</f>
        <v>15011.7</v>
      </c>
      <c r="C38" s="208" t="s">
        <v>564</v>
      </c>
      <c r="D38" s="208" t="s">
        <v>567</v>
      </c>
      <c r="E38" s="203"/>
      <c r="F38" s="203"/>
      <c r="G38" s="203"/>
      <c r="H38" s="203"/>
      <c r="I38" s="203"/>
      <c r="J38" s="203"/>
      <c r="K38" s="203"/>
      <c r="L38" s="203"/>
      <c r="M38" s="203"/>
      <c r="N38" s="203"/>
    </row>
    <row r="39">
      <c r="A39" s="208" t="s">
        <v>568</v>
      </c>
      <c r="B39" s="255">
        <f>(SUM(B28:I29)-B38)/(COLUMNS(B28:I28)-1)</f>
        <v>5165.214286</v>
      </c>
      <c r="C39" s="208" t="s">
        <v>367</v>
      </c>
      <c r="D39" s="208" t="s">
        <v>569</v>
      </c>
      <c r="E39" s="203"/>
      <c r="F39" s="203"/>
      <c r="G39" s="203"/>
      <c r="H39" s="203"/>
      <c r="I39" s="203"/>
      <c r="J39" s="203"/>
      <c r="K39" s="203"/>
      <c r="L39" s="203"/>
      <c r="M39" s="203"/>
      <c r="N39" s="203"/>
    </row>
    <row r="40">
      <c r="A40" s="208" t="s">
        <v>570</v>
      </c>
      <c r="B40" s="255">
        <f>B38-B39</f>
        <v>9846.485714</v>
      </c>
      <c r="C40" s="208" t="s">
        <v>564</v>
      </c>
      <c r="D40" s="208" t="s">
        <v>571</v>
      </c>
      <c r="E40" s="203"/>
      <c r="F40" s="203"/>
      <c r="G40" s="203"/>
      <c r="H40" s="203"/>
      <c r="I40" s="203"/>
      <c r="J40" s="203"/>
      <c r="K40" s="203"/>
      <c r="L40" s="203"/>
      <c r="M40" s="203"/>
      <c r="N40" s="203"/>
    </row>
    <row r="41">
      <c r="A41" s="208" t="s">
        <v>572</v>
      </c>
      <c r="B41" s="255">
        <f>B37-B40</f>
        <v>55721.71429</v>
      </c>
      <c r="C41" s="208" t="s">
        <v>564</v>
      </c>
      <c r="D41" s="203"/>
      <c r="E41" s="203"/>
      <c r="F41" s="203"/>
      <c r="G41" s="203"/>
      <c r="H41" s="203"/>
      <c r="I41" s="203"/>
      <c r="J41" s="203"/>
      <c r="K41" s="203"/>
      <c r="L41" s="203"/>
      <c r="M41" s="203"/>
      <c r="N41" s="203"/>
    </row>
    <row r="42">
      <c r="A42" s="231" t="s">
        <v>573</v>
      </c>
      <c r="B42" s="256">
        <f>IF(B10=0,0,B41/B10)</f>
        <v>6191.301587</v>
      </c>
      <c r="C42" s="208" t="s">
        <v>574</v>
      </c>
      <c r="D42" s="208" t="s">
        <v>575</v>
      </c>
      <c r="E42" s="203"/>
      <c r="F42" s="203"/>
      <c r="G42" s="203"/>
      <c r="H42" s="203"/>
      <c r="I42" s="203"/>
      <c r="J42" s="203"/>
      <c r="K42" s="203"/>
      <c r="L42" s="203"/>
      <c r="M42" s="203"/>
      <c r="N42" s="203"/>
    </row>
    <row r="43">
      <c r="A43" s="208" t="s">
        <v>576</v>
      </c>
      <c r="B43" s="257">
        <f>IF(B37=0,0,SUM(B29:J29)/B37)</f>
        <v>0.1084852108</v>
      </c>
      <c r="C43" s="208" t="s">
        <v>364</v>
      </c>
      <c r="D43" s="208" t="s">
        <v>577</v>
      </c>
      <c r="E43" s="203"/>
      <c r="F43" s="203"/>
      <c r="G43" s="203"/>
      <c r="H43" s="203"/>
      <c r="I43" s="203"/>
      <c r="J43" s="203"/>
      <c r="K43" s="203"/>
      <c r="L43" s="203"/>
      <c r="M43" s="203"/>
      <c r="N43" s="203"/>
    </row>
    <row r="44">
      <c r="A44" s="208" t="s">
        <v>578</v>
      </c>
      <c r="B44" s="255">
        <f>SUM(B30:I33)/COLUMNS(B30:I30)</f>
        <v>3499.36625</v>
      </c>
      <c r="C44" s="208" t="s">
        <v>367</v>
      </c>
      <c r="D44" s="208" t="s">
        <v>579</v>
      </c>
      <c r="E44" s="203"/>
      <c r="F44" s="203"/>
      <c r="G44" s="203"/>
      <c r="H44" s="203"/>
      <c r="I44" s="203"/>
      <c r="J44" s="203"/>
      <c r="K44" s="203"/>
      <c r="L44" s="203"/>
      <c r="M44" s="203"/>
      <c r="N44" s="203"/>
    </row>
    <row r="45">
      <c r="A45" s="208" t="s">
        <v>580</v>
      </c>
      <c r="B45" s="257">
        <f>IF(SUM(B30:I33)=0,0,(SUM(B31:I31)+SUM(B33:I33))/SUM(B30:I33))</f>
        <v>0.1382225282</v>
      </c>
      <c r="C45" s="208" t="s">
        <v>364</v>
      </c>
      <c r="D45" s="208" t="s">
        <v>581</v>
      </c>
      <c r="E45" s="203"/>
      <c r="F45" s="203"/>
      <c r="G45" s="203"/>
      <c r="H45" s="203"/>
      <c r="I45" s="203"/>
      <c r="J45" s="203"/>
      <c r="K45" s="203"/>
      <c r="L45" s="203"/>
      <c r="M45" s="203"/>
      <c r="N45" s="203"/>
    </row>
    <row r="46">
      <c r="A46" s="231" t="s">
        <v>582</v>
      </c>
      <c r="B46" s="256">
        <f>B44*(1+B9)</f>
        <v>4374.207813</v>
      </c>
      <c r="C46" s="208" t="s">
        <v>367</v>
      </c>
      <c r="D46" s="208" t="s">
        <v>583</v>
      </c>
      <c r="E46" s="203"/>
      <c r="F46" s="203"/>
      <c r="G46" s="203"/>
      <c r="H46" s="203"/>
      <c r="I46" s="203"/>
      <c r="J46" s="203"/>
      <c r="K46" s="203"/>
      <c r="L46" s="203"/>
      <c r="M46" s="203"/>
      <c r="N46" s="203"/>
    </row>
    <row r="47">
      <c r="A47" s="203"/>
      <c r="B47" s="203"/>
      <c r="C47" s="203"/>
      <c r="D47" s="203"/>
      <c r="E47" s="203"/>
      <c r="F47" s="203"/>
      <c r="G47" s="203"/>
      <c r="H47" s="203"/>
      <c r="I47" s="203"/>
      <c r="J47" s="203"/>
      <c r="K47" s="203"/>
      <c r="L47" s="203"/>
      <c r="M47" s="203"/>
      <c r="N47" s="203"/>
    </row>
    <row r="48">
      <c r="A48" s="245" t="s">
        <v>435</v>
      </c>
      <c r="B48" s="252">
        <f>DATE(2027,1,1)</f>
        <v>46388</v>
      </c>
      <c r="C48" s="252">
        <f>DATE(2027,2,1)</f>
        <v>46419</v>
      </c>
      <c r="D48" s="252">
        <f>DATE(2027,3,1)</f>
        <v>46447</v>
      </c>
      <c r="E48" s="252">
        <f>DATE(2027,4,1)</f>
        <v>46478</v>
      </c>
      <c r="F48" s="252">
        <f>DATE(2027,5,1)</f>
        <v>46508</v>
      </c>
      <c r="G48" s="252">
        <f>DATE(2027,6,1)</f>
        <v>46539</v>
      </c>
      <c r="H48" s="252">
        <f>DATE(2027,7,1)</f>
        <v>46569</v>
      </c>
      <c r="I48" s="252">
        <f>DATE(2027,8,1)</f>
        <v>46600</v>
      </c>
      <c r="J48" s="252">
        <f>DATE(2027,9,1)</f>
        <v>46631</v>
      </c>
      <c r="K48" s="252">
        <f>DATE(2027,10,1)</f>
        <v>46661</v>
      </c>
      <c r="L48" s="252">
        <f>DATE(2027,11,1)</f>
        <v>46692</v>
      </c>
      <c r="M48" s="252">
        <f>DATE(2027,12,1)</f>
        <v>46722</v>
      </c>
      <c r="N48" s="253" t="s">
        <v>2</v>
      </c>
    </row>
    <row r="49">
      <c r="A49" s="208" t="s">
        <v>436</v>
      </c>
      <c r="B49" s="229">
        <f>N(DeploySum!F54)</f>
        <v>3</v>
      </c>
      <c r="C49" s="229">
        <f>N(DeploySum!G54)</f>
        <v>2</v>
      </c>
      <c r="D49" s="229">
        <f>N(DeploySum!H54)</f>
        <v>0</v>
      </c>
      <c r="E49" s="229">
        <f>N(DeploySum!I54)</f>
        <v>3</v>
      </c>
      <c r="F49" s="229">
        <f>N(DeploySum!J54)</f>
        <v>3</v>
      </c>
      <c r="G49" s="229">
        <f>N(DeploySum!K54)</f>
        <v>4</v>
      </c>
      <c r="H49" s="229">
        <f>N(DeploySum!L54)</f>
        <v>4</v>
      </c>
      <c r="I49" s="229">
        <f>N(DeploySum!M54)</f>
        <v>5</v>
      </c>
      <c r="J49" s="229">
        <f>N(DeploySum!N54)</f>
        <v>6</v>
      </c>
      <c r="K49" s="229">
        <f>N(DeploySum!O54)</f>
        <v>6</v>
      </c>
      <c r="L49" s="229">
        <f>N(DeploySum!P54)</f>
        <v>7</v>
      </c>
      <c r="M49" s="229">
        <f>N(DeploySum!Q54)</f>
        <v>8</v>
      </c>
      <c r="N49" s="230">
        <f t="shared" ref="N49:N55" si="4">SUM(B49:M49)</f>
        <v>51</v>
      </c>
    </row>
    <row r="50">
      <c r="A50" s="208" t="s">
        <v>437</v>
      </c>
      <c r="B50" s="229">
        <f>N(DeploySum!F60)</f>
        <v>0</v>
      </c>
      <c r="C50" s="229">
        <f>N(DeploySum!G60)</f>
        <v>0</v>
      </c>
      <c r="D50" s="229">
        <f>N(DeploySum!H60)</f>
        <v>0</v>
      </c>
      <c r="E50" s="229">
        <f>N(DeploySum!I60)</f>
        <v>1</v>
      </c>
      <c r="F50" s="229">
        <f>N(DeploySum!J60)</f>
        <v>0</v>
      </c>
      <c r="G50" s="229">
        <f>N(DeploySum!K60)</f>
        <v>0</v>
      </c>
      <c r="H50" s="229">
        <f>N(DeploySum!L60)</f>
        <v>0</v>
      </c>
      <c r="I50" s="229">
        <f>N(DeploySum!M60)</f>
        <v>0</v>
      </c>
      <c r="J50" s="229">
        <f>N(DeploySum!N60)</f>
        <v>0</v>
      </c>
      <c r="K50" s="229">
        <f>N(DeploySum!O60)</f>
        <v>0</v>
      </c>
      <c r="L50" s="229">
        <f>N(DeploySum!P60)</f>
        <v>0</v>
      </c>
      <c r="M50" s="229">
        <f>N(DeploySum!Q60)</f>
        <v>0</v>
      </c>
      <c r="N50" s="230">
        <f t="shared" si="4"/>
        <v>1</v>
      </c>
    </row>
    <row r="51">
      <c r="A51" s="208" t="s">
        <v>438</v>
      </c>
      <c r="B51" s="229">
        <f>N(DeploySum!F57)</f>
        <v>0</v>
      </c>
      <c r="C51" s="229">
        <f>N(DeploySum!G57)</f>
        <v>0</v>
      </c>
      <c r="D51" s="229">
        <f>N(DeploySum!H57)</f>
        <v>0</v>
      </c>
      <c r="E51" s="229">
        <f>N(DeploySum!I57)</f>
        <v>1</v>
      </c>
      <c r="F51" s="229">
        <f>N(DeploySum!J57)</f>
        <v>1</v>
      </c>
      <c r="G51" s="229">
        <f>N(DeploySum!K57)</f>
        <v>2</v>
      </c>
      <c r="H51" s="229">
        <f>N(DeploySum!L57)</f>
        <v>1</v>
      </c>
      <c r="I51" s="229">
        <f>N(DeploySum!M57)</f>
        <v>1</v>
      </c>
      <c r="J51" s="229">
        <f>N(DeploySum!N57)</f>
        <v>2</v>
      </c>
      <c r="K51" s="229">
        <f>N(DeploySum!O57)</f>
        <v>2</v>
      </c>
      <c r="L51" s="229">
        <f>N(DeploySum!P57)</f>
        <v>3</v>
      </c>
      <c r="M51" s="229">
        <f>N(DeploySum!Q57)</f>
        <v>2</v>
      </c>
      <c r="N51" s="230">
        <f t="shared" si="4"/>
        <v>15</v>
      </c>
    </row>
    <row r="52">
      <c r="A52" s="258" t="s">
        <v>439</v>
      </c>
      <c r="B52" s="259">
        <f t="shared" ref="B52:M52" si="5">B49+B50+B51</f>
        <v>3</v>
      </c>
      <c r="C52" s="259">
        <f t="shared" si="5"/>
        <v>2</v>
      </c>
      <c r="D52" s="259">
        <f t="shared" si="5"/>
        <v>0</v>
      </c>
      <c r="E52" s="259">
        <f t="shared" si="5"/>
        <v>5</v>
      </c>
      <c r="F52" s="259">
        <f t="shared" si="5"/>
        <v>4</v>
      </c>
      <c r="G52" s="259">
        <f t="shared" si="5"/>
        <v>6</v>
      </c>
      <c r="H52" s="259">
        <f t="shared" si="5"/>
        <v>5</v>
      </c>
      <c r="I52" s="259">
        <f t="shared" si="5"/>
        <v>6</v>
      </c>
      <c r="J52" s="259">
        <f t="shared" si="5"/>
        <v>8</v>
      </c>
      <c r="K52" s="259">
        <f t="shared" si="5"/>
        <v>8</v>
      </c>
      <c r="L52" s="259">
        <f t="shared" si="5"/>
        <v>10</v>
      </c>
      <c r="M52" s="259">
        <f t="shared" si="5"/>
        <v>10</v>
      </c>
      <c r="N52" s="259">
        <f t="shared" si="4"/>
        <v>67</v>
      </c>
    </row>
    <row r="53">
      <c r="A53" s="208" t="s">
        <v>584</v>
      </c>
      <c r="B53" s="230">
        <f t="shared" ref="B53:M53" si="6">B51*$B$7</f>
        <v>0</v>
      </c>
      <c r="C53" s="230">
        <f t="shared" si="6"/>
        <v>0</v>
      </c>
      <c r="D53" s="230">
        <f t="shared" si="6"/>
        <v>0</v>
      </c>
      <c r="E53" s="230">
        <f t="shared" si="6"/>
        <v>0.6</v>
      </c>
      <c r="F53" s="230">
        <f t="shared" si="6"/>
        <v>0.6</v>
      </c>
      <c r="G53" s="230">
        <f t="shared" si="6"/>
        <v>1.2</v>
      </c>
      <c r="H53" s="230">
        <f t="shared" si="6"/>
        <v>0.6</v>
      </c>
      <c r="I53" s="230">
        <f t="shared" si="6"/>
        <v>0.6</v>
      </c>
      <c r="J53" s="230">
        <f t="shared" si="6"/>
        <v>1.2</v>
      </c>
      <c r="K53" s="230">
        <f t="shared" si="6"/>
        <v>1.2</v>
      </c>
      <c r="L53" s="230">
        <f t="shared" si="6"/>
        <v>1.8</v>
      </c>
      <c r="M53" s="230">
        <f t="shared" si="6"/>
        <v>1.2</v>
      </c>
      <c r="N53" s="230">
        <f t="shared" si="4"/>
        <v>9</v>
      </c>
    </row>
    <row r="54">
      <c r="A54" s="208" t="s">
        <v>585</v>
      </c>
      <c r="B54" s="230">
        <f t="shared" ref="B54:M54" si="7">B51-B53</f>
        <v>0</v>
      </c>
      <c r="C54" s="230">
        <f t="shared" si="7"/>
        <v>0</v>
      </c>
      <c r="D54" s="230">
        <f t="shared" si="7"/>
        <v>0</v>
      </c>
      <c r="E54" s="230">
        <f t="shared" si="7"/>
        <v>0.4</v>
      </c>
      <c r="F54" s="230">
        <f t="shared" si="7"/>
        <v>0.4</v>
      </c>
      <c r="G54" s="230">
        <f t="shared" si="7"/>
        <v>0.8</v>
      </c>
      <c r="H54" s="230">
        <f t="shared" si="7"/>
        <v>0.4</v>
      </c>
      <c r="I54" s="230">
        <f t="shared" si="7"/>
        <v>0.4</v>
      </c>
      <c r="J54" s="230">
        <f t="shared" si="7"/>
        <v>0.8</v>
      </c>
      <c r="K54" s="230">
        <f t="shared" si="7"/>
        <v>0.8</v>
      </c>
      <c r="L54" s="230">
        <f t="shared" si="7"/>
        <v>1.2</v>
      </c>
      <c r="M54" s="230">
        <f t="shared" si="7"/>
        <v>0.8</v>
      </c>
      <c r="N54" s="230">
        <f t="shared" si="4"/>
        <v>6</v>
      </c>
    </row>
    <row r="55">
      <c r="A55" s="231" t="s">
        <v>586</v>
      </c>
      <c r="B55" s="232">
        <f t="shared" ref="B55:M55" si="8">B49+B50+B53+B54*$B$8</f>
        <v>3</v>
      </c>
      <c r="C55" s="232">
        <f t="shared" si="8"/>
        <v>2</v>
      </c>
      <c r="D55" s="232">
        <f t="shared" si="8"/>
        <v>0</v>
      </c>
      <c r="E55" s="232">
        <f t="shared" si="8"/>
        <v>4.72</v>
      </c>
      <c r="F55" s="232">
        <f t="shared" si="8"/>
        <v>3.72</v>
      </c>
      <c r="G55" s="232">
        <f t="shared" si="8"/>
        <v>5.44</v>
      </c>
      <c r="H55" s="232">
        <f t="shared" si="8"/>
        <v>4.72</v>
      </c>
      <c r="I55" s="232">
        <f t="shared" si="8"/>
        <v>5.72</v>
      </c>
      <c r="J55" s="232">
        <f t="shared" si="8"/>
        <v>7.44</v>
      </c>
      <c r="K55" s="232">
        <f t="shared" si="8"/>
        <v>7.44</v>
      </c>
      <c r="L55" s="232">
        <f t="shared" si="8"/>
        <v>9.16</v>
      </c>
      <c r="M55" s="232">
        <f t="shared" si="8"/>
        <v>9.44</v>
      </c>
      <c r="N55" s="232">
        <f t="shared" si="4"/>
        <v>62.8</v>
      </c>
    </row>
    <row r="56">
      <c r="A56" s="208" t="s">
        <v>587</v>
      </c>
      <c r="B56" s="230">
        <f t="shared" ref="B56:M56" si="9">IF($B$5=0,0,B52/$B$5)</f>
        <v>0.75</v>
      </c>
      <c r="C56" s="230">
        <f t="shared" si="9"/>
        <v>0.5</v>
      </c>
      <c r="D56" s="230">
        <f t="shared" si="9"/>
        <v>0</v>
      </c>
      <c r="E56" s="230">
        <f t="shared" si="9"/>
        <v>1.25</v>
      </c>
      <c r="F56" s="230">
        <f t="shared" si="9"/>
        <v>1</v>
      </c>
      <c r="G56" s="230">
        <f t="shared" si="9"/>
        <v>1.5</v>
      </c>
      <c r="H56" s="230">
        <f t="shared" si="9"/>
        <v>1.25</v>
      </c>
      <c r="I56" s="230">
        <f t="shared" si="9"/>
        <v>1.5</v>
      </c>
      <c r="J56" s="230">
        <f t="shared" si="9"/>
        <v>2</v>
      </c>
      <c r="K56" s="230">
        <f t="shared" si="9"/>
        <v>2</v>
      </c>
      <c r="L56" s="230">
        <f t="shared" si="9"/>
        <v>2.5</v>
      </c>
      <c r="M56" s="230">
        <f t="shared" si="9"/>
        <v>2.5</v>
      </c>
      <c r="N56" s="230"/>
    </row>
    <row r="57">
      <c r="A57" s="203"/>
      <c r="B57" s="203"/>
      <c r="C57" s="203"/>
      <c r="D57" s="203"/>
      <c r="E57" s="203"/>
      <c r="F57" s="203"/>
      <c r="G57" s="203"/>
      <c r="H57" s="203"/>
      <c r="I57" s="203"/>
      <c r="J57" s="203"/>
      <c r="K57" s="203"/>
      <c r="L57" s="203"/>
      <c r="M57" s="203"/>
      <c r="N57" s="203"/>
    </row>
    <row r="58">
      <c r="A58" s="245" t="s">
        <v>588</v>
      </c>
      <c r="B58" s="252">
        <f>DATE(2027,1,1)</f>
        <v>46388</v>
      </c>
      <c r="C58" s="252">
        <f>DATE(2027,2,1)</f>
        <v>46419</v>
      </c>
      <c r="D58" s="252">
        <f>DATE(2027,3,1)</f>
        <v>46447</v>
      </c>
      <c r="E58" s="252">
        <f>DATE(2027,4,1)</f>
        <v>46478</v>
      </c>
      <c r="F58" s="252">
        <f>DATE(2027,5,1)</f>
        <v>46508</v>
      </c>
      <c r="G58" s="252">
        <f>DATE(2027,6,1)</f>
        <v>46539</v>
      </c>
      <c r="H58" s="252">
        <f>DATE(2027,7,1)</f>
        <v>46569</v>
      </c>
      <c r="I58" s="252">
        <f>DATE(2027,8,1)</f>
        <v>46600</v>
      </c>
      <c r="J58" s="252">
        <f>DATE(2027,9,1)</f>
        <v>46631</v>
      </c>
      <c r="K58" s="252">
        <f>DATE(2027,10,1)</f>
        <v>46661</v>
      </c>
      <c r="L58" s="252">
        <f>DATE(2027,11,1)</f>
        <v>46692</v>
      </c>
      <c r="M58" s="252">
        <f>DATE(2027,12,1)</f>
        <v>46722</v>
      </c>
      <c r="N58" s="253" t="s">
        <v>2</v>
      </c>
    </row>
    <row r="59">
      <c r="A59" s="208" t="str">
        <f t="shared" ref="A59:A67" si="11">A13</f>
        <v>Field Engineer – Hogan Welch</v>
      </c>
      <c r="B59" s="255">
        <f t="shared" ref="B59:M59" si="10">IF(B$58&gt;=$C$13,$B$13/12*(1+IF(B$58&gt;=$B$25,$B$24,0)),0)</f>
        <v>8215.916667</v>
      </c>
      <c r="C59" s="255">
        <f t="shared" si="10"/>
        <v>8215.916667</v>
      </c>
      <c r="D59" s="255">
        <f t="shared" si="10"/>
        <v>8215.916667</v>
      </c>
      <c r="E59" s="255">
        <f t="shared" si="10"/>
        <v>8215.916667</v>
      </c>
      <c r="F59" s="255">
        <f t="shared" si="10"/>
        <v>8215.916667</v>
      </c>
      <c r="G59" s="255">
        <f t="shared" si="10"/>
        <v>8215.916667</v>
      </c>
      <c r="H59" s="255">
        <f t="shared" si="10"/>
        <v>8215.916667</v>
      </c>
      <c r="I59" s="255">
        <f t="shared" si="10"/>
        <v>8215.916667</v>
      </c>
      <c r="J59" s="255">
        <f t="shared" si="10"/>
        <v>8215.916667</v>
      </c>
      <c r="K59" s="255">
        <f t="shared" si="10"/>
        <v>8462.394167</v>
      </c>
      <c r="L59" s="255">
        <f t="shared" si="10"/>
        <v>8462.394167</v>
      </c>
      <c r="M59" s="255">
        <f t="shared" si="10"/>
        <v>8462.394167</v>
      </c>
      <c r="N59" s="255">
        <f t="shared" ref="N59:N71" si="13">SUM(B59:M59)</f>
        <v>99330.4325</v>
      </c>
    </row>
    <row r="60">
      <c r="A60" s="208" t="str">
        <f t="shared" si="11"/>
        <v>Field Engineer – James Mead</v>
      </c>
      <c r="B60" s="255">
        <f t="shared" ref="B60:M60" si="12">IF(B$58&gt;=$C$14,$B$14/12*(1+IF(B$58&gt;=$B$25,$B$24,0)),0)</f>
        <v>6006.666667</v>
      </c>
      <c r="C60" s="255">
        <f t="shared" si="12"/>
        <v>6006.666667</v>
      </c>
      <c r="D60" s="255">
        <f t="shared" si="12"/>
        <v>6006.666667</v>
      </c>
      <c r="E60" s="255">
        <f t="shared" si="12"/>
        <v>6006.666667</v>
      </c>
      <c r="F60" s="255">
        <f t="shared" si="12"/>
        <v>6006.666667</v>
      </c>
      <c r="G60" s="255">
        <f t="shared" si="12"/>
        <v>6006.666667</v>
      </c>
      <c r="H60" s="255">
        <f t="shared" si="12"/>
        <v>6006.666667</v>
      </c>
      <c r="I60" s="255">
        <f t="shared" si="12"/>
        <v>6006.666667</v>
      </c>
      <c r="J60" s="255">
        <f t="shared" si="12"/>
        <v>6006.666667</v>
      </c>
      <c r="K60" s="255">
        <f t="shared" si="12"/>
        <v>6186.866667</v>
      </c>
      <c r="L60" s="255">
        <f t="shared" si="12"/>
        <v>6186.866667</v>
      </c>
      <c r="M60" s="255">
        <f t="shared" si="12"/>
        <v>6186.866667</v>
      </c>
      <c r="N60" s="255">
        <f t="shared" si="13"/>
        <v>72620.6</v>
      </c>
    </row>
    <row r="61">
      <c r="A61" s="208" t="str">
        <f t="shared" si="11"/>
        <v>Field Engineer – James Murphy</v>
      </c>
      <c r="B61" s="255">
        <f t="shared" ref="B61:M61" si="14">IF(B$58&gt;=$C$15,$B$15/12*(1+IF(B$58&gt;=$B$25,$B$24,0)),0)</f>
        <v>6250</v>
      </c>
      <c r="C61" s="255">
        <f t="shared" si="14"/>
        <v>6250</v>
      </c>
      <c r="D61" s="255">
        <f t="shared" si="14"/>
        <v>6250</v>
      </c>
      <c r="E61" s="255">
        <f t="shared" si="14"/>
        <v>6250</v>
      </c>
      <c r="F61" s="255">
        <f t="shared" si="14"/>
        <v>6250</v>
      </c>
      <c r="G61" s="255">
        <f t="shared" si="14"/>
        <v>6250</v>
      </c>
      <c r="H61" s="255">
        <f t="shared" si="14"/>
        <v>6250</v>
      </c>
      <c r="I61" s="255">
        <f t="shared" si="14"/>
        <v>6250</v>
      </c>
      <c r="J61" s="255">
        <f t="shared" si="14"/>
        <v>6250</v>
      </c>
      <c r="K61" s="255">
        <f t="shared" si="14"/>
        <v>6437.5</v>
      </c>
      <c r="L61" s="255">
        <f t="shared" si="14"/>
        <v>6437.5</v>
      </c>
      <c r="M61" s="255">
        <f t="shared" si="14"/>
        <v>6437.5</v>
      </c>
      <c r="N61" s="255">
        <f t="shared" si="13"/>
        <v>75562.5</v>
      </c>
    </row>
    <row r="62">
      <c r="A62" s="208" t="str">
        <f t="shared" si="11"/>
        <v>Field Engineer – Elizabeth Ferry</v>
      </c>
      <c r="B62" s="255">
        <f t="shared" ref="B62:M62" si="15">IF(B$58&gt;=$C$16,$B$16/12*(1+IF(B$58&gt;=$B$25,$B$24,0)),0)</f>
        <v>5833.333333</v>
      </c>
      <c r="C62" s="255">
        <f t="shared" si="15"/>
        <v>5833.333333</v>
      </c>
      <c r="D62" s="255">
        <f t="shared" si="15"/>
        <v>5833.333333</v>
      </c>
      <c r="E62" s="255">
        <f t="shared" si="15"/>
        <v>5833.333333</v>
      </c>
      <c r="F62" s="255">
        <f t="shared" si="15"/>
        <v>5833.333333</v>
      </c>
      <c r="G62" s="255">
        <f t="shared" si="15"/>
        <v>5833.333333</v>
      </c>
      <c r="H62" s="255">
        <f t="shared" si="15"/>
        <v>5833.333333</v>
      </c>
      <c r="I62" s="255">
        <f t="shared" si="15"/>
        <v>5833.333333</v>
      </c>
      <c r="J62" s="255">
        <f t="shared" si="15"/>
        <v>5833.333333</v>
      </c>
      <c r="K62" s="255">
        <f t="shared" si="15"/>
        <v>6008.333333</v>
      </c>
      <c r="L62" s="255">
        <f t="shared" si="15"/>
        <v>6008.333333</v>
      </c>
      <c r="M62" s="255">
        <f t="shared" si="15"/>
        <v>6008.333333</v>
      </c>
      <c r="N62" s="255">
        <f t="shared" si="13"/>
        <v>70525</v>
      </c>
    </row>
    <row r="63">
      <c r="A63" s="208" t="str">
        <f t="shared" si="11"/>
        <v>Customer Support Manager – Seng</v>
      </c>
      <c r="B63" s="255">
        <f t="shared" ref="B63:M63" si="16">IF(B$58&gt;=$C$17,$B$17/12*(1+IF(B$58&gt;=$B$25,$B$24,0)),0)</f>
        <v>13333.33333</v>
      </c>
      <c r="C63" s="255">
        <f t="shared" si="16"/>
        <v>13333.33333</v>
      </c>
      <c r="D63" s="255">
        <f t="shared" si="16"/>
        <v>13333.33333</v>
      </c>
      <c r="E63" s="255">
        <f t="shared" si="16"/>
        <v>13333.33333</v>
      </c>
      <c r="F63" s="255">
        <f t="shared" si="16"/>
        <v>13333.33333</v>
      </c>
      <c r="G63" s="255">
        <f t="shared" si="16"/>
        <v>13333.33333</v>
      </c>
      <c r="H63" s="255">
        <f t="shared" si="16"/>
        <v>13333.33333</v>
      </c>
      <c r="I63" s="255">
        <f t="shared" si="16"/>
        <v>13333.33333</v>
      </c>
      <c r="J63" s="255">
        <f t="shared" si="16"/>
        <v>13333.33333</v>
      </c>
      <c r="K63" s="255">
        <f t="shared" si="16"/>
        <v>13733.33333</v>
      </c>
      <c r="L63" s="255">
        <f t="shared" si="16"/>
        <v>13733.33333</v>
      </c>
      <c r="M63" s="255">
        <f t="shared" si="16"/>
        <v>13733.33333</v>
      </c>
      <c r="N63" s="255">
        <f t="shared" si="13"/>
        <v>161200</v>
      </c>
    </row>
    <row r="64">
      <c r="A64" s="208" t="str">
        <f t="shared" si="11"/>
        <v>Customer Support Specialist – Jessica</v>
      </c>
      <c r="B64" s="255">
        <f t="shared" ref="B64:M64" si="17">IF(B$58&gt;=$C$18,$B$18/12*(1+IF(B$58&gt;=$B$25,$B$24,0)),0)</f>
        <v>5416.666667</v>
      </c>
      <c r="C64" s="255">
        <f t="shared" si="17"/>
        <v>5416.666667</v>
      </c>
      <c r="D64" s="255">
        <f t="shared" si="17"/>
        <v>5416.666667</v>
      </c>
      <c r="E64" s="255">
        <f t="shared" si="17"/>
        <v>5416.666667</v>
      </c>
      <c r="F64" s="255">
        <f t="shared" si="17"/>
        <v>5416.666667</v>
      </c>
      <c r="G64" s="255">
        <f t="shared" si="17"/>
        <v>5416.666667</v>
      </c>
      <c r="H64" s="255">
        <f t="shared" si="17"/>
        <v>5416.666667</v>
      </c>
      <c r="I64" s="255">
        <f t="shared" si="17"/>
        <v>5416.666667</v>
      </c>
      <c r="J64" s="255">
        <f t="shared" si="17"/>
        <v>5416.666667</v>
      </c>
      <c r="K64" s="255">
        <f t="shared" si="17"/>
        <v>5579.166667</v>
      </c>
      <c r="L64" s="255">
        <f t="shared" si="17"/>
        <v>5579.166667</v>
      </c>
      <c r="M64" s="255">
        <f t="shared" si="17"/>
        <v>5579.166667</v>
      </c>
      <c r="N64" s="255">
        <f t="shared" si="13"/>
        <v>65487.5</v>
      </c>
    </row>
    <row r="65">
      <c r="A65" s="208" t="str">
        <f t="shared" si="11"/>
        <v>Customer Support Specialist – New hire</v>
      </c>
      <c r="B65" s="255">
        <f t="shared" ref="B65:M65" si="18">IF(B$58&gt;=$C$19,$B$19/12*(1+IF(B$58&gt;=$B$25,$B$24,0)),0)</f>
        <v>0</v>
      </c>
      <c r="C65" s="255">
        <f t="shared" si="18"/>
        <v>0</v>
      </c>
      <c r="D65" s="255">
        <f t="shared" si="18"/>
        <v>0</v>
      </c>
      <c r="E65" s="255">
        <f t="shared" si="18"/>
        <v>0</v>
      </c>
      <c r="F65" s="255">
        <f t="shared" si="18"/>
        <v>0</v>
      </c>
      <c r="G65" s="255">
        <f t="shared" si="18"/>
        <v>0</v>
      </c>
      <c r="H65" s="255">
        <f t="shared" si="18"/>
        <v>0</v>
      </c>
      <c r="I65" s="255">
        <f t="shared" si="18"/>
        <v>5416.666667</v>
      </c>
      <c r="J65" s="255">
        <f t="shared" si="18"/>
        <v>5416.666667</v>
      </c>
      <c r="K65" s="255">
        <f t="shared" si="18"/>
        <v>5579.166667</v>
      </c>
      <c r="L65" s="255">
        <f t="shared" si="18"/>
        <v>5579.166667</v>
      </c>
      <c r="M65" s="255">
        <f t="shared" si="18"/>
        <v>5579.166667</v>
      </c>
      <c r="N65" s="255">
        <f t="shared" si="13"/>
        <v>27570.83333</v>
      </c>
    </row>
    <row r="66">
      <c r="A66" s="208" t="str">
        <f t="shared" si="11"/>
        <v>Field Engineering Manager</v>
      </c>
      <c r="B66" s="255">
        <f t="shared" ref="B66:M66" si="19">IF(B$58&gt;=$C$20,$B$20/12*(1+IF(B$58&gt;=$B$25,$B$24,0)),0)</f>
        <v>11666.66667</v>
      </c>
      <c r="C66" s="255">
        <f t="shared" si="19"/>
        <v>11666.66667</v>
      </c>
      <c r="D66" s="255">
        <f t="shared" si="19"/>
        <v>11666.66667</v>
      </c>
      <c r="E66" s="255">
        <f t="shared" si="19"/>
        <v>11666.66667</v>
      </c>
      <c r="F66" s="255">
        <f t="shared" si="19"/>
        <v>11666.66667</v>
      </c>
      <c r="G66" s="255">
        <f t="shared" si="19"/>
        <v>11666.66667</v>
      </c>
      <c r="H66" s="255">
        <f t="shared" si="19"/>
        <v>11666.66667</v>
      </c>
      <c r="I66" s="255">
        <f t="shared" si="19"/>
        <v>11666.66667</v>
      </c>
      <c r="J66" s="255">
        <f t="shared" si="19"/>
        <v>11666.66667</v>
      </c>
      <c r="K66" s="255">
        <f t="shared" si="19"/>
        <v>12016.66667</v>
      </c>
      <c r="L66" s="255">
        <f t="shared" si="19"/>
        <v>12016.66667</v>
      </c>
      <c r="M66" s="255">
        <f t="shared" si="19"/>
        <v>12016.66667</v>
      </c>
      <c r="N66" s="255">
        <f t="shared" si="13"/>
        <v>141050</v>
      </c>
    </row>
    <row r="67">
      <c r="A67" s="208" t="str">
        <f t="shared" si="11"/>
        <v>Head of Service Delivery – Rasheen Henry</v>
      </c>
      <c r="B67" s="255">
        <f t="shared" ref="B67:M67" si="20">IF(B$58&gt;=$C$21,$B$21/12*(1+IF(B$58&gt;=$B$25,$B$24,0)),0)</f>
        <v>0</v>
      </c>
      <c r="C67" s="255">
        <f t="shared" si="20"/>
        <v>0</v>
      </c>
      <c r="D67" s="255">
        <f t="shared" si="20"/>
        <v>0</v>
      </c>
      <c r="E67" s="255">
        <f t="shared" si="20"/>
        <v>0</v>
      </c>
      <c r="F67" s="255">
        <f t="shared" si="20"/>
        <v>0</v>
      </c>
      <c r="G67" s="255">
        <f t="shared" si="20"/>
        <v>0</v>
      </c>
      <c r="H67" s="255">
        <f t="shared" si="20"/>
        <v>0</v>
      </c>
      <c r="I67" s="255">
        <f t="shared" si="20"/>
        <v>0</v>
      </c>
      <c r="J67" s="255">
        <f t="shared" si="20"/>
        <v>0</v>
      </c>
      <c r="K67" s="255">
        <f t="shared" si="20"/>
        <v>0</v>
      </c>
      <c r="L67" s="255">
        <f t="shared" si="20"/>
        <v>0</v>
      </c>
      <c r="M67" s="255">
        <f t="shared" si="20"/>
        <v>0</v>
      </c>
      <c r="N67" s="255">
        <f t="shared" si="13"/>
        <v>0</v>
      </c>
    </row>
    <row r="68">
      <c r="A68" s="260" t="s">
        <v>589</v>
      </c>
      <c r="B68" s="261">
        <f t="shared" ref="B68:M68" si="21">SUM(B59:B67)</f>
        <v>56722.58333</v>
      </c>
      <c r="C68" s="261">
        <f t="shared" si="21"/>
        <v>56722.58333</v>
      </c>
      <c r="D68" s="261">
        <f t="shared" si="21"/>
        <v>56722.58333</v>
      </c>
      <c r="E68" s="261">
        <f t="shared" si="21"/>
        <v>56722.58333</v>
      </c>
      <c r="F68" s="261">
        <f t="shared" si="21"/>
        <v>56722.58333</v>
      </c>
      <c r="G68" s="261">
        <f t="shared" si="21"/>
        <v>56722.58333</v>
      </c>
      <c r="H68" s="261">
        <f t="shared" si="21"/>
        <v>56722.58333</v>
      </c>
      <c r="I68" s="261">
        <f t="shared" si="21"/>
        <v>62139.25</v>
      </c>
      <c r="J68" s="261">
        <f t="shared" si="21"/>
        <v>62139.25</v>
      </c>
      <c r="K68" s="261">
        <f t="shared" si="21"/>
        <v>64003.4275</v>
      </c>
      <c r="L68" s="261">
        <f t="shared" si="21"/>
        <v>64003.4275</v>
      </c>
      <c r="M68" s="261">
        <f t="shared" si="21"/>
        <v>64003.4275</v>
      </c>
      <c r="N68" s="261">
        <f t="shared" si="13"/>
        <v>713346.8658</v>
      </c>
    </row>
    <row r="69">
      <c r="A69" s="208" t="s">
        <v>249</v>
      </c>
      <c r="B69" s="255">
        <f t="shared" ref="B69:M69" si="22">B68*$B$22</f>
        <v>3857.135667</v>
      </c>
      <c r="C69" s="255">
        <f t="shared" si="22"/>
        <v>3857.135667</v>
      </c>
      <c r="D69" s="255">
        <f t="shared" si="22"/>
        <v>3857.135667</v>
      </c>
      <c r="E69" s="255">
        <f t="shared" si="22"/>
        <v>3857.135667</v>
      </c>
      <c r="F69" s="255">
        <f t="shared" si="22"/>
        <v>3857.135667</v>
      </c>
      <c r="G69" s="255">
        <f t="shared" si="22"/>
        <v>3857.135667</v>
      </c>
      <c r="H69" s="255">
        <f t="shared" si="22"/>
        <v>3857.135667</v>
      </c>
      <c r="I69" s="255">
        <f t="shared" si="22"/>
        <v>4225.469</v>
      </c>
      <c r="J69" s="255">
        <f t="shared" si="22"/>
        <v>4225.469</v>
      </c>
      <c r="K69" s="255">
        <f t="shared" si="22"/>
        <v>4352.23307</v>
      </c>
      <c r="L69" s="255">
        <f t="shared" si="22"/>
        <v>4352.23307</v>
      </c>
      <c r="M69" s="255">
        <f t="shared" si="22"/>
        <v>4352.23307</v>
      </c>
      <c r="N69" s="255">
        <f t="shared" si="13"/>
        <v>48507.58688</v>
      </c>
    </row>
    <row r="70">
      <c r="A70" s="208" t="s">
        <v>204</v>
      </c>
      <c r="B70" s="255">
        <f t="shared" ref="B70:M70" si="23">B68*$B$23</f>
        <v>9302.503667</v>
      </c>
      <c r="C70" s="255">
        <f t="shared" si="23"/>
        <v>9302.503667</v>
      </c>
      <c r="D70" s="255">
        <f t="shared" si="23"/>
        <v>9302.503667</v>
      </c>
      <c r="E70" s="255">
        <f t="shared" si="23"/>
        <v>9302.503667</v>
      </c>
      <c r="F70" s="255">
        <f t="shared" si="23"/>
        <v>9302.503667</v>
      </c>
      <c r="G70" s="255">
        <f t="shared" si="23"/>
        <v>9302.503667</v>
      </c>
      <c r="H70" s="255">
        <f t="shared" si="23"/>
        <v>9302.503667</v>
      </c>
      <c r="I70" s="255">
        <f t="shared" si="23"/>
        <v>10190.837</v>
      </c>
      <c r="J70" s="255">
        <f t="shared" si="23"/>
        <v>10190.837</v>
      </c>
      <c r="K70" s="255">
        <f t="shared" si="23"/>
        <v>10496.56211</v>
      </c>
      <c r="L70" s="255">
        <f t="shared" si="23"/>
        <v>10496.56211</v>
      </c>
      <c r="M70" s="255">
        <f t="shared" si="23"/>
        <v>10496.56211</v>
      </c>
      <c r="N70" s="255">
        <f t="shared" si="13"/>
        <v>116988.886</v>
      </c>
    </row>
    <row r="71">
      <c r="A71" s="260" t="s">
        <v>590</v>
      </c>
      <c r="B71" s="261">
        <f t="shared" ref="B71:M71" si="24">SUM(B68:B70)</f>
        <v>69882.22267</v>
      </c>
      <c r="C71" s="261">
        <f t="shared" si="24"/>
        <v>69882.22267</v>
      </c>
      <c r="D71" s="261">
        <f t="shared" si="24"/>
        <v>69882.22267</v>
      </c>
      <c r="E71" s="261">
        <f t="shared" si="24"/>
        <v>69882.22267</v>
      </c>
      <c r="F71" s="261">
        <f t="shared" si="24"/>
        <v>69882.22267</v>
      </c>
      <c r="G71" s="261">
        <f t="shared" si="24"/>
        <v>69882.22267</v>
      </c>
      <c r="H71" s="261">
        <f t="shared" si="24"/>
        <v>69882.22267</v>
      </c>
      <c r="I71" s="261">
        <f t="shared" si="24"/>
        <v>76555.556</v>
      </c>
      <c r="J71" s="261">
        <f t="shared" si="24"/>
        <v>76555.556</v>
      </c>
      <c r="K71" s="261">
        <f t="shared" si="24"/>
        <v>78852.22268</v>
      </c>
      <c r="L71" s="261">
        <f t="shared" si="24"/>
        <v>78852.22268</v>
      </c>
      <c r="M71" s="261">
        <f t="shared" si="24"/>
        <v>78852.22268</v>
      </c>
      <c r="N71" s="261">
        <f t="shared" si="13"/>
        <v>878843.3387</v>
      </c>
    </row>
    <row r="72">
      <c r="A72" s="203"/>
      <c r="B72" s="203"/>
      <c r="C72" s="203"/>
      <c r="D72" s="203"/>
      <c r="E72" s="203"/>
      <c r="F72" s="203"/>
      <c r="G72" s="203"/>
      <c r="H72" s="203"/>
      <c r="I72" s="203"/>
      <c r="J72" s="203"/>
      <c r="K72" s="203"/>
      <c r="L72" s="203"/>
      <c r="M72" s="203"/>
      <c r="N72" s="203"/>
    </row>
    <row r="73">
      <c r="A73" s="245" t="s">
        <v>591</v>
      </c>
      <c r="B73" s="252">
        <f>DATE(2027,1,1)</f>
        <v>46388</v>
      </c>
      <c r="C73" s="252">
        <f>DATE(2027,2,1)</f>
        <v>46419</v>
      </c>
      <c r="D73" s="252">
        <f>DATE(2027,3,1)</f>
        <v>46447</v>
      </c>
      <c r="E73" s="252">
        <f>DATE(2027,4,1)</f>
        <v>46478</v>
      </c>
      <c r="F73" s="252">
        <f>DATE(2027,5,1)</f>
        <v>46508</v>
      </c>
      <c r="G73" s="252">
        <f>DATE(2027,6,1)</f>
        <v>46539</v>
      </c>
      <c r="H73" s="252">
        <f>DATE(2027,7,1)</f>
        <v>46569</v>
      </c>
      <c r="I73" s="252">
        <f>DATE(2027,8,1)</f>
        <v>46600</v>
      </c>
      <c r="J73" s="252">
        <f>DATE(2027,9,1)</f>
        <v>46631</v>
      </c>
      <c r="K73" s="252">
        <f>DATE(2027,10,1)</f>
        <v>46661</v>
      </c>
      <c r="L73" s="252">
        <f>DATE(2027,11,1)</f>
        <v>46692</v>
      </c>
      <c r="M73" s="252">
        <f>DATE(2027,12,1)</f>
        <v>46722</v>
      </c>
      <c r="N73" s="253" t="s">
        <v>2</v>
      </c>
    </row>
    <row r="74">
      <c r="A74" s="208" t="s">
        <v>554</v>
      </c>
      <c r="B74" s="255">
        <f t="shared" ref="B74:M74" si="25">B55*$B$42*$B$6*(1-$B$43)</f>
        <v>16558.91079</v>
      </c>
      <c r="C74" s="255">
        <f t="shared" si="25"/>
        <v>11039.27386</v>
      </c>
      <c r="D74" s="255">
        <f t="shared" si="25"/>
        <v>0</v>
      </c>
      <c r="E74" s="255">
        <f t="shared" si="25"/>
        <v>26052.68631</v>
      </c>
      <c r="F74" s="255">
        <f t="shared" si="25"/>
        <v>20533.04938</v>
      </c>
      <c r="G74" s="255">
        <f t="shared" si="25"/>
        <v>30026.8249</v>
      </c>
      <c r="H74" s="255">
        <f t="shared" si="25"/>
        <v>26052.68631</v>
      </c>
      <c r="I74" s="255">
        <f t="shared" si="25"/>
        <v>31572.32324</v>
      </c>
      <c r="J74" s="255">
        <f t="shared" si="25"/>
        <v>41066.09875</v>
      </c>
      <c r="K74" s="255">
        <f t="shared" si="25"/>
        <v>41066.09875</v>
      </c>
      <c r="L74" s="255">
        <f t="shared" si="25"/>
        <v>50559.87427</v>
      </c>
      <c r="M74" s="255">
        <f t="shared" si="25"/>
        <v>52105.37261</v>
      </c>
      <c r="N74" s="255">
        <f t="shared" ref="N74:N82" si="27">SUM(B74:M74)</f>
        <v>346633.1992</v>
      </c>
    </row>
    <row r="75">
      <c r="A75" s="208" t="s">
        <v>555</v>
      </c>
      <c r="B75" s="255">
        <f t="shared" ref="B75:M75" si="26">B55*$B$42*$B$6*$B$43</f>
        <v>2014.993974</v>
      </c>
      <c r="C75" s="255">
        <f t="shared" si="26"/>
        <v>1343.329316</v>
      </c>
      <c r="D75" s="255">
        <f t="shared" si="26"/>
        <v>0</v>
      </c>
      <c r="E75" s="255">
        <f t="shared" si="26"/>
        <v>3170.257185</v>
      </c>
      <c r="F75" s="255">
        <f t="shared" si="26"/>
        <v>2498.592528</v>
      </c>
      <c r="G75" s="255">
        <f t="shared" si="26"/>
        <v>3653.855739</v>
      </c>
      <c r="H75" s="255">
        <f t="shared" si="26"/>
        <v>3170.257185</v>
      </c>
      <c r="I75" s="255">
        <f t="shared" si="26"/>
        <v>3841.921843</v>
      </c>
      <c r="J75" s="255">
        <f t="shared" si="26"/>
        <v>4997.185055</v>
      </c>
      <c r="K75" s="255">
        <f t="shared" si="26"/>
        <v>4997.185055</v>
      </c>
      <c r="L75" s="255">
        <f t="shared" si="26"/>
        <v>6152.448267</v>
      </c>
      <c r="M75" s="255">
        <f t="shared" si="26"/>
        <v>6340.514371</v>
      </c>
      <c r="N75" s="255">
        <f t="shared" si="27"/>
        <v>42180.54052</v>
      </c>
    </row>
    <row r="76">
      <c r="A76" s="208" t="s">
        <v>592</v>
      </c>
      <c r="B76" s="255">
        <f t="shared" ref="B76:M76" si="28">$B$46*(1-$B$45)</f>
        <v>3769.59375</v>
      </c>
      <c r="C76" s="255">
        <f t="shared" si="28"/>
        <v>3769.59375</v>
      </c>
      <c r="D76" s="255">
        <f t="shared" si="28"/>
        <v>3769.59375</v>
      </c>
      <c r="E76" s="255">
        <f t="shared" si="28"/>
        <v>3769.59375</v>
      </c>
      <c r="F76" s="255">
        <f t="shared" si="28"/>
        <v>3769.59375</v>
      </c>
      <c r="G76" s="255">
        <f t="shared" si="28"/>
        <v>3769.59375</v>
      </c>
      <c r="H76" s="255">
        <f t="shared" si="28"/>
        <v>3769.59375</v>
      </c>
      <c r="I76" s="255">
        <f t="shared" si="28"/>
        <v>3769.59375</v>
      </c>
      <c r="J76" s="255">
        <f t="shared" si="28"/>
        <v>3769.59375</v>
      </c>
      <c r="K76" s="255">
        <f t="shared" si="28"/>
        <v>3769.59375</v>
      </c>
      <c r="L76" s="255">
        <f t="shared" si="28"/>
        <v>3769.59375</v>
      </c>
      <c r="M76" s="255">
        <f t="shared" si="28"/>
        <v>3769.59375</v>
      </c>
      <c r="N76" s="255">
        <f t="shared" si="27"/>
        <v>45235.125</v>
      </c>
    </row>
    <row r="77">
      <c r="A77" s="208" t="s">
        <v>593</v>
      </c>
      <c r="B77" s="255">
        <f t="shared" ref="B77:M77" si="29">$B$46*$B$45</f>
        <v>604.6140625</v>
      </c>
      <c r="C77" s="255">
        <f t="shared" si="29"/>
        <v>604.6140625</v>
      </c>
      <c r="D77" s="255">
        <f t="shared" si="29"/>
        <v>604.6140625</v>
      </c>
      <c r="E77" s="255">
        <f t="shared" si="29"/>
        <v>604.6140625</v>
      </c>
      <c r="F77" s="255">
        <f t="shared" si="29"/>
        <v>604.6140625</v>
      </c>
      <c r="G77" s="255">
        <f t="shared" si="29"/>
        <v>604.6140625</v>
      </c>
      <c r="H77" s="255">
        <f t="shared" si="29"/>
        <v>604.6140625</v>
      </c>
      <c r="I77" s="255">
        <f t="shared" si="29"/>
        <v>604.6140625</v>
      </c>
      <c r="J77" s="255">
        <f t="shared" si="29"/>
        <v>604.6140625</v>
      </c>
      <c r="K77" s="255">
        <f t="shared" si="29"/>
        <v>604.6140625</v>
      </c>
      <c r="L77" s="255">
        <f t="shared" si="29"/>
        <v>604.6140625</v>
      </c>
      <c r="M77" s="255">
        <f t="shared" si="29"/>
        <v>604.6140625</v>
      </c>
      <c r="N77" s="255">
        <f t="shared" si="27"/>
        <v>7255.36875</v>
      </c>
    </row>
    <row r="78">
      <c r="A78" s="208" t="s">
        <v>594</v>
      </c>
      <c r="B78" s="262">
        <f t="shared" ref="B78:M78" si="30">B68</f>
        <v>56722.58333</v>
      </c>
      <c r="C78" s="262">
        <f t="shared" si="30"/>
        <v>56722.58333</v>
      </c>
      <c r="D78" s="262">
        <f t="shared" si="30"/>
        <v>56722.58333</v>
      </c>
      <c r="E78" s="262">
        <f t="shared" si="30"/>
        <v>56722.58333</v>
      </c>
      <c r="F78" s="262">
        <f t="shared" si="30"/>
        <v>56722.58333</v>
      </c>
      <c r="G78" s="262">
        <f t="shared" si="30"/>
        <v>56722.58333</v>
      </c>
      <c r="H78" s="262">
        <f t="shared" si="30"/>
        <v>56722.58333</v>
      </c>
      <c r="I78" s="262">
        <f t="shared" si="30"/>
        <v>62139.25</v>
      </c>
      <c r="J78" s="262">
        <f t="shared" si="30"/>
        <v>62139.25</v>
      </c>
      <c r="K78" s="262">
        <f t="shared" si="30"/>
        <v>64003.4275</v>
      </c>
      <c r="L78" s="262">
        <f t="shared" si="30"/>
        <v>64003.4275</v>
      </c>
      <c r="M78" s="262">
        <f t="shared" si="30"/>
        <v>64003.4275</v>
      </c>
      <c r="N78" s="255">
        <f t="shared" si="27"/>
        <v>713346.8658</v>
      </c>
    </row>
    <row r="79">
      <c r="A79" s="208" t="s">
        <v>595</v>
      </c>
      <c r="B79" s="262">
        <f t="shared" ref="B79:M79" si="31">B69</f>
        <v>3857.135667</v>
      </c>
      <c r="C79" s="262">
        <f t="shared" si="31"/>
        <v>3857.135667</v>
      </c>
      <c r="D79" s="262">
        <f t="shared" si="31"/>
        <v>3857.135667</v>
      </c>
      <c r="E79" s="262">
        <f t="shared" si="31"/>
        <v>3857.135667</v>
      </c>
      <c r="F79" s="262">
        <f t="shared" si="31"/>
        <v>3857.135667</v>
      </c>
      <c r="G79" s="262">
        <f t="shared" si="31"/>
        <v>3857.135667</v>
      </c>
      <c r="H79" s="262">
        <f t="shared" si="31"/>
        <v>3857.135667</v>
      </c>
      <c r="I79" s="262">
        <f t="shared" si="31"/>
        <v>4225.469</v>
      </c>
      <c r="J79" s="262">
        <f t="shared" si="31"/>
        <v>4225.469</v>
      </c>
      <c r="K79" s="262">
        <f t="shared" si="31"/>
        <v>4352.23307</v>
      </c>
      <c r="L79" s="262">
        <f t="shared" si="31"/>
        <v>4352.23307</v>
      </c>
      <c r="M79" s="262">
        <f t="shared" si="31"/>
        <v>4352.23307</v>
      </c>
      <c r="N79" s="255">
        <f t="shared" si="27"/>
        <v>48507.58688</v>
      </c>
    </row>
    <row r="80">
      <c r="A80" s="208" t="s">
        <v>596</v>
      </c>
      <c r="B80" s="262">
        <f t="shared" ref="B80:M80" si="32">B70</f>
        <v>9302.503667</v>
      </c>
      <c r="C80" s="262">
        <f t="shared" si="32"/>
        <v>9302.503667</v>
      </c>
      <c r="D80" s="262">
        <f t="shared" si="32"/>
        <v>9302.503667</v>
      </c>
      <c r="E80" s="262">
        <f t="shared" si="32"/>
        <v>9302.503667</v>
      </c>
      <c r="F80" s="262">
        <f t="shared" si="32"/>
        <v>9302.503667</v>
      </c>
      <c r="G80" s="262">
        <f t="shared" si="32"/>
        <v>9302.503667</v>
      </c>
      <c r="H80" s="262">
        <f t="shared" si="32"/>
        <v>9302.503667</v>
      </c>
      <c r="I80" s="262">
        <f t="shared" si="32"/>
        <v>10190.837</v>
      </c>
      <c r="J80" s="262">
        <f t="shared" si="32"/>
        <v>10190.837</v>
      </c>
      <c r="K80" s="262">
        <f t="shared" si="32"/>
        <v>10496.56211</v>
      </c>
      <c r="L80" s="262">
        <f t="shared" si="32"/>
        <v>10496.56211</v>
      </c>
      <c r="M80" s="262">
        <f t="shared" si="32"/>
        <v>10496.56211</v>
      </c>
      <c r="N80" s="255">
        <f t="shared" si="27"/>
        <v>116988.886</v>
      </c>
    </row>
    <row r="81">
      <c r="A81" s="260" t="s">
        <v>597</v>
      </c>
      <c r="B81" s="261">
        <f t="shared" ref="B81:M81" si="33">SUM(B74:B80)</f>
        <v>92830.33524</v>
      </c>
      <c r="C81" s="261">
        <f t="shared" si="33"/>
        <v>86639.03365</v>
      </c>
      <c r="D81" s="261">
        <f t="shared" si="33"/>
        <v>74256.43048</v>
      </c>
      <c r="E81" s="261">
        <f t="shared" si="33"/>
        <v>103479.374</v>
      </c>
      <c r="F81" s="261">
        <f t="shared" si="33"/>
        <v>97288.07238</v>
      </c>
      <c r="G81" s="261">
        <f t="shared" si="33"/>
        <v>107937.1111</v>
      </c>
      <c r="H81" s="261">
        <f t="shared" si="33"/>
        <v>103479.374</v>
      </c>
      <c r="I81" s="261">
        <f t="shared" si="33"/>
        <v>116344.0089</v>
      </c>
      <c r="J81" s="261">
        <f t="shared" si="33"/>
        <v>126993.0476</v>
      </c>
      <c r="K81" s="261">
        <f t="shared" si="33"/>
        <v>129289.7143</v>
      </c>
      <c r="L81" s="261">
        <f t="shared" si="33"/>
        <v>139938.753</v>
      </c>
      <c r="M81" s="261">
        <f t="shared" si="33"/>
        <v>141672.3175</v>
      </c>
      <c r="N81" s="261">
        <f t="shared" si="27"/>
        <v>1320147.572</v>
      </c>
    </row>
    <row r="82">
      <c r="A82" s="208" t="s">
        <v>598</v>
      </c>
      <c r="B82" s="255">
        <f t="shared" ref="B82:M82" si="34">SUM(B74:B77)</f>
        <v>22948.11257</v>
      </c>
      <c r="C82" s="255">
        <f t="shared" si="34"/>
        <v>16756.81099</v>
      </c>
      <c r="D82" s="255">
        <f t="shared" si="34"/>
        <v>4374.207813</v>
      </c>
      <c r="E82" s="255">
        <f t="shared" si="34"/>
        <v>33597.1513</v>
      </c>
      <c r="F82" s="255">
        <f t="shared" si="34"/>
        <v>27405.84972</v>
      </c>
      <c r="G82" s="255">
        <f t="shared" si="34"/>
        <v>38054.88845</v>
      </c>
      <c r="H82" s="255">
        <f t="shared" si="34"/>
        <v>33597.1513</v>
      </c>
      <c r="I82" s="255">
        <f t="shared" si="34"/>
        <v>39788.45289</v>
      </c>
      <c r="J82" s="255">
        <f t="shared" si="34"/>
        <v>50437.49162</v>
      </c>
      <c r="K82" s="255">
        <f t="shared" si="34"/>
        <v>50437.49162</v>
      </c>
      <c r="L82" s="255">
        <f t="shared" si="34"/>
        <v>61086.53035</v>
      </c>
      <c r="M82" s="255">
        <f t="shared" si="34"/>
        <v>62820.0948</v>
      </c>
      <c r="N82" s="255">
        <f t="shared" si="27"/>
        <v>441304.2334</v>
      </c>
    </row>
    <row r="83">
      <c r="A83" s="203"/>
      <c r="B83" s="203"/>
      <c r="C83" s="203"/>
      <c r="D83" s="203"/>
      <c r="E83" s="203"/>
      <c r="F83" s="203"/>
      <c r="G83" s="203"/>
      <c r="H83" s="203"/>
      <c r="I83" s="203"/>
      <c r="J83" s="203"/>
      <c r="K83" s="203"/>
      <c r="L83" s="203"/>
      <c r="M83" s="203"/>
      <c r="N83" s="203"/>
    </row>
    <row r="84" ht="33.75" customHeight="1">
      <c r="A84" s="263" t="s">
        <v>599</v>
      </c>
      <c r="B84" s="264" t="s">
        <v>600</v>
      </c>
      <c r="C84" s="264" t="s">
        <v>601</v>
      </c>
      <c r="D84" s="264" t="s">
        <v>602</v>
      </c>
      <c r="E84" s="264" t="s">
        <v>603</v>
      </c>
      <c r="F84" s="264" t="s">
        <v>604</v>
      </c>
      <c r="G84" s="264" t="s">
        <v>605</v>
      </c>
      <c r="H84" s="203"/>
      <c r="I84" s="203"/>
      <c r="J84" s="203"/>
      <c r="K84" s="203"/>
      <c r="L84" s="203"/>
      <c r="M84" s="203"/>
      <c r="N84" s="203"/>
    </row>
    <row r="85">
      <c r="A85" s="208" t="s">
        <v>98</v>
      </c>
      <c r="B85" s="265">
        <v>30.0</v>
      </c>
      <c r="C85" s="266" t="s">
        <v>606</v>
      </c>
      <c r="D85" s="255">
        <f t="shared" ref="D85:D91" si="35">N74</f>
        <v>346633.1992</v>
      </c>
      <c r="E85" s="254">
        <f>FE!N30</f>
        <v>87455.02</v>
      </c>
      <c r="F85" s="255">
        <f t="shared" ref="F85:F92" si="36">D85-E85</f>
        <v>259178.1792</v>
      </c>
      <c r="G85" s="254">
        <f>FE!AG30</f>
        <v>346633.1992</v>
      </c>
      <c r="H85" s="203"/>
      <c r="I85" s="203"/>
      <c r="J85" s="203"/>
      <c r="K85" s="203"/>
      <c r="L85" s="203"/>
      <c r="M85" s="203"/>
      <c r="N85" s="203"/>
    </row>
    <row r="86">
      <c r="A86" s="208" t="s">
        <v>99</v>
      </c>
      <c r="B86" s="265">
        <v>31.0</v>
      </c>
      <c r="C86" s="266" t="s">
        <v>606</v>
      </c>
      <c r="D86" s="255">
        <f t="shared" si="35"/>
        <v>42180.54052</v>
      </c>
      <c r="E86" s="254">
        <f>FE!N31</f>
        <v>10313.18</v>
      </c>
      <c r="F86" s="255">
        <f t="shared" si="36"/>
        <v>31867.36052</v>
      </c>
      <c r="G86" s="254">
        <f>FE!AG31</f>
        <v>42180.54052</v>
      </c>
      <c r="H86" s="203"/>
      <c r="I86" s="203"/>
      <c r="J86" s="203"/>
      <c r="K86" s="203"/>
      <c r="L86" s="203"/>
      <c r="M86" s="203"/>
      <c r="N86" s="203"/>
    </row>
    <row r="87">
      <c r="A87" s="208" t="s">
        <v>142</v>
      </c>
      <c r="B87" s="265">
        <v>74.0</v>
      </c>
      <c r="C87" s="266" t="s">
        <v>606</v>
      </c>
      <c r="D87" s="255">
        <f t="shared" si="35"/>
        <v>45235.125</v>
      </c>
      <c r="E87" s="254">
        <f>FE!N74</f>
        <v>35010.08</v>
      </c>
      <c r="F87" s="255">
        <f t="shared" si="36"/>
        <v>10225.045</v>
      </c>
      <c r="G87" s="254">
        <f>FE!AG74</f>
        <v>45235.125</v>
      </c>
      <c r="H87" s="203"/>
      <c r="I87" s="203"/>
      <c r="J87" s="203"/>
      <c r="K87" s="203"/>
      <c r="L87" s="203"/>
      <c r="M87" s="203"/>
      <c r="N87" s="203"/>
    </row>
    <row r="88">
      <c r="A88" s="208" t="s">
        <v>143</v>
      </c>
      <c r="B88" s="265">
        <v>75.0</v>
      </c>
      <c r="C88" s="266" t="s">
        <v>606</v>
      </c>
      <c r="D88" s="255">
        <f t="shared" si="35"/>
        <v>7255.36875</v>
      </c>
      <c r="E88" s="254">
        <f>FE!N75</f>
        <v>5308.9</v>
      </c>
      <c r="F88" s="255">
        <f t="shared" si="36"/>
        <v>1946.46875</v>
      </c>
      <c r="G88" s="254">
        <f>FE!AG75</f>
        <v>7255.36875</v>
      </c>
      <c r="H88" s="203"/>
      <c r="I88" s="203"/>
      <c r="J88" s="203"/>
      <c r="K88" s="203"/>
      <c r="L88" s="203"/>
      <c r="M88" s="203"/>
      <c r="N88" s="203"/>
    </row>
    <row r="89">
      <c r="A89" s="208" t="s">
        <v>135</v>
      </c>
      <c r="B89" s="265">
        <v>67.0</v>
      </c>
      <c r="C89" s="266" t="s">
        <v>606</v>
      </c>
      <c r="D89" s="255">
        <f t="shared" si="35"/>
        <v>713346.8658</v>
      </c>
      <c r="E89" s="254">
        <f>FE!N67</f>
        <v>850614.65</v>
      </c>
      <c r="F89" s="255">
        <f t="shared" si="36"/>
        <v>-137267.7842</v>
      </c>
      <c r="G89" s="254">
        <f>FE!AG67</f>
        <v>713346.8658</v>
      </c>
      <c r="H89" s="203"/>
      <c r="I89" s="203"/>
      <c r="J89" s="203"/>
      <c r="K89" s="203"/>
      <c r="L89" s="203"/>
      <c r="M89" s="203"/>
      <c r="N89" s="203"/>
    </row>
    <row r="90">
      <c r="A90" s="208" t="s">
        <v>136</v>
      </c>
      <c r="B90" s="265">
        <v>68.0</v>
      </c>
      <c r="C90" s="266" t="s">
        <v>606</v>
      </c>
      <c r="D90" s="255">
        <f t="shared" si="35"/>
        <v>48507.58688</v>
      </c>
      <c r="E90" s="254">
        <f>FE!N68</f>
        <v>40439.44</v>
      </c>
      <c r="F90" s="255">
        <f t="shared" si="36"/>
        <v>8068.146877</v>
      </c>
      <c r="G90" s="254">
        <f>FE!AG68</f>
        <v>48507.58688</v>
      </c>
      <c r="H90" s="203"/>
      <c r="I90" s="203"/>
      <c r="J90" s="203"/>
      <c r="K90" s="203"/>
      <c r="L90" s="203"/>
      <c r="M90" s="203"/>
      <c r="N90" s="203"/>
    </row>
    <row r="91">
      <c r="A91" s="208" t="s">
        <v>137</v>
      </c>
      <c r="B91" s="265">
        <v>69.0</v>
      </c>
      <c r="C91" s="266" t="s">
        <v>606</v>
      </c>
      <c r="D91" s="255">
        <f t="shared" si="35"/>
        <v>116988.886</v>
      </c>
      <c r="E91" s="254">
        <f>FE!N69</f>
        <v>80480.42</v>
      </c>
      <c r="F91" s="255">
        <f t="shared" si="36"/>
        <v>36508.466</v>
      </c>
      <c r="G91" s="254">
        <f>FE!AG69</f>
        <v>116988.886</v>
      </c>
      <c r="H91" s="203"/>
      <c r="I91" s="203"/>
      <c r="J91" s="203"/>
      <c r="K91" s="203"/>
      <c r="L91" s="203"/>
      <c r="M91" s="203"/>
      <c r="N91" s="203"/>
    </row>
    <row r="92">
      <c r="A92" s="260" t="s">
        <v>498</v>
      </c>
      <c r="B92" s="267"/>
      <c r="C92" s="267"/>
      <c r="D92" s="261">
        <f t="shared" ref="D92:E92" si="37">SUM(D85:D91)</f>
        <v>1320147.572</v>
      </c>
      <c r="E92" s="261">
        <f t="shared" si="37"/>
        <v>1109621.69</v>
      </c>
      <c r="F92" s="261">
        <f t="shared" si="36"/>
        <v>210525.8821</v>
      </c>
      <c r="G92" s="261">
        <f>SUM(G85:G91)</f>
        <v>1320147.572</v>
      </c>
      <c r="H92" s="203"/>
      <c r="I92" s="203"/>
      <c r="J92" s="203"/>
      <c r="K92" s="203"/>
      <c r="L92" s="203"/>
      <c r="M92" s="203"/>
      <c r="N92" s="203"/>
    </row>
    <row r="93">
      <c r="A93" s="208"/>
      <c r="B93" s="241" t="s">
        <v>607</v>
      </c>
      <c r="C93" s="203"/>
      <c r="D93" s="203"/>
      <c r="E93" s="203"/>
      <c r="F93" s="203"/>
      <c r="G93" s="203"/>
      <c r="H93" s="203"/>
      <c r="I93" s="203"/>
      <c r="J93" s="203"/>
      <c r="K93" s="203"/>
      <c r="L93" s="203"/>
      <c r="M93" s="203"/>
      <c r="N93" s="203"/>
    </row>
    <row r="94">
      <c r="A94" s="203"/>
      <c r="B94" s="203"/>
      <c r="C94" s="203"/>
      <c r="D94" s="203"/>
      <c r="E94" s="203"/>
      <c r="F94" s="203"/>
      <c r="G94" s="203"/>
      <c r="H94" s="203"/>
      <c r="I94" s="203"/>
      <c r="J94" s="203"/>
      <c r="K94" s="203"/>
      <c r="L94" s="203"/>
      <c r="M94" s="203"/>
      <c r="N94" s="203"/>
    </row>
    <row r="95">
      <c r="A95" s="245" t="s">
        <v>608</v>
      </c>
      <c r="B95" s="268"/>
      <c r="C95" s="268"/>
      <c r="D95" s="268"/>
      <c r="E95" s="268"/>
      <c r="F95" s="268"/>
      <c r="G95" s="268"/>
      <c r="H95" s="268"/>
      <c r="I95" s="268"/>
      <c r="J95" s="268"/>
      <c r="K95" s="268"/>
      <c r="L95" s="268"/>
      <c r="M95" s="268"/>
      <c r="N95" s="268"/>
    </row>
    <row r="96" ht="25.5" customHeight="1">
      <c r="A96" s="269"/>
      <c r="B96" s="269" t="s">
        <v>609</v>
      </c>
    </row>
    <row r="97" ht="25.5" customHeight="1">
      <c r="A97" s="269"/>
      <c r="B97" s="269" t="s">
        <v>610</v>
      </c>
    </row>
    <row r="98" ht="25.5" customHeight="1">
      <c r="A98" s="269"/>
      <c r="B98" s="269" t="s">
        <v>611</v>
      </c>
    </row>
    <row r="99" ht="25.5" customHeight="1">
      <c r="A99" s="269"/>
      <c r="B99" s="269" t="s">
        <v>612</v>
      </c>
    </row>
    <row r="100" ht="25.5" customHeight="1">
      <c r="A100" s="269"/>
      <c r="B100" s="269" t="s">
        <v>613</v>
      </c>
    </row>
    <row r="101" ht="25.5" customHeight="1">
      <c r="A101" s="269"/>
      <c r="B101" s="269" t="s">
        <v>614</v>
      </c>
    </row>
    <row r="102" ht="25.5" customHeight="1">
      <c r="A102" s="269"/>
      <c r="B102" s="269" t="s">
        <v>615</v>
      </c>
    </row>
    <row r="103" ht="25.5" customHeight="1">
      <c r="A103" s="269"/>
      <c r="B103" s="269" t="s">
        <v>616</v>
      </c>
    </row>
    <row r="104">
      <c r="A104" s="203"/>
      <c r="B104" s="203"/>
      <c r="C104" s="203"/>
      <c r="D104" s="203"/>
      <c r="E104" s="203"/>
      <c r="F104" s="203"/>
      <c r="G104" s="203"/>
      <c r="H104" s="203"/>
      <c r="I104" s="203"/>
      <c r="J104" s="203"/>
      <c r="K104" s="203"/>
      <c r="L104" s="203"/>
      <c r="M104" s="203"/>
      <c r="N104" s="203"/>
    </row>
    <row r="105">
      <c r="A105" s="203"/>
      <c r="B105" s="203"/>
      <c r="C105" s="203"/>
      <c r="D105" s="203"/>
      <c r="E105" s="203"/>
      <c r="F105" s="203"/>
      <c r="G105" s="203"/>
      <c r="H105" s="203"/>
      <c r="I105" s="203"/>
      <c r="J105" s="203"/>
      <c r="K105" s="203"/>
      <c r="L105" s="203"/>
      <c r="M105" s="203"/>
      <c r="N105" s="203"/>
    </row>
    <row r="106">
      <c r="A106" s="203"/>
      <c r="B106" s="203"/>
      <c r="C106" s="203"/>
      <c r="D106" s="203"/>
      <c r="E106" s="203"/>
      <c r="F106" s="203"/>
      <c r="G106" s="203"/>
      <c r="H106" s="203"/>
      <c r="I106" s="203"/>
      <c r="J106" s="203"/>
      <c r="K106" s="203"/>
      <c r="L106" s="203"/>
      <c r="M106" s="203"/>
      <c r="N106" s="203"/>
    </row>
    <row r="107">
      <c r="A107" s="203"/>
      <c r="B107" s="203"/>
      <c r="C107" s="203"/>
      <c r="D107" s="203"/>
      <c r="E107" s="203"/>
      <c r="F107" s="203"/>
      <c r="G107" s="203"/>
      <c r="H107" s="203"/>
      <c r="I107" s="203"/>
      <c r="J107" s="203"/>
      <c r="K107" s="203"/>
      <c r="L107" s="203"/>
      <c r="M107" s="203"/>
      <c r="N107" s="203"/>
    </row>
    <row r="108">
      <c r="A108" s="203"/>
      <c r="B108" s="203"/>
      <c r="C108" s="203"/>
      <c r="D108" s="203"/>
      <c r="E108" s="203"/>
      <c r="F108" s="203"/>
      <c r="G108" s="203"/>
      <c r="H108" s="203"/>
      <c r="I108" s="203"/>
      <c r="J108" s="203"/>
      <c r="K108" s="203"/>
      <c r="L108" s="203"/>
      <c r="M108" s="203"/>
      <c r="N108" s="203"/>
    </row>
    <row r="109">
      <c r="A109" s="203"/>
      <c r="B109" s="203"/>
      <c r="C109" s="203"/>
      <c r="D109" s="203"/>
      <c r="E109" s="203"/>
      <c r="F109" s="203"/>
      <c r="G109" s="203"/>
      <c r="H109" s="203"/>
      <c r="I109" s="203"/>
      <c r="J109" s="203"/>
      <c r="K109" s="203"/>
      <c r="L109" s="203"/>
      <c r="M109" s="203"/>
      <c r="N109" s="203"/>
    </row>
    <row r="110">
      <c r="A110" s="203"/>
      <c r="B110" s="203"/>
      <c r="C110" s="203"/>
      <c r="D110" s="203"/>
      <c r="E110" s="203"/>
      <c r="F110" s="203"/>
      <c r="G110" s="203"/>
      <c r="H110" s="203"/>
      <c r="I110" s="203"/>
      <c r="J110" s="203"/>
      <c r="K110" s="203"/>
      <c r="L110" s="203"/>
      <c r="M110" s="203"/>
      <c r="N110" s="203"/>
    </row>
  </sheetData>
  <mergeCells count="9">
    <mergeCell ref="B102:N102"/>
    <mergeCell ref="B103:N103"/>
    <mergeCell ref="B2:N2"/>
    <mergeCell ref="B96:N96"/>
    <mergeCell ref="B97:N97"/>
    <mergeCell ref="B98:N98"/>
    <mergeCell ref="B99:N99"/>
    <mergeCell ref="B100:N100"/>
    <mergeCell ref="B101:N101"/>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2.63"/>
    <col customWidth="1" min="2" max="17" width="11.63"/>
    <col customWidth="1" min="18" max="19" width="13.63"/>
    <col customWidth="1" min="20" max="20" width="21.38"/>
    <col customWidth="1" min="21" max="21" width="10.75"/>
    <col customWidth="1" min="22" max="22" width="9.5"/>
    <col customWidth="1" min="23" max="23" width="12.63"/>
    <col customWidth="1" min="24" max="24" width="13.88"/>
    <col customWidth="1" min="25" max="25" width="10.75"/>
  </cols>
  <sheetData>
    <row r="1">
      <c r="A1" s="270" t="s">
        <v>617</v>
      </c>
      <c r="B1" s="271"/>
      <c r="C1" s="271"/>
      <c r="D1" s="271"/>
      <c r="E1" s="271"/>
      <c r="F1" s="271"/>
      <c r="G1" s="271"/>
      <c r="H1" s="271"/>
      <c r="I1" s="271"/>
      <c r="J1" s="271"/>
      <c r="K1" s="271"/>
      <c r="L1" s="271"/>
      <c r="M1" s="271"/>
      <c r="N1" s="271"/>
      <c r="O1" s="271"/>
      <c r="P1" s="271"/>
      <c r="Q1" s="271"/>
      <c r="R1" s="271"/>
      <c r="S1" s="271"/>
      <c r="T1" s="271"/>
      <c r="U1" s="271"/>
      <c r="V1" s="271"/>
      <c r="W1" s="271"/>
      <c r="X1" s="271"/>
      <c r="Y1" s="271"/>
    </row>
    <row r="2" ht="43.5" customHeight="1">
      <c r="A2" s="205" t="s">
        <v>618</v>
      </c>
      <c r="T2" s="205"/>
      <c r="U2" s="205"/>
      <c r="V2" s="205"/>
      <c r="W2" s="205"/>
      <c r="X2" s="205"/>
      <c r="Y2" s="205"/>
    </row>
    <row r="3">
      <c r="A3" s="271"/>
      <c r="B3" s="271"/>
      <c r="C3" s="271"/>
      <c r="D3" s="271"/>
      <c r="E3" s="271"/>
      <c r="F3" s="271"/>
      <c r="G3" s="271"/>
      <c r="H3" s="271"/>
      <c r="I3" s="271"/>
      <c r="J3" s="271"/>
      <c r="K3" s="271"/>
      <c r="L3" s="271"/>
      <c r="M3" s="271"/>
      <c r="N3" s="271"/>
      <c r="O3" s="271"/>
      <c r="P3" s="271"/>
      <c r="Q3" s="271"/>
      <c r="R3" s="271"/>
      <c r="S3" s="271"/>
      <c r="T3" s="271"/>
      <c r="U3" s="271"/>
      <c r="V3" s="271"/>
      <c r="W3" s="271"/>
      <c r="X3" s="271"/>
      <c r="Y3" s="271"/>
    </row>
    <row r="4">
      <c r="A4" s="272" t="s">
        <v>356</v>
      </c>
      <c r="B4" s="272" t="s">
        <v>357</v>
      </c>
      <c r="C4" s="272" t="s">
        <v>414</v>
      </c>
      <c r="D4" s="271"/>
      <c r="E4" s="271"/>
      <c r="F4" s="271"/>
      <c r="G4" s="271"/>
      <c r="H4" s="271"/>
      <c r="I4" s="271"/>
      <c r="J4" s="271"/>
      <c r="K4" s="271"/>
      <c r="L4" s="271"/>
      <c r="M4" s="271"/>
      <c r="N4" s="271"/>
      <c r="O4" s="271"/>
      <c r="P4" s="271"/>
      <c r="Q4" s="271"/>
      <c r="R4" s="271"/>
      <c r="S4" s="271"/>
      <c r="T4" s="271"/>
      <c r="U4" s="271"/>
      <c r="V4" s="271"/>
      <c r="W4" s="271"/>
      <c r="X4" s="271"/>
      <c r="Y4" s="271"/>
    </row>
    <row r="5">
      <c r="A5" s="273" t="s">
        <v>217</v>
      </c>
      <c r="B5" s="274">
        <f>'Fld Ops Payroll'!B7</f>
        <v>0.068</v>
      </c>
      <c r="C5" s="241" t="s">
        <v>619</v>
      </c>
      <c r="D5" s="271"/>
      <c r="E5" s="271"/>
      <c r="F5" s="271"/>
      <c r="G5" s="271"/>
      <c r="H5" s="271"/>
      <c r="I5" s="271"/>
      <c r="J5" s="271"/>
      <c r="K5" s="271"/>
      <c r="L5" s="271"/>
      <c r="M5" s="271"/>
      <c r="N5" s="271"/>
      <c r="O5" s="271"/>
      <c r="P5" s="271"/>
      <c r="Q5" s="271"/>
      <c r="R5" s="271"/>
      <c r="S5" s="271"/>
      <c r="T5" s="271"/>
      <c r="U5" s="271"/>
      <c r="V5" s="271"/>
      <c r="W5" s="271"/>
      <c r="X5" s="271"/>
      <c r="Y5" s="271"/>
    </row>
    <row r="6">
      <c r="A6" s="273" t="s">
        <v>219</v>
      </c>
      <c r="B6" s="274">
        <f>'Fld Ops Payroll'!B8</f>
        <v>0.164</v>
      </c>
      <c r="C6" s="241" t="s">
        <v>620</v>
      </c>
      <c r="D6" s="271"/>
      <c r="E6" s="271"/>
      <c r="F6" s="271"/>
      <c r="G6" s="271"/>
      <c r="H6" s="271"/>
      <c r="I6" s="271"/>
      <c r="J6" s="271"/>
      <c r="K6" s="271"/>
      <c r="L6" s="271"/>
      <c r="M6" s="271"/>
      <c r="N6" s="271"/>
      <c r="O6" s="271"/>
      <c r="P6" s="271"/>
      <c r="Q6" s="271"/>
      <c r="R6" s="271"/>
      <c r="S6" s="271"/>
      <c r="T6" s="271"/>
      <c r="U6" s="271"/>
      <c r="V6" s="271"/>
      <c r="W6" s="271"/>
      <c r="X6" s="271"/>
      <c r="Y6" s="271"/>
    </row>
    <row r="7">
      <c r="A7" s="273" t="s">
        <v>215</v>
      </c>
      <c r="B7" s="274">
        <f>'Prod Payroll'!M5</f>
        <v>0.03</v>
      </c>
      <c r="C7" s="241" t="s">
        <v>621</v>
      </c>
      <c r="D7" s="271"/>
      <c r="E7" s="271"/>
      <c r="F7" s="271"/>
      <c r="G7" s="271"/>
      <c r="H7" s="271"/>
      <c r="I7" s="271"/>
      <c r="J7" s="271"/>
      <c r="K7" s="271"/>
      <c r="L7" s="271"/>
      <c r="M7" s="271"/>
      <c r="N7" s="271"/>
      <c r="O7" s="271"/>
      <c r="P7" s="271"/>
      <c r="Q7" s="271"/>
      <c r="R7" s="271"/>
      <c r="S7" s="271"/>
      <c r="T7" s="271"/>
      <c r="U7" s="271"/>
      <c r="V7" s="271"/>
      <c r="W7" s="271"/>
      <c r="X7" s="271"/>
      <c r="Y7" s="271"/>
    </row>
    <row r="8">
      <c r="A8" s="273" t="s">
        <v>218</v>
      </c>
      <c r="B8" s="275">
        <f>'Prod Payroll'!M6</f>
        <v>46661</v>
      </c>
      <c r="C8" s="241" t="s">
        <v>622</v>
      </c>
      <c r="D8" s="271"/>
      <c r="E8" s="271"/>
      <c r="F8" s="271"/>
      <c r="G8" s="271"/>
      <c r="H8" s="271"/>
      <c r="I8" s="271"/>
      <c r="J8" s="271"/>
      <c r="K8" s="271"/>
      <c r="L8" s="271"/>
      <c r="M8" s="271"/>
      <c r="N8" s="271"/>
      <c r="O8" s="271"/>
      <c r="P8" s="271"/>
      <c r="Q8" s="271"/>
      <c r="R8" s="271"/>
      <c r="S8" s="271"/>
      <c r="T8" s="271"/>
      <c r="U8" s="271"/>
      <c r="V8" s="271"/>
      <c r="W8" s="271"/>
      <c r="X8" s="271"/>
      <c r="Y8" s="271"/>
    </row>
    <row r="9">
      <c r="A9" s="273" t="s">
        <v>220</v>
      </c>
      <c r="B9" s="276">
        <f>'Prod Payroll'!M9</f>
        <v>6</v>
      </c>
      <c r="C9" s="241" t="s">
        <v>623</v>
      </c>
      <c r="D9" s="271"/>
      <c r="E9" s="271"/>
      <c r="F9" s="271"/>
      <c r="G9" s="271"/>
      <c r="H9" s="271"/>
      <c r="I9" s="271"/>
      <c r="J9" s="271"/>
      <c r="K9" s="271"/>
      <c r="L9" s="271"/>
      <c r="M9" s="271"/>
      <c r="N9" s="271"/>
      <c r="O9" s="271"/>
      <c r="P9" s="271"/>
      <c r="Q9" s="271"/>
      <c r="R9" s="271"/>
      <c r="S9" s="271"/>
      <c r="T9" s="271"/>
      <c r="U9" s="271"/>
      <c r="V9" s="271"/>
      <c r="W9" s="271"/>
      <c r="X9" s="271"/>
      <c r="Y9" s="271"/>
    </row>
    <row r="10">
      <c r="A10" s="273" t="s">
        <v>624</v>
      </c>
      <c r="B10" s="277">
        <f>'Prod Payroll'!M7</f>
        <v>1000</v>
      </c>
      <c r="C10" s="241" t="s">
        <v>625</v>
      </c>
      <c r="D10" s="271"/>
      <c r="E10" s="271"/>
      <c r="F10" s="271"/>
      <c r="G10" s="271"/>
      <c r="H10" s="271"/>
      <c r="I10" s="271"/>
      <c r="J10" s="271"/>
      <c r="K10" s="271"/>
      <c r="L10" s="271"/>
      <c r="M10" s="271"/>
      <c r="N10" s="271"/>
      <c r="O10" s="271"/>
      <c r="P10" s="271"/>
      <c r="Q10" s="271"/>
      <c r="R10" s="271"/>
      <c r="S10" s="271"/>
      <c r="T10" s="271"/>
      <c r="U10" s="271"/>
      <c r="V10" s="271"/>
      <c r="W10" s="271"/>
      <c r="X10" s="271"/>
      <c r="Y10" s="271"/>
    </row>
    <row r="11">
      <c r="A11" s="273" t="s">
        <v>626</v>
      </c>
      <c r="B11" s="278">
        <v>2080.0</v>
      </c>
      <c r="C11" s="241" t="s">
        <v>627</v>
      </c>
      <c r="D11" s="271"/>
      <c r="E11" s="271"/>
      <c r="F11" s="271"/>
      <c r="G11" s="271"/>
      <c r="H11" s="271"/>
      <c r="I11" s="271"/>
      <c r="J11" s="271"/>
      <c r="K11" s="271"/>
      <c r="L11" s="271"/>
      <c r="M11" s="271"/>
      <c r="N11" s="271"/>
      <c r="O11" s="271"/>
      <c r="P11" s="271"/>
      <c r="Q11" s="271"/>
      <c r="R11" s="271"/>
      <c r="S11" s="271"/>
      <c r="T11" s="271"/>
      <c r="U11" s="271"/>
      <c r="V11" s="271"/>
      <c r="W11" s="271"/>
      <c r="X11" s="271"/>
      <c r="Y11" s="271"/>
    </row>
    <row r="12">
      <c r="A12" s="271"/>
      <c r="B12" s="271"/>
      <c r="C12" s="271"/>
      <c r="D12" s="271"/>
      <c r="E12" s="271"/>
      <c r="F12" s="271"/>
      <c r="G12" s="271"/>
      <c r="H12" s="271"/>
      <c r="I12" s="271"/>
      <c r="J12" s="271"/>
      <c r="K12" s="271"/>
      <c r="L12" s="271"/>
      <c r="M12" s="271"/>
      <c r="N12" s="271"/>
      <c r="O12" s="271"/>
      <c r="P12" s="271"/>
      <c r="Q12" s="271"/>
      <c r="R12" s="271"/>
      <c r="S12" s="271"/>
      <c r="T12" s="271"/>
      <c r="U12" s="271"/>
      <c r="V12" s="271"/>
      <c r="W12" s="271"/>
      <c r="X12" s="271"/>
      <c r="Y12" s="271"/>
    </row>
    <row r="13" ht="27.0" customHeight="1">
      <c r="A13" s="272" t="s">
        <v>628</v>
      </c>
      <c r="B13" s="279">
        <f>DeploySum!B53</f>
        <v>46295</v>
      </c>
      <c r="C13" s="279">
        <f>DeploySum!C53</f>
        <v>46326</v>
      </c>
      <c r="D13" s="279">
        <f>DeploySum!D53</f>
        <v>46356</v>
      </c>
      <c r="E13" s="279">
        <f>DeploySum!E53</f>
        <v>46387</v>
      </c>
      <c r="F13" s="279">
        <f>DeploySum!F53</f>
        <v>46418</v>
      </c>
      <c r="G13" s="279">
        <f>DeploySum!G53</f>
        <v>46446</v>
      </c>
      <c r="H13" s="279">
        <f>DeploySum!H53</f>
        <v>46477</v>
      </c>
      <c r="I13" s="279">
        <f>DeploySum!I53</f>
        <v>46507</v>
      </c>
      <c r="J13" s="279">
        <f>DeploySum!J53</f>
        <v>46538</v>
      </c>
      <c r="K13" s="279">
        <f>DeploySum!K53</f>
        <v>46568</v>
      </c>
      <c r="L13" s="279">
        <f>DeploySum!L53</f>
        <v>46599</v>
      </c>
      <c r="M13" s="279">
        <f>DeploySum!M53</f>
        <v>46630</v>
      </c>
      <c r="N13" s="279">
        <f>DeploySum!N53</f>
        <v>46660</v>
      </c>
      <c r="O13" s="279">
        <f>DeploySum!O53</f>
        <v>46691</v>
      </c>
      <c r="P13" s="279">
        <f>DeploySum!P53</f>
        <v>46721</v>
      </c>
      <c r="Q13" s="279">
        <f>DeploySum!Q53</f>
        <v>46752</v>
      </c>
      <c r="R13" s="280" t="s">
        <v>246</v>
      </c>
      <c r="S13" s="280" t="s">
        <v>2</v>
      </c>
      <c r="T13" s="281" t="s">
        <v>629</v>
      </c>
      <c r="U13" s="281" t="s">
        <v>534</v>
      </c>
      <c r="V13" s="281" t="s">
        <v>630</v>
      </c>
      <c r="W13" s="281" t="s">
        <v>631</v>
      </c>
      <c r="X13" s="281" t="s">
        <v>632</v>
      </c>
      <c r="Y13" s="281" t="s">
        <v>633</v>
      </c>
    </row>
    <row r="14">
      <c r="A14" s="282" t="s">
        <v>634</v>
      </c>
      <c r="B14" s="283">
        <f t="shared" ref="B14:Q14" si="1">IF(OR($U14="",B$13&gt;=$U14),1,0)</f>
        <v>1</v>
      </c>
      <c r="C14" s="283">
        <f t="shared" si="1"/>
        <v>1</v>
      </c>
      <c r="D14" s="283">
        <f t="shared" si="1"/>
        <v>1</v>
      </c>
      <c r="E14" s="283">
        <f t="shared" si="1"/>
        <v>1</v>
      </c>
      <c r="F14" s="283">
        <f t="shared" si="1"/>
        <v>1</v>
      </c>
      <c r="G14" s="283">
        <f t="shared" si="1"/>
        <v>1</v>
      </c>
      <c r="H14" s="283">
        <f t="shared" si="1"/>
        <v>1</v>
      </c>
      <c r="I14" s="283">
        <f t="shared" si="1"/>
        <v>1</v>
      </c>
      <c r="J14" s="283">
        <f t="shared" si="1"/>
        <v>1</v>
      </c>
      <c r="K14" s="283">
        <f t="shared" si="1"/>
        <v>1</v>
      </c>
      <c r="L14" s="283">
        <f t="shared" si="1"/>
        <v>1</v>
      </c>
      <c r="M14" s="283">
        <f t="shared" si="1"/>
        <v>1</v>
      </c>
      <c r="N14" s="283">
        <f t="shared" si="1"/>
        <v>1</v>
      </c>
      <c r="O14" s="283">
        <f t="shared" si="1"/>
        <v>1</v>
      </c>
      <c r="P14" s="283">
        <f t="shared" si="1"/>
        <v>1</v>
      </c>
      <c r="Q14" s="283">
        <f t="shared" si="1"/>
        <v>1</v>
      </c>
      <c r="R14" s="284">
        <f t="shared" ref="R14:R23" si="3">AVERAGE(B14:E14)</f>
        <v>1</v>
      </c>
      <c r="S14" s="284">
        <f t="shared" ref="S14:S23" si="4">AVERAGE(F14:Q14)</f>
        <v>1</v>
      </c>
      <c r="T14" s="285" t="s">
        <v>635</v>
      </c>
      <c r="U14" s="286"/>
      <c r="V14" s="287" t="s">
        <v>297</v>
      </c>
      <c r="W14" s="288">
        <v>120000.0</v>
      </c>
      <c r="X14" s="289">
        <f t="shared" ref="X14:X22" si="5">IF(V14="Hourly",W14*$B$11,W14)</f>
        <v>120000</v>
      </c>
      <c r="Y14" s="290">
        <f t="shared" ref="Y14:Y22" si="6">IF(OR(U14="",U14&lt;=EDATE($B$8,-$B$9)),1,0)</f>
        <v>1</v>
      </c>
    </row>
    <row r="15">
      <c r="A15" s="273" t="s">
        <v>636</v>
      </c>
      <c r="B15" s="283">
        <f t="shared" ref="B15:Q15" si="2">IF(OR($U15="",B$13&gt;=$U15),1,0)</f>
        <v>0</v>
      </c>
      <c r="C15" s="283">
        <f t="shared" si="2"/>
        <v>0</v>
      </c>
      <c r="D15" s="283">
        <f t="shared" si="2"/>
        <v>0</v>
      </c>
      <c r="E15" s="283">
        <f t="shared" si="2"/>
        <v>0</v>
      </c>
      <c r="F15" s="283">
        <f t="shared" si="2"/>
        <v>0</v>
      </c>
      <c r="G15" s="283">
        <f t="shared" si="2"/>
        <v>1</v>
      </c>
      <c r="H15" s="283">
        <f t="shared" si="2"/>
        <v>1</v>
      </c>
      <c r="I15" s="283">
        <f t="shared" si="2"/>
        <v>1</v>
      </c>
      <c r="J15" s="283">
        <f t="shared" si="2"/>
        <v>1</v>
      </c>
      <c r="K15" s="283">
        <f t="shared" si="2"/>
        <v>1</v>
      </c>
      <c r="L15" s="283">
        <f t="shared" si="2"/>
        <v>1</v>
      </c>
      <c r="M15" s="283">
        <f t="shared" si="2"/>
        <v>1</v>
      </c>
      <c r="N15" s="283">
        <f t="shared" si="2"/>
        <v>1</v>
      </c>
      <c r="O15" s="283">
        <f t="shared" si="2"/>
        <v>1</v>
      </c>
      <c r="P15" s="283">
        <f t="shared" si="2"/>
        <v>1</v>
      </c>
      <c r="Q15" s="283">
        <f t="shared" si="2"/>
        <v>1</v>
      </c>
      <c r="R15" s="284">
        <f t="shared" si="3"/>
        <v>0</v>
      </c>
      <c r="S15" s="284">
        <f t="shared" si="4"/>
        <v>0.9166666667</v>
      </c>
      <c r="T15" s="285" t="s">
        <v>637</v>
      </c>
      <c r="U15" s="291">
        <v>46419.0</v>
      </c>
      <c r="V15" s="287" t="s">
        <v>297</v>
      </c>
      <c r="W15" s="288">
        <v>48000.0</v>
      </c>
      <c r="X15" s="289">
        <f t="shared" si="5"/>
        <v>48000</v>
      </c>
      <c r="Y15" s="290">
        <f t="shared" si="6"/>
        <v>1</v>
      </c>
    </row>
    <row r="16">
      <c r="A16" s="273" t="s">
        <v>638</v>
      </c>
      <c r="B16" s="283">
        <f t="shared" ref="B16:Q16" si="7">IF(OR($U16="",B$13&gt;=$U16),1,0)</f>
        <v>0</v>
      </c>
      <c r="C16" s="283">
        <f t="shared" si="7"/>
        <v>0</v>
      </c>
      <c r="D16" s="283">
        <f t="shared" si="7"/>
        <v>0</v>
      </c>
      <c r="E16" s="283">
        <f t="shared" si="7"/>
        <v>1</v>
      </c>
      <c r="F16" s="283">
        <f t="shared" si="7"/>
        <v>1</v>
      </c>
      <c r="G16" s="283">
        <f t="shared" si="7"/>
        <v>1</v>
      </c>
      <c r="H16" s="283">
        <f t="shared" si="7"/>
        <v>1</v>
      </c>
      <c r="I16" s="283">
        <f t="shared" si="7"/>
        <v>1</v>
      </c>
      <c r="J16" s="283">
        <f t="shared" si="7"/>
        <v>1</v>
      </c>
      <c r="K16" s="283">
        <f t="shared" si="7"/>
        <v>1</v>
      </c>
      <c r="L16" s="283">
        <f t="shared" si="7"/>
        <v>1</v>
      </c>
      <c r="M16" s="283">
        <f t="shared" si="7"/>
        <v>1</v>
      </c>
      <c r="N16" s="283">
        <f t="shared" si="7"/>
        <v>1</v>
      </c>
      <c r="O16" s="283">
        <f t="shared" si="7"/>
        <v>1</v>
      </c>
      <c r="P16" s="283">
        <f t="shared" si="7"/>
        <v>1</v>
      </c>
      <c r="Q16" s="283">
        <f t="shared" si="7"/>
        <v>1</v>
      </c>
      <c r="R16" s="284">
        <f t="shared" si="3"/>
        <v>0.25</v>
      </c>
      <c r="S16" s="284">
        <f t="shared" si="4"/>
        <v>1</v>
      </c>
      <c r="T16" s="285" t="s">
        <v>639</v>
      </c>
      <c r="U16" s="291">
        <v>46357.0</v>
      </c>
      <c r="V16" s="287" t="s">
        <v>640</v>
      </c>
      <c r="W16" s="292">
        <v>25.0</v>
      </c>
      <c r="X16" s="289">
        <f t="shared" si="5"/>
        <v>52000</v>
      </c>
      <c r="Y16" s="290">
        <f t="shared" si="6"/>
        <v>1</v>
      </c>
    </row>
    <row r="17">
      <c r="A17" s="273" t="s">
        <v>641</v>
      </c>
      <c r="B17" s="283">
        <f t="shared" ref="B17:Q17" si="8">IF(OR($U17="",B$13&gt;=$U17),1,0)</f>
        <v>0</v>
      </c>
      <c r="C17" s="283">
        <f t="shared" si="8"/>
        <v>0</v>
      </c>
      <c r="D17" s="283">
        <f t="shared" si="8"/>
        <v>0</v>
      </c>
      <c r="E17" s="283">
        <f t="shared" si="8"/>
        <v>0</v>
      </c>
      <c r="F17" s="283">
        <f t="shared" si="8"/>
        <v>0</v>
      </c>
      <c r="G17" s="283">
        <f t="shared" si="8"/>
        <v>0</v>
      </c>
      <c r="H17" s="283">
        <f t="shared" si="8"/>
        <v>0</v>
      </c>
      <c r="I17" s="283">
        <f t="shared" si="8"/>
        <v>0</v>
      </c>
      <c r="J17" s="283">
        <f t="shared" si="8"/>
        <v>0</v>
      </c>
      <c r="K17" s="283">
        <f t="shared" si="8"/>
        <v>0</v>
      </c>
      <c r="L17" s="283">
        <f t="shared" si="8"/>
        <v>1</v>
      </c>
      <c r="M17" s="283">
        <f t="shared" si="8"/>
        <v>1</v>
      </c>
      <c r="N17" s="283">
        <f t="shared" si="8"/>
        <v>1</v>
      </c>
      <c r="O17" s="283">
        <f t="shared" si="8"/>
        <v>1</v>
      </c>
      <c r="P17" s="283">
        <f t="shared" si="8"/>
        <v>1</v>
      </c>
      <c r="Q17" s="283">
        <f t="shared" si="8"/>
        <v>1</v>
      </c>
      <c r="R17" s="284">
        <f t="shared" si="3"/>
        <v>0</v>
      </c>
      <c r="S17" s="284">
        <f t="shared" si="4"/>
        <v>0.5</v>
      </c>
      <c r="T17" s="285" t="s">
        <v>642</v>
      </c>
      <c r="U17" s="291">
        <v>46569.0</v>
      </c>
      <c r="V17" s="287" t="s">
        <v>640</v>
      </c>
      <c r="W17" s="292">
        <v>25.0</v>
      </c>
      <c r="X17" s="289">
        <f t="shared" si="5"/>
        <v>52000</v>
      </c>
      <c r="Y17" s="290">
        <f t="shared" si="6"/>
        <v>0</v>
      </c>
    </row>
    <row r="18">
      <c r="A18" s="273" t="s">
        <v>643</v>
      </c>
      <c r="B18" s="283">
        <f t="shared" ref="B18:Q18" si="9">IF(OR($U18="",B$13&gt;=$U18),1,0)</f>
        <v>1</v>
      </c>
      <c r="C18" s="283">
        <f t="shared" si="9"/>
        <v>1</v>
      </c>
      <c r="D18" s="283">
        <f t="shared" si="9"/>
        <v>1</v>
      </c>
      <c r="E18" s="283">
        <f t="shared" si="9"/>
        <v>1</v>
      </c>
      <c r="F18" s="283">
        <f t="shared" si="9"/>
        <v>1</v>
      </c>
      <c r="G18" s="283">
        <f t="shared" si="9"/>
        <v>1</v>
      </c>
      <c r="H18" s="283">
        <f t="shared" si="9"/>
        <v>1</v>
      </c>
      <c r="I18" s="283">
        <f t="shared" si="9"/>
        <v>1</v>
      </c>
      <c r="J18" s="283">
        <f t="shared" si="9"/>
        <v>1</v>
      </c>
      <c r="K18" s="283">
        <f t="shared" si="9"/>
        <v>1</v>
      </c>
      <c r="L18" s="283">
        <f t="shared" si="9"/>
        <v>1</v>
      </c>
      <c r="M18" s="283">
        <f t="shared" si="9"/>
        <v>1</v>
      </c>
      <c r="N18" s="283">
        <f t="shared" si="9"/>
        <v>1</v>
      </c>
      <c r="O18" s="283">
        <f t="shared" si="9"/>
        <v>1</v>
      </c>
      <c r="P18" s="283">
        <f t="shared" si="9"/>
        <v>1</v>
      </c>
      <c r="Q18" s="283">
        <f t="shared" si="9"/>
        <v>1</v>
      </c>
      <c r="R18" s="284">
        <f t="shared" si="3"/>
        <v>1</v>
      </c>
      <c r="S18" s="284">
        <f t="shared" si="4"/>
        <v>1</v>
      </c>
      <c r="T18" s="285" t="s">
        <v>639</v>
      </c>
      <c r="U18" s="286"/>
      <c r="V18" s="287" t="s">
        <v>640</v>
      </c>
      <c r="W18" s="292">
        <v>24.0</v>
      </c>
      <c r="X18" s="289">
        <f t="shared" si="5"/>
        <v>49920</v>
      </c>
      <c r="Y18" s="290">
        <f t="shared" si="6"/>
        <v>1</v>
      </c>
    </row>
    <row r="19">
      <c r="A19" s="273" t="s">
        <v>644</v>
      </c>
      <c r="B19" s="283">
        <f t="shared" ref="B19:Q19" si="10">IF(OR($U19="",B$13&gt;=$U19),1,0)</f>
        <v>0</v>
      </c>
      <c r="C19" s="283">
        <f t="shared" si="10"/>
        <v>1</v>
      </c>
      <c r="D19" s="283">
        <f t="shared" si="10"/>
        <v>1</v>
      </c>
      <c r="E19" s="283">
        <f t="shared" si="10"/>
        <v>1</v>
      </c>
      <c r="F19" s="283">
        <f t="shared" si="10"/>
        <v>1</v>
      </c>
      <c r="G19" s="283">
        <f t="shared" si="10"/>
        <v>1</v>
      </c>
      <c r="H19" s="283">
        <f t="shared" si="10"/>
        <v>1</v>
      </c>
      <c r="I19" s="283">
        <f t="shared" si="10"/>
        <v>1</v>
      </c>
      <c r="J19" s="283">
        <f t="shared" si="10"/>
        <v>1</v>
      </c>
      <c r="K19" s="283">
        <f t="shared" si="10"/>
        <v>1</v>
      </c>
      <c r="L19" s="283">
        <f t="shared" si="10"/>
        <v>1</v>
      </c>
      <c r="M19" s="283">
        <f t="shared" si="10"/>
        <v>1</v>
      </c>
      <c r="N19" s="283">
        <f t="shared" si="10"/>
        <v>1</v>
      </c>
      <c r="O19" s="283">
        <f t="shared" si="10"/>
        <v>1</v>
      </c>
      <c r="P19" s="283">
        <f t="shared" si="10"/>
        <v>1</v>
      </c>
      <c r="Q19" s="283">
        <f t="shared" si="10"/>
        <v>1</v>
      </c>
      <c r="R19" s="284">
        <f t="shared" si="3"/>
        <v>0.75</v>
      </c>
      <c r="S19" s="284">
        <f t="shared" si="4"/>
        <v>1</v>
      </c>
      <c r="T19" s="285" t="s">
        <v>639</v>
      </c>
      <c r="U19" s="291">
        <v>46296.0</v>
      </c>
      <c r="V19" s="287" t="s">
        <v>640</v>
      </c>
      <c r="W19" s="293">
        <f t="shared" ref="W19:W22" si="12">$W$18</f>
        <v>24</v>
      </c>
      <c r="X19" s="289">
        <f t="shared" si="5"/>
        <v>49920</v>
      </c>
      <c r="Y19" s="290">
        <f t="shared" si="6"/>
        <v>1</v>
      </c>
    </row>
    <row r="20">
      <c r="A20" s="273" t="s">
        <v>645</v>
      </c>
      <c r="B20" s="283">
        <f t="shared" ref="B20:Q20" si="11">IF(OR($U20="",B$13&gt;=$U20),1,0)</f>
        <v>0</v>
      </c>
      <c r="C20" s="283">
        <f t="shared" si="11"/>
        <v>0</v>
      </c>
      <c r="D20" s="283">
        <f t="shared" si="11"/>
        <v>0</v>
      </c>
      <c r="E20" s="283">
        <f t="shared" si="11"/>
        <v>0</v>
      </c>
      <c r="F20" s="283">
        <f t="shared" si="11"/>
        <v>0</v>
      </c>
      <c r="G20" s="283">
        <f t="shared" si="11"/>
        <v>0</v>
      </c>
      <c r="H20" s="283">
        <f t="shared" si="11"/>
        <v>0</v>
      </c>
      <c r="I20" s="283">
        <f t="shared" si="11"/>
        <v>0</v>
      </c>
      <c r="J20" s="283">
        <f t="shared" si="11"/>
        <v>0</v>
      </c>
      <c r="K20" s="283">
        <f t="shared" si="11"/>
        <v>0</v>
      </c>
      <c r="L20" s="283">
        <f t="shared" si="11"/>
        <v>1</v>
      </c>
      <c r="M20" s="283">
        <f t="shared" si="11"/>
        <v>1</v>
      </c>
      <c r="N20" s="283">
        <f t="shared" si="11"/>
        <v>1</v>
      </c>
      <c r="O20" s="283">
        <f t="shared" si="11"/>
        <v>1</v>
      </c>
      <c r="P20" s="283">
        <f t="shared" si="11"/>
        <v>1</v>
      </c>
      <c r="Q20" s="283">
        <f t="shared" si="11"/>
        <v>1</v>
      </c>
      <c r="R20" s="284">
        <f t="shared" si="3"/>
        <v>0</v>
      </c>
      <c r="S20" s="284">
        <f t="shared" si="4"/>
        <v>0.5</v>
      </c>
      <c r="T20" s="285" t="s">
        <v>639</v>
      </c>
      <c r="U20" s="291">
        <v>46569.0</v>
      </c>
      <c r="V20" s="287" t="s">
        <v>640</v>
      </c>
      <c r="W20" s="293">
        <f t="shared" si="12"/>
        <v>24</v>
      </c>
      <c r="X20" s="289">
        <f t="shared" si="5"/>
        <v>49920</v>
      </c>
      <c r="Y20" s="290">
        <f t="shared" si="6"/>
        <v>0</v>
      </c>
    </row>
    <row r="21">
      <c r="A21" s="273" t="s">
        <v>646</v>
      </c>
      <c r="B21" s="283">
        <f t="shared" ref="B21:Q21" si="13">IF(OR($U21="",B$13&gt;=$U21),1,0)</f>
        <v>0</v>
      </c>
      <c r="C21" s="283">
        <f t="shared" si="13"/>
        <v>0</v>
      </c>
      <c r="D21" s="283">
        <f t="shared" si="13"/>
        <v>0</v>
      </c>
      <c r="E21" s="283">
        <f t="shared" si="13"/>
        <v>0</v>
      </c>
      <c r="F21" s="283">
        <f t="shared" si="13"/>
        <v>0</v>
      </c>
      <c r="G21" s="283">
        <f t="shared" si="13"/>
        <v>0</v>
      </c>
      <c r="H21" s="283">
        <f t="shared" si="13"/>
        <v>1</v>
      </c>
      <c r="I21" s="283">
        <f t="shared" si="13"/>
        <v>1</v>
      </c>
      <c r="J21" s="283">
        <f t="shared" si="13"/>
        <v>1</v>
      </c>
      <c r="K21" s="283">
        <f t="shared" si="13"/>
        <v>1</v>
      </c>
      <c r="L21" s="283">
        <f t="shared" si="13"/>
        <v>1</v>
      </c>
      <c r="M21" s="283">
        <f t="shared" si="13"/>
        <v>1</v>
      </c>
      <c r="N21" s="283">
        <f t="shared" si="13"/>
        <v>1</v>
      </c>
      <c r="O21" s="283">
        <f t="shared" si="13"/>
        <v>1</v>
      </c>
      <c r="P21" s="283">
        <f t="shared" si="13"/>
        <v>1</v>
      </c>
      <c r="Q21" s="283">
        <f t="shared" si="13"/>
        <v>1</v>
      </c>
      <c r="R21" s="284">
        <f t="shared" si="3"/>
        <v>0</v>
      </c>
      <c r="S21" s="284">
        <f t="shared" si="4"/>
        <v>0.8333333333</v>
      </c>
      <c r="T21" s="285" t="s">
        <v>642</v>
      </c>
      <c r="U21" s="291">
        <v>46447.0</v>
      </c>
      <c r="V21" s="287" t="s">
        <v>640</v>
      </c>
      <c r="W21" s="293">
        <f t="shared" si="12"/>
        <v>24</v>
      </c>
      <c r="X21" s="289">
        <f t="shared" si="5"/>
        <v>49920</v>
      </c>
      <c r="Y21" s="290">
        <f t="shared" si="6"/>
        <v>1</v>
      </c>
    </row>
    <row r="22">
      <c r="A22" s="273" t="s">
        <v>647</v>
      </c>
      <c r="B22" s="283">
        <f t="shared" ref="B22:Q22" si="14">IF(OR($U22="",B$13&gt;=$U22),1,0)</f>
        <v>0</v>
      </c>
      <c r="C22" s="283">
        <f t="shared" si="14"/>
        <v>0</v>
      </c>
      <c r="D22" s="283">
        <f t="shared" si="14"/>
        <v>0</v>
      </c>
      <c r="E22" s="283">
        <f t="shared" si="14"/>
        <v>0</v>
      </c>
      <c r="F22" s="283">
        <f t="shared" si="14"/>
        <v>0</v>
      </c>
      <c r="G22" s="283">
        <f t="shared" si="14"/>
        <v>0</v>
      </c>
      <c r="H22" s="283">
        <f t="shared" si="14"/>
        <v>0</v>
      </c>
      <c r="I22" s="283">
        <f t="shared" si="14"/>
        <v>0</v>
      </c>
      <c r="J22" s="283">
        <f t="shared" si="14"/>
        <v>0</v>
      </c>
      <c r="K22" s="283">
        <f t="shared" si="14"/>
        <v>1</v>
      </c>
      <c r="L22" s="283">
        <f t="shared" si="14"/>
        <v>1</v>
      </c>
      <c r="M22" s="283">
        <f t="shared" si="14"/>
        <v>1</v>
      </c>
      <c r="N22" s="283">
        <f t="shared" si="14"/>
        <v>1</v>
      </c>
      <c r="O22" s="283">
        <f t="shared" si="14"/>
        <v>1</v>
      </c>
      <c r="P22" s="283">
        <f t="shared" si="14"/>
        <v>1</v>
      </c>
      <c r="Q22" s="283">
        <f t="shared" si="14"/>
        <v>1</v>
      </c>
      <c r="R22" s="284">
        <f t="shared" si="3"/>
        <v>0</v>
      </c>
      <c r="S22" s="284">
        <f t="shared" si="4"/>
        <v>0.5833333333</v>
      </c>
      <c r="T22" s="285" t="s">
        <v>642</v>
      </c>
      <c r="U22" s="291">
        <v>46539.0</v>
      </c>
      <c r="V22" s="287" t="s">
        <v>640</v>
      </c>
      <c r="W22" s="293">
        <f t="shared" si="12"/>
        <v>24</v>
      </c>
      <c r="X22" s="289">
        <f t="shared" si="5"/>
        <v>49920</v>
      </c>
      <c r="Y22" s="290">
        <f t="shared" si="6"/>
        <v>0</v>
      </c>
    </row>
    <row r="23">
      <c r="A23" s="294" t="s">
        <v>648</v>
      </c>
      <c r="B23" s="295">
        <f t="shared" ref="B23:Q23" si="15">SUM(B14:B22)</f>
        <v>2</v>
      </c>
      <c r="C23" s="295">
        <f t="shared" si="15"/>
        <v>3</v>
      </c>
      <c r="D23" s="295">
        <f t="shared" si="15"/>
        <v>3</v>
      </c>
      <c r="E23" s="295">
        <f t="shared" si="15"/>
        <v>4</v>
      </c>
      <c r="F23" s="295">
        <f t="shared" si="15"/>
        <v>4</v>
      </c>
      <c r="G23" s="295">
        <f t="shared" si="15"/>
        <v>5</v>
      </c>
      <c r="H23" s="295">
        <f t="shared" si="15"/>
        <v>6</v>
      </c>
      <c r="I23" s="295">
        <f t="shared" si="15"/>
        <v>6</v>
      </c>
      <c r="J23" s="295">
        <f t="shared" si="15"/>
        <v>6</v>
      </c>
      <c r="K23" s="295">
        <f t="shared" si="15"/>
        <v>7</v>
      </c>
      <c r="L23" s="295">
        <f t="shared" si="15"/>
        <v>9</v>
      </c>
      <c r="M23" s="295">
        <f t="shared" si="15"/>
        <v>9</v>
      </c>
      <c r="N23" s="295">
        <f t="shared" si="15"/>
        <v>9</v>
      </c>
      <c r="O23" s="295">
        <f t="shared" si="15"/>
        <v>9</v>
      </c>
      <c r="P23" s="295">
        <f t="shared" si="15"/>
        <v>9</v>
      </c>
      <c r="Q23" s="295">
        <f t="shared" si="15"/>
        <v>9</v>
      </c>
      <c r="R23" s="296">
        <f t="shared" si="3"/>
        <v>3</v>
      </c>
      <c r="S23" s="296">
        <f t="shared" si="4"/>
        <v>7.333333333</v>
      </c>
      <c r="T23" s="284"/>
      <c r="U23" s="284"/>
      <c r="V23" s="284"/>
      <c r="W23" s="284"/>
      <c r="X23" s="284"/>
      <c r="Y23" s="284"/>
    </row>
    <row r="24">
      <c r="A24" s="273" t="s">
        <v>649</v>
      </c>
      <c r="B24" s="283">
        <f t="shared" ref="B24:Q24" si="16">SUMPRODUCT(($U$14:$U$22&gt;EOMONTH(B$13,-1))*($U$14:$U$22&lt;=B$13))</f>
        <v>0</v>
      </c>
      <c r="C24" s="283">
        <f t="shared" si="16"/>
        <v>1</v>
      </c>
      <c r="D24" s="283">
        <f t="shared" si="16"/>
        <v>0</v>
      </c>
      <c r="E24" s="283">
        <f t="shared" si="16"/>
        <v>1</v>
      </c>
      <c r="F24" s="283">
        <f t="shared" si="16"/>
        <v>0</v>
      </c>
      <c r="G24" s="283">
        <f t="shared" si="16"/>
        <v>1</v>
      </c>
      <c r="H24" s="283">
        <f t="shared" si="16"/>
        <v>1</v>
      </c>
      <c r="I24" s="283">
        <f t="shared" si="16"/>
        <v>0</v>
      </c>
      <c r="J24" s="283">
        <f t="shared" si="16"/>
        <v>0</v>
      </c>
      <c r="K24" s="283">
        <f t="shared" si="16"/>
        <v>1</v>
      </c>
      <c r="L24" s="283">
        <f t="shared" si="16"/>
        <v>2</v>
      </c>
      <c r="M24" s="283">
        <f t="shared" si="16"/>
        <v>0</v>
      </c>
      <c r="N24" s="283">
        <f t="shared" si="16"/>
        <v>0</v>
      </c>
      <c r="O24" s="283">
        <f t="shared" si="16"/>
        <v>0</v>
      </c>
      <c r="P24" s="283">
        <f t="shared" si="16"/>
        <v>0</v>
      </c>
      <c r="Q24" s="283">
        <f t="shared" si="16"/>
        <v>0</v>
      </c>
      <c r="R24" s="297">
        <f>SUM(B24:E24)</f>
        <v>2</v>
      </c>
      <c r="S24" s="297">
        <f>SUM(F24:Q24)</f>
        <v>5</v>
      </c>
      <c r="T24" s="297"/>
      <c r="U24" s="297"/>
      <c r="V24" s="297"/>
      <c r="W24" s="297"/>
      <c r="X24" s="297"/>
      <c r="Y24" s="297"/>
    </row>
    <row r="25">
      <c r="A25" s="271"/>
      <c r="B25" s="283"/>
      <c r="C25" s="283"/>
      <c r="D25" s="283"/>
      <c r="E25" s="283"/>
      <c r="F25" s="283"/>
      <c r="G25" s="283"/>
      <c r="H25" s="283"/>
      <c r="I25" s="283"/>
      <c r="J25" s="283"/>
      <c r="K25" s="283"/>
      <c r="L25" s="283"/>
      <c r="M25" s="283"/>
      <c r="N25" s="283"/>
      <c r="O25" s="283"/>
      <c r="P25" s="283"/>
      <c r="Q25" s="283"/>
      <c r="R25" s="271"/>
      <c r="S25" s="271"/>
      <c r="T25" s="271"/>
      <c r="U25" s="271"/>
      <c r="V25" s="271"/>
      <c r="W25" s="271"/>
      <c r="X25" s="271"/>
      <c r="Y25" s="271"/>
    </row>
    <row r="26">
      <c r="A26" s="272" t="s">
        <v>650</v>
      </c>
      <c r="B26" s="279">
        <f>DeploySum!B53</f>
        <v>46295</v>
      </c>
      <c r="C26" s="279">
        <f>DeploySum!C53</f>
        <v>46326</v>
      </c>
      <c r="D26" s="279">
        <f>DeploySum!D53</f>
        <v>46356</v>
      </c>
      <c r="E26" s="279">
        <f>DeploySum!E53</f>
        <v>46387</v>
      </c>
      <c r="F26" s="279">
        <f>DeploySum!F53</f>
        <v>46418</v>
      </c>
      <c r="G26" s="279">
        <f>DeploySum!G53</f>
        <v>46446</v>
      </c>
      <c r="H26" s="279">
        <f>DeploySum!H53</f>
        <v>46477</v>
      </c>
      <c r="I26" s="279">
        <f>DeploySum!I53</f>
        <v>46507</v>
      </c>
      <c r="J26" s="279">
        <f>DeploySum!J53</f>
        <v>46538</v>
      </c>
      <c r="K26" s="279">
        <f>DeploySum!K53</f>
        <v>46568</v>
      </c>
      <c r="L26" s="279">
        <f>DeploySum!L53</f>
        <v>46599</v>
      </c>
      <c r="M26" s="279">
        <f>DeploySum!M53</f>
        <v>46630</v>
      </c>
      <c r="N26" s="279">
        <f>DeploySum!N53</f>
        <v>46660</v>
      </c>
      <c r="O26" s="279">
        <f>DeploySum!O53</f>
        <v>46691</v>
      </c>
      <c r="P26" s="279">
        <f>DeploySum!P53</f>
        <v>46721</v>
      </c>
      <c r="Q26" s="279">
        <f>DeploySum!Q53</f>
        <v>46752</v>
      </c>
      <c r="R26" s="280" t="s">
        <v>246</v>
      </c>
      <c r="S26" s="280" t="s">
        <v>2</v>
      </c>
      <c r="T26" s="280"/>
      <c r="U26" s="280"/>
      <c r="V26" s="280"/>
      <c r="W26" s="280"/>
      <c r="X26" s="280"/>
      <c r="Y26" s="280"/>
    </row>
    <row r="27">
      <c r="A27" s="273" t="s">
        <v>635</v>
      </c>
      <c r="B27" s="283">
        <f t="shared" ref="B27:Q27" si="17">SUMIF($T$14:$T$22,$A27,B$14:B$22)</f>
        <v>1</v>
      </c>
      <c r="C27" s="283">
        <f t="shared" si="17"/>
        <v>1</v>
      </c>
      <c r="D27" s="283">
        <f t="shared" si="17"/>
        <v>1</v>
      </c>
      <c r="E27" s="283">
        <f t="shared" si="17"/>
        <v>1</v>
      </c>
      <c r="F27" s="283">
        <f t="shared" si="17"/>
        <v>1</v>
      </c>
      <c r="G27" s="283">
        <f t="shared" si="17"/>
        <v>1</v>
      </c>
      <c r="H27" s="283">
        <f t="shared" si="17"/>
        <v>1</v>
      </c>
      <c r="I27" s="283">
        <f t="shared" si="17"/>
        <v>1</v>
      </c>
      <c r="J27" s="283">
        <f t="shared" si="17"/>
        <v>1</v>
      </c>
      <c r="K27" s="283">
        <f t="shared" si="17"/>
        <v>1</v>
      </c>
      <c r="L27" s="283">
        <f t="shared" si="17"/>
        <v>1</v>
      </c>
      <c r="M27" s="283">
        <f t="shared" si="17"/>
        <v>1</v>
      </c>
      <c r="N27" s="283">
        <f t="shared" si="17"/>
        <v>1</v>
      </c>
      <c r="O27" s="283">
        <f t="shared" si="17"/>
        <v>1</v>
      </c>
      <c r="P27" s="283">
        <f t="shared" si="17"/>
        <v>1</v>
      </c>
      <c r="Q27" s="283">
        <f t="shared" si="17"/>
        <v>1</v>
      </c>
      <c r="R27" s="284">
        <f t="shared" ref="R27:R31" si="19">AVERAGE(B27:E27)</f>
        <v>1</v>
      </c>
      <c r="S27" s="284">
        <f t="shared" ref="S27:S31" si="20">AVERAGE(F27:Q27)</f>
        <v>1</v>
      </c>
      <c r="T27" s="284"/>
      <c r="U27" s="284"/>
      <c r="V27" s="284"/>
      <c r="W27" s="284"/>
      <c r="X27" s="284"/>
      <c r="Y27" s="284"/>
    </row>
    <row r="28">
      <c r="A28" s="273" t="s">
        <v>637</v>
      </c>
      <c r="B28" s="283">
        <f t="shared" ref="B28:Q28" si="18">SUMIF($T$14:$T$22,$A28,B$14:B$22)</f>
        <v>0</v>
      </c>
      <c r="C28" s="283">
        <f t="shared" si="18"/>
        <v>0</v>
      </c>
      <c r="D28" s="283">
        <f t="shared" si="18"/>
        <v>0</v>
      </c>
      <c r="E28" s="283">
        <f t="shared" si="18"/>
        <v>0</v>
      </c>
      <c r="F28" s="283">
        <f t="shared" si="18"/>
        <v>0</v>
      </c>
      <c r="G28" s="283">
        <f t="shared" si="18"/>
        <v>1</v>
      </c>
      <c r="H28" s="283">
        <f t="shared" si="18"/>
        <v>1</v>
      </c>
      <c r="I28" s="283">
        <f t="shared" si="18"/>
        <v>1</v>
      </c>
      <c r="J28" s="283">
        <f t="shared" si="18"/>
        <v>1</v>
      </c>
      <c r="K28" s="283">
        <f t="shared" si="18"/>
        <v>1</v>
      </c>
      <c r="L28" s="283">
        <f t="shared" si="18"/>
        <v>1</v>
      </c>
      <c r="M28" s="283">
        <f t="shared" si="18"/>
        <v>1</v>
      </c>
      <c r="N28" s="283">
        <f t="shared" si="18"/>
        <v>1</v>
      </c>
      <c r="O28" s="283">
        <f t="shared" si="18"/>
        <v>1</v>
      </c>
      <c r="P28" s="283">
        <f t="shared" si="18"/>
        <v>1</v>
      </c>
      <c r="Q28" s="283">
        <f t="shared" si="18"/>
        <v>1</v>
      </c>
      <c r="R28" s="284">
        <f t="shared" si="19"/>
        <v>0</v>
      </c>
      <c r="S28" s="284">
        <f t="shared" si="20"/>
        <v>0.9166666667</v>
      </c>
      <c r="T28" s="284"/>
      <c r="U28" s="284"/>
      <c r="V28" s="284"/>
      <c r="W28" s="284"/>
      <c r="X28" s="284"/>
      <c r="Y28" s="284"/>
    </row>
    <row r="29">
      <c r="A29" s="273" t="s">
        <v>639</v>
      </c>
      <c r="B29" s="283">
        <f t="shared" ref="B29:Q29" si="21">SUMIF($T$14:$T$22,$A29,B$14:B$22)</f>
        <v>1</v>
      </c>
      <c r="C29" s="283">
        <f t="shared" si="21"/>
        <v>2</v>
      </c>
      <c r="D29" s="283">
        <f t="shared" si="21"/>
        <v>2</v>
      </c>
      <c r="E29" s="283">
        <f t="shared" si="21"/>
        <v>3</v>
      </c>
      <c r="F29" s="283">
        <f t="shared" si="21"/>
        <v>3</v>
      </c>
      <c r="G29" s="283">
        <f t="shared" si="21"/>
        <v>3</v>
      </c>
      <c r="H29" s="283">
        <f t="shared" si="21"/>
        <v>3</v>
      </c>
      <c r="I29" s="283">
        <f t="shared" si="21"/>
        <v>3</v>
      </c>
      <c r="J29" s="283">
        <f t="shared" si="21"/>
        <v>3</v>
      </c>
      <c r="K29" s="283">
        <f t="shared" si="21"/>
        <v>3</v>
      </c>
      <c r="L29" s="283">
        <f t="shared" si="21"/>
        <v>4</v>
      </c>
      <c r="M29" s="283">
        <f t="shared" si="21"/>
        <v>4</v>
      </c>
      <c r="N29" s="283">
        <f t="shared" si="21"/>
        <v>4</v>
      </c>
      <c r="O29" s="283">
        <f t="shared" si="21"/>
        <v>4</v>
      </c>
      <c r="P29" s="283">
        <f t="shared" si="21"/>
        <v>4</v>
      </c>
      <c r="Q29" s="283">
        <f t="shared" si="21"/>
        <v>4</v>
      </c>
      <c r="R29" s="284">
        <f t="shared" si="19"/>
        <v>2</v>
      </c>
      <c r="S29" s="284">
        <f t="shared" si="20"/>
        <v>3.5</v>
      </c>
      <c r="T29" s="284"/>
      <c r="U29" s="284"/>
      <c r="V29" s="284"/>
      <c r="W29" s="284"/>
      <c r="X29" s="284"/>
      <c r="Y29" s="284"/>
    </row>
    <row r="30">
      <c r="A30" s="273" t="s">
        <v>642</v>
      </c>
      <c r="B30" s="283">
        <f t="shared" ref="B30:Q30" si="22">SUMIF($T$14:$T$22,$A30,B$14:B$22)</f>
        <v>0</v>
      </c>
      <c r="C30" s="283">
        <f t="shared" si="22"/>
        <v>0</v>
      </c>
      <c r="D30" s="283">
        <f t="shared" si="22"/>
        <v>0</v>
      </c>
      <c r="E30" s="283">
        <f t="shared" si="22"/>
        <v>0</v>
      </c>
      <c r="F30" s="283">
        <f t="shared" si="22"/>
        <v>0</v>
      </c>
      <c r="G30" s="283">
        <f t="shared" si="22"/>
        <v>0</v>
      </c>
      <c r="H30" s="283">
        <f t="shared" si="22"/>
        <v>1</v>
      </c>
      <c r="I30" s="283">
        <f t="shared" si="22"/>
        <v>1</v>
      </c>
      <c r="J30" s="283">
        <f t="shared" si="22"/>
        <v>1</v>
      </c>
      <c r="K30" s="283">
        <f t="shared" si="22"/>
        <v>2</v>
      </c>
      <c r="L30" s="283">
        <f t="shared" si="22"/>
        <v>3</v>
      </c>
      <c r="M30" s="283">
        <f t="shared" si="22"/>
        <v>3</v>
      </c>
      <c r="N30" s="283">
        <f t="shared" si="22"/>
        <v>3</v>
      </c>
      <c r="O30" s="283">
        <f t="shared" si="22"/>
        <v>3</v>
      </c>
      <c r="P30" s="283">
        <f t="shared" si="22"/>
        <v>3</v>
      </c>
      <c r="Q30" s="283">
        <f t="shared" si="22"/>
        <v>3</v>
      </c>
      <c r="R30" s="284">
        <f t="shared" si="19"/>
        <v>0</v>
      </c>
      <c r="S30" s="284">
        <f t="shared" si="20"/>
        <v>1.916666667</v>
      </c>
      <c r="T30" s="284"/>
      <c r="U30" s="284"/>
      <c r="V30" s="284"/>
      <c r="W30" s="284"/>
      <c r="X30" s="284"/>
      <c r="Y30" s="284"/>
    </row>
    <row r="31">
      <c r="A31" s="294" t="s">
        <v>648</v>
      </c>
      <c r="B31" s="295">
        <f t="shared" ref="B31:Q31" si="23">SUM(B27:B30)</f>
        <v>2</v>
      </c>
      <c r="C31" s="295">
        <f t="shared" si="23"/>
        <v>3</v>
      </c>
      <c r="D31" s="295">
        <f t="shared" si="23"/>
        <v>3</v>
      </c>
      <c r="E31" s="295">
        <f t="shared" si="23"/>
        <v>4</v>
      </c>
      <c r="F31" s="295">
        <f t="shared" si="23"/>
        <v>4</v>
      </c>
      <c r="G31" s="295">
        <f t="shared" si="23"/>
        <v>5</v>
      </c>
      <c r="H31" s="295">
        <f t="shared" si="23"/>
        <v>6</v>
      </c>
      <c r="I31" s="295">
        <f t="shared" si="23"/>
        <v>6</v>
      </c>
      <c r="J31" s="295">
        <f t="shared" si="23"/>
        <v>6</v>
      </c>
      <c r="K31" s="295">
        <f t="shared" si="23"/>
        <v>7</v>
      </c>
      <c r="L31" s="295">
        <f t="shared" si="23"/>
        <v>9</v>
      </c>
      <c r="M31" s="295">
        <f t="shared" si="23"/>
        <v>9</v>
      </c>
      <c r="N31" s="295">
        <f t="shared" si="23"/>
        <v>9</v>
      </c>
      <c r="O31" s="295">
        <f t="shared" si="23"/>
        <v>9</v>
      </c>
      <c r="P31" s="295">
        <f t="shared" si="23"/>
        <v>9</v>
      </c>
      <c r="Q31" s="295">
        <f t="shared" si="23"/>
        <v>9</v>
      </c>
      <c r="R31" s="296">
        <f t="shared" si="19"/>
        <v>3</v>
      </c>
      <c r="S31" s="296">
        <f t="shared" si="20"/>
        <v>7.333333333</v>
      </c>
      <c r="T31" s="284"/>
      <c r="U31" s="284"/>
      <c r="V31" s="284"/>
      <c r="W31" s="284"/>
      <c r="X31" s="284"/>
      <c r="Y31" s="284"/>
    </row>
    <row r="32">
      <c r="A32" s="271"/>
      <c r="B32" s="271"/>
      <c r="C32" s="271"/>
      <c r="D32" s="271"/>
      <c r="E32" s="271"/>
      <c r="F32" s="271"/>
      <c r="G32" s="271"/>
      <c r="H32" s="271"/>
      <c r="I32" s="271"/>
      <c r="J32" s="271"/>
      <c r="K32" s="271"/>
      <c r="L32" s="271"/>
      <c r="M32" s="271"/>
      <c r="N32" s="271"/>
      <c r="O32" s="271"/>
      <c r="P32" s="271"/>
      <c r="Q32" s="271"/>
      <c r="R32" s="271"/>
      <c r="S32" s="271"/>
      <c r="T32" s="271"/>
      <c r="U32" s="271"/>
      <c r="V32" s="271"/>
      <c r="W32" s="271"/>
      <c r="X32" s="271"/>
      <c r="Y32" s="271"/>
    </row>
    <row r="33">
      <c r="A33" s="272" t="s">
        <v>651</v>
      </c>
      <c r="B33" s="279">
        <f>DeploySum!B53</f>
        <v>46295</v>
      </c>
      <c r="C33" s="279">
        <f>DeploySum!C53</f>
        <v>46326</v>
      </c>
      <c r="D33" s="279">
        <f>DeploySum!D53</f>
        <v>46356</v>
      </c>
      <c r="E33" s="279">
        <f>DeploySum!E53</f>
        <v>46387</v>
      </c>
      <c r="F33" s="279">
        <f>DeploySum!F53</f>
        <v>46418</v>
      </c>
      <c r="G33" s="279">
        <f>DeploySum!G53</f>
        <v>46446</v>
      </c>
      <c r="H33" s="279">
        <f>DeploySum!H53</f>
        <v>46477</v>
      </c>
      <c r="I33" s="279">
        <f>DeploySum!I53</f>
        <v>46507</v>
      </c>
      <c r="J33" s="279">
        <f>DeploySum!J53</f>
        <v>46538</v>
      </c>
      <c r="K33" s="279">
        <f>DeploySum!K53</f>
        <v>46568</v>
      </c>
      <c r="L33" s="279">
        <f>DeploySum!L53</f>
        <v>46599</v>
      </c>
      <c r="M33" s="279">
        <f>DeploySum!M53</f>
        <v>46630</v>
      </c>
      <c r="N33" s="279">
        <f>DeploySum!N53</f>
        <v>46660</v>
      </c>
      <c r="O33" s="279">
        <f>DeploySum!O53</f>
        <v>46691</v>
      </c>
      <c r="P33" s="279">
        <f>DeploySum!P53</f>
        <v>46721</v>
      </c>
      <c r="Q33" s="279">
        <f>DeploySum!Q53</f>
        <v>46752</v>
      </c>
      <c r="R33" s="280" t="s">
        <v>246</v>
      </c>
      <c r="S33" s="280" t="s">
        <v>2</v>
      </c>
      <c r="T33" s="280"/>
      <c r="U33" s="280"/>
      <c r="V33" s="280"/>
      <c r="W33" s="280"/>
      <c r="X33" s="280"/>
      <c r="Y33" s="280"/>
    </row>
    <row r="34">
      <c r="A34" s="271" t="str">
        <f t="shared" ref="A34:A42" si="25">$A14</f>
        <v>LOG-01 Logistics Manager (William Welser)</v>
      </c>
      <c r="B34" s="298">
        <f t="shared" ref="B34:Q34" si="24">B14*$X14/12*(1+IF(AND(B$33&gt;=$B$8,$Y14=1),$B$7,0))</f>
        <v>10000</v>
      </c>
      <c r="C34" s="298">
        <f t="shared" si="24"/>
        <v>10000</v>
      </c>
      <c r="D34" s="298">
        <f t="shared" si="24"/>
        <v>10000</v>
      </c>
      <c r="E34" s="298">
        <f t="shared" si="24"/>
        <v>10000</v>
      </c>
      <c r="F34" s="298">
        <f t="shared" si="24"/>
        <v>10000</v>
      </c>
      <c r="G34" s="298">
        <f t="shared" si="24"/>
        <v>10000</v>
      </c>
      <c r="H34" s="298">
        <f t="shared" si="24"/>
        <v>10000</v>
      </c>
      <c r="I34" s="298">
        <f t="shared" si="24"/>
        <v>10000</v>
      </c>
      <c r="J34" s="298">
        <f t="shared" si="24"/>
        <v>10000</v>
      </c>
      <c r="K34" s="298">
        <f t="shared" si="24"/>
        <v>10000</v>
      </c>
      <c r="L34" s="298">
        <f t="shared" si="24"/>
        <v>10000</v>
      </c>
      <c r="M34" s="298">
        <f t="shared" si="24"/>
        <v>10000</v>
      </c>
      <c r="N34" s="298">
        <f t="shared" si="24"/>
        <v>10000</v>
      </c>
      <c r="O34" s="298">
        <f t="shared" si="24"/>
        <v>10300</v>
      </c>
      <c r="P34" s="298">
        <f t="shared" si="24"/>
        <v>10300</v>
      </c>
      <c r="Q34" s="298">
        <f t="shared" si="24"/>
        <v>10300</v>
      </c>
      <c r="R34" s="299">
        <f t="shared" ref="R34:R47" si="27">SUM(B34:E34)</f>
        <v>40000</v>
      </c>
      <c r="S34" s="299">
        <f t="shared" ref="S34:S47" si="28">SUM(F34:Q34)</f>
        <v>120900</v>
      </c>
      <c r="T34" s="299"/>
      <c r="U34" s="299"/>
      <c r="V34" s="299"/>
      <c r="W34" s="299"/>
      <c r="X34" s="299"/>
      <c r="Y34" s="299"/>
    </row>
    <row r="35">
      <c r="A35" s="271" t="str">
        <f t="shared" si="25"/>
        <v>INV-01 Inventory Control Specialist</v>
      </c>
      <c r="B35" s="298">
        <f t="shared" ref="B35:Q35" si="26">B15*$X15/12*(1+IF(AND(B$33&gt;=$B$8,$Y15=1),$B$7,0))</f>
        <v>0</v>
      </c>
      <c r="C35" s="298">
        <f t="shared" si="26"/>
        <v>0</v>
      </c>
      <c r="D35" s="298">
        <f t="shared" si="26"/>
        <v>0</v>
      </c>
      <c r="E35" s="298">
        <f t="shared" si="26"/>
        <v>0</v>
      </c>
      <c r="F35" s="298">
        <f t="shared" si="26"/>
        <v>0</v>
      </c>
      <c r="G35" s="298">
        <f t="shared" si="26"/>
        <v>4000</v>
      </c>
      <c r="H35" s="298">
        <f t="shared" si="26"/>
        <v>4000</v>
      </c>
      <c r="I35" s="298">
        <f t="shared" si="26"/>
        <v>4000</v>
      </c>
      <c r="J35" s="298">
        <f t="shared" si="26"/>
        <v>4000</v>
      </c>
      <c r="K35" s="298">
        <f t="shared" si="26"/>
        <v>4000</v>
      </c>
      <c r="L35" s="298">
        <f t="shared" si="26"/>
        <v>4000</v>
      </c>
      <c r="M35" s="298">
        <f t="shared" si="26"/>
        <v>4000</v>
      </c>
      <c r="N35" s="298">
        <f t="shared" si="26"/>
        <v>4000</v>
      </c>
      <c r="O35" s="298">
        <f t="shared" si="26"/>
        <v>4120</v>
      </c>
      <c r="P35" s="298">
        <f t="shared" si="26"/>
        <v>4120</v>
      </c>
      <c r="Q35" s="298">
        <f t="shared" si="26"/>
        <v>4120</v>
      </c>
      <c r="R35" s="299">
        <f t="shared" si="27"/>
        <v>0</v>
      </c>
      <c r="S35" s="299">
        <f t="shared" si="28"/>
        <v>44360</v>
      </c>
      <c r="T35" s="299"/>
      <c r="U35" s="299"/>
      <c r="V35" s="299"/>
      <c r="W35" s="299"/>
      <c r="X35" s="299"/>
      <c r="Y35" s="299"/>
    </row>
    <row r="36">
      <c r="A36" s="271" t="str">
        <f t="shared" si="25"/>
        <v>TL-01 Material Handling Team Lead</v>
      </c>
      <c r="B36" s="298">
        <f t="shared" ref="B36:Q36" si="29">B16*$X16/12*(1+IF(AND(B$33&gt;=$B$8,$Y16=1),$B$7,0))</f>
        <v>0</v>
      </c>
      <c r="C36" s="298">
        <f t="shared" si="29"/>
        <v>0</v>
      </c>
      <c r="D36" s="298">
        <f t="shared" si="29"/>
        <v>0</v>
      </c>
      <c r="E36" s="298">
        <f t="shared" si="29"/>
        <v>4333.333333</v>
      </c>
      <c r="F36" s="298">
        <f t="shared" si="29"/>
        <v>4333.333333</v>
      </c>
      <c r="G36" s="298">
        <f t="shared" si="29"/>
        <v>4333.333333</v>
      </c>
      <c r="H36" s="298">
        <f t="shared" si="29"/>
        <v>4333.333333</v>
      </c>
      <c r="I36" s="298">
        <f t="shared" si="29"/>
        <v>4333.333333</v>
      </c>
      <c r="J36" s="298">
        <f t="shared" si="29"/>
        <v>4333.333333</v>
      </c>
      <c r="K36" s="298">
        <f t="shared" si="29"/>
        <v>4333.333333</v>
      </c>
      <c r="L36" s="298">
        <f t="shared" si="29"/>
        <v>4333.333333</v>
      </c>
      <c r="M36" s="298">
        <f t="shared" si="29"/>
        <v>4333.333333</v>
      </c>
      <c r="N36" s="298">
        <f t="shared" si="29"/>
        <v>4333.333333</v>
      </c>
      <c r="O36" s="298">
        <f t="shared" si="29"/>
        <v>4463.333333</v>
      </c>
      <c r="P36" s="298">
        <f t="shared" si="29"/>
        <v>4463.333333</v>
      </c>
      <c r="Q36" s="298">
        <f t="shared" si="29"/>
        <v>4463.333333</v>
      </c>
      <c r="R36" s="299">
        <f t="shared" si="27"/>
        <v>4333.333333</v>
      </c>
      <c r="S36" s="299">
        <f t="shared" si="28"/>
        <v>52390</v>
      </c>
      <c r="T36" s="299"/>
      <c r="U36" s="299"/>
      <c r="V36" s="299"/>
      <c r="W36" s="299"/>
      <c r="X36" s="299"/>
      <c r="Y36" s="299"/>
    </row>
    <row r="37">
      <c r="A37" s="271" t="str">
        <f t="shared" si="25"/>
        <v>TL-02 Material Handling Team Lead</v>
      </c>
      <c r="B37" s="298">
        <f t="shared" ref="B37:Q37" si="30">B17*$X17/12*(1+IF(AND(B$33&gt;=$B$8,$Y17=1),$B$7,0))</f>
        <v>0</v>
      </c>
      <c r="C37" s="298">
        <f t="shared" si="30"/>
        <v>0</v>
      </c>
      <c r="D37" s="298">
        <f t="shared" si="30"/>
        <v>0</v>
      </c>
      <c r="E37" s="298">
        <f t="shared" si="30"/>
        <v>0</v>
      </c>
      <c r="F37" s="298">
        <f t="shared" si="30"/>
        <v>0</v>
      </c>
      <c r="G37" s="298">
        <f t="shared" si="30"/>
        <v>0</v>
      </c>
      <c r="H37" s="298">
        <f t="shared" si="30"/>
        <v>0</v>
      </c>
      <c r="I37" s="298">
        <f t="shared" si="30"/>
        <v>0</v>
      </c>
      <c r="J37" s="298">
        <f t="shared" si="30"/>
        <v>0</v>
      </c>
      <c r="K37" s="298">
        <f t="shared" si="30"/>
        <v>0</v>
      </c>
      <c r="L37" s="298">
        <f t="shared" si="30"/>
        <v>4333.333333</v>
      </c>
      <c r="M37" s="298">
        <f t="shared" si="30"/>
        <v>4333.333333</v>
      </c>
      <c r="N37" s="298">
        <f t="shared" si="30"/>
        <v>4333.333333</v>
      </c>
      <c r="O37" s="298">
        <f t="shared" si="30"/>
        <v>4333.333333</v>
      </c>
      <c r="P37" s="298">
        <f t="shared" si="30"/>
        <v>4333.333333</v>
      </c>
      <c r="Q37" s="298">
        <f t="shared" si="30"/>
        <v>4333.333333</v>
      </c>
      <c r="R37" s="299">
        <f t="shared" si="27"/>
        <v>0</v>
      </c>
      <c r="S37" s="299">
        <f t="shared" si="28"/>
        <v>26000</v>
      </c>
      <c r="T37" s="299"/>
      <c r="U37" s="299"/>
      <c r="V37" s="299"/>
      <c r="W37" s="299"/>
      <c r="X37" s="299"/>
      <c r="Y37" s="299"/>
    </row>
    <row r="38">
      <c r="A38" s="271" t="str">
        <f t="shared" si="25"/>
        <v>MH-01 Material Handler (Austin Steed)</v>
      </c>
      <c r="B38" s="298">
        <f t="shared" ref="B38:Q38" si="31">B18*$X18/12*(1+IF(AND(B$33&gt;=$B$8,$Y18=1),$B$7,0))</f>
        <v>4160</v>
      </c>
      <c r="C38" s="298">
        <f t="shared" si="31"/>
        <v>4160</v>
      </c>
      <c r="D38" s="298">
        <f t="shared" si="31"/>
        <v>4160</v>
      </c>
      <c r="E38" s="298">
        <f t="shared" si="31"/>
        <v>4160</v>
      </c>
      <c r="F38" s="298">
        <f t="shared" si="31"/>
        <v>4160</v>
      </c>
      <c r="G38" s="298">
        <f t="shared" si="31"/>
        <v>4160</v>
      </c>
      <c r="H38" s="298">
        <f t="shared" si="31"/>
        <v>4160</v>
      </c>
      <c r="I38" s="298">
        <f t="shared" si="31"/>
        <v>4160</v>
      </c>
      <c r="J38" s="298">
        <f t="shared" si="31"/>
        <v>4160</v>
      </c>
      <c r="K38" s="298">
        <f t="shared" si="31"/>
        <v>4160</v>
      </c>
      <c r="L38" s="298">
        <f t="shared" si="31"/>
        <v>4160</v>
      </c>
      <c r="M38" s="298">
        <f t="shared" si="31"/>
        <v>4160</v>
      </c>
      <c r="N38" s="298">
        <f t="shared" si="31"/>
        <v>4160</v>
      </c>
      <c r="O38" s="298">
        <f t="shared" si="31"/>
        <v>4284.8</v>
      </c>
      <c r="P38" s="298">
        <f t="shared" si="31"/>
        <v>4284.8</v>
      </c>
      <c r="Q38" s="298">
        <f t="shared" si="31"/>
        <v>4284.8</v>
      </c>
      <c r="R38" s="299">
        <f t="shared" si="27"/>
        <v>16640</v>
      </c>
      <c r="S38" s="299">
        <f t="shared" si="28"/>
        <v>50294.4</v>
      </c>
      <c r="T38" s="299"/>
      <c r="U38" s="299"/>
      <c r="V38" s="299"/>
      <c r="W38" s="299"/>
      <c r="X38" s="299"/>
      <c r="Y38" s="299"/>
    </row>
    <row r="39">
      <c r="A39" s="271" t="str">
        <f t="shared" si="25"/>
        <v>MH-02 Material Handler (backfill for Servando Flores)</v>
      </c>
      <c r="B39" s="298">
        <f t="shared" ref="B39:Q39" si="32">B19*$X19/12*(1+IF(AND(B$33&gt;=$B$8,$Y19=1),$B$7,0))</f>
        <v>0</v>
      </c>
      <c r="C39" s="298">
        <f t="shared" si="32"/>
        <v>4160</v>
      </c>
      <c r="D39" s="298">
        <f t="shared" si="32"/>
        <v>4160</v>
      </c>
      <c r="E39" s="298">
        <f t="shared" si="32"/>
        <v>4160</v>
      </c>
      <c r="F39" s="298">
        <f t="shared" si="32"/>
        <v>4160</v>
      </c>
      <c r="G39" s="298">
        <f t="shared" si="32"/>
        <v>4160</v>
      </c>
      <c r="H39" s="298">
        <f t="shared" si="32"/>
        <v>4160</v>
      </c>
      <c r="I39" s="298">
        <f t="shared" si="32"/>
        <v>4160</v>
      </c>
      <c r="J39" s="298">
        <f t="shared" si="32"/>
        <v>4160</v>
      </c>
      <c r="K39" s="298">
        <f t="shared" si="32"/>
        <v>4160</v>
      </c>
      <c r="L39" s="298">
        <f t="shared" si="32"/>
        <v>4160</v>
      </c>
      <c r="M39" s="298">
        <f t="shared" si="32"/>
        <v>4160</v>
      </c>
      <c r="N39" s="298">
        <f t="shared" si="32"/>
        <v>4160</v>
      </c>
      <c r="O39" s="298">
        <f t="shared" si="32"/>
        <v>4284.8</v>
      </c>
      <c r="P39" s="298">
        <f t="shared" si="32"/>
        <v>4284.8</v>
      </c>
      <c r="Q39" s="298">
        <f t="shared" si="32"/>
        <v>4284.8</v>
      </c>
      <c r="R39" s="299">
        <f t="shared" si="27"/>
        <v>12480</v>
      </c>
      <c r="S39" s="299">
        <f t="shared" si="28"/>
        <v>50294.4</v>
      </c>
      <c r="T39" s="299"/>
      <c r="U39" s="299"/>
      <c r="V39" s="299"/>
      <c r="W39" s="299"/>
      <c r="X39" s="299"/>
      <c r="Y39" s="299"/>
    </row>
    <row r="40">
      <c r="A40" s="271" t="str">
        <f t="shared" si="25"/>
        <v>MH-06 Material Handler</v>
      </c>
      <c r="B40" s="298">
        <f t="shared" ref="B40:Q40" si="33">B20*$X20/12*(1+IF(AND(B$33&gt;=$B$8,$Y20=1),$B$7,0))</f>
        <v>0</v>
      </c>
      <c r="C40" s="298">
        <f t="shared" si="33"/>
        <v>0</v>
      </c>
      <c r="D40" s="298">
        <f t="shared" si="33"/>
        <v>0</v>
      </c>
      <c r="E40" s="298">
        <f t="shared" si="33"/>
        <v>0</v>
      </c>
      <c r="F40" s="298">
        <f t="shared" si="33"/>
        <v>0</v>
      </c>
      <c r="G40" s="298">
        <f t="shared" si="33"/>
        <v>0</v>
      </c>
      <c r="H40" s="298">
        <f t="shared" si="33"/>
        <v>0</v>
      </c>
      <c r="I40" s="298">
        <f t="shared" si="33"/>
        <v>0</v>
      </c>
      <c r="J40" s="298">
        <f t="shared" si="33"/>
        <v>0</v>
      </c>
      <c r="K40" s="298">
        <f t="shared" si="33"/>
        <v>0</v>
      </c>
      <c r="L40" s="298">
        <f t="shared" si="33"/>
        <v>4160</v>
      </c>
      <c r="M40" s="298">
        <f t="shared" si="33"/>
        <v>4160</v>
      </c>
      <c r="N40" s="298">
        <f t="shared" si="33"/>
        <v>4160</v>
      </c>
      <c r="O40" s="298">
        <f t="shared" si="33"/>
        <v>4160</v>
      </c>
      <c r="P40" s="298">
        <f t="shared" si="33"/>
        <v>4160</v>
      </c>
      <c r="Q40" s="298">
        <f t="shared" si="33"/>
        <v>4160</v>
      </c>
      <c r="R40" s="299">
        <f t="shared" si="27"/>
        <v>0</v>
      </c>
      <c r="S40" s="299">
        <f t="shared" si="28"/>
        <v>24960</v>
      </c>
      <c r="T40" s="299"/>
      <c r="U40" s="299"/>
      <c r="V40" s="299"/>
      <c r="W40" s="299"/>
      <c r="X40" s="299"/>
      <c r="Y40" s="299"/>
    </row>
    <row r="41">
      <c r="A41" s="271" t="str">
        <f t="shared" si="25"/>
        <v>MH-03 Material Handler</v>
      </c>
      <c r="B41" s="298">
        <f t="shared" ref="B41:Q41" si="34">B21*$X21/12*(1+IF(AND(B$33&gt;=$B$8,$Y21=1),$B$7,0))</f>
        <v>0</v>
      </c>
      <c r="C41" s="298">
        <f t="shared" si="34"/>
        <v>0</v>
      </c>
      <c r="D41" s="298">
        <f t="shared" si="34"/>
        <v>0</v>
      </c>
      <c r="E41" s="298">
        <f t="shared" si="34"/>
        <v>0</v>
      </c>
      <c r="F41" s="298">
        <f t="shared" si="34"/>
        <v>0</v>
      </c>
      <c r="G41" s="298">
        <f t="shared" si="34"/>
        <v>0</v>
      </c>
      <c r="H41" s="298">
        <f t="shared" si="34"/>
        <v>4160</v>
      </c>
      <c r="I41" s="298">
        <f t="shared" si="34"/>
        <v>4160</v>
      </c>
      <c r="J41" s="298">
        <f t="shared" si="34"/>
        <v>4160</v>
      </c>
      <c r="K41" s="298">
        <f t="shared" si="34"/>
        <v>4160</v>
      </c>
      <c r="L41" s="298">
        <f t="shared" si="34"/>
        <v>4160</v>
      </c>
      <c r="M41" s="298">
        <f t="shared" si="34"/>
        <v>4160</v>
      </c>
      <c r="N41" s="298">
        <f t="shared" si="34"/>
        <v>4160</v>
      </c>
      <c r="O41" s="298">
        <f t="shared" si="34"/>
        <v>4284.8</v>
      </c>
      <c r="P41" s="298">
        <f t="shared" si="34"/>
        <v>4284.8</v>
      </c>
      <c r="Q41" s="298">
        <f t="shared" si="34"/>
        <v>4284.8</v>
      </c>
      <c r="R41" s="299">
        <f t="shared" si="27"/>
        <v>0</v>
      </c>
      <c r="S41" s="299">
        <f t="shared" si="28"/>
        <v>41974.4</v>
      </c>
      <c r="T41" s="299"/>
      <c r="U41" s="299"/>
      <c r="V41" s="299"/>
      <c r="W41" s="299"/>
      <c r="X41" s="299"/>
      <c r="Y41" s="299"/>
    </row>
    <row r="42">
      <c r="A42" s="271" t="str">
        <f t="shared" si="25"/>
        <v>MH-04 Material Handler</v>
      </c>
      <c r="B42" s="298">
        <f t="shared" ref="B42:Q42" si="35">B22*$X22/12*(1+IF(AND(B$33&gt;=$B$8,$Y22=1),$B$7,0))</f>
        <v>0</v>
      </c>
      <c r="C42" s="298">
        <f t="shared" si="35"/>
        <v>0</v>
      </c>
      <c r="D42" s="298">
        <f t="shared" si="35"/>
        <v>0</v>
      </c>
      <c r="E42" s="298">
        <f t="shared" si="35"/>
        <v>0</v>
      </c>
      <c r="F42" s="298">
        <f t="shared" si="35"/>
        <v>0</v>
      </c>
      <c r="G42" s="298">
        <f t="shared" si="35"/>
        <v>0</v>
      </c>
      <c r="H42" s="298">
        <f t="shared" si="35"/>
        <v>0</v>
      </c>
      <c r="I42" s="298">
        <f t="shared" si="35"/>
        <v>0</v>
      </c>
      <c r="J42" s="298">
        <f t="shared" si="35"/>
        <v>0</v>
      </c>
      <c r="K42" s="298">
        <f t="shared" si="35"/>
        <v>4160</v>
      </c>
      <c r="L42" s="298">
        <f t="shared" si="35"/>
        <v>4160</v>
      </c>
      <c r="M42" s="298">
        <f t="shared" si="35"/>
        <v>4160</v>
      </c>
      <c r="N42" s="298">
        <f t="shared" si="35"/>
        <v>4160</v>
      </c>
      <c r="O42" s="298">
        <f t="shared" si="35"/>
        <v>4160</v>
      </c>
      <c r="P42" s="298">
        <f t="shared" si="35"/>
        <v>4160</v>
      </c>
      <c r="Q42" s="298">
        <f t="shared" si="35"/>
        <v>4160</v>
      </c>
      <c r="R42" s="299">
        <f t="shared" si="27"/>
        <v>0</v>
      </c>
      <c r="S42" s="299">
        <f t="shared" si="28"/>
        <v>29120</v>
      </c>
      <c r="T42" s="299"/>
      <c r="U42" s="299"/>
      <c r="V42" s="299"/>
      <c r="W42" s="299"/>
      <c r="X42" s="299"/>
      <c r="Y42" s="299"/>
    </row>
    <row r="43">
      <c r="A43" s="300" t="s">
        <v>248</v>
      </c>
      <c r="B43" s="301">
        <f t="shared" ref="B43:Q43" si="36">SUM(B34:B42)</f>
        <v>14160</v>
      </c>
      <c r="C43" s="301">
        <f t="shared" si="36"/>
        <v>18320</v>
      </c>
      <c r="D43" s="301">
        <f t="shared" si="36"/>
        <v>18320</v>
      </c>
      <c r="E43" s="301">
        <f t="shared" si="36"/>
        <v>22653.33333</v>
      </c>
      <c r="F43" s="301">
        <f t="shared" si="36"/>
        <v>22653.33333</v>
      </c>
      <c r="G43" s="301">
        <f t="shared" si="36"/>
        <v>26653.33333</v>
      </c>
      <c r="H43" s="301">
        <f t="shared" si="36"/>
        <v>30813.33333</v>
      </c>
      <c r="I43" s="301">
        <f t="shared" si="36"/>
        <v>30813.33333</v>
      </c>
      <c r="J43" s="301">
        <f t="shared" si="36"/>
        <v>30813.33333</v>
      </c>
      <c r="K43" s="301">
        <f t="shared" si="36"/>
        <v>34973.33333</v>
      </c>
      <c r="L43" s="301">
        <f t="shared" si="36"/>
        <v>43466.66667</v>
      </c>
      <c r="M43" s="301">
        <f t="shared" si="36"/>
        <v>43466.66667</v>
      </c>
      <c r="N43" s="301">
        <f t="shared" si="36"/>
        <v>43466.66667</v>
      </c>
      <c r="O43" s="301">
        <f t="shared" si="36"/>
        <v>44391.06667</v>
      </c>
      <c r="P43" s="301">
        <f t="shared" si="36"/>
        <v>44391.06667</v>
      </c>
      <c r="Q43" s="301">
        <f t="shared" si="36"/>
        <v>44391.06667</v>
      </c>
      <c r="R43" s="302">
        <f t="shared" si="27"/>
        <v>73453.33333</v>
      </c>
      <c r="S43" s="302">
        <f t="shared" si="28"/>
        <v>440293.2</v>
      </c>
      <c r="T43" s="299"/>
      <c r="U43" s="299"/>
      <c r="V43" s="299"/>
      <c r="W43" s="299"/>
      <c r="X43" s="299"/>
      <c r="Y43" s="299"/>
    </row>
    <row r="44">
      <c r="A44" s="273" t="s">
        <v>249</v>
      </c>
      <c r="B44" s="298">
        <f t="shared" ref="B44:Q44" si="37">B43*$B$5</f>
        <v>962.88</v>
      </c>
      <c r="C44" s="298">
        <f t="shared" si="37"/>
        <v>1245.76</v>
      </c>
      <c r="D44" s="298">
        <f t="shared" si="37"/>
        <v>1245.76</v>
      </c>
      <c r="E44" s="298">
        <f t="shared" si="37"/>
        <v>1540.426667</v>
      </c>
      <c r="F44" s="298">
        <f t="shared" si="37"/>
        <v>1540.426667</v>
      </c>
      <c r="G44" s="298">
        <f t="shared" si="37"/>
        <v>1812.426667</v>
      </c>
      <c r="H44" s="298">
        <f t="shared" si="37"/>
        <v>2095.306667</v>
      </c>
      <c r="I44" s="298">
        <f t="shared" si="37"/>
        <v>2095.306667</v>
      </c>
      <c r="J44" s="298">
        <f t="shared" si="37"/>
        <v>2095.306667</v>
      </c>
      <c r="K44" s="298">
        <f t="shared" si="37"/>
        <v>2378.186667</v>
      </c>
      <c r="L44" s="298">
        <f t="shared" si="37"/>
        <v>2955.733333</v>
      </c>
      <c r="M44" s="298">
        <f t="shared" si="37"/>
        <v>2955.733333</v>
      </c>
      <c r="N44" s="298">
        <f t="shared" si="37"/>
        <v>2955.733333</v>
      </c>
      <c r="O44" s="298">
        <f t="shared" si="37"/>
        <v>3018.592533</v>
      </c>
      <c r="P44" s="298">
        <f t="shared" si="37"/>
        <v>3018.592533</v>
      </c>
      <c r="Q44" s="298">
        <f t="shared" si="37"/>
        <v>3018.592533</v>
      </c>
      <c r="R44" s="299">
        <f t="shared" si="27"/>
        <v>4994.826667</v>
      </c>
      <c r="S44" s="299">
        <f t="shared" si="28"/>
        <v>29939.9376</v>
      </c>
      <c r="T44" s="299"/>
      <c r="U44" s="299"/>
      <c r="V44" s="299"/>
      <c r="W44" s="299"/>
      <c r="X44" s="299"/>
      <c r="Y44" s="299"/>
    </row>
    <row r="45">
      <c r="A45" s="273" t="s">
        <v>204</v>
      </c>
      <c r="B45" s="298">
        <f t="shared" ref="B45:Q45" si="38">B43*$B$6</f>
        <v>2322.24</v>
      </c>
      <c r="C45" s="298">
        <f t="shared" si="38"/>
        <v>3004.48</v>
      </c>
      <c r="D45" s="298">
        <f t="shared" si="38"/>
        <v>3004.48</v>
      </c>
      <c r="E45" s="298">
        <f t="shared" si="38"/>
        <v>3715.146667</v>
      </c>
      <c r="F45" s="298">
        <f t="shared" si="38"/>
        <v>3715.146667</v>
      </c>
      <c r="G45" s="298">
        <f t="shared" si="38"/>
        <v>4371.146667</v>
      </c>
      <c r="H45" s="298">
        <f t="shared" si="38"/>
        <v>5053.386667</v>
      </c>
      <c r="I45" s="298">
        <f t="shared" si="38"/>
        <v>5053.386667</v>
      </c>
      <c r="J45" s="298">
        <f t="shared" si="38"/>
        <v>5053.386667</v>
      </c>
      <c r="K45" s="298">
        <f t="shared" si="38"/>
        <v>5735.626667</v>
      </c>
      <c r="L45" s="298">
        <f t="shared" si="38"/>
        <v>7128.533333</v>
      </c>
      <c r="M45" s="298">
        <f t="shared" si="38"/>
        <v>7128.533333</v>
      </c>
      <c r="N45" s="298">
        <f t="shared" si="38"/>
        <v>7128.533333</v>
      </c>
      <c r="O45" s="298">
        <f t="shared" si="38"/>
        <v>7280.134933</v>
      </c>
      <c r="P45" s="298">
        <f t="shared" si="38"/>
        <v>7280.134933</v>
      </c>
      <c r="Q45" s="298">
        <f t="shared" si="38"/>
        <v>7280.134933</v>
      </c>
      <c r="R45" s="299">
        <f t="shared" si="27"/>
        <v>12046.34667</v>
      </c>
      <c r="S45" s="299">
        <f t="shared" si="28"/>
        <v>72208.0848</v>
      </c>
      <c r="T45" s="299"/>
      <c r="U45" s="299"/>
      <c r="V45" s="299"/>
      <c r="W45" s="299"/>
      <c r="X45" s="299"/>
      <c r="Y45" s="299"/>
    </row>
    <row r="46">
      <c r="A46" s="273" t="s">
        <v>256</v>
      </c>
      <c r="B46" s="298">
        <f t="shared" ref="B46:Q46" si="39">SUMPRODUCT(($U$14:$U$22&gt;EOMONTH(B$33,-1))*($U$14:$U$22&lt;=B$33))*$B$10</f>
        <v>0</v>
      </c>
      <c r="C46" s="298">
        <f t="shared" si="39"/>
        <v>1000</v>
      </c>
      <c r="D46" s="298">
        <f t="shared" si="39"/>
        <v>0</v>
      </c>
      <c r="E46" s="298">
        <f t="shared" si="39"/>
        <v>1000</v>
      </c>
      <c r="F46" s="298">
        <f t="shared" si="39"/>
        <v>0</v>
      </c>
      <c r="G46" s="298">
        <f t="shared" si="39"/>
        <v>1000</v>
      </c>
      <c r="H46" s="298">
        <f t="shared" si="39"/>
        <v>1000</v>
      </c>
      <c r="I46" s="298">
        <f t="shared" si="39"/>
        <v>0</v>
      </c>
      <c r="J46" s="298">
        <f t="shared" si="39"/>
        <v>0</v>
      </c>
      <c r="K46" s="298">
        <f t="shared" si="39"/>
        <v>1000</v>
      </c>
      <c r="L46" s="298">
        <f t="shared" si="39"/>
        <v>2000</v>
      </c>
      <c r="M46" s="298">
        <f t="shared" si="39"/>
        <v>0</v>
      </c>
      <c r="N46" s="298">
        <f t="shared" si="39"/>
        <v>0</v>
      </c>
      <c r="O46" s="298">
        <f t="shared" si="39"/>
        <v>0</v>
      </c>
      <c r="P46" s="298">
        <f t="shared" si="39"/>
        <v>0</v>
      </c>
      <c r="Q46" s="298">
        <f t="shared" si="39"/>
        <v>0</v>
      </c>
      <c r="R46" s="299">
        <f t="shared" si="27"/>
        <v>2000</v>
      </c>
      <c r="S46" s="299">
        <f t="shared" si="28"/>
        <v>5000</v>
      </c>
      <c r="T46" s="299"/>
      <c r="U46" s="299"/>
      <c r="V46" s="299"/>
      <c r="W46" s="299"/>
      <c r="X46" s="299"/>
      <c r="Y46" s="299"/>
    </row>
    <row r="47">
      <c r="A47" s="294" t="s">
        <v>652</v>
      </c>
      <c r="B47" s="303">
        <f t="shared" ref="B47:Q47" si="40">SUM(B43:B46)</f>
        <v>17445.12</v>
      </c>
      <c r="C47" s="303">
        <f t="shared" si="40"/>
        <v>23570.24</v>
      </c>
      <c r="D47" s="303">
        <f t="shared" si="40"/>
        <v>22570.24</v>
      </c>
      <c r="E47" s="303">
        <f t="shared" si="40"/>
        <v>28908.90667</v>
      </c>
      <c r="F47" s="303">
        <f t="shared" si="40"/>
        <v>27908.90667</v>
      </c>
      <c r="G47" s="303">
        <f t="shared" si="40"/>
        <v>33836.90667</v>
      </c>
      <c r="H47" s="303">
        <f t="shared" si="40"/>
        <v>38962.02667</v>
      </c>
      <c r="I47" s="303">
        <f t="shared" si="40"/>
        <v>37962.02667</v>
      </c>
      <c r="J47" s="303">
        <f t="shared" si="40"/>
        <v>37962.02667</v>
      </c>
      <c r="K47" s="303">
        <f t="shared" si="40"/>
        <v>44087.14667</v>
      </c>
      <c r="L47" s="303">
        <f t="shared" si="40"/>
        <v>55550.93333</v>
      </c>
      <c r="M47" s="303">
        <f t="shared" si="40"/>
        <v>53550.93333</v>
      </c>
      <c r="N47" s="303">
        <f t="shared" si="40"/>
        <v>53550.93333</v>
      </c>
      <c r="O47" s="303">
        <f t="shared" si="40"/>
        <v>54689.79413</v>
      </c>
      <c r="P47" s="303">
        <f t="shared" si="40"/>
        <v>54689.79413</v>
      </c>
      <c r="Q47" s="303">
        <f t="shared" si="40"/>
        <v>54689.79413</v>
      </c>
      <c r="R47" s="304">
        <f t="shared" si="27"/>
        <v>92494.50667</v>
      </c>
      <c r="S47" s="304">
        <f t="shared" si="28"/>
        <v>547441.2224</v>
      </c>
      <c r="T47" s="299"/>
      <c r="U47" s="299"/>
      <c r="V47" s="299"/>
      <c r="W47" s="299"/>
      <c r="X47" s="299"/>
      <c r="Y47" s="299"/>
    </row>
    <row r="48">
      <c r="A48" s="271"/>
      <c r="B48" s="271"/>
      <c r="C48" s="271"/>
      <c r="D48" s="271"/>
      <c r="E48" s="271"/>
      <c r="F48" s="271"/>
      <c r="G48" s="271"/>
      <c r="H48" s="271"/>
      <c r="I48" s="271"/>
      <c r="J48" s="271"/>
      <c r="K48" s="271"/>
      <c r="L48" s="271"/>
      <c r="M48" s="271"/>
      <c r="N48" s="271"/>
      <c r="O48" s="271"/>
      <c r="P48" s="271"/>
      <c r="Q48" s="271"/>
      <c r="R48" s="271"/>
      <c r="S48" s="271"/>
      <c r="T48" s="271"/>
      <c r="U48" s="271"/>
      <c r="V48" s="271"/>
      <c r="W48" s="271"/>
      <c r="X48" s="271"/>
      <c r="Y48" s="271"/>
    </row>
    <row r="49">
      <c r="A49" s="272" t="s">
        <v>653</v>
      </c>
      <c r="B49" s="279">
        <f>DeploySum!B53</f>
        <v>46295</v>
      </c>
      <c r="C49" s="279">
        <f>DeploySum!C53</f>
        <v>46326</v>
      </c>
      <c r="D49" s="279">
        <f>DeploySum!D53</f>
        <v>46356</v>
      </c>
      <c r="E49" s="279">
        <f>DeploySum!E53</f>
        <v>46387</v>
      </c>
      <c r="F49" s="279">
        <f>DeploySum!F53</f>
        <v>46418</v>
      </c>
      <c r="G49" s="279">
        <f>DeploySum!G53</f>
        <v>46446</v>
      </c>
      <c r="H49" s="279">
        <f>DeploySum!H53</f>
        <v>46477</v>
      </c>
      <c r="I49" s="279">
        <f>DeploySum!I53</f>
        <v>46507</v>
      </c>
      <c r="J49" s="279">
        <f>DeploySum!J53</f>
        <v>46538</v>
      </c>
      <c r="K49" s="279">
        <f>DeploySum!K53</f>
        <v>46568</v>
      </c>
      <c r="L49" s="279">
        <f>DeploySum!L53</f>
        <v>46599</v>
      </c>
      <c r="M49" s="279">
        <f>DeploySum!M53</f>
        <v>46630</v>
      </c>
      <c r="N49" s="279">
        <f>DeploySum!N53</f>
        <v>46660</v>
      </c>
      <c r="O49" s="279">
        <f>DeploySum!O53</f>
        <v>46691</v>
      </c>
      <c r="P49" s="279">
        <f>DeploySum!P53</f>
        <v>46721</v>
      </c>
      <c r="Q49" s="279">
        <f>DeploySum!Q53</f>
        <v>46752</v>
      </c>
      <c r="R49" s="280" t="s">
        <v>246</v>
      </c>
      <c r="S49" s="280" t="s">
        <v>2</v>
      </c>
      <c r="T49" s="280"/>
      <c r="U49" s="280"/>
      <c r="V49" s="280"/>
      <c r="W49" s="280"/>
      <c r="X49" s="280"/>
      <c r="Y49" s="280"/>
    </row>
    <row r="50">
      <c r="A50" s="305" t="s">
        <v>654</v>
      </c>
      <c r="B50" s="306">
        <f t="shared" ref="B50:Q50" si="41">B23</f>
        <v>2</v>
      </c>
      <c r="C50" s="306">
        <f t="shared" si="41"/>
        <v>3</v>
      </c>
      <c r="D50" s="306">
        <f t="shared" si="41"/>
        <v>3</v>
      </c>
      <c r="E50" s="306">
        <f t="shared" si="41"/>
        <v>4</v>
      </c>
      <c r="F50" s="306">
        <f t="shared" si="41"/>
        <v>4</v>
      </c>
      <c r="G50" s="306">
        <f t="shared" si="41"/>
        <v>5</v>
      </c>
      <c r="H50" s="306">
        <f t="shared" si="41"/>
        <v>6</v>
      </c>
      <c r="I50" s="306">
        <f t="shared" si="41"/>
        <v>6</v>
      </c>
      <c r="J50" s="306">
        <f t="shared" si="41"/>
        <v>6</v>
      </c>
      <c r="K50" s="306">
        <f t="shared" si="41"/>
        <v>7</v>
      </c>
      <c r="L50" s="306">
        <f t="shared" si="41"/>
        <v>9</v>
      </c>
      <c r="M50" s="306">
        <f t="shared" si="41"/>
        <v>9</v>
      </c>
      <c r="N50" s="306">
        <f t="shared" si="41"/>
        <v>9</v>
      </c>
      <c r="O50" s="306">
        <f t="shared" si="41"/>
        <v>9</v>
      </c>
      <c r="P50" s="306">
        <f t="shared" si="41"/>
        <v>9</v>
      </c>
      <c r="Q50" s="306">
        <f t="shared" si="41"/>
        <v>9</v>
      </c>
      <c r="R50" s="297">
        <f>E50</f>
        <v>4</v>
      </c>
      <c r="S50" s="297">
        <f>Q50</f>
        <v>9</v>
      </c>
      <c r="T50" s="297"/>
      <c r="U50" s="297"/>
      <c r="V50" s="297"/>
      <c r="W50" s="297"/>
      <c r="X50" s="297"/>
      <c r="Y50" s="297"/>
    </row>
    <row r="51">
      <c r="A51" s="307" t="s">
        <v>655</v>
      </c>
      <c r="B51" s="308">
        <f t="shared" ref="B51:Q51" si="42">B47</f>
        <v>17445.12</v>
      </c>
      <c r="C51" s="308">
        <f t="shared" si="42"/>
        <v>23570.24</v>
      </c>
      <c r="D51" s="308">
        <f t="shared" si="42"/>
        <v>22570.24</v>
      </c>
      <c r="E51" s="308">
        <f t="shared" si="42"/>
        <v>28908.90667</v>
      </c>
      <c r="F51" s="308">
        <f t="shared" si="42"/>
        <v>27908.90667</v>
      </c>
      <c r="G51" s="308">
        <f t="shared" si="42"/>
        <v>33836.90667</v>
      </c>
      <c r="H51" s="308">
        <f t="shared" si="42"/>
        <v>38962.02667</v>
      </c>
      <c r="I51" s="308">
        <f t="shared" si="42"/>
        <v>37962.02667</v>
      </c>
      <c r="J51" s="308">
        <f t="shared" si="42"/>
        <v>37962.02667</v>
      </c>
      <c r="K51" s="308">
        <f t="shared" si="42"/>
        <v>44087.14667</v>
      </c>
      <c r="L51" s="308">
        <f t="shared" si="42"/>
        <v>55550.93333</v>
      </c>
      <c r="M51" s="308">
        <f t="shared" si="42"/>
        <v>53550.93333</v>
      </c>
      <c r="N51" s="308">
        <f t="shared" si="42"/>
        <v>53550.93333</v>
      </c>
      <c r="O51" s="308">
        <f t="shared" si="42"/>
        <v>54689.79413</v>
      </c>
      <c r="P51" s="308">
        <f t="shared" si="42"/>
        <v>54689.79413</v>
      </c>
      <c r="Q51" s="308">
        <f t="shared" si="42"/>
        <v>54689.79413</v>
      </c>
      <c r="R51" s="299">
        <f>SUM(B51:E51)</f>
        <v>92494.50667</v>
      </c>
      <c r="S51" s="299">
        <f>SUM(F51:Q51)</f>
        <v>547441.2224</v>
      </c>
      <c r="T51" s="299"/>
      <c r="U51" s="299"/>
      <c r="V51" s="299"/>
      <c r="W51" s="299"/>
      <c r="X51" s="299"/>
      <c r="Y51" s="299"/>
    </row>
    <row r="52" ht="15.75" customHeight="1">
      <c r="A52" s="271"/>
      <c r="B52" s="271"/>
      <c r="C52" s="271"/>
      <c r="D52" s="271"/>
      <c r="E52" s="271"/>
      <c r="F52" s="271"/>
      <c r="G52" s="271"/>
      <c r="H52" s="271"/>
      <c r="I52" s="271"/>
      <c r="J52" s="271"/>
      <c r="K52" s="271"/>
      <c r="L52" s="271"/>
      <c r="M52" s="271"/>
      <c r="N52" s="271"/>
      <c r="O52" s="271"/>
      <c r="P52" s="271"/>
      <c r="Q52" s="271"/>
      <c r="R52" s="271"/>
      <c r="S52" s="271"/>
      <c r="T52" s="271"/>
      <c r="U52" s="271"/>
      <c r="V52" s="271"/>
      <c r="W52" s="271"/>
      <c r="X52" s="271"/>
      <c r="Y52" s="271"/>
    </row>
    <row r="53" ht="15.75" customHeight="1">
      <c r="A53" s="272" t="s">
        <v>656</v>
      </c>
      <c r="B53" s="272" t="s">
        <v>357</v>
      </c>
      <c r="C53" s="271"/>
      <c r="D53" s="271"/>
      <c r="E53" s="271"/>
      <c r="F53" s="271"/>
      <c r="G53" s="271"/>
      <c r="H53" s="271"/>
      <c r="I53" s="271"/>
      <c r="J53" s="271"/>
      <c r="K53" s="271"/>
      <c r="L53" s="271"/>
      <c r="M53" s="271"/>
      <c r="N53" s="271"/>
      <c r="O53" s="271"/>
      <c r="P53" s="271"/>
      <c r="Q53" s="271"/>
      <c r="R53" s="271"/>
      <c r="S53" s="271"/>
      <c r="T53" s="271"/>
      <c r="U53" s="271"/>
      <c r="V53" s="271"/>
      <c r="W53" s="271"/>
      <c r="X53" s="271"/>
      <c r="Y53" s="271"/>
    </row>
    <row r="54" ht="15.75" customHeight="1">
      <c r="A54" s="273" t="s">
        <v>657</v>
      </c>
      <c r="B54" s="309">
        <v>538520.0</v>
      </c>
      <c r="C54" s="271"/>
      <c r="D54" s="271"/>
      <c r="E54" s="271"/>
      <c r="F54" s="271"/>
      <c r="G54" s="271"/>
      <c r="H54" s="271"/>
      <c r="I54" s="271"/>
      <c r="J54" s="271"/>
      <c r="K54" s="271"/>
      <c r="L54" s="271"/>
      <c r="M54" s="271"/>
      <c r="N54" s="271"/>
      <c r="O54" s="271"/>
      <c r="P54" s="271"/>
      <c r="Q54" s="271"/>
      <c r="R54" s="271"/>
      <c r="S54" s="271"/>
      <c r="T54" s="271"/>
      <c r="U54" s="271"/>
      <c r="V54" s="271"/>
      <c r="W54" s="271"/>
      <c r="X54" s="271"/>
      <c r="Y54" s="271"/>
    </row>
    <row r="55" ht="15.75" customHeight="1">
      <c r="A55" s="273" t="s">
        <v>658</v>
      </c>
      <c r="B55" s="309">
        <v>-75000.0</v>
      </c>
      <c r="C55" s="271"/>
      <c r="D55" s="271"/>
      <c r="E55" s="271"/>
      <c r="F55" s="271"/>
      <c r="G55" s="271"/>
      <c r="H55" s="271"/>
      <c r="I55" s="271"/>
      <c r="J55" s="271"/>
      <c r="K55" s="271"/>
      <c r="L55" s="271"/>
      <c r="M55" s="271"/>
      <c r="N55" s="271"/>
      <c r="O55" s="271"/>
      <c r="P55" s="271"/>
      <c r="Q55" s="271"/>
      <c r="R55" s="271"/>
      <c r="S55" s="271"/>
      <c r="T55" s="271"/>
      <c r="U55" s="271"/>
      <c r="V55" s="271"/>
      <c r="W55" s="271"/>
      <c r="X55" s="271"/>
      <c r="Y55" s="271"/>
    </row>
    <row r="56" ht="15.75" customHeight="1">
      <c r="A56" s="273" t="s">
        <v>659</v>
      </c>
      <c r="B56" s="309">
        <v>-38133.3333333333</v>
      </c>
      <c r="C56" s="271"/>
      <c r="D56" s="271"/>
      <c r="E56" s="271"/>
      <c r="F56" s="271"/>
      <c r="G56" s="271"/>
      <c r="H56" s="271"/>
      <c r="I56" s="271"/>
      <c r="J56" s="271"/>
      <c r="K56" s="271"/>
      <c r="L56" s="271"/>
      <c r="M56" s="271"/>
      <c r="N56" s="271"/>
      <c r="O56" s="271"/>
      <c r="P56" s="271"/>
      <c r="Q56" s="271"/>
      <c r="R56" s="271"/>
      <c r="S56" s="271"/>
      <c r="T56" s="271"/>
      <c r="U56" s="271"/>
      <c r="V56" s="271"/>
      <c r="W56" s="271"/>
      <c r="X56" s="271"/>
      <c r="Y56" s="271"/>
    </row>
    <row r="57" ht="15.75" customHeight="1">
      <c r="A57" s="273" t="s">
        <v>660</v>
      </c>
      <c r="B57" s="310">
        <v>22.0</v>
      </c>
      <c r="C57" s="271"/>
      <c r="D57" s="271"/>
      <c r="E57" s="271"/>
      <c r="F57" s="271"/>
      <c r="G57" s="271"/>
      <c r="H57" s="271"/>
      <c r="I57" s="271"/>
      <c r="J57" s="271"/>
      <c r="K57" s="271"/>
      <c r="L57" s="271"/>
      <c r="M57" s="271"/>
      <c r="N57" s="271"/>
      <c r="O57" s="271"/>
      <c r="P57" s="271"/>
      <c r="Q57" s="271"/>
      <c r="R57" s="271"/>
      <c r="S57" s="271"/>
      <c r="T57" s="271"/>
      <c r="U57" s="271"/>
      <c r="V57" s="271"/>
      <c r="W57" s="271"/>
      <c r="X57" s="271"/>
      <c r="Y57" s="271"/>
    </row>
    <row r="58" ht="15.75" customHeight="1">
      <c r="A58" s="273" t="s">
        <v>661</v>
      </c>
      <c r="B58" s="311">
        <f>SUMPRODUCT(W19:W22-B57,S19:S22)*B11</f>
        <v>12133.33333</v>
      </c>
      <c r="C58" s="271"/>
      <c r="D58" s="271"/>
      <c r="E58" s="271"/>
      <c r="F58" s="271"/>
      <c r="G58" s="271"/>
      <c r="H58" s="271"/>
      <c r="I58" s="271"/>
      <c r="J58" s="271"/>
      <c r="K58" s="271"/>
      <c r="L58" s="271"/>
      <c r="M58" s="271"/>
      <c r="N58" s="271"/>
      <c r="O58" s="271"/>
      <c r="P58" s="271"/>
      <c r="Q58" s="271"/>
      <c r="R58" s="271"/>
      <c r="S58" s="271"/>
      <c r="T58" s="271"/>
      <c r="U58" s="271"/>
      <c r="V58" s="271"/>
      <c r="W58" s="271"/>
      <c r="X58" s="271"/>
      <c r="Y58" s="271"/>
    </row>
    <row r="59" ht="15.75" customHeight="1">
      <c r="A59" s="273" t="s">
        <v>662</v>
      </c>
      <c r="B59" s="311">
        <f>SUMPRODUCT(X14:X22,S14:S22)</f>
        <v>437520</v>
      </c>
      <c r="C59" s="271"/>
      <c r="D59" s="271"/>
      <c r="E59" s="271"/>
      <c r="F59" s="271"/>
      <c r="G59" s="271"/>
      <c r="H59" s="271"/>
      <c r="I59" s="271"/>
      <c r="J59" s="271"/>
      <c r="K59" s="271"/>
      <c r="L59" s="271"/>
      <c r="M59" s="271"/>
      <c r="N59" s="271"/>
      <c r="O59" s="271"/>
      <c r="P59" s="271"/>
      <c r="Q59" s="271"/>
      <c r="R59" s="271"/>
      <c r="S59" s="271"/>
      <c r="T59" s="271"/>
      <c r="U59" s="271"/>
      <c r="V59" s="271"/>
      <c r="W59" s="271"/>
      <c r="X59" s="271"/>
      <c r="Y59" s="271"/>
    </row>
    <row r="60" ht="15.75" customHeight="1">
      <c r="A60" s="294" t="s">
        <v>663</v>
      </c>
      <c r="B60" s="312">
        <f>B59-(B54+B55+B56+B58)</f>
        <v>0</v>
      </c>
      <c r="C60" s="271"/>
      <c r="D60" s="271"/>
      <c r="E60" s="271"/>
      <c r="F60" s="271"/>
      <c r="G60" s="271"/>
      <c r="H60" s="271"/>
      <c r="I60" s="271"/>
      <c r="J60" s="271"/>
      <c r="K60" s="271"/>
      <c r="L60" s="271"/>
      <c r="M60" s="271"/>
      <c r="N60" s="271"/>
      <c r="O60" s="271"/>
      <c r="P60" s="271"/>
      <c r="Q60" s="271"/>
      <c r="R60" s="271"/>
      <c r="S60" s="271"/>
      <c r="T60" s="271"/>
      <c r="U60" s="271"/>
      <c r="V60" s="271"/>
      <c r="W60" s="271"/>
      <c r="X60" s="271"/>
      <c r="Y60" s="271"/>
    </row>
    <row r="61" ht="15.75" customHeight="1">
      <c r="A61" s="271"/>
      <c r="B61" s="271"/>
      <c r="C61" s="271"/>
      <c r="D61" s="271"/>
      <c r="E61" s="271"/>
      <c r="F61" s="271"/>
      <c r="G61" s="271"/>
      <c r="H61" s="271"/>
      <c r="I61" s="271"/>
      <c r="J61" s="271"/>
      <c r="K61" s="271"/>
      <c r="L61" s="271"/>
      <c r="M61" s="271"/>
      <c r="N61" s="271"/>
      <c r="O61" s="271"/>
      <c r="P61" s="271"/>
      <c r="Q61" s="271"/>
      <c r="R61" s="271"/>
      <c r="S61" s="271"/>
      <c r="T61" s="271"/>
      <c r="U61" s="271"/>
      <c r="V61" s="271"/>
      <c r="W61" s="271"/>
      <c r="X61" s="271"/>
      <c r="Y61" s="271"/>
    </row>
    <row r="62" ht="15.75" customHeight="1">
      <c r="A62" s="272" t="s">
        <v>664</v>
      </c>
      <c r="B62" s="313"/>
      <c r="C62" s="313"/>
      <c r="D62" s="313"/>
      <c r="E62" s="313"/>
      <c r="F62" s="313"/>
      <c r="G62" s="313"/>
      <c r="H62" s="313"/>
      <c r="I62" s="313"/>
      <c r="J62" s="313"/>
      <c r="K62" s="313"/>
      <c r="L62" s="313"/>
      <c r="M62" s="313"/>
      <c r="N62" s="313"/>
      <c r="O62" s="313"/>
      <c r="P62" s="313"/>
      <c r="Q62" s="313"/>
      <c r="R62" s="313"/>
      <c r="S62" s="313"/>
      <c r="T62" s="271"/>
      <c r="U62" s="271"/>
      <c r="V62" s="271"/>
      <c r="W62" s="271"/>
      <c r="X62" s="271"/>
      <c r="Y62" s="271"/>
    </row>
    <row r="63" ht="15.75" customHeight="1">
      <c r="A63" s="314" t="s">
        <v>665</v>
      </c>
      <c r="B63" s="271"/>
      <c r="C63" s="271"/>
      <c r="D63" s="271"/>
      <c r="E63" s="271"/>
      <c r="F63" s="271"/>
      <c r="G63" s="271"/>
      <c r="H63" s="271"/>
      <c r="I63" s="271"/>
      <c r="J63" s="271"/>
      <c r="K63" s="271"/>
      <c r="L63" s="271"/>
      <c r="M63" s="271"/>
      <c r="N63" s="271"/>
      <c r="O63" s="271"/>
      <c r="P63" s="271"/>
      <c r="Q63" s="271"/>
      <c r="R63" s="271"/>
      <c r="S63" s="271"/>
      <c r="T63" s="271"/>
      <c r="U63" s="271"/>
      <c r="V63" s="271"/>
      <c r="W63" s="271"/>
      <c r="X63" s="271"/>
      <c r="Y63" s="271"/>
    </row>
    <row r="64" ht="27.0" customHeight="1">
      <c r="A64" s="315" t="s">
        <v>666</v>
      </c>
      <c r="T64" s="271"/>
      <c r="U64" s="271"/>
      <c r="V64" s="271"/>
      <c r="W64" s="271"/>
      <c r="X64" s="271"/>
      <c r="Y64" s="271"/>
    </row>
    <row r="65" ht="27.0" customHeight="1">
      <c r="A65" s="315" t="s">
        <v>667</v>
      </c>
      <c r="T65" s="271"/>
      <c r="U65" s="271"/>
      <c r="V65" s="271"/>
      <c r="W65" s="271"/>
      <c r="X65" s="271"/>
      <c r="Y65" s="271"/>
    </row>
    <row r="66" ht="27.0" customHeight="1">
      <c r="A66" s="315" t="s">
        <v>668</v>
      </c>
      <c r="T66" s="271"/>
      <c r="U66" s="271"/>
      <c r="V66" s="271"/>
      <c r="W66" s="271"/>
      <c r="X66" s="271"/>
      <c r="Y66" s="271"/>
    </row>
    <row r="67" ht="27.0" customHeight="1">
      <c r="A67" s="315" t="s">
        <v>669</v>
      </c>
      <c r="T67" s="271"/>
      <c r="U67" s="271"/>
      <c r="V67" s="271"/>
      <c r="W67" s="271"/>
      <c r="X67" s="271"/>
      <c r="Y67" s="271"/>
    </row>
    <row r="68" ht="15.75" customHeight="1">
      <c r="A68" s="316" t="s">
        <v>670</v>
      </c>
      <c r="B68" s="317"/>
      <c r="C68" s="317"/>
      <c r="D68" s="317"/>
      <c r="E68" s="317"/>
      <c r="F68" s="317"/>
      <c r="G68" s="317"/>
      <c r="H68" s="317"/>
      <c r="I68" s="317"/>
      <c r="J68" s="317"/>
      <c r="K68" s="317"/>
      <c r="L68" s="317"/>
      <c r="M68" s="317"/>
      <c r="N68" s="317"/>
      <c r="O68" s="317"/>
      <c r="P68" s="317"/>
      <c r="Q68" s="317"/>
      <c r="R68" s="317"/>
      <c r="S68" s="317"/>
      <c r="T68" s="271"/>
      <c r="U68" s="271"/>
      <c r="V68" s="271"/>
      <c r="W68" s="271"/>
      <c r="X68" s="271"/>
      <c r="Y68" s="271"/>
    </row>
    <row r="69" ht="27.0" customHeight="1">
      <c r="A69" s="315" t="s">
        <v>671</v>
      </c>
      <c r="T69" s="271"/>
      <c r="U69" s="271"/>
      <c r="V69" s="271"/>
      <c r="W69" s="271"/>
      <c r="X69" s="271"/>
      <c r="Y69" s="271"/>
    </row>
    <row r="70" ht="27.0" customHeight="1">
      <c r="A70" s="315" t="s">
        <v>672</v>
      </c>
      <c r="T70" s="271"/>
      <c r="U70" s="271"/>
      <c r="V70" s="271"/>
      <c r="W70" s="271"/>
      <c r="X70" s="271"/>
      <c r="Y70" s="271"/>
    </row>
    <row r="71" ht="27.0" customHeight="1">
      <c r="A71" s="315" t="s">
        <v>673</v>
      </c>
      <c r="T71" s="271"/>
      <c r="U71" s="271"/>
      <c r="V71" s="271"/>
      <c r="W71" s="271"/>
      <c r="X71" s="271"/>
      <c r="Y71" s="271"/>
    </row>
    <row r="72" ht="27.0" customHeight="1">
      <c r="A72" s="315" t="s">
        <v>674</v>
      </c>
      <c r="T72" s="271"/>
      <c r="U72" s="271"/>
      <c r="V72" s="271"/>
      <c r="W72" s="271"/>
      <c r="X72" s="271"/>
      <c r="Y72" s="271"/>
    </row>
    <row r="73" ht="27.0" customHeight="1">
      <c r="A73" s="315" t="s">
        <v>675</v>
      </c>
      <c r="T73" s="271"/>
      <c r="U73" s="271"/>
      <c r="V73" s="271"/>
      <c r="W73" s="271"/>
      <c r="X73" s="271"/>
      <c r="Y73" s="271"/>
    </row>
    <row r="74" ht="27.0" customHeight="1">
      <c r="A74" s="315" t="s">
        <v>676</v>
      </c>
      <c r="T74" s="271"/>
      <c r="U74" s="271"/>
      <c r="V74" s="271"/>
      <c r="W74" s="271"/>
      <c r="X74" s="271"/>
      <c r="Y74" s="271"/>
    </row>
    <row r="75" ht="27.0" customHeight="1">
      <c r="A75" s="315" t="s">
        <v>677</v>
      </c>
      <c r="T75" s="271"/>
      <c r="U75" s="271"/>
      <c r="V75" s="271"/>
      <c r="W75" s="271"/>
      <c r="X75" s="271"/>
      <c r="Y75" s="271"/>
    </row>
    <row r="76" ht="27.0" customHeight="1">
      <c r="A76" s="315" t="s">
        <v>678</v>
      </c>
      <c r="T76" s="271"/>
      <c r="U76" s="271"/>
      <c r="V76" s="271"/>
      <c r="W76" s="271"/>
      <c r="X76" s="271"/>
      <c r="Y76" s="271"/>
    </row>
    <row r="77" ht="15.75" customHeight="1">
      <c r="A77" s="271"/>
      <c r="B77" s="271"/>
      <c r="C77" s="271"/>
      <c r="D77" s="271"/>
      <c r="E77" s="271"/>
      <c r="F77" s="271"/>
      <c r="G77" s="271"/>
      <c r="H77" s="271"/>
      <c r="I77" s="271"/>
      <c r="J77" s="271"/>
      <c r="K77" s="271"/>
      <c r="L77" s="271"/>
      <c r="M77" s="271"/>
      <c r="N77" s="271"/>
      <c r="O77" s="271"/>
      <c r="P77" s="271"/>
      <c r="Q77" s="271"/>
      <c r="R77" s="271"/>
      <c r="S77" s="271"/>
      <c r="T77" s="271"/>
      <c r="U77" s="271"/>
      <c r="V77" s="271"/>
      <c r="W77" s="271"/>
      <c r="X77" s="271"/>
      <c r="Y77" s="271"/>
    </row>
    <row r="78" ht="15.75" customHeight="1">
      <c r="A78" s="271"/>
      <c r="B78" s="271"/>
      <c r="C78" s="271"/>
      <c r="D78" s="271"/>
      <c r="E78" s="271"/>
      <c r="F78" s="271"/>
      <c r="G78" s="271"/>
      <c r="H78" s="271"/>
      <c r="I78" s="271"/>
      <c r="J78" s="271"/>
      <c r="K78" s="271"/>
      <c r="L78" s="271"/>
      <c r="M78" s="271"/>
      <c r="N78" s="271"/>
      <c r="O78" s="271"/>
      <c r="P78" s="271"/>
      <c r="Q78" s="271"/>
      <c r="R78" s="271"/>
      <c r="S78" s="271"/>
      <c r="T78" s="271"/>
      <c r="U78" s="271"/>
      <c r="V78" s="271"/>
      <c r="W78" s="271"/>
      <c r="X78" s="271"/>
      <c r="Y78" s="271"/>
    </row>
    <row r="79" ht="15.75" customHeight="1">
      <c r="A79" s="271"/>
      <c r="B79" s="271"/>
      <c r="C79" s="271"/>
      <c r="D79" s="271"/>
      <c r="E79" s="271"/>
      <c r="F79" s="271"/>
      <c r="G79" s="271"/>
      <c r="H79" s="271"/>
      <c r="I79" s="271"/>
      <c r="J79" s="271"/>
      <c r="K79" s="271"/>
      <c r="L79" s="271"/>
      <c r="M79" s="271"/>
      <c r="N79" s="271"/>
      <c r="O79" s="271"/>
      <c r="P79" s="271"/>
      <c r="Q79" s="271"/>
      <c r="R79" s="271"/>
      <c r="S79" s="271"/>
      <c r="T79" s="271"/>
      <c r="U79" s="271"/>
      <c r="V79" s="271"/>
      <c r="W79" s="271"/>
      <c r="X79" s="271"/>
      <c r="Y79" s="271"/>
    </row>
    <row r="80" ht="15.75" customHeight="1">
      <c r="A80" s="271"/>
      <c r="B80" s="271"/>
      <c r="C80" s="271"/>
      <c r="D80" s="271"/>
      <c r="E80" s="271"/>
      <c r="F80" s="271"/>
      <c r="G80" s="271"/>
      <c r="H80" s="271"/>
      <c r="I80" s="271"/>
      <c r="J80" s="271"/>
      <c r="K80" s="271"/>
      <c r="L80" s="271"/>
      <c r="M80" s="271"/>
      <c r="N80" s="271"/>
      <c r="O80" s="271"/>
      <c r="P80" s="271"/>
      <c r="Q80" s="271"/>
      <c r="R80" s="271"/>
      <c r="S80" s="271"/>
      <c r="T80" s="271"/>
      <c r="U80" s="271"/>
      <c r="V80" s="271"/>
      <c r="W80" s="271"/>
      <c r="X80" s="271"/>
      <c r="Y80" s="271"/>
    </row>
    <row r="81" ht="15.75" customHeight="1">
      <c r="A81" s="271"/>
      <c r="B81" s="271"/>
      <c r="C81" s="271"/>
      <c r="D81" s="271"/>
      <c r="E81" s="271"/>
      <c r="F81" s="271"/>
      <c r="G81" s="271"/>
      <c r="H81" s="271"/>
      <c r="I81" s="271"/>
      <c r="J81" s="271"/>
      <c r="K81" s="271"/>
      <c r="L81" s="271"/>
      <c r="M81" s="271"/>
      <c r="N81" s="271"/>
      <c r="O81" s="271"/>
      <c r="P81" s="271"/>
      <c r="Q81" s="271"/>
      <c r="R81" s="271"/>
      <c r="S81" s="271"/>
      <c r="T81" s="271"/>
      <c r="U81" s="271"/>
      <c r="V81" s="271"/>
      <c r="W81" s="271"/>
      <c r="X81" s="271"/>
      <c r="Y81" s="271"/>
    </row>
    <row r="82" ht="15.75" customHeight="1">
      <c r="A82" s="271"/>
      <c r="B82" s="271"/>
      <c r="C82" s="271"/>
      <c r="D82" s="271"/>
      <c r="E82" s="271"/>
      <c r="F82" s="271"/>
      <c r="G82" s="271"/>
      <c r="H82" s="271"/>
      <c r="I82" s="271"/>
      <c r="J82" s="271"/>
      <c r="K82" s="271"/>
      <c r="L82" s="271"/>
      <c r="M82" s="271"/>
      <c r="N82" s="271"/>
      <c r="O82" s="271"/>
      <c r="P82" s="271"/>
      <c r="Q82" s="271"/>
      <c r="R82" s="271"/>
      <c r="S82" s="271"/>
      <c r="T82" s="271"/>
      <c r="U82" s="271"/>
      <c r="V82" s="271"/>
      <c r="W82" s="271"/>
      <c r="X82" s="271"/>
      <c r="Y82" s="271"/>
    </row>
    <row r="83" ht="15.75" customHeight="1">
      <c r="A83" s="271"/>
      <c r="B83" s="271"/>
      <c r="C83" s="271"/>
      <c r="D83" s="271"/>
      <c r="E83" s="271"/>
      <c r="F83" s="271"/>
      <c r="G83" s="271"/>
      <c r="H83" s="271"/>
      <c r="I83" s="271"/>
      <c r="J83" s="271"/>
      <c r="K83" s="271"/>
      <c r="L83" s="271"/>
      <c r="M83" s="271"/>
      <c r="N83" s="271"/>
      <c r="O83" s="271"/>
      <c r="P83" s="271"/>
      <c r="Q83" s="271"/>
      <c r="R83" s="271"/>
      <c r="S83" s="271"/>
      <c r="T83" s="271"/>
      <c r="U83" s="271"/>
      <c r="V83" s="271"/>
      <c r="W83" s="271"/>
      <c r="X83" s="271"/>
      <c r="Y83" s="271"/>
    </row>
    <row r="84" ht="15.75" customHeight="1">
      <c r="A84" s="271"/>
      <c r="B84" s="271"/>
      <c r="C84" s="271"/>
      <c r="D84" s="271"/>
      <c r="E84" s="271"/>
      <c r="F84" s="271"/>
      <c r="G84" s="271"/>
      <c r="H84" s="271"/>
      <c r="I84" s="271"/>
      <c r="J84" s="271"/>
      <c r="K84" s="271"/>
      <c r="L84" s="271"/>
      <c r="M84" s="271"/>
      <c r="N84" s="271"/>
      <c r="O84" s="271"/>
      <c r="P84" s="271"/>
      <c r="Q84" s="271"/>
      <c r="R84" s="271"/>
      <c r="S84" s="271"/>
      <c r="T84" s="271"/>
      <c r="U84" s="271"/>
      <c r="V84" s="271"/>
      <c r="W84" s="271"/>
      <c r="X84" s="271"/>
      <c r="Y84" s="271"/>
    </row>
    <row r="85" ht="15.75" customHeight="1">
      <c r="A85" s="271"/>
      <c r="B85" s="271"/>
      <c r="C85" s="271"/>
      <c r="D85" s="271"/>
      <c r="E85" s="271"/>
      <c r="F85" s="271"/>
      <c r="G85" s="271"/>
      <c r="H85" s="271"/>
      <c r="I85" s="271"/>
      <c r="J85" s="271"/>
      <c r="K85" s="271"/>
      <c r="L85" s="271"/>
      <c r="M85" s="271"/>
      <c r="N85" s="271"/>
      <c r="O85" s="271"/>
      <c r="P85" s="271"/>
      <c r="Q85" s="271"/>
      <c r="R85" s="271"/>
      <c r="S85" s="271"/>
      <c r="T85" s="271"/>
      <c r="U85" s="271"/>
      <c r="V85" s="271"/>
      <c r="W85" s="271"/>
      <c r="X85" s="271"/>
      <c r="Y85" s="271"/>
    </row>
    <row r="86" ht="15.75" customHeight="1">
      <c r="A86" s="271"/>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row>
    <row r="87" ht="15.75" customHeight="1">
      <c r="A87" s="271"/>
      <c r="B87" s="271"/>
      <c r="C87" s="271"/>
      <c r="D87" s="271"/>
      <c r="E87" s="271"/>
      <c r="F87" s="271"/>
      <c r="G87" s="271"/>
      <c r="H87" s="271"/>
      <c r="I87" s="271"/>
      <c r="J87" s="271"/>
      <c r="K87" s="271"/>
      <c r="L87" s="271"/>
      <c r="M87" s="271"/>
      <c r="N87" s="271"/>
      <c r="O87" s="271"/>
      <c r="P87" s="271"/>
      <c r="Q87" s="271"/>
      <c r="R87" s="271"/>
      <c r="S87" s="271"/>
      <c r="T87" s="271"/>
      <c r="U87" s="271"/>
      <c r="V87" s="271"/>
      <c r="W87" s="271"/>
      <c r="X87" s="271"/>
      <c r="Y87" s="271"/>
    </row>
  </sheetData>
  <mergeCells count="13">
    <mergeCell ref="A71:S71"/>
    <mergeCell ref="A72:S72"/>
    <mergeCell ref="A73:S73"/>
    <mergeCell ref="A74:S74"/>
    <mergeCell ref="A75:S75"/>
    <mergeCell ref="A76:S76"/>
    <mergeCell ref="A2:S2"/>
    <mergeCell ref="A64:S64"/>
    <mergeCell ref="A65:S65"/>
    <mergeCell ref="A66:S66"/>
    <mergeCell ref="A67:S67"/>
    <mergeCell ref="A69:S69"/>
    <mergeCell ref="A70:S70"/>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41.38"/>
    <col customWidth="1" min="2" max="19" width="12.63"/>
  </cols>
  <sheetData>
    <row r="1">
      <c r="A1" s="202" t="s">
        <v>679</v>
      </c>
      <c r="B1" s="203"/>
      <c r="C1" s="203"/>
      <c r="D1" s="203"/>
      <c r="E1" s="203"/>
      <c r="F1" s="203"/>
      <c r="G1" s="203"/>
      <c r="H1" s="203"/>
      <c r="I1" s="203"/>
      <c r="J1" s="203"/>
      <c r="K1" s="203"/>
      <c r="L1" s="203"/>
      <c r="M1" s="203"/>
      <c r="N1" s="203"/>
      <c r="O1" s="203"/>
      <c r="P1" s="203"/>
      <c r="Q1" s="203"/>
      <c r="R1" s="203"/>
      <c r="S1" s="203"/>
    </row>
    <row r="2" ht="37.5" customHeight="1">
      <c r="A2" s="204" t="s">
        <v>354</v>
      </c>
      <c r="B2" s="205" t="s">
        <v>680</v>
      </c>
    </row>
    <row r="3">
      <c r="A3" s="203"/>
      <c r="B3" s="203"/>
      <c r="C3" s="203"/>
      <c r="D3" s="203"/>
      <c r="E3" s="203"/>
      <c r="F3" s="203"/>
      <c r="G3" s="203"/>
      <c r="H3" s="203"/>
      <c r="I3" s="203"/>
      <c r="J3" s="203"/>
      <c r="K3" s="203"/>
      <c r="L3" s="203"/>
      <c r="M3" s="203"/>
      <c r="N3" s="203"/>
      <c r="O3" s="203"/>
      <c r="P3" s="203"/>
      <c r="Q3" s="203"/>
      <c r="R3" s="203"/>
      <c r="S3" s="203"/>
    </row>
    <row r="4" ht="27.0" customHeight="1">
      <c r="A4" s="206" t="s">
        <v>681</v>
      </c>
      <c r="B4" s="206" t="s">
        <v>682</v>
      </c>
      <c r="C4" s="206" t="s">
        <v>683</v>
      </c>
      <c r="D4" s="206" t="s">
        <v>358</v>
      </c>
      <c r="E4" s="206" t="s">
        <v>684</v>
      </c>
      <c r="F4" s="206" t="s">
        <v>685</v>
      </c>
      <c r="G4" s="206" t="s">
        <v>686</v>
      </c>
      <c r="H4" s="206" t="s">
        <v>687</v>
      </c>
      <c r="I4" s="206" t="s">
        <v>688</v>
      </c>
      <c r="J4" s="203"/>
      <c r="K4" s="203"/>
      <c r="L4" s="203"/>
      <c r="M4" s="203"/>
      <c r="N4" s="203"/>
      <c r="O4" s="203"/>
      <c r="P4" s="203"/>
      <c r="Q4" s="203"/>
      <c r="R4" s="203"/>
      <c r="S4" s="203"/>
    </row>
    <row r="5">
      <c r="A5" s="208" t="s">
        <v>689</v>
      </c>
      <c r="B5" s="236">
        <f>SUMIFS('Fld Maint T&amp;E Data'!$C$5:$C$379,'Fld Maint T&amp;E Data'!$F$5:$F$379,$A5)</f>
        <v>5899.23</v>
      </c>
      <c r="C5" s="318">
        <f>SUMIFS('Fld Maint T&amp;E Data'!$Q$5:$Q$31,'Fld Maint T&amp;E Data'!$P$5:$P$31,$A5)</f>
        <v>3</v>
      </c>
      <c r="D5" s="208" t="s">
        <v>690</v>
      </c>
      <c r="E5" s="236">
        <f t="shared" ref="E5:E17" si="1">IF(C5=0,0,B5/C5)</f>
        <v>1966.41</v>
      </c>
      <c r="F5" s="236">
        <f t="shared" ref="F5:F16" si="2">E5*$B$20</f>
        <v>1967.605315</v>
      </c>
      <c r="G5" s="319">
        <v>0.0</v>
      </c>
      <c r="H5" s="320">
        <f t="shared" ref="H5:H17" si="3">F5*(1+G5)</f>
        <v>1967.605315</v>
      </c>
      <c r="I5" s="208" t="s">
        <v>691</v>
      </c>
      <c r="J5" s="203"/>
      <c r="K5" s="203"/>
      <c r="L5" s="203"/>
      <c r="M5" s="203"/>
      <c r="N5" s="203"/>
      <c r="O5" s="203"/>
      <c r="P5" s="203"/>
      <c r="Q5" s="203"/>
      <c r="R5" s="203"/>
      <c r="S5" s="203"/>
    </row>
    <row r="6">
      <c r="A6" s="208" t="s">
        <v>692</v>
      </c>
      <c r="B6" s="236">
        <f>SUMIFS('Fld Maint T&amp;E Data'!$C$5:$C$379,'Fld Maint T&amp;E Data'!$F$5:$F$379,$A6)</f>
        <v>3420.87</v>
      </c>
      <c r="C6" s="318">
        <f>SUMIFS('Fld Maint T&amp;E Data'!$Q$5:$Q$31,'Fld Maint T&amp;E Data'!$P$5:$P$31,$A6)</f>
        <v>1</v>
      </c>
      <c r="D6" s="208" t="s">
        <v>690</v>
      </c>
      <c r="E6" s="236">
        <f t="shared" si="1"/>
        <v>3420.87</v>
      </c>
      <c r="F6" s="236">
        <f t="shared" si="2"/>
        <v>3422.949433</v>
      </c>
      <c r="G6" s="321">
        <v>0.0</v>
      </c>
      <c r="H6" s="320">
        <f t="shared" si="3"/>
        <v>3422.949433</v>
      </c>
      <c r="I6" s="208" t="s">
        <v>693</v>
      </c>
      <c r="J6" s="203"/>
      <c r="K6" s="203"/>
      <c r="L6" s="203"/>
      <c r="M6" s="203"/>
      <c r="N6" s="203"/>
      <c r="O6" s="203"/>
      <c r="P6" s="203"/>
      <c r="Q6" s="203"/>
      <c r="R6" s="203"/>
      <c r="S6" s="203"/>
    </row>
    <row r="7">
      <c r="A7" s="208" t="s">
        <v>694</v>
      </c>
      <c r="B7" s="236">
        <f>SUMIFS('Fld Maint T&amp;E Data'!$C$5:$C$379,'Fld Maint T&amp;E Data'!$F$5:$F$379,$A7)</f>
        <v>3347.46</v>
      </c>
      <c r="C7" s="318">
        <f>SUMIFS('Fld Maint T&amp;E Data'!$Q$5:$Q$31,'Fld Maint T&amp;E Data'!$P$5:$P$31,$A7)</f>
        <v>1</v>
      </c>
      <c r="D7" s="208" t="s">
        <v>695</v>
      </c>
      <c r="E7" s="236">
        <f t="shared" si="1"/>
        <v>3347.46</v>
      </c>
      <c r="F7" s="236">
        <f t="shared" si="2"/>
        <v>3349.49481</v>
      </c>
      <c r="G7" s="321">
        <v>0.0</v>
      </c>
      <c r="H7" s="320">
        <f t="shared" si="3"/>
        <v>3349.49481</v>
      </c>
      <c r="I7" s="208" t="s">
        <v>696</v>
      </c>
      <c r="J7" s="203"/>
      <c r="K7" s="203"/>
      <c r="L7" s="203"/>
      <c r="M7" s="203"/>
      <c r="N7" s="203"/>
      <c r="O7" s="203"/>
      <c r="P7" s="203"/>
      <c r="Q7" s="203"/>
      <c r="R7" s="203"/>
      <c r="S7" s="203"/>
    </row>
    <row r="8">
      <c r="A8" s="208" t="s">
        <v>697</v>
      </c>
      <c r="B8" s="236">
        <f>SUMIFS('Fld Maint T&amp;E Data'!$C$5:$C$379,'Fld Maint T&amp;E Data'!$F$5:$F$379,$A8)</f>
        <v>17709.64</v>
      </c>
      <c r="C8" s="318">
        <f>SUMIFS('Fld Maint T&amp;E Data'!$Q$5:$Q$31,'Fld Maint T&amp;E Data'!$P$5:$P$31,$A8)</f>
        <v>10</v>
      </c>
      <c r="D8" s="208" t="s">
        <v>698</v>
      </c>
      <c r="E8" s="236">
        <f t="shared" si="1"/>
        <v>1770.964</v>
      </c>
      <c r="F8" s="236">
        <f t="shared" si="2"/>
        <v>1772.04051</v>
      </c>
      <c r="G8" s="321">
        <v>0.0</v>
      </c>
      <c r="H8" s="320">
        <f t="shared" si="3"/>
        <v>1772.04051</v>
      </c>
      <c r="I8" s="208" t="s">
        <v>699</v>
      </c>
      <c r="J8" s="203"/>
      <c r="K8" s="203"/>
      <c r="L8" s="203"/>
      <c r="M8" s="203"/>
      <c r="N8" s="203"/>
      <c r="O8" s="203"/>
      <c r="P8" s="203"/>
      <c r="Q8" s="203"/>
      <c r="R8" s="203"/>
      <c r="S8" s="203"/>
    </row>
    <row r="9">
      <c r="A9" s="208" t="s">
        <v>700</v>
      </c>
      <c r="B9" s="236">
        <f>SUMIFS('Fld Maint T&amp;E Data'!$C$5:$C$379,'Fld Maint T&amp;E Data'!$F$5:$F$379,$A9)</f>
        <v>12245.36</v>
      </c>
      <c r="C9" s="318">
        <f>SUMIFS('Fld Maint T&amp;E Data'!$Q$5:$Q$31,'Fld Maint T&amp;E Data'!$P$5:$P$31,$A9)</f>
        <v>6</v>
      </c>
      <c r="D9" s="208" t="s">
        <v>701</v>
      </c>
      <c r="E9" s="236">
        <f t="shared" si="1"/>
        <v>2040.893333</v>
      </c>
      <c r="F9" s="236">
        <f t="shared" si="2"/>
        <v>2042.133924</v>
      </c>
      <c r="G9" s="321">
        <v>0.0</v>
      </c>
      <c r="H9" s="320">
        <f t="shared" si="3"/>
        <v>2042.133924</v>
      </c>
      <c r="I9" s="208" t="s">
        <v>702</v>
      </c>
      <c r="J9" s="203"/>
      <c r="K9" s="203"/>
      <c r="L9" s="203"/>
      <c r="M9" s="203"/>
      <c r="N9" s="203"/>
      <c r="O9" s="203"/>
      <c r="P9" s="203"/>
      <c r="Q9" s="203"/>
      <c r="R9" s="203"/>
      <c r="S9" s="203"/>
    </row>
    <row r="10">
      <c r="A10" s="208" t="s">
        <v>703</v>
      </c>
      <c r="B10" s="236">
        <f>SUMIFS('Fld Maint T&amp;E Data'!$C$5:$C$379,'Fld Maint T&amp;E Data'!$F$5:$F$379,$A10)</f>
        <v>13288.65</v>
      </c>
      <c r="C10" s="318">
        <f>SUMIFS('Fld Maint T&amp;E Data'!$Q$5:$Q$31,'Fld Maint T&amp;E Data'!$P$5:$P$31,$A10)</f>
        <v>6</v>
      </c>
      <c r="D10" s="208" t="s">
        <v>704</v>
      </c>
      <c r="E10" s="236">
        <f t="shared" si="1"/>
        <v>2214.775</v>
      </c>
      <c r="F10" s="236">
        <f t="shared" si="2"/>
        <v>2216.121288</v>
      </c>
      <c r="G10" s="321">
        <v>0.0</v>
      </c>
      <c r="H10" s="320">
        <f t="shared" si="3"/>
        <v>2216.121288</v>
      </c>
      <c r="I10" s="208" t="s">
        <v>705</v>
      </c>
      <c r="J10" s="203"/>
      <c r="K10" s="203"/>
      <c r="L10" s="203"/>
      <c r="M10" s="203"/>
      <c r="N10" s="203"/>
      <c r="O10" s="203"/>
      <c r="P10" s="203"/>
      <c r="Q10" s="203"/>
      <c r="R10" s="203"/>
      <c r="S10" s="203"/>
    </row>
    <row r="11">
      <c r="A11" s="208" t="s">
        <v>706</v>
      </c>
      <c r="B11" s="236">
        <f>SUMIFS('Fld Maint T&amp;E Data'!$C$5:$C$379,'Fld Maint T&amp;E Data'!$F$5:$F$379,$A11)</f>
        <v>2429.74</v>
      </c>
      <c r="C11" s="318">
        <f>SUMIFS('Fld Maint T&amp;E Data'!$Q$5:$Q$31,'Fld Maint T&amp;E Data'!$P$5:$P$31,$A11)</f>
        <v>2</v>
      </c>
      <c r="D11" s="208" t="s">
        <v>707</v>
      </c>
      <c r="E11" s="236">
        <f t="shared" si="1"/>
        <v>1214.87</v>
      </c>
      <c r="F11" s="236">
        <f t="shared" si="2"/>
        <v>1215.608479</v>
      </c>
      <c r="G11" s="321">
        <v>0.0</v>
      </c>
      <c r="H11" s="320">
        <f t="shared" si="3"/>
        <v>1215.608479</v>
      </c>
      <c r="I11" s="208" t="s">
        <v>708</v>
      </c>
      <c r="J11" s="203"/>
      <c r="K11" s="203"/>
      <c r="L11" s="203"/>
      <c r="M11" s="203"/>
      <c r="N11" s="203"/>
      <c r="O11" s="203"/>
      <c r="P11" s="203"/>
      <c r="Q11" s="203"/>
      <c r="R11" s="203"/>
      <c r="S11" s="203"/>
    </row>
    <row r="12">
      <c r="A12" s="208" t="s">
        <v>474</v>
      </c>
      <c r="B12" s="236">
        <f>SUMIFS('Fld Maint T&amp;E Data'!$C$5:$C$379,'Fld Maint T&amp;E Data'!$F$5:$F$379,$A12)</f>
        <v>2935.26</v>
      </c>
      <c r="C12" s="318">
        <f>SUMIFS('Fld Maint T&amp;E Data'!$Q$5:$Q$31,'Fld Maint T&amp;E Data'!$P$5:$P$31,$A12)</f>
        <v>6</v>
      </c>
      <c r="D12" s="208" t="s">
        <v>709</v>
      </c>
      <c r="E12" s="236">
        <f t="shared" si="1"/>
        <v>489.21</v>
      </c>
      <c r="F12" s="236">
        <f t="shared" si="2"/>
        <v>489.5073745</v>
      </c>
      <c r="G12" s="321">
        <v>0.0</v>
      </c>
      <c r="H12" s="320">
        <f t="shared" si="3"/>
        <v>489.5073745</v>
      </c>
      <c r="I12" s="208" t="s">
        <v>710</v>
      </c>
      <c r="J12" s="203"/>
      <c r="K12" s="203"/>
      <c r="L12" s="203"/>
      <c r="M12" s="203"/>
      <c r="N12" s="203"/>
      <c r="O12" s="203"/>
      <c r="P12" s="203"/>
      <c r="Q12" s="203"/>
      <c r="R12" s="203"/>
      <c r="S12" s="203"/>
    </row>
    <row r="13">
      <c r="A13" s="208" t="s">
        <v>711</v>
      </c>
      <c r="B13" s="236">
        <f>SUMIFS('Fld Maint T&amp;E Data'!$C$5:$C$379,'Fld Maint T&amp;E Data'!$F$5:$F$379,$A13)</f>
        <v>4004.96</v>
      </c>
      <c r="C13" s="318">
        <f>SUMIFS('Fld Maint T&amp;E Data'!$Q$5:$Q$31,'Fld Maint T&amp;E Data'!$P$5:$P$31,$A13)</f>
        <v>128.8</v>
      </c>
      <c r="D13" s="208" t="s">
        <v>712</v>
      </c>
      <c r="E13" s="236">
        <f t="shared" si="1"/>
        <v>31.09440994</v>
      </c>
      <c r="F13" s="236">
        <f t="shared" si="2"/>
        <v>31.11331119</v>
      </c>
      <c r="G13" s="321">
        <v>0.0</v>
      </c>
      <c r="H13" s="320">
        <f t="shared" si="3"/>
        <v>31.11331119</v>
      </c>
      <c r="I13" s="208" t="s">
        <v>713</v>
      </c>
      <c r="J13" s="203"/>
      <c r="K13" s="203"/>
      <c r="L13" s="203"/>
      <c r="M13" s="203"/>
      <c r="N13" s="203"/>
      <c r="O13" s="203"/>
      <c r="P13" s="203"/>
      <c r="Q13" s="203"/>
      <c r="R13" s="203"/>
      <c r="S13" s="203"/>
    </row>
    <row r="14">
      <c r="A14" s="208" t="s">
        <v>714</v>
      </c>
      <c r="B14" s="236">
        <f>SUMIFS('Fld Maint T&amp;E Data'!$C$5:$C$379,'Fld Maint T&amp;E Data'!$F$5:$F$379,$A14)</f>
        <v>1322.84</v>
      </c>
      <c r="C14" s="318">
        <f>SUMIFS('Fld Maint T&amp;E Data'!$Q$5:$Q$31,'Fld Maint T&amp;E Data'!$P$5:$P$31,$A14)</f>
        <v>116</v>
      </c>
      <c r="D14" s="208" t="s">
        <v>715</v>
      </c>
      <c r="E14" s="236">
        <f t="shared" si="1"/>
        <v>11.4037931</v>
      </c>
      <c r="F14" s="236">
        <f t="shared" si="2"/>
        <v>11.41072509</v>
      </c>
      <c r="G14" s="321">
        <v>0.0</v>
      </c>
      <c r="H14" s="320">
        <f t="shared" si="3"/>
        <v>11.41072509</v>
      </c>
      <c r="I14" s="208" t="s">
        <v>716</v>
      </c>
      <c r="J14" s="203"/>
      <c r="K14" s="203"/>
      <c r="L14" s="203"/>
      <c r="M14" s="203"/>
      <c r="N14" s="203"/>
      <c r="O14" s="203"/>
      <c r="P14" s="203"/>
      <c r="Q14" s="203"/>
      <c r="R14" s="203"/>
      <c r="S14" s="203"/>
    </row>
    <row r="15">
      <c r="A15" s="208" t="s">
        <v>717</v>
      </c>
      <c r="B15" s="236">
        <f>SUMIFS('Fld Maint T&amp;E Data'!$C$5:$C$379,'Fld Maint T&amp;E Data'!$F$5:$F$379,$A15)</f>
        <v>13155.11</v>
      </c>
      <c r="C15" s="318">
        <f>SUMIFS('Fld Maint T&amp;E Data'!$Q$5:$Q$31,'Fld Maint T&amp;E Data'!$P$5:$P$31,$A15)</f>
        <v>8</v>
      </c>
      <c r="D15" s="208" t="s">
        <v>386</v>
      </c>
      <c r="E15" s="236">
        <f t="shared" si="1"/>
        <v>1644.38875</v>
      </c>
      <c r="F15" s="236">
        <f t="shared" si="2"/>
        <v>1645.388319</v>
      </c>
      <c r="G15" s="321">
        <v>0.0</v>
      </c>
      <c r="H15" s="320">
        <f t="shared" si="3"/>
        <v>1645.388319</v>
      </c>
      <c r="I15" s="208" t="s">
        <v>718</v>
      </c>
      <c r="J15" s="203"/>
      <c r="K15" s="203"/>
      <c r="L15" s="203"/>
      <c r="M15" s="203"/>
      <c r="N15" s="203"/>
      <c r="O15" s="203"/>
      <c r="P15" s="203"/>
      <c r="Q15" s="203"/>
      <c r="R15" s="203"/>
      <c r="S15" s="203"/>
    </row>
    <row r="16">
      <c r="A16" s="208" t="s">
        <v>401</v>
      </c>
      <c r="B16" s="236">
        <f>SUMIFS('Fld Maint T&amp;E Data'!$C$5:$C$379,'Fld Maint T&amp;E Data'!$F$5:$F$379,$A16)</f>
        <v>20822.14</v>
      </c>
      <c r="C16" s="318">
        <f>SUMIFS('Fld Maint T&amp;E Data'!$Q$5:$Q$31,'Fld Maint T&amp;E Data'!$P$5:$P$31,$A16)</f>
        <v>8</v>
      </c>
      <c r="D16" s="208" t="s">
        <v>386</v>
      </c>
      <c r="E16" s="236">
        <f t="shared" si="1"/>
        <v>2602.7675</v>
      </c>
      <c r="F16" s="236">
        <f t="shared" si="2"/>
        <v>2604.349636</v>
      </c>
      <c r="G16" s="321">
        <v>0.0</v>
      </c>
      <c r="H16" s="320">
        <f t="shared" si="3"/>
        <v>2604.349636</v>
      </c>
      <c r="I16" s="208" t="s">
        <v>719</v>
      </c>
      <c r="J16" s="203"/>
      <c r="K16" s="203"/>
      <c r="L16" s="203"/>
      <c r="M16" s="203"/>
      <c r="N16" s="203"/>
      <c r="O16" s="203"/>
      <c r="P16" s="203"/>
      <c r="Q16" s="203"/>
      <c r="R16" s="203"/>
      <c r="S16" s="203"/>
    </row>
    <row r="17">
      <c r="A17" s="208" t="s">
        <v>477</v>
      </c>
      <c r="B17" s="236">
        <f>'Fld Maint T&amp;E Data'!R54</f>
        <v>200518.22</v>
      </c>
      <c r="C17" s="318">
        <f>SUMIFS('Fld Maint T&amp;E Data'!$Q$5:$Q$31,'Fld Maint T&amp;E Data'!$P$5:$P$31,$A17)</f>
        <v>116</v>
      </c>
      <c r="D17" s="208" t="s">
        <v>715</v>
      </c>
      <c r="E17" s="236">
        <f t="shared" si="1"/>
        <v>1728.605345</v>
      </c>
      <c r="F17" s="236">
        <f>E17</f>
        <v>1728.605345</v>
      </c>
      <c r="G17" s="321">
        <v>0.0</v>
      </c>
      <c r="H17" s="320">
        <f t="shared" si="3"/>
        <v>1728.605345</v>
      </c>
      <c r="I17" s="208" t="s">
        <v>720</v>
      </c>
      <c r="J17" s="203"/>
      <c r="K17" s="203"/>
      <c r="L17" s="203"/>
      <c r="M17" s="203"/>
      <c r="N17" s="203"/>
      <c r="O17" s="203"/>
      <c r="P17" s="203"/>
      <c r="Q17" s="203"/>
      <c r="R17" s="203"/>
      <c r="S17" s="203"/>
    </row>
    <row r="18">
      <c r="A18" s="322" t="s">
        <v>721</v>
      </c>
      <c r="B18" s="323">
        <f>SUMIFS('Fld Maint T&amp;E Data'!$C$5:$C$379,'Fld Maint T&amp;E Data'!$F$5:$F$379,"Excluded*")</f>
        <v>46057.38</v>
      </c>
      <c r="C18" s="324"/>
      <c r="D18" s="324"/>
      <c r="E18" s="324"/>
      <c r="F18" s="324"/>
      <c r="G18" s="324"/>
      <c r="H18" s="324"/>
      <c r="I18" s="322" t="s">
        <v>722</v>
      </c>
      <c r="J18" s="203"/>
      <c r="K18" s="203"/>
      <c r="L18" s="203"/>
      <c r="M18" s="203"/>
      <c r="N18" s="203"/>
      <c r="O18" s="203"/>
      <c r="P18" s="203"/>
      <c r="Q18" s="203"/>
      <c r="R18" s="203"/>
      <c r="S18" s="203"/>
    </row>
    <row r="19">
      <c r="A19" s="325" t="s">
        <v>723</v>
      </c>
      <c r="B19" s="326">
        <f>SUM(B5:B16)+B18+SUMIFS('Fld Maint T&amp;E Data'!$C$5:$C$379,'Fld Maint T&amp;E Data'!$F$5:$F$379,"Unattributed")</f>
        <v>146699.78</v>
      </c>
      <c r="C19" s="327"/>
      <c r="D19" s="327"/>
      <c r="E19" s="327"/>
      <c r="F19" s="327"/>
      <c r="G19" s="327"/>
      <c r="H19" s="327"/>
      <c r="I19" s="325" t="s">
        <v>724</v>
      </c>
      <c r="J19" s="203"/>
      <c r="K19" s="203"/>
      <c r="L19" s="203"/>
      <c r="M19" s="203"/>
      <c r="N19" s="203"/>
      <c r="O19" s="203"/>
      <c r="P19" s="203"/>
      <c r="Q19" s="203"/>
      <c r="R19" s="203"/>
      <c r="S19" s="203"/>
    </row>
    <row r="20">
      <c r="A20" s="208" t="s">
        <v>725</v>
      </c>
      <c r="B20" s="328">
        <f>1+SUMIFS('Fld Maint T&amp;E Data'!$C$5:$C$379,'Fld Maint T&amp;E Data'!$F$5:$F$379,"Unattributed")/SUM(B5:B16)</f>
        <v>1.000607867</v>
      </c>
      <c r="C20" s="203"/>
      <c r="D20" s="203"/>
      <c r="E20" s="203"/>
      <c r="F20" s="203"/>
      <c r="G20" s="203"/>
      <c r="H20" s="203"/>
      <c r="I20" s="203"/>
      <c r="J20" s="203"/>
      <c r="K20" s="203"/>
      <c r="L20" s="203"/>
      <c r="M20" s="203"/>
      <c r="N20" s="203"/>
      <c r="O20" s="203"/>
      <c r="P20" s="203"/>
      <c r="Q20" s="203"/>
      <c r="R20" s="203"/>
      <c r="S20" s="203"/>
    </row>
    <row r="21">
      <c r="A21" s="203"/>
      <c r="B21" s="203"/>
      <c r="C21" s="203"/>
      <c r="D21" s="203"/>
      <c r="E21" s="203"/>
      <c r="F21" s="203"/>
      <c r="G21" s="203"/>
      <c r="H21" s="203"/>
      <c r="I21" s="203"/>
      <c r="J21" s="203"/>
      <c r="K21" s="203"/>
      <c r="L21" s="203"/>
      <c r="M21" s="203"/>
      <c r="N21" s="203"/>
      <c r="O21" s="203"/>
      <c r="P21" s="203"/>
      <c r="Q21" s="203"/>
      <c r="R21" s="203"/>
      <c r="S21" s="203"/>
    </row>
    <row r="22">
      <c r="A22" s="206" t="s">
        <v>726</v>
      </c>
      <c r="B22" s="206" t="s">
        <v>357</v>
      </c>
      <c r="C22" s="206" t="s">
        <v>727</v>
      </c>
      <c r="D22" s="203"/>
      <c r="E22" s="203"/>
      <c r="F22" s="203"/>
      <c r="G22" s="203"/>
      <c r="H22" s="203"/>
      <c r="I22" s="203"/>
      <c r="J22" s="203"/>
      <c r="K22" s="203"/>
      <c r="L22" s="203"/>
      <c r="M22" s="203"/>
      <c r="N22" s="203"/>
      <c r="O22" s="203"/>
      <c r="P22" s="203"/>
      <c r="Q22" s="203"/>
      <c r="R22" s="203"/>
      <c r="S22" s="203"/>
    </row>
    <row r="23">
      <c r="A23" s="208" t="s">
        <v>728</v>
      </c>
      <c r="B23" s="329">
        <v>9.2</v>
      </c>
      <c r="C23" s="208" t="s">
        <v>729</v>
      </c>
      <c r="D23" s="203"/>
      <c r="E23" s="203"/>
      <c r="F23" s="203"/>
      <c r="G23" s="203"/>
      <c r="H23" s="203"/>
      <c r="I23" s="203"/>
      <c r="J23" s="203"/>
      <c r="K23" s="203"/>
      <c r="L23" s="203"/>
      <c r="M23" s="203"/>
      <c r="N23" s="203"/>
      <c r="O23" s="203"/>
      <c r="P23" s="203"/>
      <c r="Q23" s="203"/>
      <c r="R23" s="203"/>
      <c r="S23" s="203"/>
    </row>
    <row r="24">
      <c r="A24" s="208" t="s">
        <v>730</v>
      </c>
      <c r="B24" s="330">
        <f>SUM('Fld Maint T&amp;E Data'!$Q$5:$Q$10)</f>
        <v>6</v>
      </c>
      <c r="C24" s="208" t="s">
        <v>731</v>
      </c>
      <c r="D24" s="203"/>
      <c r="E24" s="203"/>
      <c r="F24" s="203"/>
      <c r="G24" s="203"/>
      <c r="H24" s="203"/>
      <c r="I24" s="203"/>
      <c r="J24" s="203"/>
      <c r="K24" s="203"/>
      <c r="L24" s="203"/>
      <c r="M24" s="203"/>
      <c r="N24" s="203"/>
      <c r="O24" s="203"/>
      <c r="P24" s="203"/>
      <c r="Q24" s="203"/>
      <c r="R24" s="203"/>
      <c r="S24" s="203"/>
    </row>
    <row r="25">
      <c r="A25" s="208" t="s">
        <v>732</v>
      </c>
      <c r="B25" s="331">
        <f>IF(B24=0,0,C9/B24)</f>
        <v>1</v>
      </c>
      <c r="C25" s="208" t="s">
        <v>733</v>
      </c>
      <c r="D25" s="203"/>
      <c r="E25" s="203"/>
      <c r="F25" s="203"/>
      <c r="G25" s="203"/>
      <c r="H25" s="203"/>
      <c r="I25" s="203"/>
      <c r="J25" s="203"/>
      <c r="K25" s="203"/>
      <c r="L25" s="203"/>
      <c r="M25" s="203"/>
      <c r="N25" s="203"/>
      <c r="O25" s="203"/>
      <c r="P25" s="203"/>
      <c r="Q25" s="203"/>
      <c r="R25" s="203"/>
      <c r="S25" s="203"/>
    </row>
    <row r="26">
      <c r="A26" s="208" t="s">
        <v>734</v>
      </c>
      <c r="B26" s="331">
        <f>IF(B23=0,0,C10/B23)</f>
        <v>0.652173913</v>
      </c>
      <c r="C26" s="208" t="s">
        <v>735</v>
      </c>
      <c r="D26" s="203"/>
      <c r="E26" s="203"/>
      <c r="F26" s="203"/>
      <c r="G26" s="203"/>
      <c r="H26" s="203"/>
      <c r="I26" s="203"/>
      <c r="J26" s="203"/>
      <c r="K26" s="203"/>
      <c r="L26" s="203"/>
      <c r="M26" s="203"/>
      <c r="N26" s="203"/>
      <c r="O26" s="203"/>
      <c r="P26" s="203"/>
      <c r="Q26" s="203"/>
      <c r="R26" s="203"/>
      <c r="S26" s="203"/>
    </row>
    <row r="27">
      <c r="A27" s="208" t="s">
        <v>736</v>
      </c>
      <c r="B27" s="212">
        <v>1.0</v>
      </c>
      <c r="C27" s="208" t="s">
        <v>737</v>
      </c>
      <c r="D27" s="203"/>
      <c r="E27" s="203"/>
      <c r="F27" s="203"/>
      <c r="G27" s="203"/>
      <c r="H27" s="203"/>
      <c r="I27" s="203"/>
      <c r="J27" s="203"/>
      <c r="K27" s="203"/>
      <c r="L27" s="203"/>
      <c r="M27" s="203"/>
      <c r="N27" s="203"/>
      <c r="O27" s="203"/>
      <c r="P27" s="203"/>
      <c r="Q27" s="203"/>
      <c r="R27" s="203"/>
      <c r="S27" s="203"/>
    </row>
    <row r="28" ht="27.0" customHeight="1">
      <c r="A28" s="208" t="s">
        <v>738</v>
      </c>
      <c r="B28" s="223">
        <f>'Fld Ops Payroll'!B11</f>
        <v>14</v>
      </c>
      <c r="C28" s="208" t="s">
        <v>739</v>
      </c>
      <c r="D28" s="203"/>
      <c r="E28" s="203"/>
      <c r="F28" s="203"/>
      <c r="G28" s="203"/>
      <c r="H28" s="203"/>
      <c r="I28" s="203"/>
      <c r="J28" s="203"/>
      <c r="K28" s="203"/>
      <c r="L28" s="203"/>
      <c r="M28" s="203"/>
      <c r="N28" s="203"/>
      <c r="O28" s="203"/>
      <c r="P28" s="203"/>
      <c r="Q28" s="203"/>
      <c r="R28" s="203"/>
      <c r="S28" s="203"/>
    </row>
    <row r="29">
      <c r="A29" s="208" t="s">
        <v>740</v>
      </c>
      <c r="B29" s="222">
        <f>'Fld Ops Payroll'!B12</f>
        <v>0.6</v>
      </c>
      <c r="C29" s="208" t="s">
        <v>741</v>
      </c>
      <c r="D29" s="203"/>
      <c r="E29" s="203"/>
      <c r="F29" s="203"/>
      <c r="G29" s="203"/>
      <c r="H29" s="203"/>
      <c r="I29" s="203"/>
      <c r="J29" s="203"/>
      <c r="K29" s="203"/>
      <c r="L29" s="203"/>
      <c r="M29" s="203"/>
      <c r="N29" s="203"/>
      <c r="O29" s="203"/>
      <c r="P29" s="203"/>
      <c r="Q29" s="203"/>
      <c r="R29" s="203"/>
      <c r="S29" s="203"/>
    </row>
    <row r="30">
      <c r="A30" s="208" t="s">
        <v>742</v>
      </c>
      <c r="B30" s="210">
        <v>0.3</v>
      </c>
      <c r="C30" s="208" t="s">
        <v>743</v>
      </c>
      <c r="D30" s="203"/>
      <c r="E30" s="203"/>
      <c r="F30" s="203"/>
      <c r="G30" s="203"/>
      <c r="H30" s="203"/>
      <c r="I30" s="203"/>
      <c r="J30" s="203"/>
      <c r="K30" s="203"/>
      <c r="L30" s="203"/>
      <c r="M30" s="203"/>
      <c r="N30" s="203"/>
      <c r="O30" s="203"/>
      <c r="P30" s="203"/>
      <c r="Q30" s="203"/>
      <c r="R30" s="203"/>
      <c r="S30" s="203"/>
    </row>
    <row r="31">
      <c r="A31" s="208" t="s">
        <v>744</v>
      </c>
      <c r="B31" s="332">
        <f>B29+(1-B29)*B30</f>
        <v>0.72</v>
      </c>
      <c r="C31" s="208" t="s">
        <v>745</v>
      </c>
      <c r="D31" s="203"/>
      <c r="E31" s="203"/>
      <c r="F31" s="203"/>
      <c r="G31" s="203"/>
      <c r="H31" s="203"/>
      <c r="I31" s="203"/>
      <c r="J31" s="203"/>
      <c r="K31" s="203"/>
      <c r="L31" s="203"/>
      <c r="M31" s="203"/>
      <c r="N31" s="203"/>
      <c r="O31" s="203"/>
      <c r="P31" s="203"/>
      <c r="Q31" s="203"/>
      <c r="R31" s="203"/>
      <c r="S31" s="203"/>
    </row>
    <row r="32">
      <c r="A32" s="208" t="s">
        <v>746</v>
      </c>
      <c r="B32" s="223">
        <f>'Fld Maint T&amp;E Data'!P54</f>
        <v>19</v>
      </c>
      <c r="C32" s="208" t="s">
        <v>747</v>
      </c>
      <c r="D32" s="203"/>
      <c r="E32" s="203"/>
      <c r="F32" s="203"/>
      <c r="G32" s="203"/>
      <c r="H32" s="203"/>
      <c r="I32" s="203"/>
      <c r="J32" s="203"/>
      <c r="K32" s="203"/>
      <c r="L32" s="203"/>
      <c r="M32" s="203"/>
      <c r="N32" s="203"/>
      <c r="O32" s="203"/>
      <c r="P32" s="203"/>
      <c r="Q32" s="203"/>
      <c r="R32" s="203"/>
      <c r="S32" s="203"/>
    </row>
    <row r="33">
      <c r="A33" s="208" t="s">
        <v>748</v>
      </c>
      <c r="B33" s="210">
        <v>0.9</v>
      </c>
      <c r="C33" s="208" t="s">
        <v>749</v>
      </c>
      <c r="D33" s="203"/>
      <c r="E33" s="203"/>
      <c r="F33" s="203"/>
      <c r="G33" s="203"/>
      <c r="H33" s="203"/>
      <c r="I33" s="203"/>
      <c r="J33" s="203"/>
      <c r="K33" s="203"/>
      <c r="L33" s="203"/>
      <c r="M33" s="203"/>
      <c r="N33" s="203"/>
      <c r="O33" s="203"/>
      <c r="P33" s="203"/>
      <c r="Q33" s="203"/>
      <c r="R33" s="203"/>
      <c r="S33" s="203"/>
    </row>
    <row r="34">
      <c r="A34" s="208" t="s">
        <v>750</v>
      </c>
      <c r="B34" s="209">
        <v>31000.0</v>
      </c>
      <c r="C34" s="208" t="s">
        <v>751</v>
      </c>
      <c r="D34" s="203"/>
      <c r="E34" s="203"/>
      <c r="F34" s="203"/>
      <c r="G34" s="203"/>
      <c r="H34" s="203"/>
      <c r="I34" s="203"/>
      <c r="J34" s="203"/>
      <c r="K34" s="203"/>
      <c r="L34" s="203"/>
      <c r="M34" s="203"/>
      <c r="N34" s="203"/>
      <c r="O34" s="203"/>
      <c r="P34" s="203"/>
      <c r="Q34" s="203"/>
      <c r="R34" s="203"/>
      <c r="S34" s="203"/>
    </row>
    <row r="35">
      <c r="A35" s="208" t="s">
        <v>752</v>
      </c>
      <c r="B35" s="210">
        <v>0.03</v>
      </c>
      <c r="C35" s="208" t="s">
        <v>753</v>
      </c>
      <c r="D35" s="203"/>
      <c r="E35" s="203"/>
      <c r="F35" s="203"/>
      <c r="G35" s="203"/>
      <c r="H35" s="203"/>
      <c r="I35" s="203"/>
      <c r="J35" s="203"/>
      <c r="K35" s="203"/>
      <c r="L35" s="203"/>
      <c r="M35" s="203"/>
      <c r="N35" s="203"/>
      <c r="O35" s="203"/>
      <c r="P35" s="203"/>
      <c r="Q35" s="203"/>
      <c r="R35" s="203"/>
      <c r="S35" s="203"/>
    </row>
    <row r="36">
      <c r="A36" s="208" t="s">
        <v>754</v>
      </c>
      <c r="B36" s="333" t="s">
        <v>40</v>
      </c>
      <c r="C36" s="208" t="s">
        <v>755</v>
      </c>
      <c r="D36" s="203"/>
      <c r="E36" s="203"/>
      <c r="F36" s="203"/>
      <c r="G36" s="203"/>
      <c r="H36" s="203"/>
      <c r="I36" s="203"/>
      <c r="J36" s="203"/>
      <c r="K36" s="203"/>
      <c r="L36" s="203"/>
      <c r="M36" s="203"/>
      <c r="N36" s="203"/>
      <c r="O36" s="203"/>
      <c r="P36" s="203"/>
      <c r="Q36" s="203"/>
      <c r="R36" s="203"/>
      <c r="S36" s="203"/>
    </row>
    <row r="37">
      <c r="A37" s="208" t="s">
        <v>756</v>
      </c>
      <c r="B37" s="334">
        <f>IF(B34=0,0,E15/B34)</f>
        <v>0.05304479839</v>
      </c>
      <c r="C37" s="208" t="s">
        <v>757</v>
      </c>
      <c r="D37" s="203"/>
      <c r="E37" s="203"/>
      <c r="F37" s="203"/>
      <c r="G37" s="203"/>
      <c r="H37" s="203"/>
      <c r="I37" s="203"/>
      <c r="J37" s="203"/>
      <c r="K37" s="203"/>
      <c r="L37" s="203"/>
      <c r="M37" s="203"/>
      <c r="N37" s="203"/>
      <c r="O37" s="203"/>
      <c r="P37" s="203"/>
      <c r="Q37" s="203"/>
      <c r="R37" s="203"/>
      <c r="S37" s="203"/>
    </row>
    <row r="38">
      <c r="A38" s="208" t="s">
        <v>758</v>
      </c>
      <c r="B38" s="209">
        <v>5000.0</v>
      </c>
      <c r="C38" s="208" t="s">
        <v>759</v>
      </c>
      <c r="D38" s="203"/>
      <c r="E38" s="203"/>
      <c r="F38" s="203"/>
      <c r="G38" s="203"/>
      <c r="H38" s="203"/>
      <c r="I38" s="203"/>
      <c r="J38" s="203"/>
      <c r="K38" s="203"/>
      <c r="L38" s="203"/>
      <c r="M38" s="203"/>
      <c r="N38" s="203"/>
      <c r="O38" s="203"/>
      <c r="P38" s="203"/>
      <c r="Q38" s="203"/>
      <c r="R38" s="203"/>
      <c r="S38" s="203"/>
    </row>
    <row r="39" ht="27.0" customHeight="1">
      <c r="A39" s="208" t="s">
        <v>760</v>
      </c>
      <c r="B39" s="212">
        <v>3.0</v>
      </c>
      <c r="C39" s="208" t="s">
        <v>407</v>
      </c>
      <c r="D39" s="203"/>
      <c r="E39" s="203"/>
      <c r="F39" s="203"/>
      <c r="G39" s="203"/>
      <c r="H39" s="203"/>
      <c r="I39" s="203"/>
      <c r="J39" s="203"/>
      <c r="K39" s="203"/>
      <c r="L39" s="203"/>
      <c r="M39" s="203"/>
      <c r="N39" s="203"/>
      <c r="O39" s="203"/>
      <c r="P39" s="203"/>
      <c r="Q39" s="203"/>
      <c r="R39" s="203"/>
      <c r="S39" s="203"/>
    </row>
    <row r="40">
      <c r="A40" s="208" t="s">
        <v>761</v>
      </c>
      <c r="B40" s="212">
        <v>12.0</v>
      </c>
      <c r="C40" s="208" t="s">
        <v>762</v>
      </c>
      <c r="D40" s="203"/>
      <c r="E40" s="203"/>
      <c r="F40" s="203"/>
      <c r="G40" s="203"/>
      <c r="H40" s="203"/>
      <c r="I40" s="203"/>
      <c r="J40" s="203"/>
      <c r="K40" s="203"/>
      <c r="L40" s="203"/>
      <c r="M40" s="203"/>
      <c r="N40" s="203"/>
      <c r="O40" s="203"/>
      <c r="P40" s="203"/>
      <c r="Q40" s="203"/>
      <c r="R40" s="203"/>
      <c r="S40" s="203"/>
    </row>
    <row r="41">
      <c r="A41" s="208" t="s">
        <v>763</v>
      </c>
      <c r="B41" s="209">
        <v>58263.0</v>
      </c>
      <c r="C41" s="208" t="s">
        <v>764</v>
      </c>
      <c r="D41" s="203"/>
      <c r="E41" s="203"/>
      <c r="F41" s="203"/>
      <c r="G41" s="203"/>
      <c r="H41" s="203"/>
      <c r="I41" s="203"/>
      <c r="J41" s="203"/>
      <c r="K41" s="203"/>
      <c r="L41" s="203"/>
      <c r="M41" s="203"/>
      <c r="N41" s="203"/>
      <c r="O41" s="203"/>
      <c r="P41" s="203"/>
      <c r="Q41" s="203"/>
      <c r="R41" s="203"/>
      <c r="S41" s="203"/>
    </row>
    <row r="42">
      <c r="A42" s="208" t="s">
        <v>765</v>
      </c>
      <c r="B42" s="209">
        <v>74913.0</v>
      </c>
      <c r="C42" s="208" t="s">
        <v>766</v>
      </c>
      <c r="D42" s="203"/>
      <c r="E42" s="203"/>
      <c r="F42" s="203"/>
      <c r="G42" s="203"/>
      <c r="H42" s="203"/>
      <c r="I42" s="203"/>
      <c r="J42" s="203"/>
      <c r="K42" s="203"/>
      <c r="L42" s="203"/>
      <c r="M42" s="203"/>
      <c r="N42" s="203"/>
      <c r="O42" s="203"/>
      <c r="P42" s="203"/>
      <c r="Q42" s="203"/>
      <c r="R42" s="203"/>
      <c r="S42" s="203"/>
    </row>
    <row r="43">
      <c r="A43" s="208" t="s">
        <v>767</v>
      </c>
      <c r="B43" s="213">
        <f>DATE(2027,4,1)</f>
        <v>46478</v>
      </c>
      <c r="C43" s="208" t="s">
        <v>768</v>
      </c>
      <c r="D43" s="203"/>
      <c r="E43" s="203"/>
      <c r="F43" s="203"/>
      <c r="G43" s="203"/>
      <c r="H43" s="203"/>
      <c r="I43" s="203"/>
      <c r="J43" s="203"/>
      <c r="K43" s="203"/>
      <c r="L43" s="203"/>
      <c r="M43" s="203"/>
      <c r="N43" s="203"/>
      <c r="O43" s="203"/>
      <c r="P43" s="203"/>
      <c r="Q43" s="203"/>
      <c r="R43" s="203"/>
      <c r="S43" s="203"/>
    </row>
    <row r="44">
      <c r="A44" s="208" t="s">
        <v>769</v>
      </c>
      <c r="B44" s="224">
        <f>'Fld Ops Payroll'!B9</f>
        <v>2000</v>
      </c>
      <c r="C44" s="208" t="s">
        <v>770</v>
      </c>
      <c r="D44" s="203"/>
      <c r="E44" s="203"/>
      <c r="F44" s="203"/>
      <c r="G44" s="203"/>
      <c r="H44" s="203"/>
      <c r="I44" s="203"/>
      <c r="J44" s="203"/>
      <c r="K44" s="203"/>
      <c r="L44" s="203"/>
      <c r="M44" s="203"/>
      <c r="N44" s="203"/>
      <c r="O44" s="203"/>
      <c r="P44" s="203"/>
      <c r="Q44" s="203"/>
      <c r="R44" s="203"/>
      <c r="S44" s="203"/>
    </row>
    <row r="45">
      <c r="A45" s="208" t="s">
        <v>771</v>
      </c>
      <c r="B45" s="335">
        <f>H8</f>
        <v>1772.04051</v>
      </c>
      <c r="C45" s="208" t="s">
        <v>772</v>
      </c>
      <c r="D45" s="203"/>
      <c r="E45" s="203"/>
      <c r="F45" s="203"/>
      <c r="G45" s="203"/>
      <c r="H45" s="203"/>
      <c r="I45" s="203"/>
      <c r="J45" s="203"/>
      <c r="K45" s="203"/>
      <c r="L45" s="203"/>
      <c r="M45" s="203"/>
      <c r="N45" s="203"/>
      <c r="O45" s="203"/>
      <c r="P45" s="203"/>
      <c r="Q45" s="203"/>
      <c r="R45" s="203"/>
      <c r="S45" s="203"/>
    </row>
    <row r="46">
      <c r="A46" s="203"/>
      <c r="B46" s="203"/>
      <c r="C46" s="203"/>
      <c r="D46" s="203"/>
      <c r="E46" s="203"/>
      <c r="F46" s="203"/>
      <c r="G46" s="203"/>
      <c r="H46" s="203"/>
      <c r="I46" s="203"/>
      <c r="J46" s="203"/>
      <c r="K46" s="203"/>
      <c r="L46" s="203"/>
      <c r="M46" s="203"/>
      <c r="N46" s="203"/>
      <c r="O46" s="203"/>
      <c r="P46" s="203"/>
      <c r="Q46" s="203"/>
      <c r="R46" s="203"/>
      <c r="S46" s="203"/>
    </row>
    <row r="47">
      <c r="A47" s="206" t="s">
        <v>773</v>
      </c>
      <c r="B47" s="206" t="s">
        <v>774</v>
      </c>
      <c r="C47" s="206" t="s">
        <v>775</v>
      </c>
      <c r="D47" s="206" t="s">
        <v>776</v>
      </c>
      <c r="E47" s="206" t="s">
        <v>777</v>
      </c>
      <c r="F47" s="206" t="s">
        <v>778</v>
      </c>
      <c r="G47" s="206" t="s">
        <v>779</v>
      </c>
      <c r="H47" s="206" t="s">
        <v>780</v>
      </c>
      <c r="I47" s="203"/>
      <c r="J47" s="203"/>
      <c r="K47" s="203"/>
      <c r="L47" s="203"/>
      <c r="M47" s="203"/>
      <c r="N47" s="203"/>
      <c r="O47" s="203"/>
      <c r="P47" s="203"/>
      <c r="Q47" s="203"/>
      <c r="R47" s="203"/>
      <c r="S47" s="203"/>
    </row>
    <row r="48">
      <c r="A48" s="208" t="s">
        <v>781</v>
      </c>
      <c r="B48" s="236">
        <f>SUMIFS('Fld Maint T&amp;E Data'!$C$5:$C$379,'Fld Maint T&amp;E Data'!$G$5:$G$379,"Topicz deployment (Feb–Mar)",'Fld Maint T&amp;E Data'!$H$5:$H$379,$A48)</f>
        <v>616.4</v>
      </c>
      <c r="C48" s="236">
        <f>SUMIFS('Fld Maint T&amp;E Data'!$C$5:$C$379,'Fld Maint T&amp;E Data'!$G$5:$G$379,"Southwire SAT (deployment)",'Fld Maint T&amp;E Data'!$H$5:$H$379,$A48)</f>
        <v>1594.61</v>
      </c>
      <c r="D48" s="236">
        <f>SUMIFS('Fld Maint T&amp;E Data'!$C$5:$C$379,'Fld Maint T&amp;E Data'!$G$5:$G$379,"Corning SAT / on-site deployment",'Fld Maint T&amp;E Data'!$H$5:$H$379,$A48)</f>
        <v>971.36</v>
      </c>
      <c r="E48" s="236">
        <f t="shared" ref="E48:E55" si="4">AVERAGE(B48:D48)</f>
        <v>1060.79</v>
      </c>
      <c r="F48" s="236">
        <f>SUMIFS('Fld Maint T&amp;E Data'!$C$5:$C$379,'Fld Maint T&amp;E Data'!$G$5:$G$379,"MeLi Mexico deployment (Apr–May)",'Fld Maint T&amp;E Data'!$H$5:$H$379,$A48)</f>
        <v>1672.95</v>
      </c>
      <c r="G48" s="236">
        <f>SUMIFS('Fld Maint T&amp;E Data'!$C$5:$C$379,'Fld Maint T&amp;E Data'!$G$5:$G$379,"MeLi Monterrey expansion (Sep–Oct)",'Fld Maint T&amp;E Data'!$H$5:$H$379,$A48)</f>
        <v>1922.98</v>
      </c>
      <c r="H48" s="236">
        <f>SUMIFS('Fld Maint T&amp;E Data'!$C$5:$C$379,'Fld Maint T&amp;E Data'!$G$5:$G$379,"JLG PA stand-up (excluded from rates)",'Fld Maint T&amp;E Data'!$H$5:$H$379,$A48)</f>
        <v>6278.2</v>
      </c>
      <c r="I48" s="203"/>
      <c r="J48" s="203"/>
      <c r="K48" s="203"/>
      <c r="L48" s="203"/>
      <c r="M48" s="203"/>
      <c r="N48" s="203"/>
      <c r="O48" s="203"/>
      <c r="P48" s="203"/>
      <c r="Q48" s="203"/>
      <c r="R48" s="203"/>
      <c r="S48" s="203"/>
    </row>
    <row r="49">
      <c r="A49" s="208" t="s">
        <v>782</v>
      </c>
      <c r="B49" s="236">
        <f>SUMIFS('Fld Maint T&amp;E Data'!$C$5:$C$379,'Fld Maint T&amp;E Data'!$G$5:$G$379,"Topicz deployment (Feb–Mar)",'Fld Maint T&amp;E Data'!$H$5:$H$379,$A49)</f>
        <v>0</v>
      </c>
      <c r="C49" s="236">
        <f>SUMIFS('Fld Maint T&amp;E Data'!$C$5:$C$379,'Fld Maint T&amp;E Data'!$G$5:$G$379,"Southwire SAT (deployment)",'Fld Maint T&amp;E Data'!$H$5:$H$379,$A49)</f>
        <v>444.82</v>
      </c>
      <c r="D49" s="236">
        <f>SUMIFS('Fld Maint T&amp;E Data'!$C$5:$C$379,'Fld Maint T&amp;E Data'!$G$5:$G$379,"Corning SAT / on-site deployment",'Fld Maint T&amp;E Data'!$H$5:$H$379,$A49)</f>
        <v>1396.18</v>
      </c>
      <c r="E49" s="236">
        <f t="shared" si="4"/>
        <v>613.6666667</v>
      </c>
      <c r="F49" s="236">
        <f>SUMIFS('Fld Maint T&amp;E Data'!$C$5:$C$379,'Fld Maint T&amp;E Data'!$G$5:$G$379,"MeLi Mexico deployment (Apr–May)",'Fld Maint T&amp;E Data'!$H$5:$H$379,$A49)</f>
        <v>1281.77</v>
      </c>
      <c r="G49" s="236">
        <f>SUMIFS('Fld Maint T&amp;E Data'!$C$5:$C$379,'Fld Maint T&amp;E Data'!$G$5:$G$379,"MeLi Monterrey expansion (Sep–Oct)",'Fld Maint T&amp;E Data'!$H$5:$H$379,$A49)</f>
        <v>0</v>
      </c>
      <c r="H49" s="236">
        <f>SUMIFS('Fld Maint T&amp;E Data'!$C$5:$C$379,'Fld Maint T&amp;E Data'!$G$5:$G$379,"JLG PA stand-up (excluded from rates)",'Fld Maint T&amp;E Data'!$H$5:$H$379,$A49)</f>
        <v>0</v>
      </c>
      <c r="I49" s="203"/>
      <c r="J49" s="203"/>
      <c r="K49" s="203"/>
      <c r="L49" s="203"/>
      <c r="M49" s="203"/>
      <c r="N49" s="203"/>
      <c r="O49" s="203"/>
      <c r="P49" s="203"/>
      <c r="Q49" s="203"/>
      <c r="R49" s="203"/>
      <c r="S49" s="203"/>
    </row>
    <row r="50">
      <c r="A50" s="208" t="s">
        <v>783</v>
      </c>
      <c r="B50" s="236">
        <f>SUMIFS('Fld Maint T&amp;E Data'!$C$5:$C$379,'Fld Maint T&amp;E Data'!$G$5:$G$379,"Topicz deployment (Feb–Mar)",'Fld Maint T&amp;E Data'!$H$5:$H$379,$A50)</f>
        <v>0</v>
      </c>
      <c r="C50" s="236">
        <f>SUMIFS('Fld Maint T&amp;E Data'!$C$5:$C$379,'Fld Maint T&amp;E Data'!$G$5:$G$379,"Southwire SAT (deployment)",'Fld Maint T&amp;E Data'!$H$5:$H$379,$A50)</f>
        <v>255.03</v>
      </c>
      <c r="D50" s="236">
        <f>SUMIFS('Fld Maint T&amp;E Data'!$C$5:$C$379,'Fld Maint T&amp;E Data'!$G$5:$G$379,"Corning SAT / on-site deployment",'Fld Maint T&amp;E Data'!$H$5:$H$379,$A50)</f>
        <v>301.39</v>
      </c>
      <c r="E50" s="236">
        <f t="shared" si="4"/>
        <v>185.4733333</v>
      </c>
      <c r="F50" s="236">
        <f>SUMIFS('Fld Maint T&amp;E Data'!$C$5:$C$379,'Fld Maint T&amp;E Data'!$G$5:$G$379,"MeLi Mexico deployment (Apr–May)",'Fld Maint T&amp;E Data'!$H$5:$H$379,$A50)</f>
        <v>0.01</v>
      </c>
      <c r="G50" s="236">
        <f>SUMIFS('Fld Maint T&amp;E Data'!$C$5:$C$379,'Fld Maint T&amp;E Data'!$G$5:$G$379,"MeLi Monterrey expansion (Sep–Oct)",'Fld Maint T&amp;E Data'!$H$5:$H$379,$A50)</f>
        <v>1199.48</v>
      </c>
      <c r="H50" s="236">
        <f>SUMIFS('Fld Maint T&amp;E Data'!$C$5:$C$379,'Fld Maint T&amp;E Data'!$G$5:$G$379,"JLG PA stand-up (excluded from rates)",'Fld Maint T&amp;E Data'!$H$5:$H$379,$A50)</f>
        <v>1337.23</v>
      </c>
      <c r="I50" s="203"/>
      <c r="J50" s="203"/>
      <c r="K50" s="203"/>
      <c r="L50" s="203"/>
      <c r="M50" s="203"/>
      <c r="N50" s="203"/>
      <c r="O50" s="203"/>
      <c r="P50" s="203"/>
      <c r="Q50" s="203"/>
      <c r="R50" s="203"/>
      <c r="S50" s="203"/>
    </row>
    <row r="51">
      <c r="A51" s="208" t="s">
        <v>784</v>
      </c>
      <c r="B51" s="236">
        <f>SUMIFS('Fld Maint T&amp;E Data'!$C$5:$C$379,'Fld Maint T&amp;E Data'!$G$5:$G$379,"Topicz deployment (Feb–Mar)",'Fld Maint T&amp;E Data'!$H$5:$H$379,$A51)</f>
        <v>0</v>
      </c>
      <c r="C51" s="236">
        <f>SUMIFS('Fld Maint T&amp;E Data'!$C$5:$C$379,'Fld Maint T&amp;E Data'!$G$5:$G$379,"Southwire SAT (deployment)",'Fld Maint T&amp;E Data'!$H$5:$H$379,$A51)</f>
        <v>17.93</v>
      </c>
      <c r="D51" s="236">
        <f>SUMIFS('Fld Maint T&amp;E Data'!$C$5:$C$379,'Fld Maint T&amp;E Data'!$G$5:$G$379,"Corning SAT / on-site deployment",'Fld Maint T&amp;E Data'!$H$5:$H$379,$A51)</f>
        <v>0</v>
      </c>
      <c r="E51" s="236">
        <f t="shared" si="4"/>
        <v>5.976666667</v>
      </c>
      <c r="F51" s="236">
        <f>SUMIFS('Fld Maint T&amp;E Data'!$C$5:$C$379,'Fld Maint T&amp;E Data'!$G$5:$G$379,"MeLi Mexico deployment (Apr–May)",'Fld Maint T&amp;E Data'!$H$5:$H$379,$A51)</f>
        <v>20</v>
      </c>
      <c r="G51" s="236">
        <f>SUMIFS('Fld Maint T&amp;E Data'!$C$5:$C$379,'Fld Maint T&amp;E Data'!$G$5:$G$379,"MeLi Monterrey expansion (Sep–Oct)",'Fld Maint T&amp;E Data'!$H$5:$H$379,$A51)</f>
        <v>225</v>
      </c>
      <c r="H51" s="236">
        <f>SUMIFS('Fld Maint T&amp;E Data'!$C$5:$C$379,'Fld Maint T&amp;E Data'!$G$5:$G$379,"JLG PA stand-up (excluded from rates)",'Fld Maint T&amp;E Data'!$H$5:$H$379,$A51)</f>
        <v>0</v>
      </c>
      <c r="I51" s="203"/>
      <c r="J51" s="203"/>
      <c r="K51" s="203"/>
      <c r="L51" s="203"/>
      <c r="M51" s="203"/>
      <c r="N51" s="203"/>
      <c r="O51" s="203"/>
      <c r="P51" s="203"/>
      <c r="Q51" s="203"/>
      <c r="R51" s="203"/>
      <c r="S51" s="203"/>
    </row>
    <row r="52">
      <c r="A52" s="208" t="s">
        <v>785</v>
      </c>
      <c r="B52" s="236">
        <f>SUMIFS('Fld Maint T&amp;E Data'!$C$5:$C$379,'Fld Maint T&amp;E Data'!$G$5:$G$379,"Topicz deployment (Feb–Mar)",'Fld Maint T&amp;E Data'!$H$5:$H$379,$A52)</f>
        <v>0</v>
      </c>
      <c r="C52" s="236">
        <f>SUMIFS('Fld Maint T&amp;E Data'!$C$5:$C$379,'Fld Maint T&amp;E Data'!$G$5:$G$379,"Southwire SAT (deployment)",'Fld Maint T&amp;E Data'!$H$5:$H$379,$A52)</f>
        <v>0</v>
      </c>
      <c r="D52" s="236">
        <f>SUMIFS('Fld Maint T&amp;E Data'!$C$5:$C$379,'Fld Maint T&amp;E Data'!$G$5:$G$379,"Corning SAT / on-site deployment",'Fld Maint T&amp;E Data'!$H$5:$H$379,$A52)</f>
        <v>0</v>
      </c>
      <c r="E52" s="236">
        <f t="shared" si="4"/>
        <v>0</v>
      </c>
      <c r="F52" s="236">
        <f>SUMIFS('Fld Maint T&amp;E Data'!$C$5:$C$379,'Fld Maint T&amp;E Data'!$G$5:$G$379,"MeLi Mexico deployment (Apr–May)",'Fld Maint T&amp;E Data'!$H$5:$H$379,$A52)</f>
        <v>18.64</v>
      </c>
      <c r="G52" s="236">
        <f>SUMIFS('Fld Maint T&amp;E Data'!$C$5:$C$379,'Fld Maint T&amp;E Data'!$G$5:$G$379,"MeLi Monterrey expansion (Sep–Oct)",'Fld Maint T&amp;E Data'!$H$5:$H$379,$A52)</f>
        <v>0</v>
      </c>
      <c r="H52" s="236">
        <f>SUMIFS('Fld Maint T&amp;E Data'!$C$5:$C$379,'Fld Maint T&amp;E Data'!$G$5:$G$379,"JLG PA stand-up (excluded from rates)",'Fld Maint T&amp;E Data'!$H$5:$H$379,$A52)</f>
        <v>0</v>
      </c>
      <c r="I52" s="203"/>
      <c r="J52" s="203"/>
      <c r="K52" s="203"/>
      <c r="L52" s="203"/>
      <c r="M52" s="203"/>
      <c r="N52" s="203"/>
      <c r="O52" s="203"/>
      <c r="P52" s="203"/>
      <c r="Q52" s="203"/>
      <c r="R52" s="203"/>
      <c r="S52" s="203"/>
    </row>
    <row r="53">
      <c r="A53" s="208" t="s">
        <v>786</v>
      </c>
      <c r="B53" s="236">
        <f>SUMIFS('Fld Maint T&amp;E Data'!$C$5:$C$379,'Fld Maint T&amp;E Data'!$G$5:$G$379,"Topicz deployment (Feb–Mar)",'Fld Maint T&amp;E Data'!$H$5:$H$379,$A53)</f>
        <v>139.3</v>
      </c>
      <c r="C53" s="236">
        <f>SUMIFS('Fld Maint T&amp;E Data'!$C$5:$C$379,'Fld Maint T&amp;E Data'!$G$5:$G$379,"Southwire SAT (deployment)",'Fld Maint T&amp;E Data'!$H$5:$H$379,$A53)</f>
        <v>162.21</v>
      </c>
      <c r="D53" s="236">
        <f>SUMIFS('Fld Maint T&amp;E Data'!$C$5:$C$379,'Fld Maint T&amp;E Data'!$G$5:$G$379,"Corning SAT / on-site deployment",'Fld Maint T&amp;E Data'!$H$5:$H$379,$A53)</f>
        <v>0</v>
      </c>
      <c r="E53" s="236">
        <f t="shared" si="4"/>
        <v>100.5033333</v>
      </c>
      <c r="F53" s="236">
        <f>SUMIFS('Fld Maint T&amp;E Data'!$C$5:$C$379,'Fld Maint T&amp;E Data'!$G$5:$G$379,"MeLi Mexico deployment (Apr–May)",'Fld Maint T&amp;E Data'!$H$5:$H$379,$A53)</f>
        <v>192.5</v>
      </c>
      <c r="G53" s="236">
        <f>SUMIFS('Fld Maint T&amp;E Data'!$C$5:$C$379,'Fld Maint T&amp;E Data'!$G$5:$G$379,"MeLi Monterrey expansion (Sep–Oct)",'Fld Maint T&amp;E Data'!$H$5:$H$379,$A53)</f>
        <v>0</v>
      </c>
      <c r="H53" s="236">
        <f>SUMIFS('Fld Maint T&amp;E Data'!$C$5:$C$379,'Fld Maint T&amp;E Data'!$G$5:$G$379,"JLG PA stand-up (excluded from rates)",'Fld Maint T&amp;E Data'!$H$5:$H$379,$A53)</f>
        <v>0</v>
      </c>
      <c r="I53" s="203"/>
      <c r="J53" s="203"/>
      <c r="K53" s="203"/>
      <c r="L53" s="203"/>
      <c r="M53" s="203"/>
      <c r="N53" s="203"/>
      <c r="O53" s="203"/>
      <c r="P53" s="203"/>
      <c r="Q53" s="203"/>
      <c r="R53" s="203"/>
      <c r="S53" s="203"/>
    </row>
    <row r="54">
      <c r="A54" s="208" t="s">
        <v>787</v>
      </c>
      <c r="B54" s="236">
        <f>SUMIFS('Fld Maint T&amp;E Data'!$C$5:$C$379,'Fld Maint T&amp;E Data'!$G$5:$G$379,"Topicz deployment (Feb–Mar)",'Fld Maint T&amp;E Data'!$H$5:$H$379,$A54)</f>
        <v>0</v>
      </c>
      <c r="C54" s="236">
        <f>SUMIFS('Fld Maint T&amp;E Data'!$C$5:$C$379,'Fld Maint T&amp;E Data'!$G$5:$G$379,"Southwire SAT (deployment)",'Fld Maint T&amp;E Data'!$H$5:$H$379,$A54)</f>
        <v>0</v>
      </c>
      <c r="D54" s="236">
        <f>SUMIFS('Fld Maint T&amp;E Data'!$C$5:$C$379,'Fld Maint T&amp;E Data'!$G$5:$G$379,"Corning SAT / on-site deployment",'Fld Maint T&amp;E Data'!$H$5:$H$379,$A54)</f>
        <v>0</v>
      </c>
      <c r="E54" s="236">
        <f t="shared" si="4"/>
        <v>0</v>
      </c>
      <c r="F54" s="236">
        <f>SUMIFS('Fld Maint T&amp;E Data'!$C$5:$C$379,'Fld Maint T&amp;E Data'!$G$5:$G$379,"MeLi Mexico deployment (Apr–May)",'Fld Maint T&amp;E Data'!$H$5:$H$379,$A54)</f>
        <v>45</v>
      </c>
      <c r="G54" s="236">
        <f>SUMIFS('Fld Maint T&amp;E Data'!$C$5:$C$379,'Fld Maint T&amp;E Data'!$G$5:$G$379,"MeLi Monterrey expansion (Sep–Oct)",'Fld Maint T&amp;E Data'!$H$5:$H$379,$A54)</f>
        <v>0</v>
      </c>
      <c r="H54" s="236">
        <f>SUMIFS('Fld Maint T&amp;E Data'!$C$5:$C$379,'Fld Maint T&amp;E Data'!$G$5:$G$379,"JLG PA stand-up (excluded from rates)",'Fld Maint T&amp;E Data'!$H$5:$H$379,$A54)</f>
        <v>0</v>
      </c>
      <c r="I54" s="203"/>
      <c r="J54" s="203"/>
      <c r="K54" s="203"/>
      <c r="L54" s="203"/>
      <c r="M54" s="203"/>
      <c r="N54" s="203"/>
      <c r="O54" s="203"/>
      <c r="P54" s="203"/>
      <c r="Q54" s="203"/>
      <c r="R54" s="203"/>
      <c r="S54" s="203"/>
    </row>
    <row r="55">
      <c r="A55" s="208" t="s">
        <v>788</v>
      </c>
      <c r="B55" s="236">
        <f>SUMIFS('Fld Maint T&amp;E Data'!$C$5:$C$379,'Fld Maint T&amp;E Data'!$G$5:$G$379,"Topicz deployment (Feb–Mar)",'Fld Maint T&amp;E Data'!$H$5:$H$379,$A55)</f>
        <v>0</v>
      </c>
      <c r="C55" s="236">
        <f>SUMIFS('Fld Maint T&amp;E Data'!$C$5:$C$379,'Fld Maint T&amp;E Data'!$G$5:$G$379,"Southwire SAT (deployment)",'Fld Maint T&amp;E Data'!$H$5:$H$379,$A55)</f>
        <v>0</v>
      </c>
      <c r="D55" s="236">
        <f>SUMIFS('Fld Maint T&amp;E Data'!$C$5:$C$379,'Fld Maint T&amp;E Data'!$G$5:$G$379,"Corning SAT / on-site deployment",'Fld Maint T&amp;E Data'!$H$5:$H$379,$A55)</f>
        <v>0</v>
      </c>
      <c r="E55" s="236">
        <f t="shared" si="4"/>
        <v>0</v>
      </c>
      <c r="F55" s="236">
        <f>SUMIFS('Fld Maint T&amp;E Data'!$C$5:$C$379,'Fld Maint T&amp;E Data'!$G$5:$G$379,"MeLi Mexico deployment (Apr–May)",'Fld Maint T&amp;E Data'!$H$5:$H$379,$A55)</f>
        <v>190</v>
      </c>
      <c r="G55" s="236">
        <f>SUMIFS('Fld Maint T&amp;E Data'!$C$5:$C$379,'Fld Maint T&amp;E Data'!$G$5:$G$379,"MeLi Monterrey expansion (Sep–Oct)",'Fld Maint T&amp;E Data'!$H$5:$H$379,$A55)</f>
        <v>0</v>
      </c>
      <c r="H55" s="236">
        <f>SUMIFS('Fld Maint T&amp;E Data'!$C$5:$C$379,'Fld Maint T&amp;E Data'!$G$5:$G$379,"JLG PA stand-up (excluded from rates)",'Fld Maint T&amp;E Data'!$H$5:$H$379,$A55)</f>
        <v>0</v>
      </c>
      <c r="I55" s="203"/>
      <c r="J55" s="203"/>
      <c r="K55" s="203"/>
      <c r="L55" s="203"/>
      <c r="M55" s="203"/>
      <c r="N55" s="203"/>
      <c r="O55" s="203"/>
      <c r="P55" s="203"/>
      <c r="Q55" s="203"/>
      <c r="R55" s="203"/>
      <c r="S55" s="203"/>
    </row>
    <row r="56">
      <c r="A56" s="325" t="s">
        <v>498</v>
      </c>
      <c r="B56" s="326">
        <f t="shared" ref="B56:H56" si="5">SUM(B48:B55)</f>
        <v>755.7</v>
      </c>
      <c r="C56" s="326">
        <f t="shared" si="5"/>
        <v>2474.6</v>
      </c>
      <c r="D56" s="326">
        <f t="shared" si="5"/>
        <v>2668.93</v>
      </c>
      <c r="E56" s="326">
        <f t="shared" si="5"/>
        <v>1966.41</v>
      </c>
      <c r="F56" s="326">
        <f t="shared" si="5"/>
        <v>3420.87</v>
      </c>
      <c r="G56" s="326">
        <f t="shared" si="5"/>
        <v>3347.46</v>
      </c>
      <c r="H56" s="326">
        <f t="shared" si="5"/>
        <v>7615.43</v>
      </c>
      <c r="I56" s="203"/>
      <c r="J56" s="203"/>
      <c r="K56" s="203"/>
      <c r="L56" s="203"/>
      <c r="M56" s="203"/>
      <c r="N56" s="203"/>
      <c r="O56" s="203"/>
      <c r="P56" s="203"/>
      <c r="Q56" s="203"/>
      <c r="R56" s="203"/>
      <c r="S56" s="203"/>
    </row>
    <row r="57">
      <c r="A57" s="208" t="s">
        <v>789</v>
      </c>
      <c r="B57" s="336" t="s">
        <v>790</v>
      </c>
      <c r="C57" s="336" t="s">
        <v>791</v>
      </c>
      <c r="D57" s="336" t="s">
        <v>792</v>
      </c>
      <c r="E57" s="336" t="s">
        <v>793</v>
      </c>
      <c r="F57" s="336" t="s">
        <v>794</v>
      </c>
      <c r="G57" s="336" t="s">
        <v>795</v>
      </c>
      <c r="H57" s="336" t="s">
        <v>796</v>
      </c>
      <c r="I57" s="203"/>
      <c r="J57" s="203"/>
      <c r="K57" s="203"/>
      <c r="L57" s="203"/>
      <c r="M57" s="203"/>
      <c r="N57" s="203"/>
      <c r="O57" s="203"/>
      <c r="P57" s="203"/>
      <c r="Q57" s="203"/>
      <c r="R57" s="203"/>
      <c r="S57" s="203"/>
    </row>
    <row r="58">
      <c r="A58" s="203"/>
      <c r="B58" s="203"/>
      <c r="C58" s="203"/>
      <c r="D58" s="203"/>
      <c r="E58" s="203"/>
      <c r="F58" s="203"/>
      <c r="G58" s="203"/>
      <c r="H58" s="203"/>
      <c r="I58" s="203"/>
      <c r="J58" s="203"/>
      <c r="K58" s="203"/>
      <c r="L58" s="203"/>
      <c r="M58" s="203"/>
      <c r="N58" s="203"/>
      <c r="O58" s="203"/>
      <c r="P58" s="203"/>
      <c r="Q58" s="203"/>
      <c r="R58" s="203"/>
      <c r="S58" s="203"/>
    </row>
    <row r="59">
      <c r="A59" s="206" t="s">
        <v>797</v>
      </c>
      <c r="B59" s="206" t="s">
        <v>798</v>
      </c>
      <c r="C59" s="206" t="s">
        <v>799</v>
      </c>
      <c r="D59" s="206" t="s">
        <v>800</v>
      </c>
      <c r="E59" s="206" t="s">
        <v>801</v>
      </c>
      <c r="F59" s="203"/>
      <c r="G59" s="203"/>
      <c r="H59" s="203"/>
      <c r="I59" s="203"/>
      <c r="J59" s="203"/>
      <c r="K59" s="203"/>
      <c r="L59" s="203"/>
      <c r="M59" s="203"/>
      <c r="N59" s="203"/>
      <c r="O59" s="203"/>
      <c r="P59" s="203"/>
      <c r="Q59" s="203"/>
      <c r="R59" s="203"/>
      <c r="S59" s="203"/>
    </row>
    <row r="60">
      <c r="A60" s="208" t="s">
        <v>554</v>
      </c>
      <c r="B60" s="236">
        <f>SUMIFS('Fld Maint T&amp;E Data'!$C$5:$C$379,'Fld Maint T&amp;E Data'!$D$5:$D$379,VALUE(LEFT($A60,4)),'Fld Maint T&amp;E Data'!$F$5:$F$379,"&lt;&gt;Excluded*")</f>
        <v>13870.12</v>
      </c>
      <c r="C60" s="236">
        <f t="shared" ref="C60:C70" si="6">IF($B$23=0,0,B60/$B$23)</f>
        <v>1507.621739</v>
      </c>
      <c r="D60" s="337">
        <f t="shared" ref="D60:D70" si="7">IF($B$71=0,0,B60/$B$71)</f>
        <v>0.1378158708</v>
      </c>
      <c r="E60" s="338">
        <f>COUNTIFS('Fld Maint T&amp;E Data'!$D$5:$D$379,VALUE(LEFT($A60,4)),'Fld Maint T&amp;E Data'!$F$5:$F$379,"&lt;&gt;Excluded*")</f>
        <v>43</v>
      </c>
      <c r="F60" s="203"/>
      <c r="G60" s="203"/>
      <c r="H60" s="203"/>
      <c r="I60" s="203"/>
      <c r="J60" s="203"/>
      <c r="K60" s="203"/>
      <c r="L60" s="203"/>
      <c r="M60" s="203"/>
      <c r="N60" s="203"/>
      <c r="O60" s="203"/>
      <c r="P60" s="203"/>
      <c r="Q60" s="203"/>
      <c r="R60" s="203"/>
      <c r="S60" s="203"/>
    </row>
    <row r="61">
      <c r="A61" s="208" t="s">
        <v>555</v>
      </c>
      <c r="B61" s="236">
        <f>SUMIFS('Fld Maint T&amp;E Data'!$C$5:$C$379,'Fld Maint T&amp;E Data'!$D$5:$D$379,VALUE(LEFT($A61,4)),'Fld Maint T&amp;E Data'!$F$5:$F$379,"&lt;&gt;Excluded*")</f>
        <v>403.63</v>
      </c>
      <c r="C61" s="236">
        <f t="shared" si="6"/>
        <v>43.87282609</v>
      </c>
      <c r="D61" s="337">
        <f t="shared" si="7"/>
        <v>0.004010536315</v>
      </c>
      <c r="E61" s="338">
        <f>COUNTIFS('Fld Maint T&amp;E Data'!$D$5:$D$379,VALUE(LEFT($A61,4)),'Fld Maint T&amp;E Data'!$F$5:$F$379,"&lt;&gt;Excluded*")</f>
        <v>8</v>
      </c>
      <c r="F61" s="203"/>
      <c r="G61" s="203"/>
      <c r="H61" s="203"/>
      <c r="I61" s="203"/>
      <c r="J61" s="203"/>
      <c r="K61" s="203"/>
      <c r="L61" s="203"/>
      <c r="M61" s="203"/>
      <c r="N61" s="203"/>
      <c r="O61" s="203"/>
      <c r="P61" s="203"/>
      <c r="Q61" s="203"/>
      <c r="R61" s="203"/>
      <c r="S61" s="203"/>
    </row>
    <row r="62">
      <c r="A62" s="208" t="s">
        <v>802</v>
      </c>
      <c r="B62" s="236">
        <f>SUMIFS('Fld Maint T&amp;E Data'!$C$5:$C$379,'Fld Maint T&amp;E Data'!$D$5:$D$379,VALUE(LEFT($A62,4)),'Fld Maint T&amp;E Data'!$F$5:$F$379,"&lt;&gt;Excluded*")</f>
        <v>33758.87</v>
      </c>
      <c r="C62" s="236">
        <f t="shared" si="6"/>
        <v>3669.442391</v>
      </c>
      <c r="D62" s="337">
        <f t="shared" si="7"/>
        <v>0.3354338728</v>
      </c>
      <c r="E62" s="338">
        <f>COUNTIFS('Fld Maint T&amp;E Data'!$D$5:$D$379,VALUE(LEFT($A62,4)),'Fld Maint T&amp;E Data'!$F$5:$F$379,"&lt;&gt;Excluded*")</f>
        <v>64</v>
      </c>
      <c r="F62" s="203"/>
      <c r="G62" s="203"/>
      <c r="H62" s="203"/>
      <c r="I62" s="203"/>
      <c r="J62" s="203"/>
      <c r="K62" s="203"/>
      <c r="L62" s="203"/>
      <c r="M62" s="203"/>
      <c r="N62" s="203"/>
      <c r="O62" s="203"/>
      <c r="P62" s="203"/>
      <c r="Q62" s="203"/>
      <c r="R62" s="203"/>
      <c r="S62" s="203"/>
    </row>
    <row r="63">
      <c r="A63" s="208" t="s">
        <v>803</v>
      </c>
      <c r="B63" s="236">
        <f>SUMIFS('Fld Maint T&amp;E Data'!$C$5:$C$379,'Fld Maint T&amp;E Data'!$D$5:$D$379,VALUE(LEFT($A63,4)),'Fld Maint T&amp;E Data'!$F$5:$F$379,"&lt;&gt;Excluded*")</f>
        <v>10562.32</v>
      </c>
      <c r="C63" s="236">
        <f t="shared" si="6"/>
        <v>1148.078261</v>
      </c>
      <c r="D63" s="337">
        <f t="shared" si="7"/>
        <v>0.1049490076</v>
      </c>
      <c r="E63" s="338">
        <f>COUNTIFS('Fld Maint T&amp;E Data'!$D$5:$D$379,VALUE(LEFT($A63,4)),'Fld Maint T&amp;E Data'!$F$5:$F$379,"&lt;&gt;Excluded*")</f>
        <v>71</v>
      </c>
      <c r="F63" s="203"/>
      <c r="G63" s="203"/>
      <c r="H63" s="203"/>
      <c r="I63" s="203"/>
      <c r="J63" s="203"/>
      <c r="K63" s="203"/>
      <c r="L63" s="203"/>
      <c r="M63" s="203"/>
      <c r="N63" s="203"/>
      <c r="O63" s="203"/>
      <c r="P63" s="203"/>
      <c r="Q63" s="203"/>
      <c r="R63" s="203"/>
      <c r="S63" s="203"/>
    </row>
    <row r="64">
      <c r="A64" s="208" t="s">
        <v>558</v>
      </c>
      <c r="B64" s="236">
        <f>SUMIFS('Fld Maint T&amp;E Data'!$C$5:$C$379,'Fld Maint T&amp;E Data'!$D$5:$D$379,VALUE(LEFT($A64,4)),'Fld Maint T&amp;E Data'!$F$5:$F$379,"&lt;&gt;Excluded*")</f>
        <v>28275.21</v>
      </c>
      <c r="C64" s="236">
        <f t="shared" si="6"/>
        <v>3073.392391</v>
      </c>
      <c r="D64" s="337">
        <f t="shared" si="7"/>
        <v>0.2809472946</v>
      </c>
      <c r="E64" s="338">
        <f>COUNTIFS('Fld Maint T&amp;E Data'!$D$5:$D$379,VALUE(LEFT($A64,4)),'Fld Maint T&amp;E Data'!$F$5:$F$379,"&lt;&gt;Excluded*")</f>
        <v>64</v>
      </c>
      <c r="F64" s="203"/>
      <c r="G64" s="203"/>
      <c r="H64" s="203"/>
      <c r="I64" s="203"/>
      <c r="J64" s="203"/>
      <c r="K64" s="203"/>
      <c r="L64" s="203"/>
      <c r="M64" s="203"/>
      <c r="N64" s="203"/>
      <c r="O64" s="203"/>
      <c r="P64" s="203"/>
      <c r="Q64" s="203"/>
      <c r="R64" s="203"/>
      <c r="S64" s="203"/>
    </row>
    <row r="65">
      <c r="A65" s="208" t="s">
        <v>559</v>
      </c>
      <c r="B65" s="236">
        <f>SUMIFS('Fld Maint T&amp;E Data'!$C$5:$C$379,'Fld Maint T&amp;E Data'!$D$5:$D$379,VALUE(LEFT($A65,4)),'Fld Maint T&amp;E Data'!$F$5:$F$379,"&lt;&gt;Excluded*")</f>
        <v>140.14</v>
      </c>
      <c r="C65" s="236">
        <f t="shared" si="6"/>
        <v>15.2326087</v>
      </c>
      <c r="D65" s="337">
        <f t="shared" si="7"/>
        <v>0.00139245487</v>
      </c>
      <c r="E65" s="338">
        <f>COUNTIFS('Fld Maint T&amp;E Data'!$D$5:$D$379,VALUE(LEFT($A65,4)),'Fld Maint T&amp;E Data'!$F$5:$F$379,"&lt;&gt;Excluded*")</f>
        <v>2</v>
      </c>
      <c r="F65" s="203"/>
      <c r="G65" s="203"/>
      <c r="H65" s="203"/>
      <c r="I65" s="203"/>
      <c r="J65" s="203"/>
      <c r="K65" s="203"/>
      <c r="L65" s="203"/>
      <c r="M65" s="203"/>
      <c r="N65" s="203"/>
      <c r="O65" s="203"/>
      <c r="P65" s="203"/>
      <c r="Q65" s="203"/>
      <c r="R65" s="203"/>
      <c r="S65" s="203"/>
    </row>
    <row r="66">
      <c r="A66" s="208" t="s">
        <v>556</v>
      </c>
      <c r="B66" s="236">
        <f>SUMIFS('Fld Maint T&amp;E Data'!$C$5:$C$379,'Fld Maint T&amp;E Data'!$D$5:$D$379,VALUE(LEFT($A66,4)),'Fld Maint T&amp;E Data'!$F$5:$F$379,"&lt;&gt;Excluded*")</f>
        <v>10828.61</v>
      </c>
      <c r="C66" s="236">
        <f t="shared" si="6"/>
        <v>1177.022826</v>
      </c>
      <c r="D66" s="337">
        <f t="shared" si="7"/>
        <v>0.1075949103</v>
      </c>
      <c r="E66" s="338">
        <f>COUNTIFS('Fld Maint T&amp;E Data'!$D$5:$D$379,VALUE(LEFT($A66,4)),'Fld Maint T&amp;E Data'!$F$5:$F$379,"&lt;&gt;Excluded*")</f>
        <v>25</v>
      </c>
      <c r="F66" s="203"/>
      <c r="G66" s="203"/>
      <c r="H66" s="203"/>
      <c r="I66" s="203"/>
      <c r="J66" s="203"/>
      <c r="K66" s="203"/>
      <c r="L66" s="203"/>
      <c r="M66" s="203"/>
      <c r="N66" s="203"/>
      <c r="O66" s="203"/>
      <c r="P66" s="203"/>
      <c r="Q66" s="203"/>
      <c r="R66" s="203"/>
      <c r="S66" s="203"/>
    </row>
    <row r="67">
      <c r="A67" s="208" t="s">
        <v>557</v>
      </c>
      <c r="B67" s="236">
        <f>SUMIFS('Fld Maint T&amp;E Data'!$C$5:$C$379,'Fld Maint T&amp;E Data'!$D$5:$D$379,VALUE(LEFT($A67,4)),'Fld Maint T&amp;E Data'!$F$5:$F$379,"&lt;&gt;Excluded*")</f>
        <v>139.29</v>
      </c>
      <c r="C67" s="236">
        <f t="shared" si="6"/>
        <v>15.14021739</v>
      </c>
      <c r="D67" s="337">
        <f t="shared" si="7"/>
        <v>0.001384009125</v>
      </c>
      <c r="E67" s="338">
        <f>COUNTIFS('Fld Maint T&amp;E Data'!$D$5:$D$379,VALUE(LEFT($A67,4)),'Fld Maint T&amp;E Data'!$F$5:$F$379,"&lt;&gt;Excluded*")</f>
        <v>1</v>
      </c>
      <c r="F67" s="203"/>
      <c r="G67" s="203"/>
      <c r="H67" s="203"/>
      <c r="I67" s="203"/>
      <c r="J67" s="203"/>
      <c r="K67" s="203"/>
      <c r="L67" s="203"/>
      <c r="M67" s="203"/>
      <c r="N67" s="203"/>
      <c r="O67" s="203"/>
      <c r="P67" s="203"/>
      <c r="Q67" s="203"/>
      <c r="R67" s="203"/>
      <c r="S67" s="203"/>
    </row>
    <row r="68">
      <c r="A68" s="208" t="s">
        <v>804</v>
      </c>
      <c r="B68" s="236">
        <f>SUMIFS('Fld Maint T&amp;E Data'!$C$5:$C$379,'Fld Maint T&amp;E Data'!$D$5:$D$379,VALUE(LEFT($A68,4)),'Fld Maint T&amp;E Data'!$F$5:$F$379,"&lt;&gt;Excluded*")</f>
        <v>710.8</v>
      </c>
      <c r="C68" s="236">
        <f t="shared" si="6"/>
        <v>77.26086957</v>
      </c>
      <c r="D68" s="337">
        <f t="shared" si="7"/>
        <v>0.007062629667</v>
      </c>
      <c r="E68" s="338">
        <f>COUNTIFS('Fld Maint T&amp;E Data'!$D$5:$D$379,VALUE(LEFT($A68,4)),'Fld Maint T&amp;E Data'!$F$5:$F$379,"&lt;&gt;Excluded*")</f>
        <v>2</v>
      </c>
      <c r="F68" s="203"/>
      <c r="G68" s="203"/>
      <c r="H68" s="203"/>
      <c r="I68" s="203"/>
      <c r="J68" s="203"/>
      <c r="K68" s="203"/>
      <c r="L68" s="203"/>
      <c r="M68" s="203"/>
      <c r="N68" s="203"/>
      <c r="O68" s="203"/>
      <c r="P68" s="203"/>
      <c r="Q68" s="203"/>
      <c r="R68" s="203"/>
      <c r="S68" s="203"/>
    </row>
    <row r="69">
      <c r="A69" s="208" t="s">
        <v>805</v>
      </c>
      <c r="B69" s="236">
        <f>SUMIFS('Fld Maint T&amp;E Data'!$C$5:$C$379,'Fld Maint T&amp;E Data'!$D$5:$D$379,VALUE(LEFT($A69,4)),'Fld Maint T&amp;E Data'!$F$5:$F$379,"&lt;&gt;Excluded*")</f>
        <v>1750.13</v>
      </c>
      <c r="C69" s="236">
        <f t="shared" si="6"/>
        <v>190.2315217</v>
      </c>
      <c r="D69" s="337">
        <f t="shared" si="7"/>
        <v>0.01738958928</v>
      </c>
      <c r="E69" s="338">
        <f>COUNTIFS('Fld Maint T&amp;E Data'!$D$5:$D$379,VALUE(LEFT($A69,4)),'Fld Maint T&amp;E Data'!$F$5:$F$379,"&lt;&gt;Excluded*")</f>
        <v>12</v>
      </c>
      <c r="F69" s="203"/>
      <c r="G69" s="203"/>
      <c r="H69" s="203"/>
      <c r="I69" s="203"/>
      <c r="J69" s="203"/>
      <c r="K69" s="203"/>
      <c r="L69" s="203"/>
      <c r="M69" s="203"/>
      <c r="N69" s="203"/>
      <c r="O69" s="203"/>
      <c r="P69" s="203"/>
      <c r="Q69" s="203"/>
      <c r="R69" s="203"/>
      <c r="S69" s="203"/>
    </row>
    <row r="70">
      <c r="A70" s="208" t="s">
        <v>806</v>
      </c>
      <c r="B70" s="236">
        <f>SUMIFS('Fld Maint T&amp;E Data'!$C$5:$C$379,'Fld Maint T&amp;E Data'!$D$5:$D$379,VALUE(LEFT($A70,4)),'Fld Maint T&amp;E Data'!$F$5:$F$379,"&lt;&gt;Excluded*")</f>
        <v>203.28</v>
      </c>
      <c r="C70" s="236">
        <f t="shared" si="6"/>
        <v>22.09565217</v>
      </c>
      <c r="D70" s="337">
        <f t="shared" si="7"/>
        <v>0.002019824646</v>
      </c>
      <c r="E70" s="338">
        <f>COUNTIFS('Fld Maint T&amp;E Data'!$D$5:$D$379,VALUE(LEFT($A70,4)),'Fld Maint T&amp;E Data'!$F$5:$F$379,"&lt;&gt;Excluded*")</f>
        <v>1</v>
      </c>
      <c r="F70" s="203"/>
      <c r="G70" s="203"/>
      <c r="H70" s="203"/>
      <c r="I70" s="203"/>
      <c r="J70" s="203"/>
      <c r="K70" s="203"/>
      <c r="L70" s="203"/>
      <c r="M70" s="203"/>
      <c r="N70" s="203"/>
      <c r="O70" s="203"/>
      <c r="P70" s="203"/>
      <c r="Q70" s="203"/>
      <c r="R70" s="203"/>
      <c r="S70" s="203"/>
    </row>
    <row r="71">
      <c r="A71" s="325" t="s">
        <v>498</v>
      </c>
      <c r="B71" s="326">
        <f t="shared" ref="B71:E71" si="8">SUM(B60:B70)</f>
        <v>100642.4</v>
      </c>
      <c r="C71" s="326">
        <f t="shared" si="8"/>
        <v>10939.3913</v>
      </c>
      <c r="D71" s="339">
        <f t="shared" si="8"/>
        <v>1</v>
      </c>
      <c r="E71" s="340">
        <f t="shared" si="8"/>
        <v>293</v>
      </c>
      <c r="F71" s="203"/>
      <c r="G71" s="203"/>
      <c r="H71" s="203"/>
      <c r="I71" s="203"/>
      <c r="J71" s="203"/>
      <c r="K71" s="203"/>
      <c r="L71" s="203"/>
      <c r="M71" s="203"/>
      <c r="N71" s="203"/>
      <c r="O71" s="203"/>
      <c r="P71" s="203"/>
      <c r="Q71" s="203"/>
      <c r="R71" s="203"/>
      <c r="S71" s="203"/>
    </row>
    <row r="72">
      <c r="A72" s="203"/>
      <c r="B72" s="203"/>
      <c r="C72" s="203"/>
      <c r="D72" s="203"/>
      <c r="E72" s="203"/>
      <c r="F72" s="203"/>
      <c r="G72" s="203"/>
      <c r="H72" s="203"/>
      <c r="I72" s="203"/>
      <c r="J72" s="203"/>
      <c r="K72" s="203"/>
      <c r="L72" s="203"/>
      <c r="M72" s="203"/>
      <c r="N72" s="203"/>
      <c r="O72" s="203"/>
      <c r="P72" s="203"/>
      <c r="Q72" s="203"/>
      <c r="R72" s="203"/>
      <c r="S72" s="203"/>
    </row>
    <row r="73">
      <c r="A73" s="206" t="s">
        <v>807</v>
      </c>
      <c r="B73" s="207" t="str">
        <f>$A$5</f>
        <v>Deployment – domestic</v>
      </c>
      <c r="C73" s="207" t="str">
        <f>$A$6</f>
        <v>Deployment – international</v>
      </c>
      <c r="D73" s="207" t="str">
        <f>$A$8</f>
        <v>New hire onboarding</v>
      </c>
      <c r="E73" s="207" t="str">
        <f>$A$9</f>
        <v>Site coverage</v>
      </c>
      <c r="F73" s="207" t="str">
        <f>$A$10</f>
        <v>Special project support</v>
      </c>
      <c r="G73" s="207" t="str">
        <f>$A$11</f>
        <v>Manager site visits</v>
      </c>
      <c r="H73" s="207" t="str">
        <f>$A$12</f>
        <v>Site setup kits</v>
      </c>
      <c r="I73" s="207" t="str">
        <f>$A$13</f>
        <v>Tools &amp; equipment – techs</v>
      </c>
      <c r="J73" s="207" t="str">
        <f>$A$14</f>
        <v>Ticket consumables</v>
      </c>
      <c r="K73" s="207" t="str">
        <f>$A$16</f>
        <v>Equipment moves &amp; returns</v>
      </c>
      <c r="L73" s="203"/>
      <c r="M73" s="203"/>
      <c r="N73" s="203"/>
      <c r="O73" s="203"/>
      <c r="P73" s="203"/>
      <c r="Q73" s="203"/>
      <c r="R73" s="203"/>
      <c r="S73" s="203"/>
    </row>
    <row r="74">
      <c r="A74" s="208" t="s">
        <v>682</v>
      </c>
      <c r="B74" s="236">
        <f>SUMIFS('Fld Maint T&amp;E Data'!$C$5:$C$379,'Fld Maint T&amp;E Data'!$F$5:$F$379,B$73)</f>
        <v>5899.23</v>
      </c>
      <c r="C74" s="236">
        <f>SUMIFS('Fld Maint T&amp;E Data'!$C$5:$C$379,'Fld Maint T&amp;E Data'!$F$5:$F$379,C$73)</f>
        <v>3420.87</v>
      </c>
      <c r="D74" s="236">
        <f>SUMIFS('Fld Maint T&amp;E Data'!$C$5:$C$379,'Fld Maint T&amp;E Data'!$F$5:$F$379,D$73)</f>
        <v>17709.64</v>
      </c>
      <c r="E74" s="236">
        <f>SUMIFS('Fld Maint T&amp;E Data'!$C$5:$C$379,'Fld Maint T&amp;E Data'!$F$5:$F$379,E$73)</f>
        <v>12245.36</v>
      </c>
      <c r="F74" s="236">
        <f>SUMIFS('Fld Maint T&amp;E Data'!$C$5:$C$379,'Fld Maint T&amp;E Data'!$F$5:$F$379,F$73)</f>
        <v>13288.65</v>
      </c>
      <c r="G74" s="236">
        <f>SUMIFS('Fld Maint T&amp;E Data'!$C$5:$C$379,'Fld Maint T&amp;E Data'!$F$5:$F$379,G$73)</f>
        <v>2429.74</v>
      </c>
      <c r="H74" s="236">
        <f>SUMIFS('Fld Maint T&amp;E Data'!$C$5:$C$379,'Fld Maint T&amp;E Data'!$F$5:$F$379,H$73)</f>
        <v>2935.26</v>
      </c>
      <c r="I74" s="236">
        <f>SUMIFS('Fld Maint T&amp;E Data'!$C$5:$C$379,'Fld Maint T&amp;E Data'!$F$5:$F$379,I$73)</f>
        <v>4004.96</v>
      </c>
      <c r="J74" s="236">
        <f>SUMIFS('Fld Maint T&amp;E Data'!$C$5:$C$379,'Fld Maint T&amp;E Data'!$F$5:$F$379,J$73)</f>
        <v>1322.84</v>
      </c>
      <c r="K74" s="236">
        <f>SUMIFS('Fld Maint T&amp;E Data'!$C$5:$C$379,'Fld Maint T&amp;E Data'!$F$5:$F$379,K$73)</f>
        <v>20822.14</v>
      </c>
      <c r="L74" s="203"/>
      <c r="M74" s="203"/>
      <c r="N74" s="203"/>
      <c r="O74" s="203"/>
      <c r="P74" s="203"/>
      <c r="Q74" s="203"/>
      <c r="R74" s="203"/>
      <c r="S74" s="203"/>
    </row>
    <row r="75">
      <c r="A75" s="208" t="s">
        <v>554</v>
      </c>
      <c r="B75" s="234">
        <f>IF(B$74=0,0,SUMIFS('Fld Maint T&amp;E Data'!$C$5:$C$379,'Fld Maint T&amp;E Data'!$F$5:$F$379,B$73,'Fld Maint T&amp;E Data'!$E$5:$E$379,VALUE(LEFT($A75,4)))/B$74)</f>
        <v>0.9488899399</v>
      </c>
      <c r="C75" s="234">
        <f>IF(C$74=0,0,SUMIFS('Fld Maint T&amp;E Data'!$C$5:$C$379,'Fld Maint T&amp;E Data'!$F$5:$F$379,C$73,'Fld Maint T&amp;E Data'!$E$5:$E$379,VALUE(LEFT($A75,4)))/C$74)</f>
        <v>0.8975611467</v>
      </c>
      <c r="D75" s="234">
        <f>IF(D$74=0,0,SUMIFS('Fld Maint T&amp;E Data'!$C$5:$C$379,'Fld Maint T&amp;E Data'!$F$5:$F$379,D$73,'Fld Maint T&amp;E Data'!$E$5:$E$379,VALUE(LEFT($A75,4)))/D$74)</f>
        <v>0</v>
      </c>
      <c r="E75" s="234">
        <f>IF(E$74=0,0,SUMIFS('Fld Maint T&amp;E Data'!$C$5:$C$379,'Fld Maint T&amp;E Data'!$F$5:$F$379,E$73,'Fld Maint T&amp;E Data'!$E$5:$E$379,VALUE(LEFT($A75,4)))/E$74)</f>
        <v>0</v>
      </c>
      <c r="F75" s="234">
        <f>IF(F$74=0,0,SUMIFS('Fld Maint T&amp;E Data'!$C$5:$C$379,'Fld Maint T&amp;E Data'!$F$5:$F$379,F$73,'Fld Maint T&amp;E Data'!$E$5:$E$379,VALUE(LEFT($A75,4)))/F$74)</f>
        <v>0</v>
      </c>
      <c r="G75" s="234">
        <f>IF(G$74=0,0,SUMIFS('Fld Maint T&amp;E Data'!$C$5:$C$379,'Fld Maint T&amp;E Data'!$F$5:$F$379,G$73,'Fld Maint T&amp;E Data'!$E$5:$E$379,VALUE(LEFT($A75,4)))/G$74)</f>
        <v>0</v>
      </c>
      <c r="H75" s="234">
        <f>IF(H$74=0,0,SUMIFS('Fld Maint T&amp;E Data'!$C$5:$C$379,'Fld Maint T&amp;E Data'!$F$5:$F$379,H$73,'Fld Maint T&amp;E Data'!$E$5:$E$379,VALUE(LEFT($A75,4)))/H$74)</f>
        <v>0</v>
      </c>
      <c r="I75" s="234">
        <f>IF(I$74=0,0,SUMIFS('Fld Maint T&amp;E Data'!$C$5:$C$379,'Fld Maint T&amp;E Data'!$F$5:$F$379,I$73,'Fld Maint T&amp;E Data'!$E$5:$E$379,VALUE(LEFT($A75,4)))/I$74)</f>
        <v>0</v>
      </c>
      <c r="J75" s="234">
        <f>IF(J$74=0,0,SUMIFS('Fld Maint T&amp;E Data'!$C$5:$C$379,'Fld Maint T&amp;E Data'!$F$5:$F$379,J$73,'Fld Maint T&amp;E Data'!$E$5:$E$379,VALUE(LEFT($A75,4)))/J$74)</f>
        <v>0</v>
      </c>
      <c r="K75" s="234">
        <f>IF(K$74=0,0,SUMIFS('Fld Maint T&amp;E Data'!$C$5:$C$379,'Fld Maint T&amp;E Data'!$F$5:$F$379,K$73,'Fld Maint T&amp;E Data'!$E$5:$E$379,VALUE(LEFT($A75,4)))/K$74)</f>
        <v>0</v>
      </c>
      <c r="L75" s="203"/>
      <c r="M75" s="203"/>
      <c r="N75" s="203"/>
      <c r="O75" s="203"/>
      <c r="P75" s="203"/>
      <c r="Q75" s="203"/>
      <c r="R75" s="203"/>
      <c r="S75" s="203"/>
    </row>
    <row r="76">
      <c r="A76" s="208" t="s">
        <v>555</v>
      </c>
      <c r="B76" s="234">
        <f>IF(B$74=0,0,SUMIFS('Fld Maint T&amp;E Data'!$C$5:$C$379,'Fld Maint T&amp;E Data'!$F$5:$F$379,B$73,'Fld Maint T&amp;E Data'!$E$5:$E$379,VALUE(LEFT($A76,4)))/B$74)</f>
        <v>0</v>
      </c>
      <c r="C76" s="234">
        <f>IF(C$74=0,0,SUMIFS('Fld Maint T&amp;E Data'!$C$5:$C$379,'Fld Maint T&amp;E Data'!$F$5:$F$379,C$73,'Fld Maint T&amp;E Data'!$E$5:$E$379,VALUE(LEFT($A76,4)))/C$74)</f>
        <v>0.04616661843</v>
      </c>
      <c r="D76" s="234">
        <f>IF(D$74=0,0,SUMIFS('Fld Maint T&amp;E Data'!$C$5:$C$379,'Fld Maint T&amp;E Data'!$F$5:$F$379,D$73,'Fld Maint T&amp;E Data'!$E$5:$E$379,VALUE(LEFT($A76,4)))/D$74)</f>
        <v>0</v>
      </c>
      <c r="E76" s="234">
        <f>IF(E$74=0,0,SUMIFS('Fld Maint T&amp;E Data'!$C$5:$C$379,'Fld Maint T&amp;E Data'!$F$5:$F$379,E$73,'Fld Maint T&amp;E Data'!$E$5:$E$379,VALUE(LEFT($A76,4)))/E$74)</f>
        <v>0</v>
      </c>
      <c r="F76" s="234">
        <f>IF(F$74=0,0,SUMIFS('Fld Maint T&amp;E Data'!$C$5:$C$379,'Fld Maint T&amp;E Data'!$F$5:$F$379,F$73,'Fld Maint T&amp;E Data'!$E$5:$E$379,VALUE(LEFT($A76,4)))/F$74)</f>
        <v>0</v>
      </c>
      <c r="G76" s="234">
        <f>IF(G$74=0,0,SUMIFS('Fld Maint T&amp;E Data'!$C$5:$C$379,'Fld Maint T&amp;E Data'!$F$5:$F$379,G$73,'Fld Maint T&amp;E Data'!$E$5:$E$379,VALUE(LEFT($A76,4)))/G$74)</f>
        <v>0</v>
      </c>
      <c r="H76" s="234">
        <f>IF(H$74=0,0,SUMIFS('Fld Maint T&amp;E Data'!$C$5:$C$379,'Fld Maint T&amp;E Data'!$F$5:$F$379,H$73,'Fld Maint T&amp;E Data'!$E$5:$E$379,VALUE(LEFT($A76,4)))/H$74)</f>
        <v>0</v>
      </c>
      <c r="I76" s="234">
        <f>IF(I$74=0,0,SUMIFS('Fld Maint T&amp;E Data'!$C$5:$C$379,'Fld Maint T&amp;E Data'!$F$5:$F$379,I$73,'Fld Maint T&amp;E Data'!$E$5:$E$379,VALUE(LEFT($A76,4)))/I$74)</f>
        <v>0</v>
      </c>
      <c r="J76" s="234">
        <f>IF(J$74=0,0,SUMIFS('Fld Maint T&amp;E Data'!$C$5:$C$379,'Fld Maint T&amp;E Data'!$F$5:$F$379,J$73,'Fld Maint T&amp;E Data'!$E$5:$E$379,VALUE(LEFT($A76,4)))/J$74)</f>
        <v>0</v>
      </c>
      <c r="K76" s="234">
        <f>IF(K$74=0,0,SUMIFS('Fld Maint T&amp;E Data'!$C$5:$C$379,'Fld Maint T&amp;E Data'!$F$5:$F$379,K$73,'Fld Maint T&amp;E Data'!$E$5:$E$379,VALUE(LEFT($A76,4)))/K$74)</f>
        <v>0</v>
      </c>
      <c r="L76" s="203"/>
      <c r="M76" s="203"/>
      <c r="N76" s="203"/>
      <c r="O76" s="203"/>
      <c r="P76" s="203"/>
      <c r="Q76" s="203"/>
      <c r="R76" s="203"/>
      <c r="S76" s="203"/>
    </row>
    <row r="77">
      <c r="A77" s="208" t="s">
        <v>803</v>
      </c>
      <c r="B77" s="234">
        <f>IF(B$74=0,0,SUMIFS('Fld Maint T&amp;E Data'!$C$5:$C$379,'Fld Maint T&amp;E Data'!$F$5:$F$379,B$73,'Fld Maint T&amp;E Data'!$E$5:$E$379,VALUE(LEFT($A77,4)))/B$74)</f>
        <v>0.05111006013</v>
      </c>
      <c r="C77" s="234">
        <f>IF(C$74=0,0,SUMIFS('Fld Maint T&amp;E Data'!$C$5:$C$379,'Fld Maint T&amp;E Data'!$F$5:$F$379,C$73,'Fld Maint T&amp;E Data'!$E$5:$E$379,VALUE(LEFT($A77,4)))/C$74)</f>
        <v>0.05627223484</v>
      </c>
      <c r="D77" s="234">
        <f>IF(D$74=0,0,SUMIFS('Fld Maint T&amp;E Data'!$C$5:$C$379,'Fld Maint T&amp;E Data'!$F$5:$F$379,D$73,'Fld Maint T&amp;E Data'!$E$5:$E$379,VALUE(LEFT($A77,4)))/D$74)</f>
        <v>0.06845819565</v>
      </c>
      <c r="E77" s="234">
        <f>IF(E$74=0,0,SUMIFS('Fld Maint T&amp;E Data'!$C$5:$C$379,'Fld Maint T&amp;E Data'!$F$5:$F$379,E$73,'Fld Maint T&amp;E Data'!$E$5:$E$379,VALUE(LEFT($A77,4)))/E$74)</f>
        <v>0</v>
      </c>
      <c r="F77" s="234">
        <f>IF(F$74=0,0,SUMIFS('Fld Maint T&amp;E Data'!$C$5:$C$379,'Fld Maint T&amp;E Data'!$F$5:$F$379,F$73,'Fld Maint T&amp;E Data'!$E$5:$E$379,VALUE(LEFT($A77,4)))/F$74)</f>
        <v>0.1514352474</v>
      </c>
      <c r="G77" s="234">
        <f>IF(G$74=0,0,SUMIFS('Fld Maint T&amp;E Data'!$C$5:$C$379,'Fld Maint T&amp;E Data'!$F$5:$F$379,G$73,'Fld Maint T&amp;E Data'!$E$5:$E$379,VALUE(LEFT($A77,4)))/G$74)</f>
        <v>0.0276819742</v>
      </c>
      <c r="H77" s="234">
        <f>IF(H$74=0,0,SUMIFS('Fld Maint T&amp;E Data'!$C$5:$C$379,'Fld Maint T&amp;E Data'!$F$5:$F$379,H$73,'Fld Maint T&amp;E Data'!$E$5:$E$379,VALUE(LEFT($A77,4)))/H$74)</f>
        <v>1</v>
      </c>
      <c r="I77" s="234">
        <f>IF(I$74=0,0,SUMIFS('Fld Maint T&amp;E Data'!$C$5:$C$379,'Fld Maint T&amp;E Data'!$F$5:$F$379,I$73,'Fld Maint T&amp;E Data'!$E$5:$E$379,VALUE(LEFT($A77,4)))/I$74)</f>
        <v>1</v>
      </c>
      <c r="J77" s="234">
        <f>IF(J$74=0,0,SUMIFS('Fld Maint T&amp;E Data'!$C$5:$C$379,'Fld Maint T&amp;E Data'!$F$5:$F$379,J$73,'Fld Maint T&amp;E Data'!$E$5:$E$379,VALUE(LEFT($A77,4)))/J$74)</f>
        <v>1</v>
      </c>
      <c r="K77" s="234">
        <f>IF(K$74=0,0,SUMIFS('Fld Maint T&amp;E Data'!$C$5:$C$379,'Fld Maint T&amp;E Data'!$F$5:$F$379,K$73,'Fld Maint T&amp;E Data'!$E$5:$E$379,VALUE(LEFT($A77,4)))/K$74)</f>
        <v>0</v>
      </c>
      <c r="L77" s="203"/>
      <c r="M77" s="203"/>
      <c r="N77" s="203"/>
      <c r="O77" s="203"/>
      <c r="P77" s="203"/>
      <c r="Q77" s="203"/>
      <c r="R77" s="203"/>
      <c r="S77" s="203"/>
    </row>
    <row r="78">
      <c r="A78" s="208" t="s">
        <v>558</v>
      </c>
      <c r="B78" s="234">
        <f>IF(B$74=0,0,SUMIFS('Fld Maint T&amp;E Data'!$C$5:$C$379,'Fld Maint T&amp;E Data'!$F$5:$F$379,B$73,'Fld Maint T&amp;E Data'!$E$5:$E$379,VALUE(LEFT($A78,4)))/B$74)</f>
        <v>0</v>
      </c>
      <c r="C78" s="234">
        <f>IF(C$74=0,0,SUMIFS('Fld Maint T&amp;E Data'!$C$5:$C$379,'Fld Maint T&amp;E Data'!$F$5:$F$379,C$73,'Fld Maint T&amp;E Data'!$E$5:$E$379,VALUE(LEFT($A78,4)))/C$74)</f>
        <v>0</v>
      </c>
      <c r="D78" s="234">
        <f>IF(D$74=0,0,SUMIFS('Fld Maint T&amp;E Data'!$C$5:$C$379,'Fld Maint T&amp;E Data'!$F$5:$F$379,D$73,'Fld Maint T&amp;E Data'!$E$5:$E$379,VALUE(LEFT($A78,4)))/D$74)</f>
        <v>0.9246811341</v>
      </c>
      <c r="E78" s="234">
        <f>IF(E$74=0,0,SUMIFS('Fld Maint T&amp;E Data'!$C$5:$C$379,'Fld Maint T&amp;E Data'!$F$5:$F$379,E$73,'Fld Maint T&amp;E Data'!$E$5:$E$379,VALUE(LEFT($A78,4)))/E$74)</f>
        <v>1</v>
      </c>
      <c r="F78" s="234">
        <f>IF(F$74=0,0,SUMIFS('Fld Maint T&amp;E Data'!$C$5:$C$379,'Fld Maint T&amp;E Data'!$F$5:$F$379,F$73,'Fld Maint T&amp;E Data'!$E$5:$E$379,VALUE(LEFT($A78,4)))/F$74)</f>
        <v>0.8316262374</v>
      </c>
      <c r="G78" s="234">
        <f>IF(G$74=0,0,SUMIFS('Fld Maint T&amp;E Data'!$C$5:$C$379,'Fld Maint T&amp;E Data'!$F$5:$F$379,G$73,'Fld Maint T&amp;E Data'!$E$5:$E$379,VALUE(LEFT($A78,4)))/G$74)</f>
        <v>0.8234625927</v>
      </c>
      <c r="H78" s="234">
        <f>IF(H$74=0,0,SUMIFS('Fld Maint T&amp;E Data'!$C$5:$C$379,'Fld Maint T&amp;E Data'!$F$5:$F$379,H$73,'Fld Maint T&amp;E Data'!$E$5:$E$379,VALUE(LEFT($A78,4)))/H$74)</f>
        <v>0</v>
      </c>
      <c r="I78" s="234">
        <f>IF(I$74=0,0,SUMIFS('Fld Maint T&amp;E Data'!$C$5:$C$379,'Fld Maint T&amp;E Data'!$F$5:$F$379,I$73,'Fld Maint T&amp;E Data'!$E$5:$E$379,VALUE(LEFT($A78,4)))/I$74)</f>
        <v>0</v>
      </c>
      <c r="J78" s="234">
        <f>IF(J$74=0,0,SUMIFS('Fld Maint T&amp;E Data'!$C$5:$C$379,'Fld Maint T&amp;E Data'!$F$5:$F$379,J$73,'Fld Maint T&amp;E Data'!$E$5:$E$379,VALUE(LEFT($A78,4)))/J$74)</f>
        <v>0</v>
      </c>
      <c r="K78" s="234">
        <f>IF(K$74=0,0,SUMIFS('Fld Maint T&amp;E Data'!$C$5:$C$379,'Fld Maint T&amp;E Data'!$F$5:$F$379,K$73,'Fld Maint T&amp;E Data'!$E$5:$E$379,VALUE(LEFT($A78,4)))/K$74)</f>
        <v>0</v>
      </c>
      <c r="L78" s="203"/>
      <c r="M78" s="203"/>
      <c r="N78" s="203"/>
      <c r="O78" s="203"/>
      <c r="P78" s="203"/>
      <c r="Q78" s="203"/>
      <c r="R78" s="203"/>
      <c r="S78" s="203"/>
    </row>
    <row r="79">
      <c r="A79" s="208" t="s">
        <v>559</v>
      </c>
      <c r="B79" s="234">
        <f>IF(B$74=0,0,SUMIFS('Fld Maint T&amp;E Data'!$C$5:$C$379,'Fld Maint T&amp;E Data'!$F$5:$F$379,B$73,'Fld Maint T&amp;E Data'!$E$5:$E$379,VALUE(LEFT($A79,4)))/B$74)</f>
        <v>0</v>
      </c>
      <c r="C79" s="234">
        <f>IF(C$74=0,0,SUMIFS('Fld Maint T&amp;E Data'!$C$5:$C$379,'Fld Maint T&amp;E Data'!$F$5:$F$379,C$73,'Fld Maint T&amp;E Data'!$E$5:$E$379,VALUE(LEFT($A79,4)))/C$74)</f>
        <v>0</v>
      </c>
      <c r="D79" s="234">
        <f>IF(D$74=0,0,SUMIFS('Fld Maint T&amp;E Data'!$C$5:$C$379,'Fld Maint T&amp;E Data'!$F$5:$F$379,D$73,'Fld Maint T&amp;E Data'!$E$5:$E$379,VALUE(LEFT($A79,4)))/D$74)</f>
        <v>0.006860670234</v>
      </c>
      <c r="E79" s="234">
        <f>IF(E$74=0,0,SUMIFS('Fld Maint T&amp;E Data'!$C$5:$C$379,'Fld Maint T&amp;E Data'!$F$5:$F$379,E$73,'Fld Maint T&amp;E Data'!$E$5:$E$379,VALUE(LEFT($A79,4)))/E$74)</f>
        <v>0</v>
      </c>
      <c r="F79" s="234">
        <f>IF(F$74=0,0,SUMIFS('Fld Maint T&amp;E Data'!$C$5:$C$379,'Fld Maint T&amp;E Data'!$F$5:$F$379,F$73,'Fld Maint T&amp;E Data'!$E$5:$E$379,VALUE(LEFT($A79,4)))/F$74)</f>
        <v>0.0169385152</v>
      </c>
      <c r="G79" s="234">
        <f>IF(G$74=0,0,SUMIFS('Fld Maint T&amp;E Data'!$C$5:$C$379,'Fld Maint T&amp;E Data'!$F$5:$F$379,G$73,'Fld Maint T&amp;E Data'!$E$5:$E$379,VALUE(LEFT($A79,4)))/G$74)</f>
        <v>0.06519216048</v>
      </c>
      <c r="H79" s="234">
        <f>IF(H$74=0,0,SUMIFS('Fld Maint T&amp;E Data'!$C$5:$C$379,'Fld Maint T&amp;E Data'!$F$5:$F$379,H$73,'Fld Maint T&amp;E Data'!$E$5:$E$379,VALUE(LEFT($A79,4)))/H$74)</f>
        <v>0</v>
      </c>
      <c r="I79" s="234">
        <f>IF(I$74=0,0,SUMIFS('Fld Maint T&amp;E Data'!$C$5:$C$379,'Fld Maint T&amp;E Data'!$F$5:$F$379,I$73,'Fld Maint T&amp;E Data'!$E$5:$E$379,VALUE(LEFT($A79,4)))/I$74)</f>
        <v>0</v>
      </c>
      <c r="J79" s="234">
        <f>IF(J$74=0,0,SUMIFS('Fld Maint T&amp;E Data'!$C$5:$C$379,'Fld Maint T&amp;E Data'!$F$5:$F$379,J$73,'Fld Maint T&amp;E Data'!$E$5:$E$379,VALUE(LEFT($A79,4)))/J$74)</f>
        <v>0</v>
      </c>
      <c r="K79" s="234">
        <f>IF(K$74=0,0,SUMIFS('Fld Maint T&amp;E Data'!$C$5:$C$379,'Fld Maint T&amp;E Data'!$F$5:$F$379,K$73,'Fld Maint T&amp;E Data'!$E$5:$E$379,VALUE(LEFT($A79,4)))/K$74)</f>
        <v>0</v>
      </c>
      <c r="L79" s="203"/>
      <c r="M79" s="203"/>
      <c r="N79" s="203"/>
      <c r="O79" s="203"/>
      <c r="P79" s="203"/>
      <c r="Q79" s="203"/>
      <c r="R79" s="203"/>
      <c r="S79" s="203"/>
    </row>
    <row r="80">
      <c r="A80" s="208" t="s">
        <v>802</v>
      </c>
      <c r="B80" s="234">
        <f>IF(B$74=0,0,SUMIFS('Fld Maint T&amp;E Data'!$C$5:$C$379,'Fld Maint T&amp;E Data'!$F$5:$F$379,B$73,'Fld Maint T&amp;E Data'!$E$5:$E$379,VALUE(LEFT($A80,4)))/B$74)</f>
        <v>0</v>
      </c>
      <c r="C80" s="234">
        <f>IF(C$74=0,0,SUMIFS('Fld Maint T&amp;E Data'!$C$5:$C$379,'Fld Maint T&amp;E Data'!$F$5:$F$379,C$73,'Fld Maint T&amp;E Data'!$E$5:$E$379,VALUE(LEFT($A80,4)))/C$74)</f>
        <v>0</v>
      </c>
      <c r="D80" s="234">
        <f>IF(D$74=0,0,SUMIFS('Fld Maint T&amp;E Data'!$C$5:$C$379,'Fld Maint T&amp;E Data'!$F$5:$F$379,D$73,'Fld Maint T&amp;E Data'!$E$5:$E$379,VALUE(LEFT($A80,4)))/D$74)</f>
        <v>0</v>
      </c>
      <c r="E80" s="234">
        <f>IF(E$74=0,0,SUMIFS('Fld Maint T&amp;E Data'!$C$5:$C$379,'Fld Maint T&amp;E Data'!$F$5:$F$379,E$73,'Fld Maint T&amp;E Data'!$E$5:$E$379,VALUE(LEFT($A80,4)))/E$74)</f>
        <v>0</v>
      </c>
      <c r="F80" s="234">
        <f>IF(F$74=0,0,SUMIFS('Fld Maint T&amp;E Data'!$C$5:$C$379,'Fld Maint T&amp;E Data'!$F$5:$F$379,F$73,'Fld Maint T&amp;E Data'!$E$5:$E$379,VALUE(LEFT($A80,4)))/F$74)</f>
        <v>0</v>
      </c>
      <c r="G80" s="234">
        <f>IF(G$74=0,0,SUMIFS('Fld Maint T&amp;E Data'!$C$5:$C$379,'Fld Maint T&amp;E Data'!$F$5:$F$379,G$73,'Fld Maint T&amp;E Data'!$E$5:$E$379,VALUE(LEFT($A80,4)))/G$74)</f>
        <v>0.08366327261</v>
      </c>
      <c r="H80" s="234">
        <f>IF(H$74=0,0,SUMIFS('Fld Maint T&amp;E Data'!$C$5:$C$379,'Fld Maint T&amp;E Data'!$F$5:$F$379,H$73,'Fld Maint T&amp;E Data'!$E$5:$E$379,VALUE(LEFT($A80,4)))/H$74)</f>
        <v>0</v>
      </c>
      <c r="I80" s="234">
        <f>IF(I$74=0,0,SUMIFS('Fld Maint T&amp;E Data'!$C$5:$C$379,'Fld Maint T&amp;E Data'!$F$5:$F$379,I$73,'Fld Maint T&amp;E Data'!$E$5:$E$379,VALUE(LEFT($A80,4)))/I$74)</f>
        <v>0</v>
      </c>
      <c r="J80" s="234">
        <f>IF(J$74=0,0,SUMIFS('Fld Maint T&amp;E Data'!$C$5:$C$379,'Fld Maint T&amp;E Data'!$F$5:$F$379,J$73,'Fld Maint T&amp;E Data'!$E$5:$E$379,VALUE(LEFT($A80,4)))/J$74)</f>
        <v>0</v>
      </c>
      <c r="K80" s="234">
        <f>IF(K$74=0,0,SUMIFS('Fld Maint T&amp;E Data'!$C$5:$C$379,'Fld Maint T&amp;E Data'!$F$5:$F$379,K$73,'Fld Maint T&amp;E Data'!$E$5:$E$379,VALUE(LEFT($A80,4)))/K$74)</f>
        <v>1</v>
      </c>
      <c r="L80" s="203"/>
      <c r="M80" s="203"/>
      <c r="N80" s="203"/>
      <c r="O80" s="203"/>
      <c r="P80" s="203"/>
      <c r="Q80" s="203"/>
      <c r="R80" s="203"/>
      <c r="S80" s="203"/>
    </row>
    <row r="81">
      <c r="A81" s="325" t="s">
        <v>498</v>
      </c>
      <c r="B81" s="341">
        <f t="shared" ref="B81:K81" si="9">SUM(B75:B80)</f>
        <v>1</v>
      </c>
      <c r="C81" s="341">
        <f t="shared" si="9"/>
        <v>1</v>
      </c>
      <c r="D81" s="341">
        <f t="shared" si="9"/>
        <v>1</v>
      </c>
      <c r="E81" s="341">
        <f t="shared" si="9"/>
        <v>1</v>
      </c>
      <c r="F81" s="341">
        <f t="shared" si="9"/>
        <v>1</v>
      </c>
      <c r="G81" s="341">
        <f t="shared" si="9"/>
        <v>1</v>
      </c>
      <c r="H81" s="341">
        <f t="shared" si="9"/>
        <v>1</v>
      </c>
      <c r="I81" s="341">
        <f t="shared" si="9"/>
        <v>1</v>
      </c>
      <c r="J81" s="341">
        <f t="shared" si="9"/>
        <v>1</v>
      </c>
      <c r="K81" s="341">
        <f t="shared" si="9"/>
        <v>1</v>
      </c>
      <c r="L81" s="203"/>
      <c r="M81" s="203"/>
      <c r="N81" s="203"/>
      <c r="O81" s="203"/>
      <c r="P81" s="203"/>
      <c r="Q81" s="203"/>
      <c r="R81" s="203"/>
      <c r="S81" s="203"/>
    </row>
    <row r="82">
      <c r="A82" s="203"/>
      <c r="B82" s="203"/>
      <c r="C82" s="203"/>
      <c r="D82" s="203"/>
      <c r="E82" s="203"/>
      <c r="F82" s="203"/>
      <c r="G82" s="203"/>
      <c r="H82" s="203"/>
      <c r="I82" s="203"/>
      <c r="J82" s="203"/>
      <c r="K82" s="203"/>
      <c r="L82" s="203"/>
      <c r="M82" s="203"/>
      <c r="N82" s="203"/>
      <c r="O82" s="203"/>
      <c r="P82" s="203"/>
      <c r="Q82" s="203"/>
      <c r="R82" s="203"/>
      <c r="S82" s="203"/>
    </row>
    <row r="83">
      <c r="A83" s="206" t="s">
        <v>435</v>
      </c>
      <c r="B83" s="226">
        <f>'Fld Ops Payroll'!B19</f>
        <v>46295</v>
      </c>
      <c r="C83" s="226">
        <f>'Fld Ops Payroll'!C19</f>
        <v>46326</v>
      </c>
      <c r="D83" s="226">
        <f>'Fld Ops Payroll'!D19</f>
        <v>46356</v>
      </c>
      <c r="E83" s="226">
        <f>'Fld Ops Payroll'!E19</f>
        <v>46387</v>
      </c>
      <c r="F83" s="226">
        <f>'Fld Ops Payroll'!F19</f>
        <v>46418</v>
      </c>
      <c r="G83" s="226">
        <f>'Fld Ops Payroll'!G19</f>
        <v>46446</v>
      </c>
      <c r="H83" s="226">
        <f>'Fld Ops Payroll'!H19</f>
        <v>46477</v>
      </c>
      <c r="I83" s="226">
        <f>'Fld Ops Payroll'!I19</f>
        <v>46507</v>
      </c>
      <c r="J83" s="226">
        <f>'Fld Ops Payroll'!J19</f>
        <v>46538</v>
      </c>
      <c r="K83" s="226">
        <f>'Fld Ops Payroll'!K19</f>
        <v>46568</v>
      </c>
      <c r="L83" s="226">
        <f>'Fld Ops Payroll'!L19</f>
        <v>46599</v>
      </c>
      <c r="M83" s="226">
        <f>'Fld Ops Payroll'!M19</f>
        <v>46630</v>
      </c>
      <c r="N83" s="226">
        <f>'Fld Ops Payroll'!N19</f>
        <v>46660</v>
      </c>
      <c r="O83" s="226">
        <f>'Fld Ops Payroll'!O19</f>
        <v>46691</v>
      </c>
      <c r="P83" s="226">
        <f>'Fld Ops Payroll'!P19</f>
        <v>46721</v>
      </c>
      <c r="Q83" s="226">
        <f>'Fld Ops Payroll'!Q19</f>
        <v>46752</v>
      </c>
      <c r="R83" s="227" t="s">
        <v>246</v>
      </c>
      <c r="S83" s="227" t="s">
        <v>2</v>
      </c>
    </row>
    <row r="84">
      <c r="A84" s="208" t="s">
        <v>808</v>
      </c>
      <c r="B84" s="342">
        <f>'Fld Ops Payroll'!B28</f>
        <v>0</v>
      </c>
      <c r="C84" s="342">
        <f>'Fld Ops Payroll'!C28</f>
        <v>0</v>
      </c>
      <c r="D84" s="342">
        <f>'Fld Ops Payroll'!D28</f>
        <v>0</v>
      </c>
      <c r="E84" s="342">
        <f>'Fld Ops Payroll'!E28</f>
        <v>0</v>
      </c>
      <c r="F84" s="342">
        <f>'Fld Ops Payroll'!F28</f>
        <v>3</v>
      </c>
      <c r="G84" s="342">
        <f>'Fld Ops Payroll'!G28</f>
        <v>2</v>
      </c>
      <c r="H84" s="342">
        <f>'Fld Ops Payroll'!H28</f>
        <v>0</v>
      </c>
      <c r="I84" s="342">
        <f>'Fld Ops Payroll'!I28</f>
        <v>3</v>
      </c>
      <c r="J84" s="342">
        <f>'Fld Ops Payroll'!J28</f>
        <v>3</v>
      </c>
      <c r="K84" s="342">
        <f>'Fld Ops Payroll'!K28</f>
        <v>4</v>
      </c>
      <c r="L84" s="342">
        <f>'Fld Ops Payroll'!L28</f>
        <v>4</v>
      </c>
      <c r="M84" s="342">
        <f>'Fld Ops Payroll'!M28</f>
        <v>5</v>
      </c>
      <c r="N84" s="342">
        <f>'Fld Ops Payroll'!N28</f>
        <v>6</v>
      </c>
      <c r="O84" s="342">
        <f>'Fld Ops Payroll'!O28</f>
        <v>6</v>
      </c>
      <c r="P84" s="342">
        <f>'Fld Ops Payroll'!P28</f>
        <v>7</v>
      </c>
      <c r="Q84" s="342">
        <f>'Fld Ops Payroll'!Q28</f>
        <v>8</v>
      </c>
      <c r="R84" s="343">
        <f t="shared" ref="R84:R93" si="10">SUM(B84:E84)</f>
        <v>0</v>
      </c>
      <c r="S84" s="343">
        <f t="shared" ref="S84:S93" si="11">SUM(F84:Q84)</f>
        <v>51</v>
      </c>
    </row>
    <row r="85">
      <c r="A85" s="208" t="s">
        <v>437</v>
      </c>
      <c r="B85" s="342">
        <f>N(DeploySum!B60)</f>
        <v>0</v>
      </c>
      <c r="C85" s="342">
        <f>N(DeploySum!C60)</f>
        <v>2</v>
      </c>
      <c r="D85" s="342">
        <f>N(DeploySum!D60)</f>
        <v>2</v>
      </c>
      <c r="E85" s="342">
        <f>N(DeploySum!E60)</f>
        <v>0</v>
      </c>
      <c r="F85" s="342">
        <f>N(DeploySum!F60)</f>
        <v>0</v>
      </c>
      <c r="G85" s="342">
        <f>N(DeploySum!G60)</f>
        <v>0</v>
      </c>
      <c r="H85" s="342">
        <f>N(DeploySum!H60)</f>
        <v>0</v>
      </c>
      <c r="I85" s="342">
        <f>N(DeploySum!I60)</f>
        <v>1</v>
      </c>
      <c r="J85" s="342">
        <f>N(DeploySum!J60)</f>
        <v>0</v>
      </c>
      <c r="K85" s="342">
        <f>N(DeploySum!K60)</f>
        <v>0</v>
      </c>
      <c r="L85" s="342">
        <f>N(DeploySum!L60)</f>
        <v>0</v>
      </c>
      <c r="M85" s="342">
        <f>N(DeploySum!M60)</f>
        <v>0</v>
      </c>
      <c r="N85" s="342">
        <f>N(DeploySum!N60)</f>
        <v>0</v>
      </c>
      <c r="O85" s="342">
        <f>N(DeploySum!O60)</f>
        <v>0</v>
      </c>
      <c r="P85" s="342">
        <f>N(DeploySum!P60)</f>
        <v>0</v>
      </c>
      <c r="Q85" s="342">
        <f>N(DeploySum!Q60)</f>
        <v>0</v>
      </c>
      <c r="R85" s="343">
        <f t="shared" si="10"/>
        <v>4</v>
      </c>
      <c r="S85" s="343">
        <f t="shared" si="11"/>
        <v>1</v>
      </c>
    </row>
    <row r="86">
      <c r="A86" s="208" t="s">
        <v>438</v>
      </c>
      <c r="B86" s="342">
        <f>'Fld Ops Payroll'!B38</f>
        <v>0</v>
      </c>
      <c r="C86" s="342">
        <f>'Fld Ops Payroll'!C38</f>
        <v>0</v>
      </c>
      <c r="D86" s="342">
        <f>'Fld Ops Payroll'!D38</f>
        <v>0</v>
      </c>
      <c r="E86" s="342">
        <f>'Fld Ops Payroll'!E38</f>
        <v>0</v>
      </c>
      <c r="F86" s="342">
        <f>'Fld Ops Payroll'!F38</f>
        <v>0</v>
      </c>
      <c r="G86" s="342">
        <f>'Fld Ops Payroll'!G38</f>
        <v>0</v>
      </c>
      <c r="H86" s="342">
        <f>'Fld Ops Payroll'!H38</f>
        <v>0</v>
      </c>
      <c r="I86" s="342">
        <f>'Fld Ops Payroll'!I38</f>
        <v>1</v>
      </c>
      <c r="J86" s="342">
        <f>'Fld Ops Payroll'!J38</f>
        <v>1</v>
      </c>
      <c r="K86" s="342">
        <f>'Fld Ops Payroll'!K38</f>
        <v>2</v>
      </c>
      <c r="L86" s="342">
        <f>'Fld Ops Payroll'!L38</f>
        <v>1</v>
      </c>
      <c r="M86" s="342">
        <f>'Fld Ops Payroll'!M38</f>
        <v>1</v>
      </c>
      <c r="N86" s="342">
        <f>'Fld Ops Payroll'!N38</f>
        <v>2</v>
      </c>
      <c r="O86" s="342">
        <f>'Fld Ops Payroll'!O38</f>
        <v>2</v>
      </c>
      <c r="P86" s="342">
        <f>'Fld Ops Payroll'!P38</f>
        <v>3</v>
      </c>
      <c r="Q86" s="342">
        <f>'Fld Ops Payroll'!Q38</f>
        <v>2</v>
      </c>
      <c r="R86" s="343">
        <f t="shared" si="10"/>
        <v>0</v>
      </c>
      <c r="S86" s="343">
        <f t="shared" si="11"/>
        <v>15</v>
      </c>
    </row>
    <row r="87">
      <c r="A87" s="208" t="s">
        <v>439</v>
      </c>
      <c r="B87" s="233">
        <f t="shared" ref="B87:Q87" si="12">B84+B85+B86</f>
        <v>0</v>
      </c>
      <c r="C87" s="233">
        <f t="shared" si="12"/>
        <v>2</v>
      </c>
      <c r="D87" s="233">
        <f t="shared" si="12"/>
        <v>2</v>
      </c>
      <c r="E87" s="233">
        <f t="shared" si="12"/>
        <v>0</v>
      </c>
      <c r="F87" s="233">
        <f t="shared" si="12"/>
        <v>3</v>
      </c>
      <c r="G87" s="233">
        <f t="shared" si="12"/>
        <v>2</v>
      </c>
      <c r="H87" s="233">
        <f t="shared" si="12"/>
        <v>0</v>
      </c>
      <c r="I87" s="233">
        <f t="shared" si="12"/>
        <v>5</v>
      </c>
      <c r="J87" s="233">
        <f t="shared" si="12"/>
        <v>4</v>
      </c>
      <c r="K87" s="233">
        <f t="shared" si="12"/>
        <v>6</v>
      </c>
      <c r="L87" s="233">
        <f t="shared" si="12"/>
        <v>5</v>
      </c>
      <c r="M87" s="233">
        <f t="shared" si="12"/>
        <v>6</v>
      </c>
      <c r="N87" s="233">
        <f t="shared" si="12"/>
        <v>8</v>
      </c>
      <c r="O87" s="233">
        <f t="shared" si="12"/>
        <v>8</v>
      </c>
      <c r="P87" s="233">
        <f t="shared" si="12"/>
        <v>10</v>
      </c>
      <c r="Q87" s="233">
        <f t="shared" si="12"/>
        <v>10</v>
      </c>
      <c r="R87" s="343">
        <f t="shared" si="10"/>
        <v>4</v>
      </c>
      <c r="S87" s="343">
        <f t="shared" si="11"/>
        <v>67</v>
      </c>
    </row>
    <row r="88">
      <c r="A88" s="208" t="s">
        <v>809</v>
      </c>
      <c r="B88" s="233">
        <f t="shared" ref="B88:Q88" si="13">B84+B85</f>
        <v>0</v>
      </c>
      <c r="C88" s="233">
        <f t="shared" si="13"/>
        <v>2</v>
      </c>
      <c r="D88" s="233">
        <f t="shared" si="13"/>
        <v>2</v>
      </c>
      <c r="E88" s="233">
        <f t="shared" si="13"/>
        <v>0</v>
      </c>
      <c r="F88" s="233">
        <f t="shared" si="13"/>
        <v>3</v>
      </c>
      <c r="G88" s="233">
        <f t="shared" si="13"/>
        <v>2</v>
      </c>
      <c r="H88" s="233">
        <f t="shared" si="13"/>
        <v>0</v>
      </c>
      <c r="I88" s="233">
        <f t="shared" si="13"/>
        <v>4</v>
      </c>
      <c r="J88" s="233">
        <f t="shared" si="13"/>
        <v>3</v>
      </c>
      <c r="K88" s="233">
        <f t="shared" si="13"/>
        <v>4</v>
      </c>
      <c r="L88" s="233">
        <f t="shared" si="13"/>
        <v>4</v>
      </c>
      <c r="M88" s="233">
        <f t="shared" si="13"/>
        <v>5</v>
      </c>
      <c r="N88" s="233">
        <f t="shared" si="13"/>
        <v>6</v>
      </c>
      <c r="O88" s="233">
        <f t="shared" si="13"/>
        <v>6</v>
      </c>
      <c r="P88" s="233">
        <f t="shared" si="13"/>
        <v>7</v>
      </c>
      <c r="Q88" s="233">
        <f t="shared" si="13"/>
        <v>8</v>
      </c>
      <c r="R88" s="343">
        <f t="shared" si="10"/>
        <v>4</v>
      </c>
      <c r="S88" s="343">
        <f t="shared" si="11"/>
        <v>52</v>
      </c>
    </row>
    <row r="89">
      <c r="A89" s="208" t="s">
        <v>810</v>
      </c>
      <c r="B89" s="229">
        <f>'Fld Ops Payroll'!B29+'Fld Ops Payroll'!B42+'Fld Ops Payroll'!B55+'Fld Ops Payroll'!B68</f>
        <v>0</v>
      </c>
      <c r="C89" s="229">
        <f>'Fld Ops Payroll'!C29+'Fld Ops Payroll'!C42+'Fld Ops Payroll'!C55+'Fld Ops Payroll'!C68</f>
        <v>0</v>
      </c>
      <c r="D89" s="229">
        <f>'Fld Ops Payroll'!D29+'Fld Ops Payroll'!D42+'Fld Ops Payroll'!D55+'Fld Ops Payroll'!D68</f>
        <v>0</v>
      </c>
      <c r="E89" s="229">
        <f>'Fld Ops Payroll'!E29+'Fld Ops Payroll'!E42+'Fld Ops Payroll'!E55+'Fld Ops Payroll'!E68</f>
        <v>3</v>
      </c>
      <c r="F89" s="229">
        <f>'Fld Ops Payroll'!F29+'Fld Ops Payroll'!F42+'Fld Ops Payroll'!F55+'Fld Ops Payroll'!F68</f>
        <v>2</v>
      </c>
      <c r="G89" s="229">
        <f>'Fld Ops Payroll'!G29+'Fld Ops Payroll'!G42+'Fld Ops Payroll'!G55+'Fld Ops Payroll'!G68</f>
        <v>0</v>
      </c>
      <c r="H89" s="229">
        <f>'Fld Ops Payroll'!H29+'Fld Ops Payroll'!H42+'Fld Ops Payroll'!H55+'Fld Ops Payroll'!H68</f>
        <v>5</v>
      </c>
      <c r="I89" s="229">
        <f>'Fld Ops Payroll'!I29+'Fld Ops Payroll'!I42+'Fld Ops Payroll'!I55+'Fld Ops Payroll'!I68</f>
        <v>3</v>
      </c>
      <c r="J89" s="229">
        <f>'Fld Ops Payroll'!J29+'Fld Ops Payroll'!J42+'Fld Ops Payroll'!J55+'Fld Ops Payroll'!J68</f>
        <v>5</v>
      </c>
      <c r="K89" s="229">
        <f>'Fld Ops Payroll'!K29+'Fld Ops Payroll'!K42+'Fld Ops Payroll'!K55+'Fld Ops Payroll'!K68</f>
        <v>5</v>
      </c>
      <c r="L89" s="229">
        <f>'Fld Ops Payroll'!L29+'Fld Ops Payroll'!L42+'Fld Ops Payroll'!L55+'Fld Ops Payroll'!L68</f>
        <v>7</v>
      </c>
      <c r="M89" s="229">
        <f>'Fld Ops Payroll'!M29+'Fld Ops Payroll'!M42+'Fld Ops Payroll'!M55+'Fld Ops Payroll'!M68</f>
        <v>7</v>
      </c>
      <c r="N89" s="229">
        <f>'Fld Ops Payroll'!N29+'Fld Ops Payroll'!N42+'Fld Ops Payroll'!N55+'Fld Ops Payroll'!N68</f>
        <v>7</v>
      </c>
      <c r="O89" s="229">
        <f>'Fld Ops Payroll'!O29+'Fld Ops Payroll'!O42+'Fld Ops Payroll'!O55+'Fld Ops Payroll'!O68</f>
        <v>10</v>
      </c>
      <c r="P89" s="229">
        <f>'Fld Ops Payroll'!P29+'Fld Ops Payroll'!P42+'Fld Ops Payroll'!P55+'Fld Ops Payroll'!P68</f>
        <v>9</v>
      </c>
      <c r="Q89" s="229">
        <f>'Fld Ops Payroll'!Q29+'Fld Ops Payroll'!Q42+'Fld Ops Payroll'!Q55+'Fld Ops Payroll'!Q68</f>
        <v>9</v>
      </c>
      <c r="R89" s="232">
        <f t="shared" si="10"/>
        <v>3</v>
      </c>
      <c r="S89" s="232">
        <f t="shared" si="11"/>
        <v>69</v>
      </c>
    </row>
    <row r="90">
      <c r="A90" s="208" t="s">
        <v>811</v>
      </c>
      <c r="B90" s="230">
        <f t="shared" ref="B90:Q90" si="14">B88*$B$25</f>
        <v>0</v>
      </c>
      <c r="C90" s="230">
        <f t="shared" si="14"/>
        <v>2</v>
      </c>
      <c r="D90" s="230">
        <f t="shared" si="14"/>
        <v>2</v>
      </c>
      <c r="E90" s="230">
        <f t="shared" si="14"/>
        <v>0</v>
      </c>
      <c r="F90" s="230">
        <f t="shared" si="14"/>
        <v>3</v>
      </c>
      <c r="G90" s="230">
        <f t="shared" si="14"/>
        <v>2</v>
      </c>
      <c r="H90" s="230">
        <f t="shared" si="14"/>
        <v>0</v>
      </c>
      <c r="I90" s="230">
        <f t="shared" si="14"/>
        <v>4</v>
      </c>
      <c r="J90" s="230">
        <f t="shared" si="14"/>
        <v>3</v>
      </c>
      <c r="K90" s="230">
        <f t="shared" si="14"/>
        <v>4</v>
      </c>
      <c r="L90" s="230">
        <f t="shared" si="14"/>
        <v>4</v>
      </c>
      <c r="M90" s="230">
        <f t="shared" si="14"/>
        <v>5</v>
      </c>
      <c r="N90" s="230">
        <f t="shared" si="14"/>
        <v>6</v>
      </c>
      <c r="O90" s="230">
        <f t="shared" si="14"/>
        <v>6</v>
      </c>
      <c r="P90" s="230">
        <f t="shared" si="14"/>
        <v>7</v>
      </c>
      <c r="Q90" s="230">
        <f t="shared" si="14"/>
        <v>8</v>
      </c>
      <c r="R90" s="232">
        <f t="shared" si="10"/>
        <v>4</v>
      </c>
      <c r="S90" s="232">
        <f t="shared" si="11"/>
        <v>52</v>
      </c>
    </row>
    <row r="91">
      <c r="A91" s="208" t="s">
        <v>812</v>
      </c>
      <c r="B91" s="230">
        <f t="shared" ref="B91:Q91" si="15">$B$26</f>
        <v>0.652173913</v>
      </c>
      <c r="C91" s="230">
        <f t="shared" si="15"/>
        <v>0.652173913</v>
      </c>
      <c r="D91" s="230">
        <f t="shared" si="15"/>
        <v>0.652173913</v>
      </c>
      <c r="E91" s="230">
        <f t="shared" si="15"/>
        <v>0.652173913</v>
      </c>
      <c r="F91" s="230">
        <f t="shared" si="15"/>
        <v>0.652173913</v>
      </c>
      <c r="G91" s="230">
        <f t="shared" si="15"/>
        <v>0.652173913</v>
      </c>
      <c r="H91" s="230">
        <f t="shared" si="15"/>
        <v>0.652173913</v>
      </c>
      <c r="I91" s="230">
        <f t="shared" si="15"/>
        <v>0.652173913</v>
      </c>
      <c r="J91" s="230">
        <f t="shared" si="15"/>
        <v>0.652173913</v>
      </c>
      <c r="K91" s="230">
        <f t="shared" si="15"/>
        <v>0.652173913</v>
      </c>
      <c r="L91" s="230">
        <f t="shared" si="15"/>
        <v>0.652173913</v>
      </c>
      <c r="M91" s="230">
        <f t="shared" si="15"/>
        <v>0.652173913</v>
      </c>
      <c r="N91" s="230">
        <f t="shared" si="15"/>
        <v>0.652173913</v>
      </c>
      <c r="O91" s="230">
        <f t="shared" si="15"/>
        <v>0.652173913</v>
      </c>
      <c r="P91" s="230">
        <f t="shared" si="15"/>
        <v>0.652173913</v>
      </c>
      <c r="Q91" s="230">
        <f t="shared" si="15"/>
        <v>0.652173913</v>
      </c>
      <c r="R91" s="232">
        <f t="shared" si="10"/>
        <v>2.608695652</v>
      </c>
      <c r="S91" s="232">
        <f t="shared" si="11"/>
        <v>7.826086957</v>
      </c>
    </row>
    <row r="92">
      <c r="A92" s="208" t="s">
        <v>706</v>
      </c>
      <c r="B92" s="230">
        <f t="shared" ref="B92:Q92" si="16">$B$27</f>
        <v>1</v>
      </c>
      <c r="C92" s="230">
        <f t="shared" si="16"/>
        <v>1</v>
      </c>
      <c r="D92" s="230">
        <f t="shared" si="16"/>
        <v>1</v>
      </c>
      <c r="E92" s="230">
        <f t="shared" si="16"/>
        <v>1</v>
      </c>
      <c r="F92" s="230">
        <f t="shared" si="16"/>
        <v>1</v>
      </c>
      <c r="G92" s="230">
        <f t="shared" si="16"/>
        <v>1</v>
      </c>
      <c r="H92" s="230">
        <f t="shared" si="16"/>
        <v>1</v>
      </c>
      <c r="I92" s="230">
        <f t="shared" si="16"/>
        <v>1</v>
      </c>
      <c r="J92" s="230">
        <f t="shared" si="16"/>
        <v>1</v>
      </c>
      <c r="K92" s="230">
        <f t="shared" si="16"/>
        <v>1</v>
      </c>
      <c r="L92" s="230">
        <f t="shared" si="16"/>
        <v>1</v>
      </c>
      <c r="M92" s="230">
        <f t="shared" si="16"/>
        <v>1</v>
      </c>
      <c r="N92" s="230">
        <f t="shared" si="16"/>
        <v>1</v>
      </c>
      <c r="O92" s="230">
        <f t="shared" si="16"/>
        <v>1</v>
      </c>
      <c r="P92" s="230">
        <f t="shared" si="16"/>
        <v>1</v>
      </c>
      <c r="Q92" s="230">
        <f t="shared" si="16"/>
        <v>1</v>
      </c>
      <c r="R92" s="232">
        <f t="shared" si="10"/>
        <v>4</v>
      </c>
      <c r="S92" s="232">
        <f t="shared" si="11"/>
        <v>12</v>
      </c>
    </row>
    <row r="93">
      <c r="A93" s="208" t="s">
        <v>710</v>
      </c>
      <c r="B93" s="233">
        <f t="shared" ref="B93:Q93" si="17">B84+B85+B86*$B$29</f>
        <v>0</v>
      </c>
      <c r="C93" s="233">
        <f t="shared" si="17"/>
        <v>2</v>
      </c>
      <c r="D93" s="233">
        <f t="shared" si="17"/>
        <v>2</v>
      </c>
      <c r="E93" s="233">
        <f t="shared" si="17"/>
        <v>0</v>
      </c>
      <c r="F93" s="233">
        <f t="shared" si="17"/>
        <v>3</v>
      </c>
      <c r="G93" s="233">
        <f t="shared" si="17"/>
        <v>2</v>
      </c>
      <c r="H93" s="233">
        <f t="shared" si="17"/>
        <v>0</v>
      </c>
      <c r="I93" s="233">
        <f t="shared" si="17"/>
        <v>4.6</v>
      </c>
      <c r="J93" s="233">
        <f t="shared" si="17"/>
        <v>3.6</v>
      </c>
      <c r="K93" s="233">
        <f t="shared" si="17"/>
        <v>5.2</v>
      </c>
      <c r="L93" s="233">
        <f t="shared" si="17"/>
        <v>4.6</v>
      </c>
      <c r="M93" s="233">
        <f t="shared" si="17"/>
        <v>5.6</v>
      </c>
      <c r="N93" s="233">
        <f t="shared" si="17"/>
        <v>7.2</v>
      </c>
      <c r="O93" s="233">
        <f t="shared" si="17"/>
        <v>7.2</v>
      </c>
      <c r="P93" s="233">
        <f t="shared" si="17"/>
        <v>8.8</v>
      </c>
      <c r="Q93" s="233">
        <f t="shared" si="17"/>
        <v>9.2</v>
      </c>
      <c r="R93" s="343">
        <f t="shared" si="10"/>
        <v>4</v>
      </c>
      <c r="S93" s="343">
        <f t="shared" si="11"/>
        <v>61</v>
      </c>
    </row>
    <row r="94">
      <c r="A94" s="208" t="s">
        <v>813</v>
      </c>
      <c r="B94" s="233">
        <f t="shared" ref="B94:Q94" si="18">$B$32+SUM($B93:B93)</f>
        <v>19</v>
      </c>
      <c r="C94" s="233">
        <f t="shared" si="18"/>
        <v>21</v>
      </c>
      <c r="D94" s="233">
        <f t="shared" si="18"/>
        <v>23</v>
      </c>
      <c r="E94" s="233">
        <f t="shared" si="18"/>
        <v>23</v>
      </c>
      <c r="F94" s="233">
        <f t="shared" si="18"/>
        <v>26</v>
      </c>
      <c r="G94" s="233">
        <f t="shared" si="18"/>
        <v>28</v>
      </c>
      <c r="H94" s="233">
        <f t="shared" si="18"/>
        <v>28</v>
      </c>
      <c r="I94" s="233">
        <f t="shared" si="18"/>
        <v>32.6</v>
      </c>
      <c r="J94" s="233">
        <f t="shared" si="18"/>
        <v>36.2</v>
      </c>
      <c r="K94" s="233">
        <f t="shared" si="18"/>
        <v>41.4</v>
      </c>
      <c r="L94" s="233">
        <f t="shared" si="18"/>
        <v>46</v>
      </c>
      <c r="M94" s="233">
        <f t="shared" si="18"/>
        <v>51.6</v>
      </c>
      <c r="N94" s="233">
        <f t="shared" si="18"/>
        <v>58.8</v>
      </c>
      <c r="O94" s="233">
        <f t="shared" si="18"/>
        <v>66</v>
      </c>
      <c r="P94" s="233">
        <f t="shared" si="18"/>
        <v>74.8</v>
      </c>
      <c r="Q94" s="233">
        <f t="shared" si="18"/>
        <v>84</v>
      </c>
      <c r="R94" s="343">
        <f t="shared" ref="R94:R95" si="19">AVERAGE(B94:E94)</f>
        <v>21.5</v>
      </c>
      <c r="S94" s="343">
        <f t="shared" ref="S94:S95" si="20">AVERAGE(F94:Q94)</f>
        <v>47.78333333</v>
      </c>
    </row>
    <row r="95">
      <c r="A95" s="208" t="s">
        <v>814</v>
      </c>
      <c r="B95" s="342">
        <f>'Fld Ops Payroll'!B63</f>
        <v>14</v>
      </c>
      <c r="C95" s="342">
        <f>'Fld Ops Payroll'!C63</f>
        <v>14</v>
      </c>
      <c r="D95" s="342">
        <f>'Fld Ops Payroll'!D63</f>
        <v>14</v>
      </c>
      <c r="E95" s="342">
        <f>'Fld Ops Payroll'!E63</f>
        <v>17</v>
      </c>
      <c r="F95" s="342">
        <f>'Fld Ops Payroll'!F63</f>
        <v>19</v>
      </c>
      <c r="G95" s="342">
        <f>'Fld Ops Payroll'!G63</f>
        <v>19</v>
      </c>
      <c r="H95" s="342">
        <f>'Fld Ops Payroll'!H63</f>
        <v>23</v>
      </c>
      <c r="I95" s="342">
        <f>'Fld Ops Payroll'!I63</f>
        <v>26</v>
      </c>
      <c r="J95" s="342">
        <f>'Fld Ops Payroll'!J63</f>
        <v>31</v>
      </c>
      <c r="K95" s="342">
        <f>'Fld Ops Payroll'!K63</f>
        <v>36</v>
      </c>
      <c r="L95" s="342">
        <f>'Fld Ops Payroll'!L63</f>
        <v>42</v>
      </c>
      <c r="M95" s="342">
        <f>'Fld Ops Payroll'!M63</f>
        <v>49</v>
      </c>
      <c r="N95" s="342">
        <f>'Fld Ops Payroll'!N63</f>
        <v>56</v>
      </c>
      <c r="O95" s="342">
        <f>'Fld Ops Payroll'!O63</f>
        <v>65</v>
      </c>
      <c r="P95" s="342">
        <f>'Fld Ops Payroll'!P63</f>
        <v>74</v>
      </c>
      <c r="Q95" s="342">
        <f>'Fld Ops Payroll'!Q63</f>
        <v>82</v>
      </c>
      <c r="R95" s="343">
        <f t="shared" si="19"/>
        <v>14.75</v>
      </c>
      <c r="S95" s="343">
        <f t="shared" si="20"/>
        <v>43.5</v>
      </c>
    </row>
    <row r="96">
      <c r="A96" s="208" t="s">
        <v>815</v>
      </c>
      <c r="B96" s="342">
        <f>N(DeploySum!B55)+N(DeploySum!B58)+N(DeploySum!B61)</f>
        <v>0</v>
      </c>
      <c r="C96" s="342">
        <f>N(DeploySum!C55)+N(DeploySum!C58)+N(DeploySum!C61)</f>
        <v>9</v>
      </c>
      <c r="D96" s="342">
        <f>N(DeploySum!D55)+N(DeploySum!D58)+N(DeploySum!D61)</f>
        <v>9</v>
      </c>
      <c r="E96" s="342">
        <f>N(DeploySum!E55)+N(DeploySum!E58)+N(DeploySum!E61)</f>
        <v>0</v>
      </c>
      <c r="F96" s="342">
        <f>N(DeploySum!F55)+N(DeploySum!F58)+N(DeploySum!F61)</f>
        <v>20</v>
      </c>
      <c r="G96" s="342">
        <f>N(DeploySum!G55)+N(DeploySum!G58)+N(DeploySum!G61)</f>
        <v>8</v>
      </c>
      <c r="H96" s="342">
        <f>N(DeploySum!H55)+N(DeploySum!H58)+N(DeploySum!H61)</f>
        <v>0</v>
      </c>
      <c r="I96" s="342">
        <f>N(DeploySum!I55)+N(DeploySum!I58)+N(DeploySum!I61)</f>
        <v>22</v>
      </c>
      <c r="J96" s="342">
        <f>N(DeploySum!J55)+N(DeploySum!J58)+N(DeploySum!J61)</f>
        <v>14</v>
      </c>
      <c r="K96" s="342">
        <f>N(DeploySum!K55)+N(DeploySum!K58)+N(DeploySum!K61)</f>
        <v>20</v>
      </c>
      <c r="L96" s="342">
        <f>N(DeploySum!L55)+N(DeploySum!L58)+N(DeploySum!L61)</f>
        <v>18</v>
      </c>
      <c r="M96" s="342">
        <f>N(DeploySum!M55)+N(DeploySum!M58)+N(DeploySum!M61)</f>
        <v>22</v>
      </c>
      <c r="N96" s="342">
        <f>N(DeploySum!N55)+N(DeploySum!N58)+N(DeploySum!N61)</f>
        <v>28</v>
      </c>
      <c r="O96" s="342">
        <f>N(DeploySum!O55)+N(DeploySum!O58)+N(DeploySum!O61)</f>
        <v>28</v>
      </c>
      <c r="P96" s="342">
        <f>N(DeploySum!P55)+N(DeploySum!P58)+N(DeploySum!P61)</f>
        <v>34</v>
      </c>
      <c r="Q96" s="342">
        <f>N(DeploySum!Q55)+N(DeploySum!Q58)+N(DeploySum!Q61)</f>
        <v>36</v>
      </c>
      <c r="R96" s="343">
        <f t="shared" ref="R96:R98" si="21">SUM(B96:E96)</f>
        <v>18</v>
      </c>
      <c r="S96" s="343">
        <f t="shared" ref="S96:S98" si="22">SUM(F96:Q96)</f>
        <v>250</v>
      </c>
    </row>
    <row r="97">
      <c r="A97" s="208" t="s">
        <v>816</v>
      </c>
      <c r="B97" s="342">
        <f>N(DeploySum!B56)+N(DeploySum!B59)+N(DeploySum!B62)</f>
        <v>0</v>
      </c>
      <c r="C97" s="342">
        <f>N(DeploySum!C56)+N(DeploySum!C59)+N(DeploySum!C62)</f>
        <v>35</v>
      </c>
      <c r="D97" s="342">
        <f>N(DeploySum!D56)+N(DeploySum!D59)+N(DeploySum!D62)</f>
        <v>32</v>
      </c>
      <c r="E97" s="342">
        <f>N(DeploySum!E56)+N(DeploySum!E59)+N(DeploySum!E62)</f>
        <v>0</v>
      </c>
      <c r="F97" s="342">
        <f>N(DeploySum!F56)+N(DeploySum!F59)+N(DeploySum!F62)</f>
        <v>60</v>
      </c>
      <c r="G97" s="342">
        <f>N(DeploySum!G56)+N(DeploySum!G59)+N(DeploySum!G62)</f>
        <v>24</v>
      </c>
      <c r="H97" s="342">
        <f>N(DeploySum!H56)+N(DeploySum!H59)+N(DeploySum!H62)</f>
        <v>0</v>
      </c>
      <c r="I97" s="342">
        <f>N(DeploySum!I56)+N(DeploySum!I59)+N(DeploySum!I62)</f>
        <v>86</v>
      </c>
      <c r="J97" s="342">
        <f>N(DeploySum!J56)+N(DeploySum!J59)+N(DeploySum!J62)</f>
        <v>61</v>
      </c>
      <c r="K97" s="342">
        <f>N(DeploySum!K56)+N(DeploySum!K59)+N(DeploySum!K62)</f>
        <v>98</v>
      </c>
      <c r="L97" s="342">
        <f>N(DeploySum!L56)+N(DeploySum!L59)+N(DeploySum!L62)</f>
        <v>73</v>
      </c>
      <c r="M97" s="342">
        <f>N(DeploySum!M56)+N(DeploySum!M59)+N(DeploySum!M62)</f>
        <v>85</v>
      </c>
      <c r="N97" s="342">
        <f>N(DeploySum!N56)+N(DeploySum!N59)+N(DeploySum!N62)</f>
        <v>122</v>
      </c>
      <c r="O97" s="342">
        <f>N(DeploySum!O56)+N(DeploySum!O59)+N(DeploySum!O62)</f>
        <v>122</v>
      </c>
      <c r="P97" s="342">
        <f>N(DeploySum!P56)+N(DeploySum!P59)+N(DeploySum!P62)</f>
        <v>159</v>
      </c>
      <c r="Q97" s="342">
        <f>N(DeploySum!Q56)+N(DeploySum!Q59)+N(DeploySum!Q62)</f>
        <v>146</v>
      </c>
      <c r="R97" s="343">
        <f t="shared" si="21"/>
        <v>67</v>
      </c>
      <c r="S97" s="343">
        <f t="shared" si="22"/>
        <v>1036</v>
      </c>
    </row>
    <row r="98">
      <c r="A98" s="208" t="s">
        <v>817</v>
      </c>
      <c r="B98" s="233">
        <f t="shared" ref="B98:Q98" si="23">MAX(IF($B$39=0,0,ROUNDUP(B96/$B$39,0)),IF($B$40=0,0,ROUNDUP(B97/$B$40,0)))</f>
        <v>0</v>
      </c>
      <c r="C98" s="233">
        <f t="shared" si="23"/>
        <v>3</v>
      </c>
      <c r="D98" s="233">
        <f t="shared" si="23"/>
        <v>3</v>
      </c>
      <c r="E98" s="233">
        <f t="shared" si="23"/>
        <v>0</v>
      </c>
      <c r="F98" s="233">
        <f t="shared" si="23"/>
        <v>7</v>
      </c>
      <c r="G98" s="233">
        <f t="shared" si="23"/>
        <v>3</v>
      </c>
      <c r="H98" s="233">
        <f t="shared" si="23"/>
        <v>0</v>
      </c>
      <c r="I98" s="233">
        <f t="shared" si="23"/>
        <v>8</v>
      </c>
      <c r="J98" s="233">
        <f t="shared" si="23"/>
        <v>6</v>
      </c>
      <c r="K98" s="233">
        <f t="shared" si="23"/>
        <v>9</v>
      </c>
      <c r="L98" s="233">
        <f t="shared" si="23"/>
        <v>7</v>
      </c>
      <c r="M98" s="233">
        <f t="shared" si="23"/>
        <v>8</v>
      </c>
      <c r="N98" s="233">
        <f t="shared" si="23"/>
        <v>11</v>
      </c>
      <c r="O98" s="233">
        <f t="shared" si="23"/>
        <v>11</v>
      </c>
      <c r="P98" s="233">
        <f t="shared" si="23"/>
        <v>14</v>
      </c>
      <c r="Q98" s="233">
        <f t="shared" si="23"/>
        <v>13</v>
      </c>
      <c r="R98" s="343">
        <f t="shared" si="21"/>
        <v>6</v>
      </c>
      <c r="S98" s="343">
        <f t="shared" si="22"/>
        <v>97</v>
      </c>
    </row>
    <row r="99">
      <c r="A99" s="208" t="s">
        <v>818</v>
      </c>
      <c r="B99" s="233">
        <f t="shared" ref="B99:Q99" si="24">IF($B$36="Deployment",SUM($B87:B87),COLUMN(B99)-COLUMN($B99))</f>
        <v>0</v>
      </c>
      <c r="C99" s="233">
        <f t="shared" si="24"/>
        <v>1</v>
      </c>
      <c r="D99" s="233">
        <f t="shared" si="24"/>
        <v>2</v>
      </c>
      <c r="E99" s="233">
        <f t="shared" si="24"/>
        <v>3</v>
      </c>
      <c r="F99" s="233">
        <f t="shared" si="24"/>
        <v>4</v>
      </c>
      <c r="G99" s="233">
        <f t="shared" si="24"/>
        <v>5</v>
      </c>
      <c r="H99" s="233">
        <f t="shared" si="24"/>
        <v>6</v>
      </c>
      <c r="I99" s="233">
        <f t="shared" si="24"/>
        <v>7</v>
      </c>
      <c r="J99" s="233">
        <f t="shared" si="24"/>
        <v>8</v>
      </c>
      <c r="K99" s="233">
        <f t="shared" si="24"/>
        <v>9</v>
      </c>
      <c r="L99" s="233">
        <f t="shared" si="24"/>
        <v>10</v>
      </c>
      <c r="M99" s="233">
        <f t="shared" si="24"/>
        <v>11</v>
      </c>
      <c r="N99" s="233">
        <f t="shared" si="24"/>
        <v>12</v>
      </c>
      <c r="O99" s="233">
        <f t="shared" si="24"/>
        <v>13</v>
      </c>
      <c r="P99" s="233">
        <f t="shared" si="24"/>
        <v>14</v>
      </c>
      <c r="Q99" s="233">
        <f t="shared" si="24"/>
        <v>15</v>
      </c>
      <c r="R99" s="343">
        <f>MAX(B99:E99)</f>
        <v>3</v>
      </c>
      <c r="S99" s="343">
        <f>MAX(F99:Q99)</f>
        <v>15</v>
      </c>
    </row>
    <row r="100">
      <c r="A100" s="208" t="s">
        <v>819</v>
      </c>
      <c r="B100" s="236">
        <f t="shared" ref="B100:Q100" si="25">IF(B$83&gt;=$B$43,$B$42,$B$41)</f>
        <v>58263</v>
      </c>
      <c r="C100" s="236">
        <f t="shared" si="25"/>
        <v>58263</v>
      </c>
      <c r="D100" s="236">
        <f t="shared" si="25"/>
        <v>58263</v>
      </c>
      <c r="E100" s="236">
        <f t="shared" si="25"/>
        <v>58263</v>
      </c>
      <c r="F100" s="236">
        <f t="shared" si="25"/>
        <v>58263</v>
      </c>
      <c r="G100" s="236">
        <f t="shared" si="25"/>
        <v>58263</v>
      </c>
      <c r="H100" s="236">
        <f t="shared" si="25"/>
        <v>58263</v>
      </c>
      <c r="I100" s="236">
        <f t="shared" si="25"/>
        <v>74913</v>
      </c>
      <c r="J100" s="236">
        <f t="shared" si="25"/>
        <v>74913</v>
      </c>
      <c r="K100" s="236">
        <f t="shared" si="25"/>
        <v>74913</v>
      </c>
      <c r="L100" s="236">
        <f t="shared" si="25"/>
        <v>74913</v>
      </c>
      <c r="M100" s="236">
        <f t="shared" si="25"/>
        <v>74913</v>
      </c>
      <c r="N100" s="236">
        <f t="shared" si="25"/>
        <v>74913</v>
      </c>
      <c r="O100" s="236">
        <f t="shared" si="25"/>
        <v>74913</v>
      </c>
      <c r="P100" s="236">
        <f t="shared" si="25"/>
        <v>74913</v>
      </c>
      <c r="Q100" s="236">
        <f t="shared" si="25"/>
        <v>74913</v>
      </c>
      <c r="R100" s="320">
        <f t="shared" ref="R100:R101" si="26">SUM(B100:E100)</f>
        <v>233052</v>
      </c>
      <c r="S100" s="320">
        <f t="shared" ref="S100:S101" si="27">SUM(F100:Q100)</f>
        <v>849006</v>
      </c>
    </row>
    <row r="101">
      <c r="A101" s="208" t="s">
        <v>820</v>
      </c>
      <c r="B101" s="344">
        <v>1.0</v>
      </c>
      <c r="C101" s="230">
        <v>1.0</v>
      </c>
      <c r="D101" s="230">
        <v>1.0</v>
      </c>
      <c r="E101" s="230">
        <v>1.0</v>
      </c>
      <c r="F101" s="230">
        <v>1.0</v>
      </c>
      <c r="G101" s="230">
        <v>1.0</v>
      </c>
      <c r="H101" s="230">
        <v>1.0</v>
      </c>
      <c r="I101" s="230">
        <v>1.0</v>
      </c>
      <c r="J101" s="230">
        <v>1.0</v>
      </c>
      <c r="K101" s="230">
        <v>1.0</v>
      </c>
      <c r="L101" s="230">
        <v>1.0</v>
      </c>
      <c r="M101" s="230">
        <v>1.0</v>
      </c>
      <c r="N101" s="230">
        <v>1.0</v>
      </c>
      <c r="O101" s="230">
        <v>1.0</v>
      </c>
      <c r="P101" s="230">
        <v>1.0</v>
      </c>
      <c r="Q101" s="230">
        <v>1.0</v>
      </c>
      <c r="R101" s="232">
        <f t="shared" si="26"/>
        <v>4</v>
      </c>
      <c r="S101" s="232">
        <f t="shared" si="27"/>
        <v>12</v>
      </c>
    </row>
    <row r="102">
      <c r="A102" s="203"/>
      <c r="B102" s="203"/>
      <c r="C102" s="203"/>
      <c r="D102" s="203"/>
      <c r="E102" s="203"/>
      <c r="F102" s="203"/>
      <c r="G102" s="203"/>
      <c r="H102" s="203"/>
      <c r="I102" s="203"/>
      <c r="J102" s="203"/>
      <c r="K102" s="203"/>
      <c r="L102" s="203"/>
      <c r="M102" s="203"/>
      <c r="N102" s="203"/>
      <c r="O102" s="203"/>
      <c r="P102" s="203"/>
      <c r="Q102" s="203"/>
      <c r="R102" s="345"/>
      <c r="S102" s="345"/>
    </row>
    <row r="103">
      <c r="A103" s="206" t="s">
        <v>469</v>
      </c>
      <c r="B103" s="226">
        <f t="shared" ref="B103:Q103" si="28">B$83</f>
        <v>46295</v>
      </c>
      <c r="C103" s="226">
        <f t="shared" si="28"/>
        <v>46326</v>
      </c>
      <c r="D103" s="226">
        <f t="shared" si="28"/>
        <v>46356</v>
      </c>
      <c r="E103" s="226">
        <f t="shared" si="28"/>
        <v>46387</v>
      </c>
      <c r="F103" s="226">
        <f t="shared" si="28"/>
        <v>46418</v>
      </c>
      <c r="G103" s="226">
        <f t="shared" si="28"/>
        <v>46446</v>
      </c>
      <c r="H103" s="226">
        <f t="shared" si="28"/>
        <v>46477</v>
      </c>
      <c r="I103" s="226">
        <f t="shared" si="28"/>
        <v>46507</v>
      </c>
      <c r="J103" s="226">
        <f t="shared" si="28"/>
        <v>46538</v>
      </c>
      <c r="K103" s="226">
        <f t="shared" si="28"/>
        <v>46568</v>
      </c>
      <c r="L103" s="226">
        <f t="shared" si="28"/>
        <v>46599</v>
      </c>
      <c r="M103" s="226">
        <f t="shared" si="28"/>
        <v>46630</v>
      </c>
      <c r="N103" s="226">
        <f t="shared" si="28"/>
        <v>46660</v>
      </c>
      <c r="O103" s="226">
        <f t="shared" si="28"/>
        <v>46691</v>
      </c>
      <c r="P103" s="226">
        <f t="shared" si="28"/>
        <v>46721</v>
      </c>
      <c r="Q103" s="226">
        <f t="shared" si="28"/>
        <v>46752</v>
      </c>
      <c r="R103" s="227" t="s">
        <v>246</v>
      </c>
      <c r="S103" s="227" t="s">
        <v>2</v>
      </c>
    </row>
    <row r="104">
      <c r="A104" s="208" t="s">
        <v>821</v>
      </c>
      <c r="B104" s="236">
        <f t="shared" ref="B104:Q104" si="29">(B88+B86*$B$31)*$H$5*$B$33</f>
        <v>0</v>
      </c>
      <c r="C104" s="236">
        <f t="shared" si="29"/>
        <v>3541.689567</v>
      </c>
      <c r="D104" s="236">
        <f t="shared" si="29"/>
        <v>3541.689567</v>
      </c>
      <c r="E104" s="236">
        <f t="shared" si="29"/>
        <v>0</v>
      </c>
      <c r="F104" s="236">
        <f t="shared" si="29"/>
        <v>5312.534351</v>
      </c>
      <c r="G104" s="236">
        <f t="shared" si="29"/>
        <v>3541.689567</v>
      </c>
      <c r="H104" s="236">
        <f t="shared" si="29"/>
        <v>0</v>
      </c>
      <c r="I104" s="236">
        <f t="shared" si="29"/>
        <v>8358.387379</v>
      </c>
      <c r="J104" s="236">
        <f t="shared" si="29"/>
        <v>6587.542595</v>
      </c>
      <c r="K104" s="236">
        <f t="shared" si="29"/>
        <v>9633.395623</v>
      </c>
      <c r="L104" s="236">
        <f t="shared" si="29"/>
        <v>8358.387379</v>
      </c>
      <c r="M104" s="236">
        <f t="shared" si="29"/>
        <v>10129.23216</v>
      </c>
      <c r="N104" s="236">
        <f t="shared" si="29"/>
        <v>13175.08519</v>
      </c>
      <c r="O104" s="236">
        <f t="shared" si="29"/>
        <v>13175.08519</v>
      </c>
      <c r="P104" s="236">
        <f t="shared" si="29"/>
        <v>16220.93822</v>
      </c>
      <c r="Q104" s="236">
        <f t="shared" si="29"/>
        <v>16716.77476</v>
      </c>
      <c r="R104" s="320">
        <f t="shared" ref="R104:R120" si="31">SUM(B104:E104)</f>
        <v>7083.379135</v>
      </c>
      <c r="S104" s="320">
        <f t="shared" ref="S104:S120" si="32">SUM(F104:Q104)</f>
        <v>111209.0524</v>
      </c>
    </row>
    <row r="105">
      <c r="A105" s="208" t="s">
        <v>822</v>
      </c>
      <c r="B105" s="236">
        <f t="shared" ref="B105:Q105" si="30">(B88*$H$6+B86*$H$7)*(1-$B$33)</f>
        <v>0</v>
      </c>
      <c r="C105" s="236">
        <f t="shared" si="30"/>
        <v>684.5898866</v>
      </c>
      <c r="D105" s="236">
        <f t="shared" si="30"/>
        <v>684.5898866</v>
      </c>
      <c r="E105" s="236">
        <f t="shared" si="30"/>
        <v>0</v>
      </c>
      <c r="F105" s="236">
        <f t="shared" si="30"/>
        <v>1026.88483</v>
      </c>
      <c r="G105" s="236">
        <f t="shared" si="30"/>
        <v>684.5898866</v>
      </c>
      <c r="H105" s="236">
        <f t="shared" si="30"/>
        <v>0</v>
      </c>
      <c r="I105" s="236">
        <f t="shared" si="30"/>
        <v>1704.129254</v>
      </c>
      <c r="J105" s="236">
        <f t="shared" si="30"/>
        <v>1361.834311</v>
      </c>
      <c r="K105" s="236">
        <f t="shared" si="30"/>
        <v>2039.078735</v>
      </c>
      <c r="L105" s="236">
        <f t="shared" si="30"/>
        <v>1704.129254</v>
      </c>
      <c r="M105" s="236">
        <f t="shared" si="30"/>
        <v>2046.424197</v>
      </c>
      <c r="N105" s="236">
        <f t="shared" si="30"/>
        <v>2723.668622</v>
      </c>
      <c r="O105" s="236">
        <f t="shared" si="30"/>
        <v>2723.668622</v>
      </c>
      <c r="P105" s="236">
        <f t="shared" si="30"/>
        <v>3400.913046</v>
      </c>
      <c r="Q105" s="236">
        <f t="shared" si="30"/>
        <v>3408.258508</v>
      </c>
      <c r="R105" s="320">
        <f t="shared" si="31"/>
        <v>1369.179773</v>
      </c>
      <c r="S105" s="320">
        <f t="shared" si="32"/>
        <v>22823.57927</v>
      </c>
    </row>
    <row r="106">
      <c r="A106" s="208" t="s">
        <v>697</v>
      </c>
      <c r="B106" s="236">
        <f t="shared" ref="B106:Q106" si="33">B89*$H$8</f>
        <v>0</v>
      </c>
      <c r="C106" s="236">
        <f t="shared" si="33"/>
        <v>0</v>
      </c>
      <c r="D106" s="236">
        <f t="shared" si="33"/>
        <v>0</v>
      </c>
      <c r="E106" s="236">
        <f t="shared" si="33"/>
        <v>5316.12153</v>
      </c>
      <c r="F106" s="236">
        <f t="shared" si="33"/>
        <v>3544.08102</v>
      </c>
      <c r="G106" s="236">
        <f t="shared" si="33"/>
        <v>0</v>
      </c>
      <c r="H106" s="236">
        <f t="shared" si="33"/>
        <v>8860.20255</v>
      </c>
      <c r="I106" s="236">
        <f t="shared" si="33"/>
        <v>5316.12153</v>
      </c>
      <c r="J106" s="236">
        <f t="shared" si="33"/>
        <v>8860.20255</v>
      </c>
      <c r="K106" s="236">
        <f t="shared" si="33"/>
        <v>8860.20255</v>
      </c>
      <c r="L106" s="236">
        <f t="shared" si="33"/>
        <v>12404.28357</v>
      </c>
      <c r="M106" s="236">
        <f t="shared" si="33"/>
        <v>12404.28357</v>
      </c>
      <c r="N106" s="236">
        <f t="shared" si="33"/>
        <v>12404.28357</v>
      </c>
      <c r="O106" s="236">
        <f t="shared" si="33"/>
        <v>17720.4051</v>
      </c>
      <c r="P106" s="236">
        <f t="shared" si="33"/>
        <v>15948.36459</v>
      </c>
      <c r="Q106" s="236">
        <f t="shared" si="33"/>
        <v>15948.36459</v>
      </c>
      <c r="R106" s="320">
        <f t="shared" si="31"/>
        <v>5316.12153</v>
      </c>
      <c r="S106" s="320">
        <f t="shared" si="32"/>
        <v>122270.7952</v>
      </c>
    </row>
    <row r="107" ht="27.0" customHeight="1">
      <c r="A107" s="208" t="s">
        <v>700</v>
      </c>
      <c r="B107" s="236">
        <f t="shared" ref="B107:Q107" si="34">B90*$H$9</f>
        <v>0</v>
      </c>
      <c r="C107" s="236">
        <f t="shared" si="34"/>
        <v>4084.267849</v>
      </c>
      <c r="D107" s="236">
        <f t="shared" si="34"/>
        <v>4084.267849</v>
      </c>
      <c r="E107" s="236">
        <f t="shared" si="34"/>
        <v>0</v>
      </c>
      <c r="F107" s="236">
        <f t="shared" si="34"/>
        <v>6126.401773</v>
      </c>
      <c r="G107" s="236">
        <f t="shared" si="34"/>
        <v>4084.267849</v>
      </c>
      <c r="H107" s="236">
        <f t="shared" si="34"/>
        <v>0</v>
      </c>
      <c r="I107" s="236">
        <f t="shared" si="34"/>
        <v>8168.535698</v>
      </c>
      <c r="J107" s="236">
        <f t="shared" si="34"/>
        <v>6126.401773</v>
      </c>
      <c r="K107" s="236">
        <f t="shared" si="34"/>
        <v>8168.535698</v>
      </c>
      <c r="L107" s="236">
        <f t="shared" si="34"/>
        <v>8168.535698</v>
      </c>
      <c r="M107" s="236">
        <f t="shared" si="34"/>
        <v>10210.66962</v>
      </c>
      <c r="N107" s="236">
        <f t="shared" si="34"/>
        <v>12252.80355</v>
      </c>
      <c r="O107" s="236">
        <f t="shared" si="34"/>
        <v>12252.80355</v>
      </c>
      <c r="P107" s="236">
        <f t="shared" si="34"/>
        <v>14294.93747</v>
      </c>
      <c r="Q107" s="236">
        <f t="shared" si="34"/>
        <v>16337.0714</v>
      </c>
      <c r="R107" s="320">
        <f t="shared" si="31"/>
        <v>8168.535698</v>
      </c>
      <c r="S107" s="320">
        <f t="shared" si="32"/>
        <v>106190.9641</v>
      </c>
    </row>
    <row r="108" ht="27.0" customHeight="1">
      <c r="A108" s="208" t="s">
        <v>703</v>
      </c>
      <c r="B108" s="236">
        <f t="shared" ref="B108:Q108" si="35">B91*$H$10</f>
        <v>1445.296492</v>
      </c>
      <c r="C108" s="236">
        <f t="shared" si="35"/>
        <v>1445.296492</v>
      </c>
      <c r="D108" s="236">
        <f t="shared" si="35"/>
        <v>1445.296492</v>
      </c>
      <c r="E108" s="236">
        <f t="shared" si="35"/>
        <v>1445.296492</v>
      </c>
      <c r="F108" s="236">
        <f t="shared" si="35"/>
        <v>1445.296492</v>
      </c>
      <c r="G108" s="236">
        <f t="shared" si="35"/>
        <v>1445.296492</v>
      </c>
      <c r="H108" s="236">
        <f t="shared" si="35"/>
        <v>1445.296492</v>
      </c>
      <c r="I108" s="236">
        <f t="shared" si="35"/>
        <v>1445.296492</v>
      </c>
      <c r="J108" s="236">
        <f t="shared" si="35"/>
        <v>1445.296492</v>
      </c>
      <c r="K108" s="236">
        <f t="shared" si="35"/>
        <v>1445.296492</v>
      </c>
      <c r="L108" s="236">
        <f t="shared" si="35"/>
        <v>1445.296492</v>
      </c>
      <c r="M108" s="236">
        <f t="shared" si="35"/>
        <v>1445.296492</v>
      </c>
      <c r="N108" s="236">
        <f t="shared" si="35"/>
        <v>1445.296492</v>
      </c>
      <c r="O108" s="236">
        <f t="shared" si="35"/>
        <v>1445.296492</v>
      </c>
      <c r="P108" s="236">
        <f t="shared" si="35"/>
        <v>1445.296492</v>
      </c>
      <c r="Q108" s="236">
        <f t="shared" si="35"/>
        <v>1445.296492</v>
      </c>
      <c r="R108" s="320">
        <f t="shared" si="31"/>
        <v>5781.185969</v>
      </c>
      <c r="S108" s="320">
        <f t="shared" si="32"/>
        <v>17343.55791</v>
      </c>
    </row>
    <row r="109" ht="27.0" customHeight="1">
      <c r="A109" s="208" t="s">
        <v>706</v>
      </c>
      <c r="B109" s="236">
        <f t="shared" ref="B109:Q109" si="36">B92*$H$11</f>
        <v>1215.608479</v>
      </c>
      <c r="C109" s="236">
        <f t="shared" si="36"/>
        <v>1215.608479</v>
      </c>
      <c r="D109" s="236">
        <f t="shared" si="36"/>
        <v>1215.608479</v>
      </c>
      <c r="E109" s="236">
        <f t="shared" si="36"/>
        <v>1215.608479</v>
      </c>
      <c r="F109" s="236">
        <f t="shared" si="36"/>
        <v>1215.608479</v>
      </c>
      <c r="G109" s="236">
        <f t="shared" si="36"/>
        <v>1215.608479</v>
      </c>
      <c r="H109" s="236">
        <f t="shared" si="36"/>
        <v>1215.608479</v>
      </c>
      <c r="I109" s="236">
        <f t="shared" si="36"/>
        <v>1215.608479</v>
      </c>
      <c r="J109" s="236">
        <f t="shared" si="36"/>
        <v>1215.608479</v>
      </c>
      <c r="K109" s="236">
        <f t="shared" si="36"/>
        <v>1215.608479</v>
      </c>
      <c r="L109" s="236">
        <f t="shared" si="36"/>
        <v>1215.608479</v>
      </c>
      <c r="M109" s="236">
        <f t="shared" si="36"/>
        <v>1215.608479</v>
      </c>
      <c r="N109" s="236">
        <f t="shared" si="36"/>
        <v>1215.608479</v>
      </c>
      <c r="O109" s="236">
        <f t="shared" si="36"/>
        <v>1215.608479</v>
      </c>
      <c r="P109" s="236">
        <f t="shared" si="36"/>
        <v>1215.608479</v>
      </c>
      <c r="Q109" s="236">
        <f t="shared" si="36"/>
        <v>1215.608479</v>
      </c>
      <c r="R109" s="320">
        <f t="shared" si="31"/>
        <v>4862.433916</v>
      </c>
      <c r="S109" s="320">
        <f t="shared" si="32"/>
        <v>14587.30175</v>
      </c>
    </row>
    <row r="110" ht="27.0" customHeight="1">
      <c r="A110" s="208" t="s">
        <v>474</v>
      </c>
      <c r="B110" s="236">
        <f t="shared" ref="B110:Q110" si="37">B93*$H$12</f>
        <v>0</v>
      </c>
      <c r="C110" s="236">
        <f t="shared" si="37"/>
        <v>979.014749</v>
      </c>
      <c r="D110" s="236">
        <f t="shared" si="37"/>
        <v>979.014749</v>
      </c>
      <c r="E110" s="236">
        <f t="shared" si="37"/>
        <v>0</v>
      </c>
      <c r="F110" s="236">
        <f t="shared" si="37"/>
        <v>1468.522123</v>
      </c>
      <c r="G110" s="236">
        <f t="shared" si="37"/>
        <v>979.014749</v>
      </c>
      <c r="H110" s="236">
        <f t="shared" si="37"/>
        <v>0</v>
      </c>
      <c r="I110" s="236">
        <f t="shared" si="37"/>
        <v>2251.733923</v>
      </c>
      <c r="J110" s="236">
        <f t="shared" si="37"/>
        <v>1762.226548</v>
      </c>
      <c r="K110" s="236">
        <f t="shared" si="37"/>
        <v>2545.438347</v>
      </c>
      <c r="L110" s="236">
        <f t="shared" si="37"/>
        <v>2251.733923</v>
      </c>
      <c r="M110" s="236">
        <f t="shared" si="37"/>
        <v>2741.241297</v>
      </c>
      <c r="N110" s="236">
        <f t="shared" si="37"/>
        <v>3524.453096</v>
      </c>
      <c r="O110" s="236">
        <f t="shared" si="37"/>
        <v>3524.453096</v>
      </c>
      <c r="P110" s="236">
        <f t="shared" si="37"/>
        <v>4307.664895</v>
      </c>
      <c r="Q110" s="236">
        <f t="shared" si="37"/>
        <v>4503.467845</v>
      </c>
      <c r="R110" s="320">
        <f t="shared" si="31"/>
        <v>1958.029498</v>
      </c>
      <c r="S110" s="320">
        <f t="shared" si="32"/>
        <v>29859.94984</v>
      </c>
    </row>
    <row r="111" ht="27.0" customHeight="1">
      <c r="A111" s="208" t="s">
        <v>711</v>
      </c>
      <c r="B111" s="236">
        <f t="shared" ref="B111:Q111" si="38">B95*$H$13</f>
        <v>435.5863567</v>
      </c>
      <c r="C111" s="236">
        <f t="shared" si="38"/>
        <v>435.5863567</v>
      </c>
      <c r="D111" s="236">
        <f t="shared" si="38"/>
        <v>435.5863567</v>
      </c>
      <c r="E111" s="236">
        <f t="shared" si="38"/>
        <v>528.9262903</v>
      </c>
      <c r="F111" s="236">
        <f t="shared" si="38"/>
        <v>591.1529127</v>
      </c>
      <c r="G111" s="236">
        <f t="shared" si="38"/>
        <v>591.1529127</v>
      </c>
      <c r="H111" s="236">
        <f t="shared" si="38"/>
        <v>715.6061575</v>
      </c>
      <c r="I111" s="236">
        <f t="shared" si="38"/>
        <v>808.9460911</v>
      </c>
      <c r="J111" s="236">
        <f t="shared" si="38"/>
        <v>964.512647</v>
      </c>
      <c r="K111" s="236">
        <f t="shared" si="38"/>
        <v>1120.079203</v>
      </c>
      <c r="L111" s="236">
        <f t="shared" si="38"/>
        <v>1306.75907</v>
      </c>
      <c r="M111" s="236">
        <f t="shared" si="38"/>
        <v>1524.552249</v>
      </c>
      <c r="N111" s="236">
        <f t="shared" si="38"/>
        <v>1742.345427</v>
      </c>
      <c r="O111" s="236">
        <f t="shared" si="38"/>
        <v>2022.365228</v>
      </c>
      <c r="P111" s="236">
        <f t="shared" si="38"/>
        <v>2302.385028</v>
      </c>
      <c r="Q111" s="236">
        <f t="shared" si="38"/>
        <v>2551.291518</v>
      </c>
      <c r="R111" s="320">
        <f t="shared" si="31"/>
        <v>1835.68536</v>
      </c>
      <c r="S111" s="320">
        <f t="shared" si="32"/>
        <v>16241.14844</v>
      </c>
    </row>
    <row r="112" ht="27.0" customHeight="1">
      <c r="A112" s="208" t="s">
        <v>714</v>
      </c>
      <c r="B112" s="236">
        <f t="shared" ref="B112:Q112" si="39">B94*$H$14</f>
        <v>216.8037767</v>
      </c>
      <c r="C112" s="236">
        <f t="shared" si="39"/>
        <v>239.6252269</v>
      </c>
      <c r="D112" s="236">
        <f t="shared" si="39"/>
        <v>262.4466771</v>
      </c>
      <c r="E112" s="236">
        <f t="shared" si="39"/>
        <v>262.4466771</v>
      </c>
      <c r="F112" s="236">
        <f t="shared" si="39"/>
        <v>296.6788523</v>
      </c>
      <c r="G112" s="236">
        <f t="shared" si="39"/>
        <v>319.5003025</v>
      </c>
      <c r="H112" s="236">
        <f t="shared" si="39"/>
        <v>319.5003025</v>
      </c>
      <c r="I112" s="236">
        <f t="shared" si="39"/>
        <v>371.9896379</v>
      </c>
      <c r="J112" s="236">
        <f t="shared" si="39"/>
        <v>413.0682482</v>
      </c>
      <c r="K112" s="236">
        <f t="shared" si="39"/>
        <v>472.4040187</v>
      </c>
      <c r="L112" s="236">
        <f t="shared" si="39"/>
        <v>524.8933541</v>
      </c>
      <c r="M112" s="236">
        <f t="shared" si="39"/>
        <v>588.7934146</v>
      </c>
      <c r="N112" s="236">
        <f t="shared" si="39"/>
        <v>670.9506353</v>
      </c>
      <c r="O112" s="236">
        <f t="shared" si="39"/>
        <v>753.1078559</v>
      </c>
      <c r="P112" s="236">
        <f t="shared" si="39"/>
        <v>853.5222367</v>
      </c>
      <c r="Q112" s="236">
        <f t="shared" si="39"/>
        <v>958.5009075</v>
      </c>
      <c r="R112" s="320">
        <f t="shared" si="31"/>
        <v>981.3223577</v>
      </c>
      <c r="S112" s="320">
        <f t="shared" si="32"/>
        <v>6542.909766</v>
      </c>
    </row>
    <row r="113" ht="27.0" customHeight="1">
      <c r="A113" s="208" t="s">
        <v>401</v>
      </c>
      <c r="B113" s="236">
        <f t="shared" ref="B113:Q113" si="40">B101*$H$16</f>
        <v>2604.349636</v>
      </c>
      <c r="C113" s="236">
        <f t="shared" si="40"/>
        <v>2604.349636</v>
      </c>
      <c r="D113" s="236">
        <f t="shared" si="40"/>
        <v>2604.349636</v>
      </c>
      <c r="E113" s="236">
        <f t="shared" si="40"/>
        <v>2604.349636</v>
      </c>
      <c r="F113" s="236">
        <f t="shared" si="40"/>
        <v>2604.349636</v>
      </c>
      <c r="G113" s="236">
        <f t="shared" si="40"/>
        <v>2604.349636</v>
      </c>
      <c r="H113" s="236">
        <f t="shared" si="40"/>
        <v>2604.349636</v>
      </c>
      <c r="I113" s="236">
        <f t="shared" si="40"/>
        <v>2604.349636</v>
      </c>
      <c r="J113" s="236">
        <f t="shared" si="40"/>
        <v>2604.349636</v>
      </c>
      <c r="K113" s="236">
        <f t="shared" si="40"/>
        <v>2604.349636</v>
      </c>
      <c r="L113" s="236">
        <f t="shared" si="40"/>
        <v>2604.349636</v>
      </c>
      <c r="M113" s="236">
        <f t="shared" si="40"/>
        <v>2604.349636</v>
      </c>
      <c r="N113" s="236">
        <f t="shared" si="40"/>
        <v>2604.349636</v>
      </c>
      <c r="O113" s="236">
        <f t="shared" si="40"/>
        <v>2604.349636</v>
      </c>
      <c r="P113" s="236">
        <f t="shared" si="40"/>
        <v>2604.349636</v>
      </c>
      <c r="Q113" s="236">
        <f t="shared" si="40"/>
        <v>2604.349636</v>
      </c>
      <c r="R113" s="320">
        <f t="shared" si="31"/>
        <v>10417.39854</v>
      </c>
      <c r="S113" s="320">
        <f t="shared" si="32"/>
        <v>31252.19563</v>
      </c>
    </row>
    <row r="114" ht="27.0" customHeight="1">
      <c r="A114" s="346" t="s">
        <v>823</v>
      </c>
      <c r="B114" s="347">
        <f t="shared" ref="B114:Q114" si="41">SUM(B104:B113)</f>
        <v>5917.64474</v>
      </c>
      <c r="C114" s="347">
        <f t="shared" si="41"/>
        <v>15230.02824</v>
      </c>
      <c r="D114" s="347">
        <f t="shared" si="41"/>
        <v>15252.84969</v>
      </c>
      <c r="E114" s="347">
        <f t="shared" si="41"/>
        <v>11372.7491</v>
      </c>
      <c r="F114" s="347">
        <f t="shared" si="41"/>
        <v>23631.51047</v>
      </c>
      <c r="G114" s="347">
        <f t="shared" si="41"/>
        <v>15465.46987</v>
      </c>
      <c r="H114" s="347">
        <f t="shared" si="41"/>
        <v>15160.56362</v>
      </c>
      <c r="I114" s="347">
        <f t="shared" si="41"/>
        <v>32245.09812</v>
      </c>
      <c r="J114" s="347">
        <f t="shared" si="41"/>
        <v>31341.04328</v>
      </c>
      <c r="K114" s="347">
        <f t="shared" si="41"/>
        <v>38104.38878</v>
      </c>
      <c r="L114" s="347">
        <f t="shared" si="41"/>
        <v>39983.97686</v>
      </c>
      <c r="M114" s="347">
        <f t="shared" si="41"/>
        <v>44910.45112</v>
      </c>
      <c r="N114" s="347">
        <f t="shared" si="41"/>
        <v>51758.84469</v>
      </c>
      <c r="O114" s="347">
        <f t="shared" si="41"/>
        <v>57437.14325</v>
      </c>
      <c r="P114" s="347">
        <f t="shared" si="41"/>
        <v>62593.98009</v>
      </c>
      <c r="Q114" s="347">
        <f t="shared" si="41"/>
        <v>65688.98413</v>
      </c>
      <c r="R114" s="347">
        <f t="shared" si="31"/>
        <v>47773.27178</v>
      </c>
      <c r="S114" s="347">
        <f t="shared" si="32"/>
        <v>478321.4543</v>
      </c>
    </row>
    <row r="115" ht="27.0" customHeight="1">
      <c r="A115" s="208" t="s">
        <v>824</v>
      </c>
      <c r="B115" s="236">
        <f t="shared" ref="B115:Q115" si="42">$B$34*(1+$B$35*B99)</f>
        <v>31000</v>
      </c>
      <c r="C115" s="236">
        <f t="shared" si="42"/>
        <v>31930</v>
      </c>
      <c r="D115" s="236">
        <f t="shared" si="42"/>
        <v>32860</v>
      </c>
      <c r="E115" s="236">
        <f t="shared" si="42"/>
        <v>33790</v>
      </c>
      <c r="F115" s="236">
        <f t="shared" si="42"/>
        <v>34720</v>
      </c>
      <c r="G115" s="236">
        <f t="shared" si="42"/>
        <v>35650</v>
      </c>
      <c r="H115" s="236">
        <f t="shared" si="42"/>
        <v>36580</v>
      </c>
      <c r="I115" s="236">
        <f t="shared" si="42"/>
        <v>37510</v>
      </c>
      <c r="J115" s="236">
        <f t="shared" si="42"/>
        <v>38440</v>
      </c>
      <c r="K115" s="236">
        <f t="shared" si="42"/>
        <v>39370</v>
      </c>
      <c r="L115" s="236">
        <f t="shared" si="42"/>
        <v>40300</v>
      </c>
      <c r="M115" s="236">
        <f t="shared" si="42"/>
        <v>41230</v>
      </c>
      <c r="N115" s="236">
        <f t="shared" si="42"/>
        <v>42160</v>
      </c>
      <c r="O115" s="236">
        <f t="shared" si="42"/>
        <v>43090</v>
      </c>
      <c r="P115" s="236">
        <f t="shared" si="42"/>
        <v>44020</v>
      </c>
      <c r="Q115" s="236">
        <f t="shared" si="42"/>
        <v>44950</v>
      </c>
      <c r="R115" s="320">
        <f t="shared" si="31"/>
        <v>129580</v>
      </c>
      <c r="S115" s="320">
        <f t="shared" si="32"/>
        <v>478020</v>
      </c>
    </row>
    <row r="116" ht="27.0" customHeight="1">
      <c r="A116" s="208" t="s">
        <v>825</v>
      </c>
      <c r="B116" s="236">
        <f t="shared" ref="B116:Q116" si="43">B115*$B$37</f>
        <v>1644.38875</v>
      </c>
      <c r="C116" s="236">
        <f t="shared" si="43"/>
        <v>1693.720413</v>
      </c>
      <c r="D116" s="236">
        <f t="shared" si="43"/>
        <v>1743.052075</v>
      </c>
      <c r="E116" s="236">
        <f t="shared" si="43"/>
        <v>1792.383738</v>
      </c>
      <c r="F116" s="236">
        <f t="shared" si="43"/>
        <v>1841.7154</v>
      </c>
      <c r="G116" s="236">
        <f t="shared" si="43"/>
        <v>1891.047063</v>
      </c>
      <c r="H116" s="236">
        <f t="shared" si="43"/>
        <v>1940.378725</v>
      </c>
      <c r="I116" s="236">
        <f t="shared" si="43"/>
        <v>1989.710388</v>
      </c>
      <c r="J116" s="236">
        <f t="shared" si="43"/>
        <v>2039.04205</v>
      </c>
      <c r="K116" s="236">
        <f t="shared" si="43"/>
        <v>2088.373713</v>
      </c>
      <c r="L116" s="236">
        <f t="shared" si="43"/>
        <v>2137.705375</v>
      </c>
      <c r="M116" s="236">
        <f t="shared" si="43"/>
        <v>2187.037038</v>
      </c>
      <c r="N116" s="236">
        <f t="shared" si="43"/>
        <v>2236.3687</v>
      </c>
      <c r="O116" s="236">
        <f t="shared" si="43"/>
        <v>2285.700363</v>
      </c>
      <c r="P116" s="236">
        <f t="shared" si="43"/>
        <v>2335.032025</v>
      </c>
      <c r="Q116" s="236">
        <f t="shared" si="43"/>
        <v>2384.363688</v>
      </c>
      <c r="R116" s="320">
        <f t="shared" si="31"/>
        <v>6873.544975</v>
      </c>
      <c r="S116" s="320">
        <f t="shared" si="32"/>
        <v>25356.47453</v>
      </c>
    </row>
    <row r="117" ht="27.0" customHeight="1">
      <c r="A117" s="208" t="s">
        <v>826</v>
      </c>
      <c r="B117" s="236">
        <f t="shared" ref="B117:Q117" si="44">B98*$B$38</f>
        <v>0</v>
      </c>
      <c r="C117" s="236">
        <f t="shared" si="44"/>
        <v>15000</v>
      </c>
      <c r="D117" s="236">
        <f t="shared" si="44"/>
        <v>15000</v>
      </c>
      <c r="E117" s="236">
        <f t="shared" si="44"/>
        <v>0</v>
      </c>
      <c r="F117" s="236">
        <f t="shared" si="44"/>
        <v>35000</v>
      </c>
      <c r="G117" s="236">
        <f t="shared" si="44"/>
        <v>15000</v>
      </c>
      <c r="H117" s="236">
        <f t="shared" si="44"/>
        <v>0</v>
      </c>
      <c r="I117" s="236">
        <f t="shared" si="44"/>
        <v>40000</v>
      </c>
      <c r="J117" s="236">
        <f t="shared" si="44"/>
        <v>30000</v>
      </c>
      <c r="K117" s="236">
        <f t="shared" si="44"/>
        <v>45000</v>
      </c>
      <c r="L117" s="236">
        <f t="shared" si="44"/>
        <v>35000</v>
      </c>
      <c r="M117" s="236">
        <f t="shared" si="44"/>
        <v>40000</v>
      </c>
      <c r="N117" s="236">
        <f t="shared" si="44"/>
        <v>55000</v>
      </c>
      <c r="O117" s="236">
        <f t="shared" si="44"/>
        <v>55000</v>
      </c>
      <c r="P117" s="236">
        <f t="shared" si="44"/>
        <v>70000</v>
      </c>
      <c r="Q117" s="236">
        <f t="shared" si="44"/>
        <v>65000</v>
      </c>
      <c r="R117" s="320">
        <f t="shared" si="31"/>
        <v>30000</v>
      </c>
      <c r="S117" s="320">
        <f t="shared" si="32"/>
        <v>485000</v>
      </c>
    </row>
    <row r="118" ht="27.0" customHeight="1">
      <c r="A118" s="208" t="s">
        <v>827</v>
      </c>
      <c r="B118" s="236">
        <f t="shared" ref="B118:Q118" si="45">B100</f>
        <v>58263</v>
      </c>
      <c r="C118" s="236">
        <f t="shared" si="45"/>
        <v>58263</v>
      </c>
      <c r="D118" s="236">
        <f t="shared" si="45"/>
        <v>58263</v>
      </c>
      <c r="E118" s="236">
        <f t="shared" si="45"/>
        <v>58263</v>
      </c>
      <c r="F118" s="236">
        <f t="shared" si="45"/>
        <v>58263</v>
      </c>
      <c r="G118" s="236">
        <f t="shared" si="45"/>
        <v>58263</v>
      </c>
      <c r="H118" s="236">
        <f t="shared" si="45"/>
        <v>58263</v>
      </c>
      <c r="I118" s="236">
        <f t="shared" si="45"/>
        <v>74913</v>
      </c>
      <c r="J118" s="236">
        <f t="shared" si="45"/>
        <v>74913</v>
      </c>
      <c r="K118" s="236">
        <f t="shared" si="45"/>
        <v>74913</v>
      </c>
      <c r="L118" s="236">
        <f t="shared" si="45"/>
        <v>74913</v>
      </c>
      <c r="M118" s="236">
        <f t="shared" si="45"/>
        <v>74913</v>
      </c>
      <c r="N118" s="236">
        <f t="shared" si="45"/>
        <v>74913</v>
      </c>
      <c r="O118" s="236">
        <f t="shared" si="45"/>
        <v>74913</v>
      </c>
      <c r="P118" s="236">
        <f t="shared" si="45"/>
        <v>74913</v>
      </c>
      <c r="Q118" s="236">
        <f t="shared" si="45"/>
        <v>74913</v>
      </c>
      <c r="R118" s="320">
        <f t="shared" si="31"/>
        <v>233052</v>
      </c>
      <c r="S118" s="320">
        <f t="shared" si="32"/>
        <v>849006</v>
      </c>
    </row>
    <row r="119" ht="27.0" customHeight="1">
      <c r="A119" s="348" t="s">
        <v>828</v>
      </c>
      <c r="B119" s="349">
        <f t="shared" ref="B119:Q119" si="46">SUM(B115:B118)</f>
        <v>90907.38875</v>
      </c>
      <c r="C119" s="349">
        <f t="shared" si="46"/>
        <v>106886.7204</v>
      </c>
      <c r="D119" s="349">
        <f t="shared" si="46"/>
        <v>107866.0521</v>
      </c>
      <c r="E119" s="349">
        <f t="shared" si="46"/>
        <v>93845.38374</v>
      </c>
      <c r="F119" s="349">
        <f t="shared" si="46"/>
        <v>129824.7154</v>
      </c>
      <c r="G119" s="349">
        <f t="shared" si="46"/>
        <v>110804.0471</v>
      </c>
      <c r="H119" s="349">
        <f t="shared" si="46"/>
        <v>96783.37873</v>
      </c>
      <c r="I119" s="349">
        <f t="shared" si="46"/>
        <v>154412.7104</v>
      </c>
      <c r="J119" s="349">
        <f t="shared" si="46"/>
        <v>145392.0421</v>
      </c>
      <c r="K119" s="349">
        <f t="shared" si="46"/>
        <v>161371.3737</v>
      </c>
      <c r="L119" s="349">
        <f t="shared" si="46"/>
        <v>152350.7054</v>
      </c>
      <c r="M119" s="349">
        <f t="shared" si="46"/>
        <v>158330.037</v>
      </c>
      <c r="N119" s="349">
        <f t="shared" si="46"/>
        <v>174309.3687</v>
      </c>
      <c r="O119" s="349">
        <f t="shared" si="46"/>
        <v>175288.7004</v>
      </c>
      <c r="P119" s="349">
        <f t="shared" si="46"/>
        <v>191268.032</v>
      </c>
      <c r="Q119" s="349">
        <f t="shared" si="46"/>
        <v>187247.3637</v>
      </c>
      <c r="R119" s="349">
        <f t="shared" si="31"/>
        <v>399505.545</v>
      </c>
      <c r="S119" s="349">
        <f t="shared" si="32"/>
        <v>1837382.475</v>
      </c>
    </row>
    <row r="120">
      <c r="A120" s="346" t="s">
        <v>480</v>
      </c>
      <c r="B120" s="347">
        <f t="shared" ref="B120:Q120" si="47">B114+B119</f>
        <v>96825.03349</v>
      </c>
      <c r="C120" s="347">
        <f t="shared" si="47"/>
        <v>122116.7487</v>
      </c>
      <c r="D120" s="347">
        <f t="shared" si="47"/>
        <v>123118.9018</v>
      </c>
      <c r="E120" s="347">
        <f t="shared" si="47"/>
        <v>105218.1328</v>
      </c>
      <c r="F120" s="347">
        <f t="shared" si="47"/>
        <v>153456.2259</v>
      </c>
      <c r="G120" s="347">
        <f t="shared" si="47"/>
        <v>126269.5169</v>
      </c>
      <c r="H120" s="347">
        <f t="shared" si="47"/>
        <v>111943.9423</v>
      </c>
      <c r="I120" s="347">
        <f t="shared" si="47"/>
        <v>186657.8085</v>
      </c>
      <c r="J120" s="347">
        <f t="shared" si="47"/>
        <v>176733.0853</v>
      </c>
      <c r="K120" s="347">
        <f t="shared" si="47"/>
        <v>199475.7625</v>
      </c>
      <c r="L120" s="347">
        <f t="shared" si="47"/>
        <v>192334.6822</v>
      </c>
      <c r="M120" s="347">
        <f t="shared" si="47"/>
        <v>203240.4882</v>
      </c>
      <c r="N120" s="347">
        <f t="shared" si="47"/>
        <v>226068.2134</v>
      </c>
      <c r="O120" s="347">
        <f t="shared" si="47"/>
        <v>232725.8436</v>
      </c>
      <c r="P120" s="347">
        <f t="shared" si="47"/>
        <v>253862.0121</v>
      </c>
      <c r="Q120" s="347">
        <f t="shared" si="47"/>
        <v>252936.3478</v>
      </c>
      <c r="R120" s="347">
        <f t="shared" si="31"/>
        <v>447278.8168</v>
      </c>
      <c r="S120" s="347">
        <f t="shared" si="32"/>
        <v>2315703.929</v>
      </c>
    </row>
    <row r="121">
      <c r="A121" s="203"/>
      <c r="B121" s="203"/>
      <c r="C121" s="203"/>
      <c r="D121" s="203"/>
      <c r="E121" s="203"/>
      <c r="F121" s="203"/>
      <c r="G121" s="203"/>
      <c r="H121" s="203"/>
      <c r="I121" s="203"/>
      <c r="J121" s="203"/>
      <c r="K121" s="203"/>
      <c r="L121" s="203"/>
      <c r="M121" s="203"/>
      <c r="N121" s="203"/>
      <c r="O121" s="203"/>
      <c r="P121" s="203"/>
      <c r="Q121" s="203"/>
      <c r="R121" s="345"/>
      <c r="S121" s="345"/>
    </row>
    <row r="122">
      <c r="A122" s="206" t="s">
        <v>591</v>
      </c>
      <c r="B122" s="226">
        <f t="shared" ref="B122:Q122" si="48">B$83</f>
        <v>46295</v>
      </c>
      <c r="C122" s="226">
        <f t="shared" si="48"/>
        <v>46326</v>
      </c>
      <c r="D122" s="226">
        <f t="shared" si="48"/>
        <v>46356</v>
      </c>
      <c r="E122" s="226">
        <f t="shared" si="48"/>
        <v>46387</v>
      </c>
      <c r="F122" s="226">
        <f t="shared" si="48"/>
        <v>46418</v>
      </c>
      <c r="G122" s="226">
        <f t="shared" si="48"/>
        <v>46446</v>
      </c>
      <c r="H122" s="226">
        <f t="shared" si="48"/>
        <v>46477</v>
      </c>
      <c r="I122" s="226">
        <f t="shared" si="48"/>
        <v>46507</v>
      </c>
      <c r="J122" s="226">
        <f t="shared" si="48"/>
        <v>46538</v>
      </c>
      <c r="K122" s="226">
        <f t="shared" si="48"/>
        <v>46568</v>
      </c>
      <c r="L122" s="226">
        <f t="shared" si="48"/>
        <v>46599</v>
      </c>
      <c r="M122" s="226">
        <f t="shared" si="48"/>
        <v>46630</v>
      </c>
      <c r="N122" s="226">
        <f t="shared" si="48"/>
        <v>46660</v>
      </c>
      <c r="O122" s="226">
        <f t="shared" si="48"/>
        <v>46691</v>
      </c>
      <c r="P122" s="226">
        <f t="shared" si="48"/>
        <v>46721</v>
      </c>
      <c r="Q122" s="226">
        <f t="shared" si="48"/>
        <v>46752</v>
      </c>
      <c r="R122" s="227" t="s">
        <v>246</v>
      </c>
      <c r="S122" s="227" t="s">
        <v>2</v>
      </c>
    </row>
    <row r="123">
      <c r="A123" s="208" t="s">
        <v>554</v>
      </c>
      <c r="B123" s="236">
        <f t="shared" ref="B123:Q123" si="49">MMULT($B75:$K75,B$104:B$113)</f>
        <v>0</v>
      </c>
      <c r="C123" s="236">
        <f t="shared" si="49"/>
        <v>3975.134884</v>
      </c>
      <c r="D123" s="236">
        <f t="shared" si="49"/>
        <v>3975.134884</v>
      </c>
      <c r="E123" s="236">
        <f t="shared" si="49"/>
        <v>0</v>
      </c>
      <c r="F123" s="236">
        <f t="shared" si="49"/>
        <v>5962.702326</v>
      </c>
      <c r="G123" s="236">
        <f t="shared" si="49"/>
        <v>3975.134884</v>
      </c>
      <c r="H123" s="236">
        <f t="shared" si="49"/>
        <v>0</v>
      </c>
      <c r="I123" s="236">
        <f t="shared" si="49"/>
        <v>9460.749905</v>
      </c>
      <c r="J123" s="236">
        <f t="shared" si="49"/>
        <v>7473.182463</v>
      </c>
      <c r="K123" s="236">
        <f t="shared" si="49"/>
        <v>10971.23004</v>
      </c>
      <c r="L123" s="236">
        <f t="shared" si="49"/>
        <v>9460.749905</v>
      </c>
      <c r="M123" s="236">
        <f t="shared" si="49"/>
        <v>11448.31735</v>
      </c>
      <c r="N123" s="236">
        <f t="shared" si="49"/>
        <v>14946.36493</v>
      </c>
      <c r="O123" s="236">
        <f t="shared" si="49"/>
        <v>14946.36493</v>
      </c>
      <c r="P123" s="236">
        <f t="shared" si="49"/>
        <v>18444.4125</v>
      </c>
      <c r="Q123" s="236">
        <f t="shared" si="49"/>
        <v>18921.49981</v>
      </c>
      <c r="R123" s="320">
        <f t="shared" ref="R123:R133" si="51">SUM(B123:E123)</f>
        <v>7950.269769</v>
      </c>
      <c r="S123" s="320">
        <f t="shared" ref="S123:S133" si="52">SUM(F123:Q123)</f>
        <v>126010.709</v>
      </c>
    </row>
    <row r="124">
      <c r="A124" s="208" t="s">
        <v>555</v>
      </c>
      <c r="B124" s="236">
        <f t="shared" ref="B124:Q124" si="50">MMULT($B76:$K76,B$104:B$113)</f>
        <v>0</v>
      </c>
      <c r="C124" s="236">
        <f t="shared" si="50"/>
        <v>31.60520008</v>
      </c>
      <c r="D124" s="236">
        <f t="shared" si="50"/>
        <v>31.60520008</v>
      </c>
      <c r="E124" s="236">
        <f t="shared" si="50"/>
        <v>0</v>
      </c>
      <c r="F124" s="236">
        <f t="shared" si="50"/>
        <v>47.40780012</v>
      </c>
      <c r="G124" s="236">
        <f t="shared" si="50"/>
        <v>31.60520008</v>
      </c>
      <c r="H124" s="236">
        <f t="shared" si="50"/>
        <v>0</v>
      </c>
      <c r="I124" s="236">
        <f t="shared" si="50"/>
        <v>78.67388504</v>
      </c>
      <c r="J124" s="236">
        <f t="shared" si="50"/>
        <v>62.871285</v>
      </c>
      <c r="K124" s="236">
        <f t="shared" si="50"/>
        <v>94.13736992</v>
      </c>
      <c r="L124" s="236">
        <f t="shared" si="50"/>
        <v>78.67388504</v>
      </c>
      <c r="M124" s="236">
        <f t="shared" si="50"/>
        <v>94.47648508</v>
      </c>
      <c r="N124" s="236">
        <f t="shared" si="50"/>
        <v>125.74257</v>
      </c>
      <c r="O124" s="236">
        <f t="shared" si="50"/>
        <v>125.74257</v>
      </c>
      <c r="P124" s="236">
        <f t="shared" si="50"/>
        <v>157.0086549</v>
      </c>
      <c r="Q124" s="236">
        <f t="shared" si="50"/>
        <v>157.3477701</v>
      </c>
      <c r="R124" s="320">
        <f t="shared" si="51"/>
        <v>63.21040016</v>
      </c>
      <c r="S124" s="320">
        <f t="shared" si="52"/>
        <v>1053.687475</v>
      </c>
    </row>
    <row r="125" ht="27.0" customHeight="1">
      <c r="A125" s="208" t="s">
        <v>803</v>
      </c>
      <c r="B125" s="236">
        <f t="shared" ref="B125:Q125" si="53">MMULT($B77:$K77,B$104:B$113)</f>
        <v>904.9094078</v>
      </c>
      <c r="C125" s="236">
        <f t="shared" si="53"/>
        <v>2126.284977</v>
      </c>
      <c r="D125" s="236">
        <f t="shared" si="53"/>
        <v>2149.106427</v>
      </c>
      <c r="E125" s="236">
        <f t="shared" si="53"/>
        <v>1407.82433</v>
      </c>
      <c r="F125" s="236">
        <f t="shared" si="53"/>
        <v>3180.803609</v>
      </c>
      <c r="G125" s="236">
        <f t="shared" si="53"/>
        <v>2361.726608</v>
      </c>
      <c r="H125" s="236">
        <f t="shared" si="53"/>
        <v>1894.179214</v>
      </c>
      <c r="I125" s="236">
        <f t="shared" si="53"/>
        <v>4572.213857</v>
      </c>
      <c r="J125" s="236">
        <f t="shared" si="53"/>
        <v>4412.203356</v>
      </c>
      <c r="K125" s="236">
        <f t="shared" si="53"/>
        <v>5604.10127</v>
      </c>
      <c r="L125" s="236">
        <f t="shared" si="53"/>
        <v>5708.173336</v>
      </c>
      <c r="M125" s="236">
        <f t="shared" si="53"/>
        <v>6589.143634</v>
      </c>
      <c r="N125" s="236">
        <f t="shared" si="53"/>
        <v>7866.089621</v>
      </c>
      <c r="O125" s="236">
        <f t="shared" si="53"/>
        <v>8592.19873</v>
      </c>
      <c r="P125" s="236">
        <f t="shared" si="53"/>
        <v>9828.317804</v>
      </c>
      <c r="Q125" s="236">
        <f t="shared" si="53"/>
        <v>10403.76149</v>
      </c>
      <c r="R125" s="320">
        <f t="shared" si="51"/>
        <v>6588.125141</v>
      </c>
      <c r="S125" s="320">
        <f t="shared" si="52"/>
        <v>71012.91253</v>
      </c>
    </row>
    <row r="126" ht="27.0" customHeight="1">
      <c r="A126" s="208" t="s">
        <v>558</v>
      </c>
      <c r="B126" s="236">
        <f t="shared" ref="B126:Q126" si="54">MMULT($B78:$K78,B$104:B$113)</f>
        <v>2202.954594</v>
      </c>
      <c r="C126" s="236">
        <f t="shared" si="54"/>
        <v>6287.222443</v>
      </c>
      <c r="D126" s="236">
        <f t="shared" si="54"/>
        <v>6287.222443</v>
      </c>
      <c r="E126" s="236">
        <f t="shared" si="54"/>
        <v>7118.671879</v>
      </c>
      <c r="F126" s="236">
        <f t="shared" si="54"/>
        <v>11606.50122</v>
      </c>
      <c r="G126" s="236">
        <f t="shared" si="54"/>
        <v>6287.222443</v>
      </c>
      <c r="H126" s="236">
        <f t="shared" si="54"/>
        <v>10395.81674</v>
      </c>
      <c r="I126" s="236">
        <f t="shared" si="54"/>
        <v>15287.20758</v>
      </c>
      <c r="J126" s="236">
        <f t="shared" si="54"/>
        <v>16522.21851</v>
      </c>
      <c r="K126" s="236">
        <f t="shared" si="54"/>
        <v>18564.35243</v>
      </c>
      <c r="L126" s="236">
        <f t="shared" si="54"/>
        <v>21841.49729</v>
      </c>
      <c r="M126" s="236">
        <f t="shared" si="54"/>
        <v>23883.63122</v>
      </c>
      <c r="N126" s="236">
        <f t="shared" si="54"/>
        <v>25925.76514</v>
      </c>
      <c r="O126" s="236">
        <f t="shared" si="54"/>
        <v>30841.48243</v>
      </c>
      <c r="P126" s="236">
        <f t="shared" si="54"/>
        <v>31245.04392</v>
      </c>
      <c r="Q126" s="236">
        <f t="shared" si="54"/>
        <v>33287.17785</v>
      </c>
      <c r="R126" s="320">
        <f t="shared" si="51"/>
        <v>21896.07136</v>
      </c>
      <c r="S126" s="320">
        <f t="shared" si="52"/>
        <v>245687.9168</v>
      </c>
    </row>
    <row r="127" ht="27.0" customHeight="1">
      <c r="A127" s="208" t="s">
        <v>559</v>
      </c>
      <c r="B127" s="236">
        <f t="shared" ref="B127:Q127" si="55">MMULT($B79:$K79,B$104:B$113)</f>
        <v>103.7293196</v>
      </c>
      <c r="C127" s="236">
        <f t="shared" si="55"/>
        <v>103.7293196</v>
      </c>
      <c r="D127" s="236">
        <f t="shared" si="55"/>
        <v>103.7293196</v>
      </c>
      <c r="E127" s="236">
        <f t="shared" si="55"/>
        <v>140.2014764</v>
      </c>
      <c r="F127" s="236">
        <f t="shared" si="55"/>
        <v>128.0440908</v>
      </c>
      <c r="G127" s="236">
        <f t="shared" si="55"/>
        <v>103.7293196</v>
      </c>
      <c r="H127" s="236">
        <f t="shared" si="55"/>
        <v>164.5162475</v>
      </c>
      <c r="I127" s="236">
        <f t="shared" si="55"/>
        <v>140.2014764</v>
      </c>
      <c r="J127" s="236">
        <f t="shared" si="55"/>
        <v>164.5162475</v>
      </c>
      <c r="K127" s="236">
        <f t="shared" si="55"/>
        <v>164.5162475</v>
      </c>
      <c r="L127" s="236">
        <f t="shared" si="55"/>
        <v>188.8310187</v>
      </c>
      <c r="M127" s="236">
        <f t="shared" si="55"/>
        <v>188.8310187</v>
      </c>
      <c r="N127" s="236">
        <f t="shared" si="55"/>
        <v>188.8310187</v>
      </c>
      <c r="O127" s="236">
        <f t="shared" si="55"/>
        <v>225.3031754</v>
      </c>
      <c r="P127" s="236">
        <f t="shared" si="55"/>
        <v>213.1457899</v>
      </c>
      <c r="Q127" s="236">
        <f t="shared" si="55"/>
        <v>213.1457899</v>
      </c>
      <c r="R127" s="320">
        <f t="shared" si="51"/>
        <v>451.3894353</v>
      </c>
      <c r="S127" s="320">
        <f t="shared" si="52"/>
        <v>2083.611441</v>
      </c>
    </row>
    <row r="128" ht="27.0" customHeight="1">
      <c r="A128" s="208" t="s">
        <v>802</v>
      </c>
      <c r="B128" s="236">
        <f t="shared" ref="B128:Q128" si="56">MMULT($B80:$K80,B$104:B$113)+B116</f>
        <v>4350.440169</v>
      </c>
      <c r="C128" s="236">
        <f t="shared" si="56"/>
        <v>4399.771832</v>
      </c>
      <c r="D128" s="236">
        <f t="shared" si="56"/>
        <v>4449.103494</v>
      </c>
      <c r="E128" s="236">
        <f t="shared" si="56"/>
        <v>4498.435157</v>
      </c>
      <c r="F128" s="236">
        <f t="shared" si="56"/>
        <v>4547.766819</v>
      </c>
      <c r="G128" s="236">
        <f t="shared" si="56"/>
        <v>4597.098482</v>
      </c>
      <c r="H128" s="236">
        <f t="shared" si="56"/>
        <v>4646.430144</v>
      </c>
      <c r="I128" s="236">
        <f t="shared" si="56"/>
        <v>4695.761807</v>
      </c>
      <c r="J128" s="236">
        <f t="shared" si="56"/>
        <v>4745.093469</v>
      </c>
      <c r="K128" s="236">
        <f t="shared" si="56"/>
        <v>4794.425132</v>
      </c>
      <c r="L128" s="236">
        <f t="shared" si="56"/>
        <v>4843.756794</v>
      </c>
      <c r="M128" s="236">
        <f t="shared" si="56"/>
        <v>4893.088457</v>
      </c>
      <c r="N128" s="236">
        <f t="shared" si="56"/>
        <v>4942.420119</v>
      </c>
      <c r="O128" s="236">
        <f t="shared" si="56"/>
        <v>4991.751782</v>
      </c>
      <c r="P128" s="236">
        <f t="shared" si="56"/>
        <v>5041.083444</v>
      </c>
      <c r="Q128" s="236">
        <f t="shared" si="56"/>
        <v>5090.415107</v>
      </c>
      <c r="R128" s="320">
        <f t="shared" si="51"/>
        <v>17697.75065</v>
      </c>
      <c r="S128" s="320">
        <f t="shared" si="52"/>
        <v>57829.09156</v>
      </c>
    </row>
    <row r="129" ht="27.0" customHeight="1">
      <c r="A129" s="208" t="s">
        <v>829</v>
      </c>
      <c r="B129" s="236">
        <f t="shared" ref="B129:Q129" si="57">B115</f>
        <v>31000</v>
      </c>
      <c r="C129" s="236">
        <f t="shared" si="57"/>
        <v>31930</v>
      </c>
      <c r="D129" s="236">
        <f t="shared" si="57"/>
        <v>32860</v>
      </c>
      <c r="E129" s="236">
        <f t="shared" si="57"/>
        <v>33790</v>
      </c>
      <c r="F129" s="236">
        <f t="shared" si="57"/>
        <v>34720</v>
      </c>
      <c r="G129" s="236">
        <f t="shared" si="57"/>
        <v>35650</v>
      </c>
      <c r="H129" s="236">
        <f t="shared" si="57"/>
        <v>36580</v>
      </c>
      <c r="I129" s="236">
        <f t="shared" si="57"/>
        <v>37510</v>
      </c>
      <c r="J129" s="236">
        <f t="shared" si="57"/>
        <v>38440</v>
      </c>
      <c r="K129" s="236">
        <f t="shared" si="57"/>
        <v>39370</v>
      </c>
      <c r="L129" s="236">
        <f t="shared" si="57"/>
        <v>40300</v>
      </c>
      <c r="M129" s="236">
        <f t="shared" si="57"/>
        <v>41230</v>
      </c>
      <c r="N129" s="236">
        <f t="shared" si="57"/>
        <v>42160</v>
      </c>
      <c r="O129" s="236">
        <f t="shared" si="57"/>
        <v>43090</v>
      </c>
      <c r="P129" s="236">
        <f t="shared" si="57"/>
        <v>44020</v>
      </c>
      <c r="Q129" s="236">
        <f t="shared" si="57"/>
        <v>44950</v>
      </c>
      <c r="R129" s="320">
        <f t="shared" si="51"/>
        <v>129580</v>
      </c>
      <c r="S129" s="320">
        <f t="shared" si="52"/>
        <v>478020</v>
      </c>
    </row>
    <row r="130" ht="27.0" customHeight="1">
      <c r="A130" s="208" t="s">
        <v>830</v>
      </c>
      <c r="B130" s="236">
        <f t="shared" ref="B130:Q130" si="58">B117</f>
        <v>0</v>
      </c>
      <c r="C130" s="236">
        <f t="shared" si="58"/>
        <v>15000</v>
      </c>
      <c r="D130" s="236">
        <f t="shared" si="58"/>
        <v>15000</v>
      </c>
      <c r="E130" s="236">
        <f t="shared" si="58"/>
        <v>0</v>
      </c>
      <c r="F130" s="236">
        <f t="shared" si="58"/>
        <v>35000</v>
      </c>
      <c r="G130" s="236">
        <f t="shared" si="58"/>
        <v>15000</v>
      </c>
      <c r="H130" s="236">
        <f t="shared" si="58"/>
        <v>0</v>
      </c>
      <c r="I130" s="236">
        <f t="shared" si="58"/>
        <v>40000</v>
      </c>
      <c r="J130" s="236">
        <f t="shared" si="58"/>
        <v>30000</v>
      </c>
      <c r="K130" s="236">
        <f t="shared" si="58"/>
        <v>45000</v>
      </c>
      <c r="L130" s="236">
        <f t="shared" si="58"/>
        <v>35000</v>
      </c>
      <c r="M130" s="236">
        <f t="shared" si="58"/>
        <v>40000</v>
      </c>
      <c r="N130" s="236">
        <f t="shared" si="58"/>
        <v>55000</v>
      </c>
      <c r="O130" s="236">
        <f t="shared" si="58"/>
        <v>55000</v>
      </c>
      <c r="P130" s="236">
        <f t="shared" si="58"/>
        <v>70000</v>
      </c>
      <c r="Q130" s="236">
        <f t="shared" si="58"/>
        <v>65000</v>
      </c>
      <c r="R130" s="320">
        <f t="shared" si="51"/>
        <v>30000</v>
      </c>
      <c r="S130" s="320">
        <f t="shared" si="52"/>
        <v>485000</v>
      </c>
    </row>
    <row r="131" ht="27.0" customHeight="1">
      <c r="A131" s="208" t="s">
        <v>831</v>
      </c>
      <c r="B131" s="236">
        <f t="shared" ref="B131:Q131" si="59">B118</f>
        <v>58263</v>
      </c>
      <c r="C131" s="236">
        <f t="shared" si="59"/>
        <v>58263</v>
      </c>
      <c r="D131" s="236">
        <f t="shared" si="59"/>
        <v>58263</v>
      </c>
      <c r="E131" s="236">
        <f t="shared" si="59"/>
        <v>58263</v>
      </c>
      <c r="F131" s="236">
        <f t="shared" si="59"/>
        <v>58263</v>
      </c>
      <c r="G131" s="236">
        <f t="shared" si="59"/>
        <v>58263</v>
      </c>
      <c r="H131" s="236">
        <f t="shared" si="59"/>
        <v>58263</v>
      </c>
      <c r="I131" s="236">
        <f t="shared" si="59"/>
        <v>74913</v>
      </c>
      <c r="J131" s="236">
        <f t="shared" si="59"/>
        <v>74913</v>
      </c>
      <c r="K131" s="236">
        <f t="shared" si="59"/>
        <v>74913</v>
      </c>
      <c r="L131" s="236">
        <f t="shared" si="59"/>
        <v>74913</v>
      </c>
      <c r="M131" s="236">
        <f t="shared" si="59"/>
        <v>74913</v>
      </c>
      <c r="N131" s="236">
        <f t="shared" si="59"/>
        <v>74913</v>
      </c>
      <c r="O131" s="236">
        <f t="shared" si="59"/>
        <v>74913</v>
      </c>
      <c r="P131" s="236">
        <f t="shared" si="59"/>
        <v>74913</v>
      </c>
      <c r="Q131" s="236">
        <f t="shared" si="59"/>
        <v>74913</v>
      </c>
      <c r="R131" s="320">
        <f t="shared" si="51"/>
        <v>233052</v>
      </c>
      <c r="S131" s="320">
        <f t="shared" si="52"/>
        <v>849006</v>
      </c>
    </row>
    <row r="132" ht="27.0" customHeight="1">
      <c r="A132" s="346" t="s">
        <v>482</v>
      </c>
      <c r="B132" s="347">
        <f t="shared" ref="B132:Q132" si="60">SUM(B123:B131)</f>
        <v>96825.03349</v>
      </c>
      <c r="C132" s="347">
        <f t="shared" si="60"/>
        <v>122116.7487</v>
      </c>
      <c r="D132" s="347">
        <f t="shared" si="60"/>
        <v>123118.9018</v>
      </c>
      <c r="E132" s="347">
        <f t="shared" si="60"/>
        <v>105218.1328</v>
      </c>
      <c r="F132" s="347">
        <f t="shared" si="60"/>
        <v>153456.2259</v>
      </c>
      <c r="G132" s="347">
        <f t="shared" si="60"/>
        <v>126269.5169</v>
      </c>
      <c r="H132" s="347">
        <f t="shared" si="60"/>
        <v>111943.9423</v>
      </c>
      <c r="I132" s="347">
        <f t="shared" si="60"/>
        <v>186657.8085</v>
      </c>
      <c r="J132" s="347">
        <f t="shared" si="60"/>
        <v>176733.0853</v>
      </c>
      <c r="K132" s="347">
        <f t="shared" si="60"/>
        <v>199475.7625</v>
      </c>
      <c r="L132" s="347">
        <f t="shared" si="60"/>
        <v>192334.6822</v>
      </c>
      <c r="M132" s="347">
        <f t="shared" si="60"/>
        <v>203240.4882</v>
      </c>
      <c r="N132" s="347">
        <f t="shared" si="60"/>
        <v>226068.2134</v>
      </c>
      <c r="O132" s="347">
        <f t="shared" si="60"/>
        <v>232725.8436</v>
      </c>
      <c r="P132" s="347">
        <f t="shared" si="60"/>
        <v>253862.0121</v>
      </c>
      <c r="Q132" s="347">
        <f t="shared" si="60"/>
        <v>252936.3478</v>
      </c>
      <c r="R132" s="347">
        <f t="shared" si="51"/>
        <v>447278.8168</v>
      </c>
      <c r="S132" s="347">
        <f t="shared" si="52"/>
        <v>2315703.929</v>
      </c>
    </row>
    <row r="133" ht="27.0" customHeight="1">
      <c r="A133" s="322" t="s">
        <v>483</v>
      </c>
      <c r="B133" s="323">
        <f t="shared" ref="B133:Q133" si="61">ROUND(B132-B120,2)</f>
        <v>0</v>
      </c>
      <c r="C133" s="323">
        <f t="shared" si="61"/>
        <v>0</v>
      </c>
      <c r="D133" s="323">
        <f t="shared" si="61"/>
        <v>0</v>
      </c>
      <c r="E133" s="323">
        <f t="shared" si="61"/>
        <v>0</v>
      </c>
      <c r="F133" s="323">
        <f t="shared" si="61"/>
        <v>0</v>
      </c>
      <c r="G133" s="323">
        <f t="shared" si="61"/>
        <v>0</v>
      </c>
      <c r="H133" s="323">
        <f t="shared" si="61"/>
        <v>0</v>
      </c>
      <c r="I133" s="323">
        <f t="shared" si="61"/>
        <v>0</v>
      </c>
      <c r="J133" s="323">
        <f t="shared" si="61"/>
        <v>0</v>
      </c>
      <c r="K133" s="323">
        <f t="shared" si="61"/>
        <v>0</v>
      </c>
      <c r="L133" s="323">
        <f t="shared" si="61"/>
        <v>0</v>
      </c>
      <c r="M133" s="323">
        <f t="shared" si="61"/>
        <v>0</v>
      </c>
      <c r="N133" s="323">
        <f t="shared" si="61"/>
        <v>0</v>
      </c>
      <c r="O133" s="323">
        <f t="shared" si="61"/>
        <v>0</v>
      </c>
      <c r="P133" s="323">
        <f t="shared" si="61"/>
        <v>0</v>
      </c>
      <c r="Q133" s="323">
        <f t="shared" si="61"/>
        <v>0</v>
      </c>
      <c r="R133" s="350">
        <f t="shared" si="51"/>
        <v>0</v>
      </c>
      <c r="S133" s="350">
        <f t="shared" si="52"/>
        <v>0</v>
      </c>
    </row>
    <row r="134" ht="27.0" customHeight="1">
      <c r="A134" s="203"/>
      <c r="B134" s="203"/>
      <c r="C134" s="203"/>
      <c r="D134" s="203"/>
      <c r="E134" s="203"/>
      <c r="F134" s="203"/>
      <c r="G134" s="203"/>
      <c r="H134" s="203"/>
      <c r="I134" s="203"/>
      <c r="J134" s="203"/>
      <c r="K134" s="203"/>
      <c r="L134" s="203"/>
      <c r="M134" s="203"/>
      <c r="N134" s="203"/>
      <c r="O134" s="203"/>
      <c r="P134" s="203"/>
      <c r="Q134" s="203"/>
      <c r="R134" s="203"/>
      <c r="S134" s="203"/>
    </row>
    <row r="135" ht="27.0" customHeight="1">
      <c r="A135" s="206" t="s">
        <v>832</v>
      </c>
      <c r="B135" s="207"/>
      <c r="C135" s="207"/>
      <c r="D135" s="207"/>
      <c r="E135" s="207"/>
      <c r="F135" s="207"/>
      <c r="G135" s="207"/>
      <c r="H135" s="207"/>
      <c r="I135" s="207"/>
      <c r="J135" s="207"/>
      <c r="K135" s="207"/>
      <c r="L135" s="207"/>
      <c r="M135" s="207"/>
      <c r="N135" s="207"/>
      <c r="O135" s="207"/>
      <c r="P135" s="207"/>
      <c r="Q135" s="207"/>
      <c r="R135" s="207"/>
      <c r="S135" s="207"/>
    </row>
    <row r="136" ht="27.0" customHeight="1">
      <c r="A136" s="203"/>
      <c r="B136" s="269" t="s">
        <v>833</v>
      </c>
    </row>
    <row r="137" ht="27.0" customHeight="1">
      <c r="A137" s="203"/>
      <c r="B137" s="269" t="s">
        <v>834</v>
      </c>
    </row>
    <row r="138" ht="27.0" customHeight="1">
      <c r="A138" s="203"/>
      <c r="B138" s="269" t="s">
        <v>835</v>
      </c>
    </row>
    <row r="139" ht="27.0" customHeight="1">
      <c r="A139" s="203"/>
      <c r="B139" s="269" t="s">
        <v>836</v>
      </c>
    </row>
    <row r="140" ht="27.0" customHeight="1">
      <c r="A140" s="203"/>
      <c r="B140" s="269" t="s">
        <v>837</v>
      </c>
    </row>
    <row r="141" ht="27.0" customHeight="1">
      <c r="A141" s="203"/>
      <c r="B141" s="269" t="s">
        <v>838</v>
      </c>
    </row>
    <row r="142" ht="27.0" customHeight="1">
      <c r="A142" s="203"/>
      <c r="B142" s="269" t="s">
        <v>839</v>
      </c>
    </row>
    <row r="143" ht="27.0" customHeight="1">
      <c r="A143" s="203"/>
      <c r="B143" s="269" t="s">
        <v>840</v>
      </c>
    </row>
    <row r="144" ht="27.0" customHeight="1">
      <c r="A144" s="203"/>
      <c r="B144" s="269" t="s">
        <v>841</v>
      </c>
    </row>
    <row r="145" ht="27.0" customHeight="1">
      <c r="A145" s="203"/>
      <c r="B145" s="269" t="s">
        <v>842</v>
      </c>
    </row>
    <row r="146" ht="27.0" customHeight="1">
      <c r="A146" s="203"/>
      <c r="B146" s="269" t="s">
        <v>843</v>
      </c>
    </row>
    <row r="147" ht="27.0" customHeight="1">
      <c r="A147" s="203"/>
      <c r="B147" s="269" t="s">
        <v>844</v>
      </c>
    </row>
    <row r="148" ht="27.0" customHeight="1">
      <c r="A148" s="203"/>
      <c r="B148" s="269" t="s">
        <v>845</v>
      </c>
    </row>
  </sheetData>
  <mergeCells count="14">
    <mergeCell ref="B142:S142"/>
    <mergeCell ref="B143:S143"/>
    <mergeCell ref="B144:S144"/>
    <mergeCell ref="B145:S145"/>
    <mergeCell ref="B146:S146"/>
    <mergeCell ref="B147:S147"/>
    <mergeCell ref="B148:S148"/>
    <mergeCell ref="B2:S2"/>
    <mergeCell ref="B136:S136"/>
    <mergeCell ref="B137:S137"/>
    <mergeCell ref="B138:S138"/>
    <mergeCell ref="B139:S139"/>
    <mergeCell ref="B140:S140"/>
    <mergeCell ref="B141:S14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0.75"/>
    <col customWidth="1" min="2" max="2" width="21.38"/>
    <col customWidth="1" min="3" max="5" width="10.13"/>
    <col customWidth="1" min="6" max="6" width="25.13"/>
    <col customWidth="1" min="7" max="7" width="28.88"/>
    <col customWidth="1" min="8" max="8" width="13.88"/>
    <col customWidth="1" min="9" max="9" width="32.63"/>
    <col customWidth="1" min="10" max="12" width="15.13"/>
    <col customWidth="1" min="13" max="13" width="10.13"/>
    <col customWidth="1" min="14" max="14" width="3.13"/>
    <col customWidth="1" min="15" max="15" width="31.38"/>
    <col customWidth="1" min="16" max="16" width="23.88"/>
    <col customWidth="1" min="17" max="18" width="10.13"/>
    <col customWidth="1" min="19" max="19" width="35.13"/>
  </cols>
  <sheetData>
    <row r="1">
      <c r="A1" s="351" t="s">
        <v>846</v>
      </c>
      <c r="B1" s="203"/>
      <c r="C1" s="203"/>
      <c r="D1" s="203"/>
      <c r="E1" s="203"/>
      <c r="F1" s="203"/>
      <c r="G1" s="203"/>
      <c r="H1" s="203"/>
      <c r="I1" s="203"/>
      <c r="J1" s="203"/>
      <c r="K1" s="203"/>
      <c r="L1" s="203"/>
      <c r="M1" s="203"/>
      <c r="N1" s="203"/>
      <c r="O1" s="203"/>
      <c r="P1" s="203"/>
      <c r="Q1" s="203"/>
      <c r="R1" s="203"/>
      <c r="S1" s="203"/>
    </row>
    <row r="2" ht="36.0" customHeight="1">
      <c r="A2" s="352" t="s">
        <v>847</v>
      </c>
      <c r="J2" s="203"/>
      <c r="K2" s="203"/>
      <c r="L2" s="203"/>
      <c r="M2" s="203"/>
      <c r="N2" s="203"/>
      <c r="O2" s="203"/>
      <c r="P2" s="203"/>
      <c r="Q2" s="203"/>
      <c r="R2" s="203"/>
      <c r="S2" s="203"/>
    </row>
    <row r="3">
      <c r="A3" s="203"/>
      <c r="B3" s="203"/>
      <c r="C3" s="203"/>
      <c r="D3" s="203"/>
      <c r="E3" s="203"/>
      <c r="F3" s="203"/>
      <c r="G3" s="203"/>
      <c r="H3" s="203"/>
      <c r="I3" s="203"/>
      <c r="J3" s="203"/>
      <c r="K3" s="203"/>
      <c r="L3" s="203"/>
      <c r="M3" s="203"/>
      <c r="N3" s="203"/>
      <c r="O3" s="203"/>
      <c r="P3" s="203"/>
      <c r="Q3" s="203"/>
      <c r="R3" s="203"/>
      <c r="S3" s="203"/>
    </row>
    <row r="4" ht="24.0" customHeight="1">
      <c r="A4" s="206" t="s">
        <v>848</v>
      </c>
      <c r="B4" s="206" t="s">
        <v>849</v>
      </c>
      <c r="C4" s="206" t="s">
        <v>850</v>
      </c>
      <c r="D4" s="206" t="s">
        <v>851</v>
      </c>
      <c r="E4" s="206" t="s">
        <v>852</v>
      </c>
      <c r="F4" s="206" t="s">
        <v>853</v>
      </c>
      <c r="G4" s="206" t="s">
        <v>854</v>
      </c>
      <c r="H4" s="206" t="s">
        <v>855</v>
      </c>
      <c r="I4" s="206" t="s">
        <v>856</v>
      </c>
      <c r="J4" s="206" t="s">
        <v>857</v>
      </c>
      <c r="K4" s="206" t="s">
        <v>858</v>
      </c>
      <c r="L4" s="206" t="s">
        <v>414</v>
      </c>
      <c r="M4" s="206" t="s">
        <v>859</v>
      </c>
      <c r="N4" s="203"/>
      <c r="O4" s="353" t="s">
        <v>860</v>
      </c>
      <c r="P4" s="354" t="s">
        <v>853</v>
      </c>
      <c r="Q4" s="354" t="s">
        <v>683</v>
      </c>
      <c r="R4" s="354" t="s">
        <v>358</v>
      </c>
      <c r="S4" s="355" t="s">
        <v>471</v>
      </c>
    </row>
    <row r="5">
      <c r="A5" s="356">
        <v>46298.0</v>
      </c>
      <c r="B5" s="357" t="s">
        <v>861</v>
      </c>
      <c r="C5" s="358">
        <v>382.48</v>
      </c>
      <c r="D5" s="359">
        <v>5050.0</v>
      </c>
      <c r="E5" s="359">
        <v>5050.0</v>
      </c>
      <c r="F5" s="357" t="s">
        <v>694</v>
      </c>
      <c r="G5" s="357" t="s">
        <v>862</v>
      </c>
      <c r="H5" s="357" t="s">
        <v>783</v>
      </c>
      <c r="I5" s="357" t="s">
        <v>863</v>
      </c>
      <c r="J5" s="357" t="s">
        <v>864</v>
      </c>
      <c r="K5" s="357" t="s">
        <v>865</v>
      </c>
      <c r="L5" s="357" t="s">
        <v>866</v>
      </c>
      <c r="M5" s="360" t="str">
        <f t="array" ref="M5:M379">IF(A5:A379="","",IF((LEFT(F5:F379,8)="Excluded")+(E5:E379="n/a"),"n/a",IF(D5:D379=E5:E379,"No","Yes")))</f>
        <v>No</v>
      </c>
      <c r="N5" s="203"/>
      <c r="O5" s="361" t="s">
        <v>867</v>
      </c>
      <c r="P5" s="362" t="s">
        <v>692</v>
      </c>
      <c r="Q5" s="363">
        <v>1.0</v>
      </c>
      <c r="R5" s="362" t="s">
        <v>690</v>
      </c>
      <c r="S5" s="364" t="s">
        <v>868</v>
      </c>
    </row>
    <row r="6">
      <c r="A6" s="356">
        <v>46298.0</v>
      </c>
      <c r="B6" s="357" t="s">
        <v>869</v>
      </c>
      <c r="C6" s="358">
        <v>567.0</v>
      </c>
      <c r="D6" s="359">
        <v>5050.0</v>
      </c>
      <c r="E6" s="359">
        <v>5050.0</v>
      </c>
      <c r="F6" s="357" t="s">
        <v>694</v>
      </c>
      <c r="G6" s="357" t="s">
        <v>862</v>
      </c>
      <c r="H6" s="357" t="s">
        <v>781</v>
      </c>
      <c r="I6" s="357" t="s">
        <v>870</v>
      </c>
      <c r="J6" s="357" t="s">
        <v>864</v>
      </c>
      <c r="K6" s="357" t="s">
        <v>865</v>
      </c>
      <c r="L6" s="357" t="s">
        <v>866</v>
      </c>
      <c r="M6" s="360" t="s">
        <v>240</v>
      </c>
      <c r="N6" s="203"/>
      <c r="O6" s="361" t="s">
        <v>871</v>
      </c>
      <c r="P6" s="362" t="s">
        <v>689</v>
      </c>
      <c r="Q6" s="363">
        <v>1.0</v>
      </c>
      <c r="R6" s="362" t="s">
        <v>690</v>
      </c>
      <c r="S6" s="365"/>
    </row>
    <row r="7">
      <c r="A7" s="356">
        <v>46297.0</v>
      </c>
      <c r="B7" s="357" t="s">
        <v>872</v>
      </c>
      <c r="C7" s="358">
        <v>409.18</v>
      </c>
      <c r="D7" s="359">
        <v>5050.0</v>
      </c>
      <c r="E7" s="359">
        <v>5050.0</v>
      </c>
      <c r="F7" s="357" t="s">
        <v>694</v>
      </c>
      <c r="G7" s="357" t="s">
        <v>862</v>
      </c>
      <c r="H7" s="357" t="s">
        <v>781</v>
      </c>
      <c r="I7" s="357" t="s">
        <v>873</v>
      </c>
      <c r="J7" s="357" t="s">
        <v>864</v>
      </c>
      <c r="K7" s="357" t="s">
        <v>865</v>
      </c>
      <c r="L7" s="357" t="s">
        <v>866</v>
      </c>
      <c r="M7" s="360" t="s">
        <v>240</v>
      </c>
      <c r="N7" s="203"/>
      <c r="O7" s="361" t="s">
        <v>874</v>
      </c>
      <c r="P7" s="362" t="s">
        <v>689</v>
      </c>
      <c r="Q7" s="363">
        <v>1.0</v>
      </c>
      <c r="R7" s="362" t="s">
        <v>690</v>
      </c>
      <c r="S7" s="364" t="s">
        <v>875</v>
      </c>
    </row>
    <row r="8">
      <c r="A8" s="356">
        <v>46297.0</v>
      </c>
      <c r="B8" s="357" t="s">
        <v>876</v>
      </c>
      <c r="C8" s="358">
        <v>817.0</v>
      </c>
      <c r="D8" s="359">
        <v>6100.0</v>
      </c>
      <c r="E8" s="359">
        <v>5050.0</v>
      </c>
      <c r="F8" s="357" t="s">
        <v>694</v>
      </c>
      <c r="G8" s="357" t="s">
        <v>862</v>
      </c>
      <c r="H8" s="357" t="s">
        <v>783</v>
      </c>
      <c r="I8" s="357" t="s">
        <v>877</v>
      </c>
      <c r="J8" s="357" t="s">
        <v>878</v>
      </c>
      <c r="K8" s="357" t="s">
        <v>865</v>
      </c>
      <c r="L8" s="357" t="s">
        <v>866</v>
      </c>
      <c r="M8" s="360" t="s">
        <v>879</v>
      </c>
      <c r="N8" s="203"/>
      <c r="O8" s="361" t="s">
        <v>880</v>
      </c>
      <c r="P8" s="362" t="s">
        <v>689</v>
      </c>
      <c r="Q8" s="363">
        <v>1.0</v>
      </c>
      <c r="R8" s="362" t="s">
        <v>690</v>
      </c>
      <c r="S8" s="365"/>
    </row>
    <row r="9">
      <c r="A9" s="356">
        <v>46297.0</v>
      </c>
      <c r="B9" s="357" t="s">
        <v>881</v>
      </c>
      <c r="C9" s="358">
        <v>946.8</v>
      </c>
      <c r="D9" s="359">
        <v>6100.0</v>
      </c>
      <c r="E9" s="359">
        <v>5050.0</v>
      </c>
      <c r="F9" s="357" t="s">
        <v>694</v>
      </c>
      <c r="G9" s="357" t="s">
        <v>862</v>
      </c>
      <c r="H9" s="357" t="s">
        <v>781</v>
      </c>
      <c r="I9" s="357" t="s">
        <v>870</v>
      </c>
      <c r="J9" s="357" t="s">
        <v>864</v>
      </c>
      <c r="K9" s="357" t="s">
        <v>865</v>
      </c>
      <c r="L9" s="357" t="s">
        <v>866</v>
      </c>
      <c r="M9" s="360" t="s">
        <v>879</v>
      </c>
      <c r="N9" s="203"/>
      <c r="O9" s="361" t="s">
        <v>882</v>
      </c>
      <c r="P9" s="362" t="s">
        <v>883</v>
      </c>
      <c r="Q9" s="363">
        <v>1.0</v>
      </c>
      <c r="R9" s="362" t="s">
        <v>884</v>
      </c>
      <c r="S9" s="364" t="s">
        <v>885</v>
      </c>
    </row>
    <row r="10">
      <c r="A10" s="356">
        <v>46296.0</v>
      </c>
      <c r="B10" s="357" t="s">
        <v>886</v>
      </c>
      <c r="C10" s="358">
        <v>225.0</v>
      </c>
      <c r="D10" s="359">
        <v>5360.0</v>
      </c>
      <c r="E10" s="359">
        <v>5050.0</v>
      </c>
      <c r="F10" s="357" t="s">
        <v>694</v>
      </c>
      <c r="G10" s="357" t="s">
        <v>862</v>
      </c>
      <c r="H10" s="357" t="s">
        <v>784</v>
      </c>
      <c r="I10" s="357" t="s">
        <v>887</v>
      </c>
      <c r="J10" s="357" t="s">
        <v>864</v>
      </c>
      <c r="K10" s="357" t="s">
        <v>888</v>
      </c>
      <c r="L10" s="357" t="s">
        <v>866</v>
      </c>
      <c r="M10" s="360" t="s">
        <v>879</v>
      </c>
      <c r="N10" s="203"/>
      <c r="O10" s="361" t="s">
        <v>889</v>
      </c>
      <c r="P10" s="362" t="s">
        <v>890</v>
      </c>
      <c r="Q10" s="363">
        <v>1.0</v>
      </c>
      <c r="R10" s="362" t="s">
        <v>884</v>
      </c>
      <c r="S10" s="364" t="s">
        <v>891</v>
      </c>
    </row>
    <row r="11">
      <c r="A11" s="356">
        <v>46296.0</v>
      </c>
      <c r="B11" s="357" t="s">
        <v>869</v>
      </c>
      <c r="C11" s="358">
        <v>537.25</v>
      </c>
      <c r="D11" s="359">
        <v>5050.0</v>
      </c>
      <c r="E11" s="359">
        <v>5050.0</v>
      </c>
      <c r="F11" s="357" t="s">
        <v>883</v>
      </c>
      <c r="G11" s="357" t="s">
        <v>882</v>
      </c>
      <c r="H11" s="357" t="s">
        <v>781</v>
      </c>
      <c r="I11" s="357" t="s">
        <v>892</v>
      </c>
      <c r="J11" s="357" t="s">
        <v>878</v>
      </c>
      <c r="K11" s="357" t="s">
        <v>888</v>
      </c>
      <c r="L11" s="357" t="s">
        <v>866</v>
      </c>
      <c r="M11" s="360" t="s">
        <v>893</v>
      </c>
      <c r="N11" s="203"/>
      <c r="O11" s="361" t="s">
        <v>862</v>
      </c>
      <c r="P11" s="362" t="s">
        <v>694</v>
      </c>
      <c r="Q11" s="363">
        <v>1.0</v>
      </c>
      <c r="R11" s="362" t="s">
        <v>695</v>
      </c>
      <c r="S11" s="364" t="s">
        <v>795</v>
      </c>
    </row>
    <row r="12">
      <c r="A12" s="356">
        <v>46295.0</v>
      </c>
      <c r="B12" s="357" t="s">
        <v>869</v>
      </c>
      <c r="C12" s="358">
        <v>944.8</v>
      </c>
      <c r="D12" s="359">
        <v>5360.0</v>
      </c>
      <c r="E12" s="359">
        <v>5360.0</v>
      </c>
      <c r="F12" s="357" t="s">
        <v>700</v>
      </c>
      <c r="G12" s="357" t="s">
        <v>894</v>
      </c>
      <c r="H12" s="357" t="s">
        <v>781</v>
      </c>
      <c r="I12" s="357" t="s">
        <v>895</v>
      </c>
      <c r="J12" s="357" t="s">
        <v>878</v>
      </c>
      <c r="K12" s="357" t="s">
        <v>888</v>
      </c>
      <c r="L12" s="357" t="s">
        <v>866</v>
      </c>
      <c r="M12" s="360" t="s">
        <v>240</v>
      </c>
      <c r="N12" s="203"/>
      <c r="O12" s="361" t="s">
        <v>896</v>
      </c>
      <c r="P12" s="362" t="s">
        <v>697</v>
      </c>
      <c r="Q12" s="363">
        <v>1.0</v>
      </c>
      <c r="R12" s="362" t="s">
        <v>698</v>
      </c>
      <c r="S12" s="365"/>
    </row>
    <row r="13">
      <c r="A13" s="356">
        <v>46295.0</v>
      </c>
      <c r="B13" s="357" t="s">
        <v>881</v>
      </c>
      <c r="C13" s="358">
        <v>753.8</v>
      </c>
      <c r="D13" s="359">
        <v>5050.0</v>
      </c>
      <c r="E13" s="359">
        <v>5050.0</v>
      </c>
      <c r="F13" s="357" t="s">
        <v>883</v>
      </c>
      <c r="G13" s="357" t="s">
        <v>882</v>
      </c>
      <c r="H13" s="357" t="s">
        <v>781</v>
      </c>
      <c r="I13" s="357" t="s">
        <v>897</v>
      </c>
      <c r="J13" s="357" t="s">
        <v>878</v>
      </c>
      <c r="K13" s="357" t="s">
        <v>888</v>
      </c>
      <c r="L13" s="357" t="s">
        <v>866</v>
      </c>
      <c r="M13" s="360" t="s">
        <v>893</v>
      </c>
      <c r="N13" s="203"/>
      <c r="O13" s="361" t="s">
        <v>898</v>
      </c>
      <c r="P13" s="362" t="s">
        <v>697</v>
      </c>
      <c r="Q13" s="363">
        <v>3.0</v>
      </c>
      <c r="R13" s="362" t="s">
        <v>899</v>
      </c>
      <c r="S13" s="365"/>
    </row>
    <row r="14">
      <c r="A14" s="356">
        <v>46294.0</v>
      </c>
      <c r="B14" s="357" t="s">
        <v>881</v>
      </c>
      <c r="C14" s="358">
        <v>386.2</v>
      </c>
      <c r="D14" s="359">
        <v>5360.0</v>
      </c>
      <c r="E14" s="359">
        <v>5360.0</v>
      </c>
      <c r="F14" s="357" t="s">
        <v>700</v>
      </c>
      <c r="G14" s="357" t="s">
        <v>894</v>
      </c>
      <c r="H14" s="357" t="s">
        <v>781</v>
      </c>
      <c r="I14" s="357" t="s">
        <v>895</v>
      </c>
      <c r="J14" s="357" t="s">
        <v>878</v>
      </c>
      <c r="K14" s="357" t="s">
        <v>888</v>
      </c>
      <c r="L14" s="357" t="s">
        <v>866</v>
      </c>
      <c r="M14" s="360" t="s">
        <v>240</v>
      </c>
      <c r="N14" s="203"/>
      <c r="O14" s="361" t="s">
        <v>900</v>
      </c>
      <c r="P14" s="362" t="s">
        <v>697</v>
      </c>
      <c r="Q14" s="363">
        <v>1.0</v>
      </c>
      <c r="R14" s="362" t="s">
        <v>698</v>
      </c>
      <c r="S14" s="365"/>
    </row>
    <row r="15">
      <c r="A15" s="356">
        <v>46294.0</v>
      </c>
      <c r="B15" s="357" t="s">
        <v>861</v>
      </c>
      <c r="C15" s="358">
        <v>-415.44</v>
      </c>
      <c r="D15" s="359">
        <v>5050.0</v>
      </c>
      <c r="E15" s="359">
        <v>5360.0</v>
      </c>
      <c r="F15" s="357" t="s">
        <v>706</v>
      </c>
      <c r="G15" s="357" t="s">
        <v>901</v>
      </c>
      <c r="H15" s="357" t="s">
        <v>783</v>
      </c>
      <c r="I15" s="357" t="s">
        <v>902</v>
      </c>
      <c r="J15" s="357" t="s">
        <v>878</v>
      </c>
      <c r="K15" s="357" t="s">
        <v>888</v>
      </c>
      <c r="L15" s="357" t="s">
        <v>866</v>
      </c>
      <c r="M15" s="360" t="s">
        <v>879</v>
      </c>
      <c r="N15" s="203"/>
      <c r="O15" s="361" t="s">
        <v>903</v>
      </c>
      <c r="P15" s="362" t="s">
        <v>697</v>
      </c>
      <c r="Q15" s="363">
        <v>2.0</v>
      </c>
      <c r="R15" s="362" t="s">
        <v>899</v>
      </c>
      <c r="S15" s="365"/>
    </row>
    <row r="16">
      <c r="A16" s="356">
        <v>46294.0</v>
      </c>
      <c r="B16" s="357" t="s">
        <v>904</v>
      </c>
      <c r="C16" s="358">
        <v>1156.4</v>
      </c>
      <c r="D16" s="359">
        <v>5360.0</v>
      </c>
      <c r="E16" s="359">
        <v>5360.0</v>
      </c>
      <c r="F16" s="357" t="s">
        <v>700</v>
      </c>
      <c r="G16" s="357" t="s">
        <v>894</v>
      </c>
      <c r="H16" s="357" t="s">
        <v>781</v>
      </c>
      <c r="I16" s="357" t="s">
        <v>905</v>
      </c>
      <c r="J16" s="357" t="s">
        <v>878</v>
      </c>
      <c r="K16" s="357" t="s">
        <v>888</v>
      </c>
      <c r="L16" s="357" t="s">
        <v>866</v>
      </c>
      <c r="M16" s="360" t="s">
        <v>240</v>
      </c>
      <c r="N16" s="203"/>
      <c r="O16" s="361" t="s">
        <v>906</v>
      </c>
      <c r="P16" s="362" t="s">
        <v>697</v>
      </c>
      <c r="Q16" s="363">
        <v>2.0</v>
      </c>
      <c r="R16" s="362" t="s">
        <v>907</v>
      </c>
      <c r="S16" s="365"/>
    </row>
    <row r="17">
      <c r="A17" s="356">
        <v>46294.0</v>
      </c>
      <c r="B17" s="357" t="s">
        <v>904</v>
      </c>
      <c r="C17" s="358">
        <v>333.2</v>
      </c>
      <c r="D17" s="359">
        <v>5050.0</v>
      </c>
      <c r="E17" s="359">
        <v>5360.0</v>
      </c>
      <c r="F17" s="357" t="s">
        <v>700</v>
      </c>
      <c r="G17" s="357" t="s">
        <v>894</v>
      </c>
      <c r="H17" s="357" t="s">
        <v>781</v>
      </c>
      <c r="I17" s="357" t="s">
        <v>895</v>
      </c>
      <c r="J17" s="357" t="s">
        <v>878</v>
      </c>
      <c r="K17" s="357" t="s">
        <v>888</v>
      </c>
      <c r="L17" s="357" t="s">
        <v>866</v>
      </c>
      <c r="M17" s="360" t="s">
        <v>879</v>
      </c>
      <c r="N17" s="203"/>
      <c r="O17" s="361" t="s">
        <v>908</v>
      </c>
      <c r="P17" s="362" t="s">
        <v>697</v>
      </c>
      <c r="Q17" s="363">
        <v>1.0</v>
      </c>
      <c r="R17" s="362" t="s">
        <v>698</v>
      </c>
      <c r="S17" s="365"/>
    </row>
    <row r="18">
      <c r="A18" s="356">
        <v>46294.0</v>
      </c>
      <c r="B18" s="357" t="s">
        <v>869</v>
      </c>
      <c r="C18" s="358">
        <v>179.78</v>
      </c>
      <c r="D18" s="359">
        <v>5360.0</v>
      </c>
      <c r="E18" s="359">
        <v>5360.0</v>
      </c>
      <c r="F18" s="357" t="s">
        <v>700</v>
      </c>
      <c r="G18" s="357" t="s">
        <v>894</v>
      </c>
      <c r="H18" s="357" t="s">
        <v>781</v>
      </c>
      <c r="I18" s="357" t="s">
        <v>905</v>
      </c>
      <c r="J18" s="357" t="s">
        <v>878</v>
      </c>
      <c r="K18" s="357" t="s">
        <v>888</v>
      </c>
      <c r="L18" s="357" t="s">
        <v>866</v>
      </c>
      <c r="M18" s="360" t="s">
        <v>240</v>
      </c>
      <c r="N18" s="203"/>
      <c r="O18" s="361" t="s">
        <v>909</v>
      </c>
      <c r="P18" s="362" t="s">
        <v>700</v>
      </c>
      <c r="Q18" s="363">
        <v>3.0</v>
      </c>
      <c r="R18" s="362" t="s">
        <v>910</v>
      </c>
      <c r="S18" s="364" t="s">
        <v>911</v>
      </c>
    </row>
    <row r="19">
      <c r="A19" s="356">
        <v>46291.0</v>
      </c>
      <c r="B19" s="357" t="s">
        <v>861</v>
      </c>
      <c r="C19" s="358">
        <v>605.33</v>
      </c>
      <c r="D19" s="359">
        <v>5050.0</v>
      </c>
      <c r="E19" s="359">
        <v>5050.0</v>
      </c>
      <c r="F19" s="357" t="s">
        <v>883</v>
      </c>
      <c r="G19" s="357" t="s">
        <v>882</v>
      </c>
      <c r="H19" s="357" t="s">
        <v>783</v>
      </c>
      <c r="I19" s="357" t="s">
        <v>912</v>
      </c>
      <c r="J19" s="357" t="s">
        <v>878</v>
      </c>
      <c r="K19" s="357" t="s">
        <v>888</v>
      </c>
      <c r="L19" s="357" t="s">
        <v>866</v>
      </c>
      <c r="M19" s="360" t="s">
        <v>893</v>
      </c>
      <c r="N19" s="203"/>
      <c r="O19" s="361" t="s">
        <v>913</v>
      </c>
      <c r="P19" s="362" t="s">
        <v>700</v>
      </c>
      <c r="Q19" s="363">
        <v>1.0</v>
      </c>
      <c r="R19" s="362" t="s">
        <v>701</v>
      </c>
      <c r="S19" s="365"/>
    </row>
    <row r="20">
      <c r="A20" s="356">
        <v>46291.0</v>
      </c>
      <c r="B20" s="357" t="s">
        <v>861</v>
      </c>
      <c r="C20" s="358">
        <v>138.89</v>
      </c>
      <c r="D20" s="359">
        <v>5050.0</v>
      </c>
      <c r="E20" s="359">
        <v>5360.0</v>
      </c>
      <c r="F20" s="357" t="s">
        <v>706</v>
      </c>
      <c r="G20" s="357" t="s">
        <v>901</v>
      </c>
      <c r="H20" s="357" t="s">
        <v>783</v>
      </c>
      <c r="I20" s="357" t="s">
        <v>914</v>
      </c>
      <c r="J20" s="357" t="s">
        <v>878</v>
      </c>
      <c r="K20" s="357" t="s">
        <v>888</v>
      </c>
      <c r="L20" s="357" t="s">
        <v>866</v>
      </c>
      <c r="M20" s="360" t="s">
        <v>879</v>
      </c>
      <c r="N20" s="203"/>
      <c r="O20" s="361" t="s">
        <v>894</v>
      </c>
      <c r="P20" s="362" t="s">
        <v>700</v>
      </c>
      <c r="Q20" s="363">
        <v>2.0</v>
      </c>
      <c r="R20" s="362" t="s">
        <v>910</v>
      </c>
      <c r="S20" s="364" t="s">
        <v>915</v>
      </c>
    </row>
    <row r="21">
      <c r="A21" s="356">
        <v>46289.0</v>
      </c>
      <c r="B21" s="357" t="s">
        <v>861</v>
      </c>
      <c r="C21" s="358">
        <v>415.44</v>
      </c>
      <c r="D21" s="359">
        <v>5050.0</v>
      </c>
      <c r="E21" s="359">
        <v>5360.0</v>
      </c>
      <c r="F21" s="357" t="s">
        <v>706</v>
      </c>
      <c r="G21" s="357" t="s">
        <v>901</v>
      </c>
      <c r="H21" s="357" t="s">
        <v>783</v>
      </c>
      <c r="I21" s="357" t="s">
        <v>916</v>
      </c>
      <c r="J21" s="357" t="s">
        <v>878</v>
      </c>
      <c r="K21" s="357" t="s">
        <v>888</v>
      </c>
      <c r="L21" s="357" t="s">
        <v>866</v>
      </c>
      <c r="M21" s="360" t="s">
        <v>879</v>
      </c>
      <c r="N21" s="203"/>
      <c r="O21" s="361" t="s">
        <v>917</v>
      </c>
      <c r="P21" s="362" t="s">
        <v>703</v>
      </c>
      <c r="Q21" s="363">
        <v>4.0</v>
      </c>
      <c r="R21" s="362" t="s">
        <v>918</v>
      </c>
      <c r="S21" s="365"/>
    </row>
    <row r="22">
      <c r="A22" s="356">
        <v>46289.0</v>
      </c>
      <c r="B22" s="357" t="s">
        <v>872</v>
      </c>
      <c r="C22" s="358">
        <v>580.71</v>
      </c>
      <c r="D22" s="359">
        <v>5050.0</v>
      </c>
      <c r="E22" s="359">
        <v>5360.0</v>
      </c>
      <c r="F22" s="357" t="s">
        <v>703</v>
      </c>
      <c r="G22" s="357" t="s">
        <v>919</v>
      </c>
      <c r="H22" s="357" t="s">
        <v>781</v>
      </c>
      <c r="I22" s="357" t="s">
        <v>873</v>
      </c>
      <c r="J22" s="357" t="s">
        <v>864</v>
      </c>
      <c r="K22" s="357" t="s">
        <v>888</v>
      </c>
      <c r="L22" s="357" t="s">
        <v>866</v>
      </c>
      <c r="M22" s="360" t="s">
        <v>879</v>
      </c>
      <c r="N22" s="203"/>
      <c r="O22" s="361" t="s">
        <v>920</v>
      </c>
      <c r="P22" s="362" t="s">
        <v>703</v>
      </c>
      <c r="Q22" s="363">
        <v>1.0</v>
      </c>
      <c r="R22" s="362" t="s">
        <v>704</v>
      </c>
      <c r="S22" s="365"/>
    </row>
    <row r="23">
      <c r="A23" s="356">
        <v>46289.0</v>
      </c>
      <c r="B23" s="357" t="s">
        <v>869</v>
      </c>
      <c r="C23" s="358">
        <v>414.28</v>
      </c>
      <c r="D23" s="359">
        <v>5050.0</v>
      </c>
      <c r="E23" s="359">
        <v>5050.0</v>
      </c>
      <c r="F23" s="357" t="s">
        <v>883</v>
      </c>
      <c r="G23" s="357" t="s">
        <v>882</v>
      </c>
      <c r="H23" s="357" t="s">
        <v>781</v>
      </c>
      <c r="I23" s="357" t="s">
        <v>921</v>
      </c>
      <c r="J23" s="357" t="s">
        <v>878</v>
      </c>
      <c r="K23" s="357" t="s">
        <v>888</v>
      </c>
      <c r="L23" s="357" t="s">
        <v>866</v>
      </c>
      <c r="M23" s="360" t="s">
        <v>893</v>
      </c>
      <c r="N23" s="203"/>
      <c r="O23" s="361" t="s">
        <v>919</v>
      </c>
      <c r="P23" s="362" t="s">
        <v>703</v>
      </c>
      <c r="Q23" s="363">
        <v>1.0</v>
      </c>
      <c r="R23" s="362" t="s">
        <v>704</v>
      </c>
      <c r="S23" s="364" t="s">
        <v>922</v>
      </c>
    </row>
    <row r="24">
      <c r="A24" s="356">
        <v>46289.0</v>
      </c>
      <c r="B24" s="357" t="s">
        <v>923</v>
      </c>
      <c r="C24" s="358">
        <v>91.94</v>
      </c>
      <c r="D24" s="359">
        <v>5050.0</v>
      </c>
      <c r="E24" s="359">
        <v>5360.0</v>
      </c>
      <c r="F24" s="357" t="s">
        <v>703</v>
      </c>
      <c r="G24" s="357" t="s">
        <v>919</v>
      </c>
      <c r="H24" s="357" t="s">
        <v>784</v>
      </c>
      <c r="I24" s="357" t="s">
        <v>924</v>
      </c>
      <c r="J24" s="357" t="s">
        <v>878</v>
      </c>
      <c r="K24" s="357" t="s">
        <v>888</v>
      </c>
      <c r="L24" s="357" t="s">
        <v>866</v>
      </c>
      <c r="M24" s="360" t="s">
        <v>879</v>
      </c>
      <c r="N24" s="203"/>
      <c r="O24" s="361" t="s">
        <v>901</v>
      </c>
      <c r="P24" s="362" t="s">
        <v>706</v>
      </c>
      <c r="Q24" s="363">
        <v>2.0</v>
      </c>
      <c r="R24" s="362" t="s">
        <v>925</v>
      </c>
      <c r="S24" s="365"/>
    </row>
    <row r="25">
      <c r="A25" s="356">
        <v>46289.0</v>
      </c>
      <c r="B25" s="357" t="s">
        <v>926</v>
      </c>
      <c r="C25" s="358">
        <v>491.74</v>
      </c>
      <c r="D25" s="359">
        <v>5050.0</v>
      </c>
      <c r="E25" s="359">
        <v>5360.0</v>
      </c>
      <c r="F25" s="357" t="s">
        <v>703</v>
      </c>
      <c r="G25" s="357" t="s">
        <v>919</v>
      </c>
      <c r="H25" s="357" t="s">
        <v>782</v>
      </c>
      <c r="I25" s="357" t="s">
        <v>927</v>
      </c>
      <c r="J25" s="357" t="s">
        <v>878</v>
      </c>
      <c r="K25" s="357" t="s">
        <v>888</v>
      </c>
      <c r="L25" s="357" t="s">
        <v>866</v>
      </c>
      <c r="M25" s="360" t="s">
        <v>879</v>
      </c>
      <c r="N25" s="203"/>
      <c r="O25" s="361" t="s">
        <v>928</v>
      </c>
      <c r="P25" s="362" t="s">
        <v>474</v>
      </c>
      <c r="Q25" s="366">
        <f>SUM(Q5:Q10)</f>
        <v>6</v>
      </c>
      <c r="R25" s="362" t="s">
        <v>929</v>
      </c>
      <c r="S25" s="364" t="s">
        <v>930</v>
      </c>
    </row>
    <row r="26">
      <c r="A26" s="356">
        <v>46288.0</v>
      </c>
      <c r="B26" s="357" t="s">
        <v>931</v>
      </c>
      <c r="C26" s="358">
        <v>116.01</v>
      </c>
      <c r="D26" s="359">
        <v>5330.0</v>
      </c>
      <c r="E26" s="359">
        <v>5330.0</v>
      </c>
      <c r="F26" s="357" t="s">
        <v>703</v>
      </c>
      <c r="G26" s="357" t="s">
        <v>919</v>
      </c>
      <c r="H26" s="357" t="s">
        <v>786</v>
      </c>
      <c r="I26" s="357" t="s">
        <v>932</v>
      </c>
      <c r="J26" s="357" t="s">
        <v>878</v>
      </c>
      <c r="K26" s="357" t="s">
        <v>888</v>
      </c>
      <c r="L26" s="357" t="s">
        <v>866</v>
      </c>
      <c r="M26" s="360" t="s">
        <v>240</v>
      </c>
      <c r="N26" s="203"/>
      <c r="O26" s="361" t="s">
        <v>933</v>
      </c>
      <c r="P26" s="362" t="s">
        <v>711</v>
      </c>
      <c r="Q26" s="367">
        <f>'Old Draft'!B28*'Old Draft'!B23</f>
        <v>128.8</v>
      </c>
      <c r="R26" s="362" t="s">
        <v>934</v>
      </c>
      <c r="S26" s="364" t="s">
        <v>935</v>
      </c>
    </row>
    <row r="27">
      <c r="A27" s="356">
        <v>46288.0</v>
      </c>
      <c r="B27" s="357" t="s">
        <v>936</v>
      </c>
      <c r="C27" s="358">
        <v>25.4</v>
      </c>
      <c r="D27" s="359">
        <v>5060.0</v>
      </c>
      <c r="E27" s="359">
        <v>5370.0</v>
      </c>
      <c r="F27" s="357" t="s">
        <v>703</v>
      </c>
      <c r="G27" s="357" t="s">
        <v>919</v>
      </c>
      <c r="H27" s="357" t="s">
        <v>785</v>
      </c>
      <c r="I27" s="357" t="s">
        <v>937</v>
      </c>
      <c r="J27" s="357" t="s">
        <v>864</v>
      </c>
      <c r="K27" s="357" t="s">
        <v>888</v>
      </c>
      <c r="L27" s="357" t="s">
        <v>866</v>
      </c>
      <c r="M27" s="360" t="s">
        <v>879</v>
      </c>
      <c r="N27" s="203"/>
      <c r="O27" s="361" t="s">
        <v>938</v>
      </c>
      <c r="P27" s="362" t="s">
        <v>714</v>
      </c>
      <c r="Q27" s="366">
        <f>Q54</f>
        <v>116</v>
      </c>
      <c r="R27" s="362" t="s">
        <v>939</v>
      </c>
      <c r="S27" s="364" t="s">
        <v>940</v>
      </c>
    </row>
    <row r="28">
      <c r="A28" s="356">
        <v>46288.0</v>
      </c>
      <c r="B28" s="357" t="s">
        <v>941</v>
      </c>
      <c r="C28" s="358">
        <v>919.6</v>
      </c>
      <c r="D28" s="359">
        <v>5050.0</v>
      </c>
      <c r="E28" s="359">
        <v>5050.0</v>
      </c>
      <c r="F28" s="357" t="s">
        <v>883</v>
      </c>
      <c r="G28" s="357" t="s">
        <v>882</v>
      </c>
      <c r="H28" s="357" t="s">
        <v>781</v>
      </c>
      <c r="I28" s="357" t="s">
        <v>942</v>
      </c>
      <c r="J28" s="357" t="s">
        <v>878</v>
      </c>
      <c r="K28" s="357" t="s">
        <v>888</v>
      </c>
      <c r="L28" s="357" t="s">
        <v>866</v>
      </c>
      <c r="M28" s="360" t="s">
        <v>893</v>
      </c>
      <c r="N28" s="203"/>
      <c r="O28" s="361" t="s">
        <v>943</v>
      </c>
      <c r="P28" s="362" t="s">
        <v>717</v>
      </c>
      <c r="Q28" s="368">
        <v>8.0</v>
      </c>
      <c r="R28" s="362" t="s">
        <v>944</v>
      </c>
      <c r="S28" s="364" t="s">
        <v>945</v>
      </c>
    </row>
    <row r="29">
      <c r="A29" s="356">
        <v>46288.0</v>
      </c>
      <c r="B29" s="357" t="s">
        <v>869</v>
      </c>
      <c r="C29" s="358">
        <v>140.3</v>
      </c>
      <c r="D29" s="359">
        <v>5360.0</v>
      </c>
      <c r="E29" s="359">
        <v>5050.0</v>
      </c>
      <c r="F29" s="357" t="s">
        <v>689</v>
      </c>
      <c r="G29" s="357" t="s">
        <v>874</v>
      </c>
      <c r="H29" s="357" t="s">
        <v>782</v>
      </c>
      <c r="I29" s="357" t="s">
        <v>946</v>
      </c>
      <c r="J29" s="357" t="s">
        <v>878</v>
      </c>
      <c r="K29" s="357" t="s">
        <v>888</v>
      </c>
      <c r="L29" s="357" t="s">
        <v>866</v>
      </c>
      <c r="M29" s="360" t="s">
        <v>879</v>
      </c>
      <c r="N29" s="203"/>
      <c r="O29" s="361" t="s">
        <v>947</v>
      </c>
      <c r="P29" s="362" t="s">
        <v>401</v>
      </c>
      <c r="Q29" s="363">
        <v>8.0</v>
      </c>
      <c r="R29" s="362" t="s">
        <v>944</v>
      </c>
      <c r="S29" s="365"/>
    </row>
    <row r="30">
      <c r="A30" s="356">
        <v>46288.0</v>
      </c>
      <c r="B30" s="357" t="s">
        <v>931</v>
      </c>
      <c r="C30" s="358">
        <v>209.8</v>
      </c>
      <c r="D30" s="359">
        <v>5330.0</v>
      </c>
      <c r="E30" s="359">
        <v>5330.0</v>
      </c>
      <c r="F30" s="357" t="s">
        <v>703</v>
      </c>
      <c r="G30" s="357" t="s">
        <v>919</v>
      </c>
      <c r="H30" s="357" t="s">
        <v>786</v>
      </c>
      <c r="I30" s="357" t="s">
        <v>932</v>
      </c>
      <c r="J30" s="357" t="s">
        <v>878</v>
      </c>
      <c r="K30" s="357" t="s">
        <v>888</v>
      </c>
      <c r="L30" s="357" t="s">
        <v>866</v>
      </c>
      <c r="M30" s="360" t="s">
        <v>240</v>
      </c>
      <c r="N30" s="203"/>
      <c r="O30" s="361" t="s">
        <v>948</v>
      </c>
      <c r="P30" s="362" t="s">
        <v>477</v>
      </c>
      <c r="Q30" s="366">
        <f>Q54</f>
        <v>116</v>
      </c>
      <c r="R30" s="362" t="s">
        <v>939</v>
      </c>
      <c r="S30" s="364" t="s">
        <v>940</v>
      </c>
    </row>
    <row r="31">
      <c r="A31" s="356">
        <v>46288.0</v>
      </c>
      <c r="B31" s="357" t="s">
        <v>931</v>
      </c>
      <c r="C31" s="358">
        <v>1686.56</v>
      </c>
      <c r="D31" s="359">
        <v>5330.0</v>
      </c>
      <c r="E31" s="359">
        <v>5330.0</v>
      </c>
      <c r="F31" s="357" t="s">
        <v>703</v>
      </c>
      <c r="G31" s="357" t="s">
        <v>919</v>
      </c>
      <c r="H31" s="357" t="s">
        <v>786</v>
      </c>
      <c r="I31" s="357" t="s">
        <v>949</v>
      </c>
      <c r="J31" s="357" t="s">
        <v>878</v>
      </c>
      <c r="K31" s="357" t="s">
        <v>888</v>
      </c>
      <c r="L31" s="357" t="s">
        <v>866</v>
      </c>
      <c r="M31" s="360" t="s">
        <v>240</v>
      </c>
      <c r="N31" s="203"/>
      <c r="O31" s="369" t="s">
        <v>950</v>
      </c>
      <c r="P31" s="370" t="s">
        <v>951</v>
      </c>
      <c r="Q31" s="371">
        <v>0.0</v>
      </c>
      <c r="R31" s="370" t="s">
        <v>952</v>
      </c>
      <c r="S31" s="372"/>
    </row>
    <row r="32">
      <c r="A32" s="356">
        <v>46287.0</v>
      </c>
      <c r="B32" s="357" t="s">
        <v>936</v>
      </c>
      <c r="C32" s="358">
        <v>25.51</v>
      </c>
      <c r="D32" s="359">
        <v>5060.0</v>
      </c>
      <c r="E32" s="359">
        <v>5370.0</v>
      </c>
      <c r="F32" s="357" t="s">
        <v>703</v>
      </c>
      <c r="G32" s="357" t="s">
        <v>919</v>
      </c>
      <c r="H32" s="357" t="s">
        <v>785</v>
      </c>
      <c r="I32" s="357" t="s">
        <v>937</v>
      </c>
      <c r="J32" s="357" t="s">
        <v>864</v>
      </c>
      <c r="K32" s="357" t="s">
        <v>888</v>
      </c>
      <c r="L32" s="357" t="s">
        <v>866</v>
      </c>
      <c r="M32" s="360" t="s">
        <v>879</v>
      </c>
      <c r="N32" s="203"/>
      <c r="O32" s="203"/>
      <c r="P32" s="203"/>
      <c r="Q32" s="203"/>
      <c r="R32" s="203"/>
      <c r="S32" s="203"/>
    </row>
    <row r="33">
      <c r="A33" s="356">
        <v>46287.0</v>
      </c>
      <c r="B33" s="357" t="s">
        <v>923</v>
      </c>
      <c r="C33" s="358">
        <v>11.03</v>
      </c>
      <c r="D33" s="359">
        <v>5050.0</v>
      </c>
      <c r="E33" s="359">
        <v>5360.0</v>
      </c>
      <c r="F33" s="357" t="s">
        <v>703</v>
      </c>
      <c r="G33" s="357" t="s">
        <v>919</v>
      </c>
      <c r="H33" s="357" t="s">
        <v>784</v>
      </c>
      <c r="I33" s="357" t="s">
        <v>953</v>
      </c>
      <c r="J33" s="357" t="s">
        <v>878</v>
      </c>
      <c r="K33" s="357" t="s">
        <v>888</v>
      </c>
      <c r="L33" s="357" t="s">
        <v>866</v>
      </c>
      <c r="M33" s="360" t="s">
        <v>879</v>
      </c>
      <c r="N33" s="203"/>
      <c r="O33" s="203"/>
      <c r="P33" s="203"/>
      <c r="Q33" s="203"/>
      <c r="R33" s="203"/>
      <c r="S33" s="203"/>
    </row>
    <row r="34">
      <c r="A34" s="356">
        <v>46287.0</v>
      </c>
      <c r="B34" s="357" t="s">
        <v>923</v>
      </c>
      <c r="C34" s="358">
        <v>3.0</v>
      </c>
      <c r="D34" s="359">
        <v>5050.0</v>
      </c>
      <c r="E34" s="359">
        <v>5360.0</v>
      </c>
      <c r="F34" s="357" t="s">
        <v>703</v>
      </c>
      <c r="G34" s="357" t="s">
        <v>919</v>
      </c>
      <c r="H34" s="357" t="s">
        <v>784</v>
      </c>
      <c r="I34" s="357" t="s">
        <v>953</v>
      </c>
      <c r="J34" s="357" t="s">
        <v>864</v>
      </c>
      <c r="K34" s="357" t="s">
        <v>888</v>
      </c>
      <c r="L34" s="357" t="s">
        <v>866</v>
      </c>
      <c r="M34" s="360" t="s">
        <v>879</v>
      </c>
      <c r="N34" s="203"/>
      <c r="O34" s="353" t="s">
        <v>954</v>
      </c>
      <c r="P34" s="354" t="s">
        <v>955</v>
      </c>
      <c r="Q34" s="354" t="s">
        <v>956</v>
      </c>
      <c r="R34" s="354" t="s">
        <v>957</v>
      </c>
      <c r="S34" s="355" t="s">
        <v>958</v>
      </c>
    </row>
    <row r="35">
      <c r="A35" s="356">
        <v>46287.0</v>
      </c>
      <c r="B35" s="357" t="s">
        <v>959</v>
      </c>
      <c r="C35" s="358">
        <v>149.19</v>
      </c>
      <c r="D35" s="359">
        <v>5060.0</v>
      </c>
      <c r="E35" s="359">
        <v>5370.0</v>
      </c>
      <c r="F35" s="357" t="s">
        <v>703</v>
      </c>
      <c r="G35" s="357" t="s">
        <v>919</v>
      </c>
      <c r="H35" s="357" t="s">
        <v>785</v>
      </c>
      <c r="I35" s="357" t="s">
        <v>937</v>
      </c>
      <c r="J35" s="357" t="s">
        <v>878</v>
      </c>
      <c r="K35" s="357" t="s">
        <v>888</v>
      </c>
      <c r="L35" s="357" t="s">
        <v>866</v>
      </c>
      <c r="M35" s="360" t="s">
        <v>879</v>
      </c>
      <c r="N35" s="203"/>
      <c r="O35" s="361" t="s">
        <v>960</v>
      </c>
      <c r="P35" s="373">
        <v>46023.0</v>
      </c>
      <c r="Q35" s="374">
        <f t="shared" ref="Q35:Q53" si="1">IF(P35="",0,MAX(0,10-MONTH(P35)))</f>
        <v>9</v>
      </c>
      <c r="R35" s="375">
        <v>80076.29</v>
      </c>
      <c r="S35" s="376">
        <v>43016.21</v>
      </c>
    </row>
    <row r="36">
      <c r="A36" s="356">
        <v>46286.0</v>
      </c>
      <c r="B36" s="357" t="s">
        <v>961</v>
      </c>
      <c r="C36" s="358">
        <v>10.12</v>
      </c>
      <c r="D36" s="359">
        <v>5330.0</v>
      </c>
      <c r="E36" s="359">
        <v>5330.0</v>
      </c>
      <c r="F36" s="357" t="s">
        <v>711</v>
      </c>
      <c r="G36" s="357" t="s">
        <v>933</v>
      </c>
      <c r="H36" s="357" t="s">
        <v>786</v>
      </c>
      <c r="I36" s="357" t="s">
        <v>962</v>
      </c>
      <c r="J36" s="357" t="s">
        <v>878</v>
      </c>
      <c r="K36" s="357" t="s">
        <v>888</v>
      </c>
      <c r="L36" s="357" t="s">
        <v>866</v>
      </c>
      <c r="M36" s="360" t="s">
        <v>240</v>
      </c>
      <c r="N36" s="203"/>
      <c r="O36" s="361" t="s">
        <v>963</v>
      </c>
      <c r="P36" s="373">
        <v>46023.0</v>
      </c>
      <c r="Q36" s="374">
        <f t="shared" si="1"/>
        <v>9</v>
      </c>
      <c r="R36" s="375">
        <v>31536.66</v>
      </c>
      <c r="S36" s="376">
        <v>6067.02</v>
      </c>
    </row>
    <row r="37">
      <c r="A37" s="356">
        <v>46286.0</v>
      </c>
      <c r="B37" s="357" t="s">
        <v>936</v>
      </c>
      <c r="C37" s="358">
        <v>19.21</v>
      </c>
      <c r="D37" s="359">
        <v>5060.0</v>
      </c>
      <c r="E37" s="359">
        <v>5370.0</v>
      </c>
      <c r="F37" s="357" t="s">
        <v>703</v>
      </c>
      <c r="G37" s="357" t="s">
        <v>919</v>
      </c>
      <c r="H37" s="357" t="s">
        <v>785</v>
      </c>
      <c r="I37" s="357" t="s">
        <v>937</v>
      </c>
      <c r="J37" s="357" t="s">
        <v>864</v>
      </c>
      <c r="K37" s="357" t="s">
        <v>888</v>
      </c>
      <c r="L37" s="357" t="s">
        <v>866</v>
      </c>
      <c r="M37" s="360" t="s">
        <v>879</v>
      </c>
      <c r="N37" s="203"/>
      <c r="O37" s="361" t="s">
        <v>964</v>
      </c>
      <c r="P37" s="373">
        <v>46023.0</v>
      </c>
      <c r="Q37" s="374">
        <f t="shared" si="1"/>
        <v>9</v>
      </c>
      <c r="R37" s="375">
        <v>31087.98</v>
      </c>
      <c r="S37" s="376">
        <v>3977.72</v>
      </c>
    </row>
    <row r="38">
      <c r="A38" s="356">
        <v>46286.0</v>
      </c>
      <c r="B38" s="357" t="s">
        <v>961</v>
      </c>
      <c r="C38" s="358">
        <v>10.12</v>
      </c>
      <c r="D38" s="359">
        <v>5330.0</v>
      </c>
      <c r="E38" s="359">
        <v>5330.0</v>
      </c>
      <c r="F38" s="357" t="s">
        <v>711</v>
      </c>
      <c r="G38" s="357" t="s">
        <v>933</v>
      </c>
      <c r="H38" s="357" t="s">
        <v>786</v>
      </c>
      <c r="I38" s="357" t="s">
        <v>965</v>
      </c>
      <c r="J38" s="357" t="s">
        <v>878</v>
      </c>
      <c r="K38" s="357" t="s">
        <v>888</v>
      </c>
      <c r="L38" s="357" t="s">
        <v>866</v>
      </c>
      <c r="M38" s="360" t="s">
        <v>240</v>
      </c>
      <c r="N38" s="203"/>
      <c r="O38" s="361" t="s">
        <v>966</v>
      </c>
      <c r="P38" s="373">
        <v>46023.0</v>
      </c>
      <c r="Q38" s="374">
        <f t="shared" si="1"/>
        <v>9</v>
      </c>
      <c r="R38" s="375">
        <v>12944.51</v>
      </c>
      <c r="S38" s="376">
        <v>6770.49</v>
      </c>
    </row>
    <row r="39">
      <c r="A39" s="356">
        <v>46286.0</v>
      </c>
      <c r="B39" s="357" t="s">
        <v>923</v>
      </c>
      <c r="C39" s="358">
        <v>14.16</v>
      </c>
      <c r="D39" s="359">
        <v>5050.0</v>
      </c>
      <c r="E39" s="359">
        <v>5360.0</v>
      </c>
      <c r="F39" s="357" t="s">
        <v>703</v>
      </c>
      <c r="G39" s="357" t="s">
        <v>919</v>
      </c>
      <c r="H39" s="357" t="s">
        <v>784</v>
      </c>
      <c r="I39" s="357" t="s">
        <v>953</v>
      </c>
      <c r="J39" s="357" t="s">
        <v>878</v>
      </c>
      <c r="K39" s="357" t="s">
        <v>888</v>
      </c>
      <c r="L39" s="357" t="s">
        <v>866</v>
      </c>
      <c r="M39" s="360" t="s">
        <v>879</v>
      </c>
      <c r="N39" s="203"/>
      <c r="O39" s="361" t="s">
        <v>967</v>
      </c>
      <c r="P39" s="373">
        <v>46023.0</v>
      </c>
      <c r="Q39" s="374">
        <f t="shared" si="1"/>
        <v>9</v>
      </c>
      <c r="R39" s="375">
        <v>5966.29</v>
      </c>
      <c r="S39" s="376">
        <v>9.68</v>
      </c>
    </row>
    <row r="40">
      <c r="A40" s="356">
        <v>46286.0</v>
      </c>
      <c r="B40" s="357" t="s">
        <v>961</v>
      </c>
      <c r="C40" s="358">
        <v>10.27</v>
      </c>
      <c r="D40" s="359">
        <v>5330.0</v>
      </c>
      <c r="E40" s="359">
        <v>5330.0</v>
      </c>
      <c r="F40" s="357" t="s">
        <v>711</v>
      </c>
      <c r="G40" s="357" t="s">
        <v>933</v>
      </c>
      <c r="H40" s="357" t="s">
        <v>786</v>
      </c>
      <c r="I40" s="357" t="s">
        <v>968</v>
      </c>
      <c r="J40" s="357" t="s">
        <v>878</v>
      </c>
      <c r="K40" s="357" t="s">
        <v>888</v>
      </c>
      <c r="L40" s="357" t="s">
        <v>866</v>
      </c>
      <c r="M40" s="360" t="s">
        <v>240</v>
      </c>
      <c r="N40" s="203"/>
      <c r="O40" s="361" t="s">
        <v>969</v>
      </c>
      <c r="P40" s="373">
        <v>46023.0</v>
      </c>
      <c r="Q40" s="374">
        <f t="shared" si="1"/>
        <v>9</v>
      </c>
      <c r="R40" s="375">
        <v>5827.34</v>
      </c>
      <c r="S40" s="376">
        <v>1864.74</v>
      </c>
    </row>
    <row r="41">
      <c r="A41" s="356">
        <v>46286.0</v>
      </c>
      <c r="B41" s="357" t="s">
        <v>923</v>
      </c>
      <c r="C41" s="358">
        <v>5.0</v>
      </c>
      <c r="D41" s="359">
        <v>5050.0</v>
      </c>
      <c r="E41" s="359">
        <v>5360.0</v>
      </c>
      <c r="F41" s="357" t="s">
        <v>703</v>
      </c>
      <c r="G41" s="357" t="s">
        <v>919</v>
      </c>
      <c r="H41" s="357" t="s">
        <v>784</v>
      </c>
      <c r="I41" s="357" t="s">
        <v>953</v>
      </c>
      <c r="J41" s="357" t="s">
        <v>864</v>
      </c>
      <c r="K41" s="357" t="s">
        <v>888</v>
      </c>
      <c r="L41" s="357" t="s">
        <v>866</v>
      </c>
      <c r="M41" s="360" t="s">
        <v>879</v>
      </c>
      <c r="N41" s="203"/>
      <c r="O41" s="361" t="s">
        <v>970</v>
      </c>
      <c r="P41" s="373">
        <v>46023.0</v>
      </c>
      <c r="Q41" s="374">
        <f t="shared" si="1"/>
        <v>9</v>
      </c>
      <c r="R41" s="375">
        <v>4603.27</v>
      </c>
      <c r="S41" s="376">
        <v>3637.84</v>
      </c>
    </row>
    <row r="42">
      <c r="A42" s="356">
        <v>46285.0</v>
      </c>
      <c r="B42" s="357" t="s">
        <v>961</v>
      </c>
      <c r="C42" s="358">
        <v>10.27</v>
      </c>
      <c r="D42" s="359">
        <v>5330.0</v>
      </c>
      <c r="E42" s="359">
        <v>5330.0</v>
      </c>
      <c r="F42" s="357" t="s">
        <v>711</v>
      </c>
      <c r="G42" s="357" t="s">
        <v>933</v>
      </c>
      <c r="H42" s="357" t="s">
        <v>786</v>
      </c>
      <c r="I42" s="357" t="s">
        <v>968</v>
      </c>
      <c r="J42" s="357" t="s">
        <v>878</v>
      </c>
      <c r="K42" s="357" t="s">
        <v>888</v>
      </c>
      <c r="L42" s="357" t="s">
        <v>866</v>
      </c>
      <c r="M42" s="360" t="s">
        <v>240</v>
      </c>
      <c r="N42" s="203"/>
      <c r="O42" s="361" t="s">
        <v>971</v>
      </c>
      <c r="P42" s="373">
        <v>46023.0</v>
      </c>
      <c r="Q42" s="374">
        <f t="shared" si="1"/>
        <v>9</v>
      </c>
      <c r="R42" s="375">
        <v>3971.95</v>
      </c>
      <c r="S42" s="376">
        <v>127.12</v>
      </c>
    </row>
    <row r="43">
      <c r="A43" s="356">
        <v>46285.0</v>
      </c>
      <c r="B43" s="357" t="s">
        <v>926</v>
      </c>
      <c r="C43" s="358">
        <v>853.49</v>
      </c>
      <c r="D43" s="359">
        <v>5050.0</v>
      </c>
      <c r="E43" s="359">
        <v>5360.0</v>
      </c>
      <c r="F43" s="357" t="s">
        <v>703</v>
      </c>
      <c r="G43" s="357" t="s">
        <v>919</v>
      </c>
      <c r="H43" s="357" t="s">
        <v>782</v>
      </c>
      <c r="I43" s="357" t="s">
        <v>927</v>
      </c>
      <c r="J43" s="357" t="s">
        <v>878</v>
      </c>
      <c r="K43" s="357" t="s">
        <v>888</v>
      </c>
      <c r="L43" s="357" t="s">
        <v>866</v>
      </c>
      <c r="M43" s="360" t="s">
        <v>879</v>
      </c>
      <c r="N43" s="203"/>
      <c r="O43" s="361" t="s">
        <v>972</v>
      </c>
      <c r="P43" s="373">
        <v>46023.0</v>
      </c>
      <c r="Q43" s="374">
        <f t="shared" si="1"/>
        <v>9</v>
      </c>
      <c r="R43" s="375">
        <v>622.74</v>
      </c>
      <c r="S43" s="376">
        <v>200.0</v>
      </c>
    </row>
    <row r="44">
      <c r="A44" s="356">
        <v>46285.0</v>
      </c>
      <c r="B44" s="357" t="s">
        <v>861</v>
      </c>
      <c r="C44" s="358">
        <v>731.9</v>
      </c>
      <c r="D44" s="359">
        <v>5050.0</v>
      </c>
      <c r="E44" s="359">
        <v>5050.0</v>
      </c>
      <c r="F44" s="357" t="s">
        <v>883</v>
      </c>
      <c r="G44" s="357" t="s">
        <v>882</v>
      </c>
      <c r="H44" s="357" t="s">
        <v>783</v>
      </c>
      <c r="I44" s="357" t="s">
        <v>912</v>
      </c>
      <c r="J44" s="357" t="s">
        <v>878</v>
      </c>
      <c r="K44" s="357" t="s">
        <v>888</v>
      </c>
      <c r="L44" s="357" t="s">
        <v>866</v>
      </c>
      <c r="M44" s="360" t="s">
        <v>893</v>
      </c>
      <c r="N44" s="203"/>
      <c r="O44" s="361" t="s">
        <v>973</v>
      </c>
      <c r="P44" s="373">
        <v>46082.0</v>
      </c>
      <c r="Q44" s="374">
        <f t="shared" si="1"/>
        <v>7</v>
      </c>
      <c r="R44" s="375">
        <v>1091.51</v>
      </c>
      <c r="S44" s="376">
        <v>0.0</v>
      </c>
    </row>
    <row r="45">
      <c r="A45" s="356">
        <v>46284.0</v>
      </c>
      <c r="B45" s="357" t="s">
        <v>961</v>
      </c>
      <c r="C45" s="358">
        <v>51.3</v>
      </c>
      <c r="D45" s="359">
        <v>5330.0</v>
      </c>
      <c r="E45" s="359">
        <v>5330.0</v>
      </c>
      <c r="F45" s="357" t="s">
        <v>711</v>
      </c>
      <c r="G45" s="357" t="s">
        <v>933</v>
      </c>
      <c r="H45" s="357" t="s">
        <v>786</v>
      </c>
      <c r="I45" s="357" t="s">
        <v>974</v>
      </c>
      <c r="J45" s="357" t="s">
        <v>878</v>
      </c>
      <c r="K45" s="357" t="s">
        <v>888</v>
      </c>
      <c r="L45" s="357" t="s">
        <v>866</v>
      </c>
      <c r="M45" s="360" t="s">
        <v>240</v>
      </c>
      <c r="N45" s="203"/>
      <c r="O45" s="361" t="s">
        <v>975</v>
      </c>
      <c r="P45" s="373">
        <v>46082.0</v>
      </c>
      <c r="Q45" s="374">
        <f t="shared" si="1"/>
        <v>7</v>
      </c>
      <c r="R45" s="375">
        <v>180.58</v>
      </c>
      <c r="S45" s="376">
        <v>0.0</v>
      </c>
    </row>
    <row r="46">
      <c r="A46" s="356">
        <v>46284.0</v>
      </c>
      <c r="B46" s="357" t="s">
        <v>861</v>
      </c>
      <c r="C46" s="358">
        <v>388.03</v>
      </c>
      <c r="D46" s="359">
        <v>5050.0</v>
      </c>
      <c r="E46" s="359">
        <v>5360.0</v>
      </c>
      <c r="F46" s="357" t="s">
        <v>697</v>
      </c>
      <c r="G46" s="357" t="s">
        <v>906</v>
      </c>
      <c r="H46" s="357" t="s">
        <v>783</v>
      </c>
      <c r="I46" s="357" t="s">
        <v>976</v>
      </c>
      <c r="J46" s="357" t="s">
        <v>878</v>
      </c>
      <c r="K46" s="357" t="s">
        <v>888</v>
      </c>
      <c r="L46" s="357" t="s">
        <v>866</v>
      </c>
      <c r="M46" s="360" t="s">
        <v>879</v>
      </c>
      <c r="N46" s="203"/>
      <c r="O46" s="361" t="s">
        <v>977</v>
      </c>
      <c r="P46" s="373">
        <v>46143.0</v>
      </c>
      <c r="Q46" s="374">
        <f t="shared" si="1"/>
        <v>5</v>
      </c>
      <c r="R46" s="375">
        <v>7301.55</v>
      </c>
      <c r="S46" s="376">
        <v>0.0</v>
      </c>
    </row>
    <row r="47">
      <c r="A47" s="356">
        <v>46284.0</v>
      </c>
      <c r="B47" s="357" t="s">
        <v>978</v>
      </c>
      <c r="C47" s="358">
        <v>5.78</v>
      </c>
      <c r="D47" s="359">
        <v>5060.0</v>
      </c>
      <c r="E47" s="359">
        <v>5370.0</v>
      </c>
      <c r="F47" s="357" t="s">
        <v>703</v>
      </c>
      <c r="G47" s="357" t="s">
        <v>919</v>
      </c>
      <c r="H47" s="357" t="s">
        <v>785</v>
      </c>
      <c r="I47" s="357" t="s">
        <v>937</v>
      </c>
      <c r="J47" s="357" t="s">
        <v>864</v>
      </c>
      <c r="K47" s="357" t="s">
        <v>888</v>
      </c>
      <c r="L47" s="357" t="s">
        <v>866</v>
      </c>
      <c r="M47" s="360" t="s">
        <v>879</v>
      </c>
      <c r="N47" s="203"/>
      <c r="O47" s="361" t="s">
        <v>979</v>
      </c>
      <c r="P47" s="373">
        <v>46174.0</v>
      </c>
      <c r="Q47" s="374">
        <f t="shared" si="1"/>
        <v>4</v>
      </c>
      <c r="R47" s="375">
        <v>3283.36</v>
      </c>
      <c r="S47" s="376">
        <v>0.0</v>
      </c>
    </row>
    <row r="48">
      <c r="A48" s="356">
        <v>46284.0</v>
      </c>
      <c r="B48" s="357" t="s">
        <v>861</v>
      </c>
      <c r="C48" s="358">
        <v>540.07</v>
      </c>
      <c r="D48" s="359">
        <v>5050.0</v>
      </c>
      <c r="E48" s="359">
        <v>5360.0</v>
      </c>
      <c r="F48" s="357" t="s">
        <v>697</v>
      </c>
      <c r="G48" s="357" t="s">
        <v>906</v>
      </c>
      <c r="H48" s="357" t="s">
        <v>783</v>
      </c>
      <c r="I48" s="357" t="s">
        <v>980</v>
      </c>
      <c r="J48" s="357" t="s">
        <v>878</v>
      </c>
      <c r="K48" s="357" t="s">
        <v>888</v>
      </c>
      <c r="L48" s="357" t="s">
        <v>866</v>
      </c>
      <c r="M48" s="360" t="s">
        <v>879</v>
      </c>
      <c r="N48" s="203"/>
      <c r="O48" s="361" t="s">
        <v>981</v>
      </c>
      <c r="P48" s="373">
        <v>46204.0</v>
      </c>
      <c r="Q48" s="374">
        <f t="shared" si="1"/>
        <v>3</v>
      </c>
      <c r="R48" s="375">
        <v>5964.24</v>
      </c>
      <c r="S48" s="376">
        <v>0.0</v>
      </c>
    </row>
    <row r="49">
      <c r="A49" s="356">
        <v>46284.0</v>
      </c>
      <c r="B49" s="357" t="s">
        <v>961</v>
      </c>
      <c r="C49" s="358">
        <v>37.28</v>
      </c>
      <c r="D49" s="359">
        <v>5330.0</v>
      </c>
      <c r="E49" s="359">
        <v>5330.0</v>
      </c>
      <c r="F49" s="357" t="s">
        <v>711</v>
      </c>
      <c r="G49" s="357" t="s">
        <v>933</v>
      </c>
      <c r="H49" s="357" t="s">
        <v>786</v>
      </c>
      <c r="I49" s="357" t="s">
        <v>968</v>
      </c>
      <c r="J49" s="357" t="s">
        <v>878</v>
      </c>
      <c r="K49" s="357" t="s">
        <v>888</v>
      </c>
      <c r="L49" s="357" t="s">
        <v>866</v>
      </c>
      <c r="M49" s="360" t="s">
        <v>240</v>
      </c>
      <c r="N49" s="203"/>
      <c r="O49" s="361" t="s">
        <v>982</v>
      </c>
      <c r="P49" s="373">
        <v>46204.0</v>
      </c>
      <c r="Q49" s="374">
        <f t="shared" si="1"/>
        <v>3</v>
      </c>
      <c r="R49" s="375">
        <v>2589.91</v>
      </c>
      <c r="S49" s="376">
        <v>0.0</v>
      </c>
    </row>
    <row r="50">
      <c r="A50" s="356">
        <v>46283.0</v>
      </c>
      <c r="B50" s="357" t="s">
        <v>923</v>
      </c>
      <c r="C50" s="358">
        <v>11.81</v>
      </c>
      <c r="D50" s="359">
        <v>5050.0</v>
      </c>
      <c r="E50" s="359">
        <v>5360.0</v>
      </c>
      <c r="F50" s="357" t="s">
        <v>703</v>
      </c>
      <c r="G50" s="357" t="s">
        <v>919</v>
      </c>
      <c r="H50" s="357" t="s">
        <v>784</v>
      </c>
      <c r="I50" s="357" t="s">
        <v>953</v>
      </c>
      <c r="J50" s="357" t="s">
        <v>864</v>
      </c>
      <c r="K50" s="357" t="s">
        <v>888</v>
      </c>
      <c r="L50" s="357" t="s">
        <v>866</v>
      </c>
      <c r="M50" s="360" t="s">
        <v>879</v>
      </c>
      <c r="N50" s="203"/>
      <c r="O50" s="361" t="s">
        <v>983</v>
      </c>
      <c r="P50" s="373">
        <v>46235.0</v>
      </c>
      <c r="Q50" s="374">
        <f t="shared" si="1"/>
        <v>2</v>
      </c>
      <c r="R50" s="375">
        <v>1415.97</v>
      </c>
      <c r="S50" s="376">
        <v>0.0</v>
      </c>
    </row>
    <row r="51">
      <c r="A51" s="356">
        <v>46283.0</v>
      </c>
      <c r="B51" s="357" t="s">
        <v>923</v>
      </c>
      <c r="C51" s="358">
        <v>5.0</v>
      </c>
      <c r="D51" s="359">
        <v>5050.0</v>
      </c>
      <c r="E51" s="359">
        <v>5360.0</v>
      </c>
      <c r="F51" s="357" t="s">
        <v>703</v>
      </c>
      <c r="G51" s="357" t="s">
        <v>919</v>
      </c>
      <c r="H51" s="357" t="s">
        <v>784</v>
      </c>
      <c r="I51" s="357" t="s">
        <v>953</v>
      </c>
      <c r="J51" s="357" t="s">
        <v>864</v>
      </c>
      <c r="K51" s="357" t="s">
        <v>888</v>
      </c>
      <c r="L51" s="357" t="s">
        <v>866</v>
      </c>
      <c r="M51" s="360" t="s">
        <v>879</v>
      </c>
      <c r="N51" s="203"/>
      <c r="O51" s="361" t="s">
        <v>984</v>
      </c>
      <c r="P51" s="373">
        <v>46235.0</v>
      </c>
      <c r="Q51" s="374">
        <f t="shared" si="1"/>
        <v>2</v>
      </c>
      <c r="R51" s="375">
        <v>0.0</v>
      </c>
      <c r="S51" s="376">
        <v>0.0</v>
      </c>
    </row>
    <row r="52">
      <c r="A52" s="356">
        <v>46283.0</v>
      </c>
      <c r="B52" s="357" t="s">
        <v>923</v>
      </c>
      <c r="C52" s="358">
        <v>11.04</v>
      </c>
      <c r="D52" s="359">
        <v>5050.0</v>
      </c>
      <c r="E52" s="359">
        <v>5360.0</v>
      </c>
      <c r="F52" s="357" t="s">
        <v>703</v>
      </c>
      <c r="G52" s="357" t="s">
        <v>919</v>
      </c>
      <c r="H52" s="357" t="s">
        <v>784</v>
      </c>
      <c r="I52" s="357" t="s">
        <v>953</v>
      </c>
      <c r="J52" s="357" t="s">
        <v>864</v>
      </c>
      <c r="K52" s="357" t="s">
        <v>888</v>
      </c>
      <c r="L52" s="357" t="s">
        <v>866</v>
      </c>
      <c r="M52" s="360" t="s">
        <v>879</v>
      </c>
      <c r="N52" s="203"/>
      <c r="O52" s="361" t="s">
        <v>985</v>
      </c>
      <c r="P52" s="373">
        <v>46266.0</v>
      </c>
      <c r="Q52" s="374">
        <f t="shared" si="1"/>
        <v>1</v>
      </c>
      <c r="R52" s="375">
        <v>1540.0</v>
      </c>
      <c r="S52" s="376">
        <v>0.0</v>
      </c>
    </row>
    <row r="53">
      <c r="A53" s="356">
        <v>46283.0</v>
      </c>
      <c r="B53" s="357" t="s">
        <v>923</v>
      </c>
      <c r="C53" s="358">
        <v>5.0</v>
      </c>
      <c r="D53" s="359">
        <v>5050.0</v>
      </c>
      <c r="E53" s="359">
        <v>5360.0</v>
      </c>
      <c r="F53" s="357" t="s">
        <v>703</v>
      </c>
      <c r="G53" s="357" t="s">
        <v>919</v>
      </c>
      <c r="H53" s="357" t="s">
        <v>784</v>
      </c>
      <c r="I53" s="357" t="s">
        <v>953</v>
      </c>
      <c r="J53" s="357" t="s">
        <v>864</v>
      </c>
      <c r="K53" s="357" t="s">
        <v>888</v>
      </c>
      <c r="L53" s="357" t="s">
        <v>866</v>
      </c>
      <c r="M53" s="360" t="s">
        <v>879</v>
      </c>
      <c r="N53" s="203"/>
      <c r="O53" s="361" t="s">
        <v>986</v>
      </c>
      <c r="P53" s="373">
        <v>46266.0</v>
      </c>
      <c r="Q53" s="374">
        <f t="shared" si="1"/>
        <v>1</v>
      </c>
      <c r="R53" s="375">
        <v>514.07</v>
      </c>
      <c r="S53" s="376">
        <v>0.0</v>
      </c>
    </row>
    <row r="54">
      <c r="A54" s="356">
        <v>46282.0</v>
      </c>
      <c r="B54" s="357" t="s">
        <v>926</v>
      </c>
      <c r="C54" s="358">
        <v>854.82</v>
      </c>
      <c r="D54" s="359">
        <v>5050.0</v>
      </c>
      <c r="E54" s="359">
        <v>5360.0</v>
      </c>
      <c r="F54" s="357" t="s">
        <v>703</v>
      </c>
      <c r="G54" s="357" t="s">
        <v>919</v>
      </c>
      <c r="H54" s="357" t="s">
        <v>782</v>
      </c>
      <c r="I54" s="357" t="s">
        <v>927</v>
      </c>
      <c r="J54" s="357" t="s">
        <v>878</v>
      </c>
      <c r="K54" s="357" t="s">
        <v>888</v>
      </c>
      <c r="L54" s="357" t="s">
        <v>866</v>
      </c>
      <c r="M54" s="360" t="s">
        <v>879</v>
      </c>
      <c r="N54" s="203"/>
      <c r="O54" s="377" t="s">
        <v>987</v>
      </c>
      <c r="P54" s="378">
        <f>COUNTA(O35:O53)</f>
        <v>19</v>
      </c>
      <c r="Q54" s="378">
        <f t="shared" ref="Q54:S54" si="2">SUM(Q35:Q53)</f>
        <v>116</v>
      </c>
      <c r="R54" s="379">
        <f t="shared" si="2"/>
        <v>200518.22</v>
      </c>
      <c r="S54" s="380">
        <f t="shared" si="2"/>
        <v>65670.82</v>
      </c>
    </row>
    <row r="55" ht="45.0" customHeight="1">
      <c r="A55" s="356">
        <v>46282.0</v>
      </c>
      <c r="B55" s="357" t="s">
        <v>923</v>
      </c>
      <c r="C55" s="358">
        <v>59.98</v>
      </c>
      <c r="D55" s="359">
        <v>5050.0</v>
      </c>
      <c r="E55" s="359">
        <v>5360.0</v>
      </c>
      <c r="F55" s="357" t="s">
        <v>703</v>
      </c>
      <c r="G55" s="357" t="s">
        <v>919</v>
      </c>
      <c r="H55" s="357" t="s">
        <v>784</v>
      </c>
      <c r="I55" s="357" t="s">
        <v>953</v>
      </c>
      <c r="J55" s="357" t="s">
        <v>864</v>
      </c>
      <c r="K55" s="357" t="s">
        <v>888</v>
      </c>
      <c r="L55" s="357" t="s">
        <v>866</v>
      </c>
      <c r="M55" s="360" t="s">
        <v>879</v>
      </c>
      <c r="N55" s="203"/>
      <c r="O55" s="205" t="s">
        <v>988</v>
      </c>
    </row>
    <row r="56">
      <c r="A56" s="356">
        <v>46282.0</v>
      </c>
      <c r="B56" s="357" t="s">
        <v>923</v>
      </c>
      <c r="C56" s="358">
        <v>5.0</v>
      </c>
      <c r="D56" s="359">
        <v>5050.0</v>
      </c>
      <c r="E56" s="359">
        <v>5360.0</v>
      </c>
      <c r="F56" s="357" t="s">
        <v>703</v>
      </c>
      <c r="G56" s="357" t="s">
        <v>919</v>
      </c>
      <c r="H56" s="357" t="s">
        <v>784</v>
      </c>
      <c r="I56" s="357" t="s">
        <v>953</v>
      </c>
      <c r="J56" s="357" t="s">
        <v>864</v>
      </c>
      <c r="K56" s="357" t="s">
        <v>888</v>
      </c>
      <c r="L56" s="357" t="s">
        <v>866</v>
      </c>
      <c r="M56" s="360" t="s">
        <v>879</v>
      </c>
      <c r="N56" s="203"/>
      <c r="O56" s="203"/>
      <c r="P56" s="203"/>
      <c r="Q56" s="203"/>
      <c r="R56" s="203"/>
      <c r="S56" s="203"/>
    </row>
    <row r="57">
      <c r="A57" s="356">
        <v>46282.0</v>
      </c>
      <c r="B57" s="357" t="s">
        <v>869</v>
      </c>
      <c r="C57" s="358">
        <v>445.78</v>
      </c>
      <c r="D57" s="359">
        <v>5050.0</v>
      </c>
      <c r="E57" s="359">
        <v>5050.0</v>
      </c>
      <c r="F57" s="357" t="s">
        <v>883</v>
      </c>
      <c r="G57" s="357" t="s">
        <v>882</v>
      </c>
      <c r="H57" s="357" t="s">
        <v>781</v>
      </c>
      <c r="I57" s="357" t="s">
        <v>989</v>
      </c>
      <c r="J57" s="357" t="s">
        <v>878</v>
      </c>
      <c r="K57" s="357" t="s">
        <v>888</v>
      </c>
      <c r="L57" s="357" t="s">
        <v>866</v>
      </c>
      <c r="M57" s="360" t="s">
        <v>893</v>
      </c>
      <c r="N57" s="203"/>
      <c r="O57" s="203"/>
      <c r="P57" s="203"/>
      <c r="Q57" s="203"/>
      <c r="R57" s="203"/>
      <c r="S57" s="203"/>
    </row>
    <row r="58">
      <c r="A58" s="356">
        <v>46282.0</v>
      </c>
      <c r="B58" s="357" t="s">
        <v>923</v>
      </c>
      <c r="C58" s="358">
        <v>18.54</v>
      </c>
      <c r="D58" s="359">
        <v>5050.0</v>
      </c>
      <c r="E58" s="359">
        <v>5360.0</v>
      </c>
      <c r="F58" s="357" t="s">
        <v>703</v>
      </c>
      <c r="G58" s="357" t="s">
        <v>919</v>
      </c>
      <c r="H58" s="357" t="s">
        <v>784</v>
      </c>
      <c r="I58" s="357" t="s">
        <v>953</v>
      </c>
      <c r="J58" s="357" t="s">
        <v>864</v>
      </c>
      <c r="K58" s="357" t="s">
        <v>888</v>
      </c>
      <c r="L58" s="357" t="s">
        <v>866</v>
      </c>
      <c r="M58" s="360" t="s">
        <v>879</v>
      </c>
      <c r="N58" s="203"/>
      <c r="O58" s="203"/>
      <c r="P58" s="203"/>
      <c r="Q58" s="203"/>
      <c r="R58" s="203"/>
      <c r="S58" s="203"/>
    </row>
    <row r="59">
      <c r="A59" s="356">
        <v>46281.0</v>
      </c>
      <c r="B59" s="357" t="s">
        <v>904</v>
      </c>
      <c r="C59" s="358">
        <v>643.4</v>
      </c>
      <c r="D59" s="359">
        <v>5050.0</v>
      </c>
      <c r="E59" s="359">
        <v>5050.0</v>
      </c>
      <c r="F59" s="357" t="s">
        <v>883</v>
      </c>
      <c r="G59" s="357" t="s">
        <v>882</v>
      </c>
      <c r="H59" s="357" t="s">
        <v>781</v>
      </c>
      <c r="I59" s="357" t="s">
        <v>990</v>
      </c>
      <c r="J59" s="357" t="s">
        <v>878</v>
      </c>
      <c r="K59" s="357" t="s">
        <v>888</v>
      </c>
      <c r="L59" s="357" t="s">
        <v>866</v>
      </c>
      <c r="M59" s="360" t="s">
        <v>893</v>
      </c>
      <c r="N59" s="203"/>
      <c r="O59" s="203"/>
      <c r="P59" s="203"/>
      <c r="Q59" s="203"/>
      <c r="R59" s="203"/>
      <c r="S59" s="203"/>
    </row>
    <row r="60">
      <c r="A60" s="356">
        <v>46281.0</v>
      </c>
      <c r="B60" s="357" t="s">
        <v>941</v>
      </c>
      <c r="C60" s="358">
        <v>508.2</v>
      </c>
      <c r="D60" s="359">
        <v>5050.0</v>
      </c>
      <c r="E60" s="359">
        <v>5050.0</v>
      </c>
      <c r="F60" s="357" t="s">
        <v>883</v>
      </c>
      <c r="G60" s="357" t="s">
        <v>882</v>
      </c>
      <c r="H60" s="357" t="s">
        <v>781</v>
      </c>
      <c r="I60" s="357" t="s">
        <v>990</v>
      </c>
      <c r="J60" s="357" t="s">
        <v>878</v>
      </c>
      <c r="K60" s="357" t="s">
        <v>888</v>
      </c>
      <c r="L60" s="357" t="s">
        <v>866</v>
      </c>
      <c r="M60" s="360" t="s">
        <v>893</v>
      </c>
      <c r="N60" s="203"/>
      <c r="O60" s="203"/>
      <c r="P60" s="203"/>
      <c r="Q60" s="203"/>
      <c r="R60" s="203"/>
      <c r="S60" s="203"/>
    </row>
    <row r="61">
      <c r="A61" s="356">
        <v>46281.0</v>
      </c>
      <c r="B61" s="357" t="s">
        <v>961</v>
      </c>
      <c r="C61" s="358">
        <v>32.32</v>
      </c>
      <c r="D61" s="359">
        <v>5330.0</v>
      </c>
      <c r="E61" s="359">
        <v>5330.0</v>
      </c>
      <c r="F61" s="357" t="s">
        <v>711</v>
      </c>
      <c r="G61" s="357" t="s">
        <v>933</v>
      </c>
      <c r="H61" s="357" t="s">
        <v>786</v>
      </c>
      <c r="I61" s="357" t="s">
        <v>968</v>
      </c>
      <c r="J61" s="357" t="s">
        <v>878</v>
      </c>
      <c r="K61" s="357" t="s">
        <v>888</v>
      </c>
      <c r="L61" s="357" t="s">
        <v>866</v>
      </c>
      <c r="M61" s="360" t="s">
        <v>240</v>
      </c>
      <c r="N61" s="203"/>
      <c r="O61" s="203"/>
      <c r="P61" s="203"/>
      <c r="Q61" s="203"/>
      <c r="R61" s="203"/>
      <c r="S61" s="203"/>
    </row>
    <row r="62">
      <c r="A62" s="356">
        <v>46281.0</v>
      </c>
      <c r="B62" s="357" t="s">
        <v>872</v>
      </c>
      <c r="C62" s="358">
        <v>543.15</v>
      </c>
      <c r="D62" s="359">
        <v>5050.0</v>
      </c>
      <c r="E62" s="359">
        <v>5360.0</v>
      </c>
      <c r="F62" s="357" t="s">
        <v>703</v>
      </c>
      <c r="G62" s="357" t="s">
        <v>919</v>
      </c>
      <c r="H62" s="357" t="s">
        <v>781</v>
      </c>
      <c r="I62" s="357" t="s">
        <v>873</v>
      </c>
      <c r="J62" s="357" t="s">
        <v>864</v>
      </c>
      <c r="K62" s="357" t="s">
        <v>888</v>
      </c>
      <c r="L62" s="357" t="s">
        <v>866</v>
      </c>
      <c r="M62" s="360" t="s">
        <v>879</v>
      </c>
      <c r="N62" s="203"/>
      <c r="O62" s="203"/>
      <c r="P62" s="203"/>
      <c r="Q62" s="203"/>
      <c r="R62" s="203"/>
      <c r="S62" s="203"/>
    </row>
    <row r="63">
      <c r="A63" s="356">
        <v>46280.0</v>
      </c>
      <c r="B63" s="357" t="s">
        <v>881</v>
      </c>
      <c r="C63" s="358">
        <v>998.59</v>
      </c>
      <c r="D63" s="359">
        <v>5050.0</v>
      </c>
      <c r="E63" s="359">
        <v>5360.0</v>
      </c>
      <c r="F63" s="357" t="s">
        <v>703</v>
      </c>
      <c r="G63" s="357" t="s">
        <v>919</v>
      </c>
      <c r="H63" s="357" t="s">
        <v>781</v>
      </c>
      <c r="I63" s="357" t="s">
        <v>991</v>
      </c>
      <c r="J63" s="357" t="s">
        <v>878</v>
      </c>
      <c r="K63" s="357" t="s">
        <v>888</v>
      </c>
      <c r="L63" s="357" t="s">
        <v>866</v>
      </c>
      <c r="M63" s="360" t="s">
        <v>879</v>
      </c>
      <c r="N63" s="203"/>
      <c r="O63" s="203"/>
      <c r="P63" s="203"/>
      <c r="Q63" s="203"/>
      <c r="R63" s="203"/>
      <c r="S63" s="203"/>
    </row>
    <row r="64">
      <c r="A64" s="356">
        <v>46277.0</v>
      </c>
      <c r="B64" s="357" t="s">
        <v>861</v>
      </c>
      <c r="C64" s="358">
        <v>301.39</v>
      </c>
      <c r="D64" s="359">
        <v>5050.0</v>
      </c>
      <c r="E64" s="359">
        <v>5050.0</v>
      </c>
      <c r="F64" s="357" t="s">
        <v>689</v>
      </c>
      <c r="G64" s="357" t="s">
        <v>874</v>
      </c>
      <c r="H64" s="357" t="s">
        <v>783</v>
      </c>
      <c r="I64" s="357" t="s">
        <v>992</v>
      </c>
      <c r="J64" s="357" t="s">
        <v>878</v>
      </c>
      <c r="K64" s="357" t="s">
        <v>888</v>
      </c>
      <c r="L64" s="357" t="s">
        <v>866</v>
      </c>
      <c r="M64" s="360" t="s">
        <v>240</v>
      </c>
      <c r="N64" s="203"/>
      <c r="O64" s="203"/>
      <c r="P64" s="203"/>
      <c r="Q64" s="203"/>
      <c r="R64" s="203"/>
      <c r="S64" s="203"/>
    </row>
    <row r="65">
      <c r="A65" s="356">
        <v>46275.0</v>
      </c>
      <c r="B65" s="357" t="s">
        <v>872</v>
      </c>
      <c r="C65" s="358">
        <v>296.71</v>
      </c>
      <c r="D65" s="359">
        <v>5360.0</v>
      </c>
      <c r="E65" s="359">
        <v>5360.0</v>
      </c>
      <c r="F65" s="357" t="s">
        <v>697</v>
      </c>
      <c r="G65" s="357" t="s">
        <v>908</v>
      </c>
      <c r="H65" s="357" t="s">
        <v>781</v>
      </c>
      <c r="I65" s="357" t="s">
        <v>993</v>
      </c>
      <c r="J65" s="357" t="s">
        <v>994</v>
      </c>
      <c r="K65" s="357" t="s">
        <v>888</v>
      </c>
      <c r="L65" s="357" t="s">
        <v>866</v>
      </c>
      <c r="M65" s="360" t="s">
        <v>240</v>
      </c>
      <c r="N65" s="203"/>
      <c r="O65" s="203"/>
      <c r="P65" s="203"/>
      <c r="Q65" s="203"/>
      <c r="R65" s="203"/>
      <c r="S65" s="203"/>
    </row>
    <row r="66">
      <c r="A66" s="356">
        <v>46275.0</v>
      </c>
      <c r="B66" s="357" t="s">
        <v>869</v>
      </c>
      <c r="C66" s="358">
        <v>505.44</v>
      </c>
      <c r="D66" s="359">
        <v>5050.0</v>
      </c>
      <c r="E66" s="359">
        <v>5360.0</v>
      </c>
      <c r="F66" s="357" t="s">
        <v>697</v>
      </c>
      <c r="G66" s="357" t="s">
        <v>908</v>
      </c>
      <c r="H66" s="357" t="s">
        <v>782</v>
      </c>
      <c r="I66" s="357" t="s">
        <v>995</v>
      </c>
      <c r="J66" s="357" t="s">
        <v>994</v>
      </c>
      <c r="K66" s="357" t="s">
        <v>888</v>
      </c>
      <c r="L66" s="357" t="s">
        <v>866</v>
      </c>
      <c r="M66" s="360" t="s">
        <v>879</v>
      </c>
      <c r="N66" s="203"/>
      <c r="O66" s="203"/>
      <c r="P66" s="203"/>
      <c r="Q66" s="203"/>
      <c r="R66" s="203"/>
      <c r="S66" s="203"/>
    </row>
    <row r="67">
      <c r="A67" s="356">
        <v>46275.0</v>
      </c>
      <c r="B67" s="357" t="s">
        <v>872</v>
      </c>
      <c r="C67" s="358">
        <v>51.32</v>
      </c>
      <c r="D67" s="359">
        <v>5360.0</v>
      </c>
      <c r="E67" s="359">
        <v>5360.0</v>
      </c>
      <c r="F67" s="357" t="s">
        <v>697</v>
      </c>
      <c r="G67" s="357" t="s">
        <v>908</v>
      </c>
      <c r="H67" s="357" t="s">
        <v>781</v>
      </c>
      <c r="I67" s="357" t="s">
        <v>993</v>
      </c>
      <c r="J67" s="357" t="s">
        <v>994</v>
      </c>
      <c r="K67" s="357" t="s">
        <v>888</v>
      </c>
      <c r="L67" s="357" t="s">
        <v>866</v>
      </c>
      <c r="M67" s="360" t="s">
        <v>240</v>
      </c>
      <c r="N67" s="203"/>
      <c r="O67" s="203"/>
      <c r="P67" s="203"/>
      <c r="Q67" s="203"/>
      <c r="R67" s="203"/>
      <c r="S67" s="203"/>
    </row>
    <row r="68">
      <c r="A68" s="356">
        <v>46274.0</v>
      </c>
      <c r="B68" s="357" t="s">
        <v>881</v>
      </c>
      <c r="C68" s="358">
        <v>628.4</v>
      </c>
      <c r="D68" s="359">
        <v>5360.0</v>
      </c>
      <c r="E68" s="359">
        <v>5360.0</v>
      </c>
      <c r="F68" s="357" t="s">
        <v>697</v>
      </c>
      <c r="G68" s="357" t="s">
        <v>906</v>
      </c>
      <c r="H68" s="357" t="s">
        <v>781</v>
      </c>
      <c r="I68" s="357" t="s">
        <v>996</v>
      </c>
      <c r="J68" s="357" t="s">
        <v>878</v>
      </c>
      <c r="K68" s="357" t="s">
        <v>888</v>
      </c>
      <c r="L68" s="357" t="s">
        <v>866</v>
      </c>
      <c r="M68" s="360" t="s">
        <v>240</v>
      </c>
      <c r="N68" s="203"/>
      <c r="O68" s="203"/>
      <c r="P68" s="203"/>
      <c r="Q68" s="203"/>
      <c r="R68" s="203"/>
      <c r="S68" s="203"/>
    </row>
    <row r="69">
      <c r="A69" s="356">
        <v>46274.0</v>
      </c>
      <c r="B69" s="357" t="s">
        <v>869</v>
      </c>
      <c r="C69" s="358">
        <v>528.4</v>
      </c>
      <c r="D69" s="359">
        <v>5360.0</v>
      </c>
      <c r="E69" s="359">
        <v>5360.0</v>
      </c>
      <c r="F69" s="357" t="s">
        <v>697</v>
      </c>
      <c r="G69" s="357" t="s">
        <v>906</v>
      </c>
      <c r="H69" s="357" t="s">
        <v>781</v>
      </c>
      <c r="I69" s="357" t="s">
        <v>996</v>
      </c>
      <c r="J69" s="357" t="s">
        <v>878</v>
      </c>
      <c r="K69" s="357" t="s">
        <v>888</v>
      </c>
      <c r="L69" s="357" t="s">
        <v>866</v>
      </c>
      <c r="M69" s="360" t="s">
        <v>240</v>
      </c>
      <c r="N69" s="203"/>
      <c r="O69" s="203"/>
      <c r="P69" s="203"/>
      <c r="Q69" s="203"/>
      <c r="R69" s="203"/>
      <c r="S69" s="203"/>
    </row>
    <row r="70">
      <c r="A70" s="356">
        <v>46274.0</v>
      </c>
      <c r="B70" s="357" t="s">
        <v>869</v>
      </c>
      <c r="C70" s="358">
        <v>999.89</v>
      </c>
      <c r="D70" s="359">
        <v>5050.0</v>
      </c>
      <c r="E70" s="359">
        <v>5050.0</v>
      </c>
      <c r="F70" s="357" t="s">
        <v>883</v>
      </c>
      <c r="G70" s="357" t="s">
        <v>882</v>
      </c>
      <c r="H70" s="357" t="s">
        <v>781</v>
      </c>
      <c r="I70" s="357" t="s">
        <v>921</v>
      </c>
      <c r="J70" s="357" t="s">
        <v>878</v>
      </c>
      <c r="K70" s="357" t="s">
        <v>888</v>
      </c>
      <c r="L70" s="357" t="s">
        <v>866</v>
      </c>
      <c r="M70" s="360" t="s">
        <v>893</v>
      </c>
      <c r="N70" s="203"/>
      <c r="O70" s="203"/>
      <c r="P70" s="203"/>
      <c r="Q70" s="203"/>
      <c r="R70" s="203"/>
      <c r="S70" s="203"/>
    </row>
    <row r="71">
      <c r="A71" s="356">
        <v>46274.0</v>
      </c>
      <c r="B71" s="357" t="s">
        <v>881</v>
      </c>
      <c r="C71" s="358">
        <v>513.4</v>
      </c>
      <c r="D71" s="359">
        <v>5360.0</v>
      </c>
      <c r="E71" s="359">
        <v>5360.0</v>
      </c>
      <c r="F71" s="357" t="s">
        <v>697</v>
      </c>
      <c r="G71" s="357" t="s">
        <v>906</v>
      </c>
      <c r="H71" s="357" t="s">
        <v>781</v>
      </c>
      <c r="I71" s="357" t="s">
        <v>997</v>
      </c>
      <c r="J71" s="357" t="s">
        <v>878</v>
      </c>
      <c r="K71" s="357" t="s">
        <v>888</v>
      </c>
      <c r="L71" s="357" t="s">
        <v>866</v>
      </c>
      <c r="M71" s="360" t="s">
        <v>240</v>
      </c>
      <c r="N71" s="203"/>
      <c r="O71" s="203"/>
      <c r="P71" s="203"/>
      <c r="Q71" s="203"/>
      <c r="R71" s="203"/>
      <c r="S71" s="203"/>
    </row>
    <row r="72">
      <c r="A72" s="356">
        <v>46274.0</v>
      </c>
      <c r="B72" s="357" t="s">
        <v>998</v>
      </c>
      <c r="C72" s="358">
        <v>733.59</v>
      </c>
      <c r="D72" s="359">
        <v>5360.0</v>
      </c>
      <c r="E72" s="359">
        <v>5360.0</v>
      </c>
      <c r="F72" s="357" t="s">
        <v>697</v>
      </c>
      <c r="G72" s="357" t="s">
        <v>906</v>
      </c>
      <c r="H72" s="357" t="s">
        <v>781</v>
      </c>
      <c r="I72" s="357" t="s">
        <v>996</v>
      </c>
      <c r="J72" s="357" t="s">
        <v>878</v>
      </c>
      <c r="K72" s="357" t="s">
        <v>888</v>
      </c>
      <c r="L72" s="357" t="s">
        <v>866</v>
      </c>
      <c r="M72" s="360" t="s">
        <v>240</v>
      </c>
      <c r="N72" s="203"/>
      <c r="O72" s="203"/>
      <c r="P72" s="203"/>
      <c r="Q72" s="203"/>
      <c r="R72" s="203"/>
      <c r="S72" s="203"/>
    </row>
    <row r="73">
      <c r="A73" s="356">
        <v>46273.0</v>
      </c>
      <c r="B73" s="357" t="s">
        <v>941</v>
      </c>
      <c r="C73" s="358">
        <v>685.8</v>
      </c>
      <c r="D73" s="359">
        <v>5060.0</v>
      </c>
      <c r="E73" s="359">
        <v>5050.0</v>
      </c>
      <c r="F73" s="357" t="s">
        <v>883</v>
      </c>
      <c r="G73" s="357" t="s">
        <v>882</v>
      </c>
      <c r="H73" s="357" t="s">
        <v>781</v>
      </c>
      <c r="I73" s="357" t="s">
        <v>999</v>
      </c>
      <c r="J73" s="357" t="s">
        <v>878</v>
      </c>
      <c r="K73" s="357" t="s">
        <v>888</v>
      </c>
      <c r="L73" s="357" t="s">
        <v>866</v>
      </c>
      <c r="M73" s="360" t="s">
        <v>893</v>
      </c>
      <c r="N73" s="203"/>
      <c r="O73" s="203"/>
      <c r="P73" s="203"/>
      <c r="Q73" s="203"/>
      <c r="R73" s="203"/>
      <c r="S73" s="203"/>
    </row>
    <row r="74">
      <c r="A74" s="356">
        <v>46270.0</v>
      </c>
      <c r="B74" s="357" t="s">
        <v>881</v>
      </c>
      <c r="C74" s="358">
        <v>288.4</v>
      </c>
      <c r="D74" s="359">
        <v>5025.0</v>
      </c>
      <c r="E74" s="359">
        <v>5360.0</v>
      </c>
      <c r="F74" s="357" t="s">
        <v>703</v>
      </c>
      <c r="G74" s="357" t="s">
        <v>920</v>
      </c>
      <c r="H74" s="357" t="s">
        <v>781</v>
      </c>
      <c r="I74" s="357" t="s">
        <v>1000</v>
      </c>
      <c r="J74" s="357" t="s">
        <v>994</v>
      </c>
      <c r="K74" s="357" t="s">
        <v>888</v>
      </c>
      <c r="L74" s="357" t="s">
        <v>866</v>
      </c>
      <c r="M74" s="360" t="s">
        <v>879</v>
      </c>
      <c r="N74" s="203"/>
      <c r="O74" s="203"/>
      <c r="P74" s="203"/>
      <c r="Q74" s="203"/>
      <c r="R74" s="203"/>
      <c r="S74" s="203"/>
    </row>
    <row r="75">
      <c r="A75" s="356">
        <v>46270.0</v>
      </c>
      <c r="B75" s="357" t="s">
        <v>869</v>
      </c>
      <c r="C75" s="358">
        <v>517.08</v>
      </c>
      <c r="D75" s="359">
        <v>5050.0</v>
      </c>
      <c r="E75" s="359">
        <v>5360.0</v>
      </c>
      <c r="F75" s="357" t="s">
        <v>703</v>
      </c>
      <c r="G75" s="357" t="s">
        <v>917</v>
      </c>
      <c r="H75" s="357" t="s">
        <v>781</v>
      </c>
      <c r="I75" s="357" t="s">
        <v>1001</v>
      </c>
      <c r="J75" s="357" t="s">
        <v>878</v>
      </c>
      <c r="K75" s="357" t="s">
        <v>888</v>
      </c>
      <c r="L75" s="357" t="s">
        <v>866</v>
      </c>
      <c r="M75" s="360" t="s">
        <v>879</v>
      </c>
      <c r="N75" s="203"/>
      <c r="O75" s="203"/>
      <c r="P75" s="203"/>
      <c r="Q75" s="203"/>
      <c r="R75" s="203"/>
      <c r="S75" s="203"/>
    </row>
    <row r="76">
      <c r="A76" s="356">
        <v>46270.0</v>
      </c>
      <c r="B76" s="357" t="s">
        <v>881</v>
      </c>
      <c r="C76" s="358">
        <v>422.4</v>
      </c>
      <c r="D76" s="359">
        <v>5025.0</v>
      </c>
      <c r="E76" s="359">
        <v>5360.0</v>
      </c>
      <c r="F76" s="357" t="s">
        <v>703</v>
      </c>
      <c r="G76" s="357" t="s">
        <v>920</v>
      </c>
      <c r="H76" s="357" t="s">
        <v>781</v>
      </c>
      <c r="I76" s="357" t="s">
        <v>1002</v>
      </c>
      <c r="J76" s="357" t="s">
        <v>994</v>
      </c>
      <c r="K76" s="357" t="s">
        <v>888</v>
      </c>
      <c r="L76" s="357" t="s">
        <v>866</v>
      </c>
      <c r="M76" s="360" t="s">
        <v>879</v>
      </c>
      <c r="N76" s="203"/>
      <c r="O76" s="203"/>
      <c r="P76" s="203"/>
      <c r="Q76" s="203"/>
      <c r="R76" s="203"/>
      <c r="S76" s="203"/>
    </row>
    <row r="77">
      <c r="A77" s="356">
        <v>46269.0</v>
      </c>
      <c r="B77" s="357" t="s">
        <v>904</v>
      </c>
      <c r="C77" s="358">
        <v>389.2</v>
      </c>
      <c r="D77" s="359">
        <v>5050.0</v>
      </c>
      <c r="E77" s="359">
        <v>5050.0</v>
      </c>
      <c r="F77" s="357" t="s">
        <v>689</v>
      </c>
      <c r="G77" s="357" t="s">
        <v>874</v>
      </c>
      <c r="H77" s="357" t="s">
        <v>781</v>
      </c>
      <c r="I77" s="357" t="s">
        <v>1003</v>
      </c>
      <c r="J77" s="357" t="s">
        <v>994</v>
      </c>
      <c r="K77" s="357" t="s">
        <v>888</v>
      </c>
      <c r="L77" s="357" t="s">
        <v>866</v>
      </c>
      <c r="M77" s="360" t="s">
        <v>240</v>
      </c>
      <c r="N77" s="203"/>
      <c r="O77" s="203"/>
      <c r="P77" s="203"/>
      <c r="Q77" s="203"/>
      <c r="R77" s="203"/>
      <c r="S77" s="203"/>
    </row>
    <row r="78">
      <c r="A78" s="356">
        <v>46269.0</v>
      </c>
      <c r="B78" s="357" t="s">
        <v>869</v>
      </c>
      <c r="C78" s="358">
        <v>582.16</v>
      </c>
      <c r="D78" s="359">
        <v>5050.0</v>
      </c>
      <c r="E78" s="359">
        <v>5050.0</v>
      </c>
      <c r="F78" s="357" t="s">
        <v>689</v>
      </c>
      <c r="G78" s="357" t="s">
        <v>874</v>
      </c>
      <c r="H78" s="357" t="s">
        <v>781</v>
      </c>
      <c r="I78" s="357" t="s">
        <v>1004</v>
      </c>
      <c r="J78" s="357" t="s">
        <v>994</v>
      </c>
      <c r="K78" s="357" t="s">
        <v>888</v>
      </c>
      <c r="L78" s="357" t="s">
        <v>866</v>
      </c>
      <c r="M78" s="360" t="s">
        <v>240</v>
      </c>
      <c r="N78" s="203"/>
      <c r="O78" s="203"/>
      <c r="P78" s="203"/>
      <c r="Q78" s="203"/>
      <c r="R78" s="203"/>
      <c r="S78" s="203"/>
    </row>
    <row r="79">
      <c r="A79" s="356">
        <v>46266.0</v>
      </c>
      <c r="B79" s="357" t="s">
        <v>861</v>
      </c>
      <c r="C79" s="358">
        <v>982.99</v>
      </c>
      <c r="D79" s="381">
        <v>5050.0</v>
      </c>
      <c r="E79" s="359">
        <v>5360.0</v>
      </c>
      <c r="F79" s="357" t="s">
        <v>697</v>
      </c>
      <c r="G79" s="357" t="s">
        <v>903</v>
      </c>
      <c r="H79" s="357" t="s">
        <v>783</v>
      </c>
      <c r="I79" s="357" t="s">
        <v>1005</v>
      </c>
      <c r="J79" s="357" t="s">
        <v>994</v>
      </c>
      <c r="K79" s="357" t="s">
        <v>888</v>
      </c>
      <c r="L79" s="357" t="s">
        <v>866</v>
      </c>
      <c r="M79" s="360" t="s">
        <v>879</v>
      </c>
      <c r="N79" s="203"/>
      <c r="O79" s="203"/>
      <c r="P79" s="203"/>
      <c r="Q79" s="203"/>
      <c r="R79" s="203"/>
      <c r="S79" s="203"/>
    </row>
    <row r="80">
      <c r="A80" s="356">
        <v>46265.0</v>
      </c>
      <c r="B80" s="357" t="s">
        <v>869</v>
      </c>
      <c r="C80" s="358">
        <v>627.94</v>
      </c>
      <c r="D80" s="359">
        <v>5050.0</v>
      </c>
      <c r="E80" s="359">
        <v>5050.0</v>
      </c>
      <c r="F80" s="357" t="s">
        <v>689</v>
      </c>
      <c r="G80" s="357" t="s">
        <v>874</v>
      </c>
      <c r="H80" s="357" t="s">
        <v>782</v>
      </c>
      <c r="I80" s="357" t="s">
        <v>1006</v>
      </c>
      <c r="J80" s="357" t="s">
        <v>994</v>
      </c>
      <c r="K80" s="357" t="s">
        <v>1007</v>
      </c>
      <c r="L80" s="357" t="s">
        <v>866</v>
      </c>
      <c r="M80" s="360" t="s">
        <v>240</v>
      </c>
      <c r="N80" s="203"/>
      <c r="O80" s="203"/>
      <c r="P80" s="203"/>
      <c r="Q80" s="203"/>
      <c r="R80" s="203"/>
      <c r="S80" s="203"/>
    </row>
    <row r="81">
      <c r="A81" s="356">
        <v>46265.0</v>
      </c>
      <c r="B81" s="357" t="s">
        <v>1008</v>
      </c>
      <c r="C81" s="358">
        <v>550.0</v>
      </c>
      <c r="D81" s="359">
        <v>5320.0</v>
      </c>
      <c r="E81" s="381" t="s">
        <v>893</v>
      </c>
      <c r="F81" s="357" t="s">
        <v>1009</v>
      </c>
      <c r="G81" s="357" t="s">
        <v>1010</v>
      </c>
      <c r="H81" s="357" t="s">
        <v>787</v>
      </c>
      <c r="I81" s="357" t="s">
        <v>1011</v>
      </c>
      <c r="J81" s="357" t="s">
        <v>1012</v>
      </c>
      <c r="K81" s="357" t="s">
        <v>1013</v>
      </c>
      <c r="L81" s="357" t="s">
        <v>1014</v>
      </c>
      <c r="M81" s="360" t="s">
        <v>893</v>
      </c>
      <c r="N81" s="203"/>
      <c r="O81" s="203"/>
      <c r="P81" s="203"/>
      <c r="Q81" s="203"/>
      <c r="R81" s="203"/>
      <c r="S81" s="203"/>
    </row>
    <row r="82">
      <c r="A82" s="356">
        <v>46262.0</v>
      </c>
      <c r="B82" s="357" t="s">
        <v>869</v>
      </c>
      <c r="C82" s="358">
        <v>627.94</v>
      </c>
      <c r="D82" s="359">
        <v>5050.0</v>
      </c>
      <c r="E82" s="381">
        <v>5050.0</v>
      </c>
      <c r="F82" s="357" t="s">
        <v>689</v>
      </c>
      <c r="G82" s="357" t="s">
        <v>874</v>
      </c>
      <c r="H82" s="357" t="s">
        <v>782</v>
      </c>
      <c r="I82" s="357" t="s">
        <v>1015</v>
      </c>
      <c r="J82" s="357" t="s">
        <v>994</v>
      </c>
      <c r="K82" s="357" t="s">
        <v>1007</v>
      </c>
      <c r="L82" s="357" t="s">
        <v>866</v>
      </c>
      <c r="M82" s="360" t="s">
        <v>240</v>
      </c>
      <c r="N82" s="203"/>
      <c r="O82" s="203"/>
      <c r="P82" s="203"/>
      <c r="Q82" s="203"/>
      <c r="R82" s="203"/>
      <c r="S82" s="203"/>
    </row>
    <row r="83">
      <c r="A83" s="356">
        <v>46261.0</v>
      </c>
      <c r="B83" s="357" t="s">
        <v>1016</v>
      </c>
      <c r="C83" s="358">
        <v>474.51</v>
      </c>
      <c r="D83" s="359">
        <v>5360.0</v>
      </c>
      <c r="E83" s="381" t="s">
        <v>893</v>
      </c>
      <c r="F83" s="357" t="s">
        <v>1017</v>
      </c>
      <c r="G83" s="357" t="s">
        <v>1018</v>
      </c>
      <c r="H83" s="357" t="s">
        <v>788</v>
      </c>
      <c r="I83" s="357"/>
      <c r="J83" s="357" t="s">
        <v>1012</v>
      </c>
      <c r="K83" s="357" t="s">
        <v>1019</v>
      </c>
      <c r="L83" s="357" t="s">
        <v>1014</v>
      </c>
      <c r="M83" s="360" t="s">
        <v>893</v>
      </c>
      <c r="N83" s="203"/>
      <c r="O83" s="203"/>
      <c r="P83" s="203"/>
      <c r="Q83" s="203"/>
      <c r="R83" s="203"/>
      <c r="S83" s="203"/>
    </row>
    <row r="84">
      <c r="A84" s="356">
        <v>46261.0</v>
      </c>
      <c r="B84" s="357" t="s">
        <v>1008</v>
      </c>
      <c r="C84" s="358">
        <v>6150.0</v>
      </c>
      <c r="D84" s="359">
        <v>5320.0</v>
      </c>
      <c r="E84" s="381" t="s">
        <v>893</v>
      </c>
      <c r="F84" s="357" t="s">
        <v>1009</v>
      </c>
      <c r="G84" s="357" t="s">
        <v>1010</v>
      </c>
      <c r="H84" s="357" t="s">
        <v>787</v>
      </c>
      <c r="I84" s="357" t="s">
        <v>1020</v>
      </c>
      <c r="J84" s="357" t="s">
        <v>1012</v>
      </c>
      <c r="K84" s="357" t="s">
        <v>1021</v>
      </c>
      <c r="L84" s="357" t="s">
        <v>1014</v>
      </c>
      <c r="M84" s="360" t="s">
        <v>893</v>
      </c>
      <c r="N84" s="203"/>
      <c r="O84" s="203"/>
      <c r="P84" s="203"/>
      <c r="Q84" s="203"/>
      <c r="R84" s="203"/>
      <c r="S84" s="203"/>
    </row>
    <row r="85">
      <c r="A85" s="356">
        <v>46251.0</v>
      </c>
      <c r="B85" s="357" t="s">
        <v>861</v>
      </c>
      <c r="C85" s="358">
        <v>568.83</v>
      </c>
      <c r="D85" s="359">
        <v>5360.0</v>
      </c>
      <c r="E85" s="381">
        <v>5360.0</v>
      </c>
      <c r="F85" s="357" t="s">
        <v>697</v>
      </c>
      <c r="G85" s="357" t="s">
        <v>903</v>
      </c>
      <c r="H85" s="357" t="s">
        <v>783</v>
      </c>
      <c r="I85" s="357" t="s">
        <v>1022</v>
      </c>
      <c r="J85" s="357" t="s">
        <v>878</v>
      </c>
      <c r="K85" s="357" t="s">
        <v>1007</v>
      </c>
      <c r="L85" s="357" t="s">
        <v>866</v>
      </c>
      <c r="M85" s="360" t="s">
        <v>240</v>
      </c>
      <c r="N85" s="203"/>
      <c r="O85" s="203"/>
      <c r="P85" s="203"/>
      <c r="Q85" s="203"/>
      <c r="R85" s="203"/>
      <c r="S85" s="203"/>
    </row>
    <row r="86">
      <c r="A86" s="356">
        <v>46251.0</v>
      </c>
      <c r="B86" s="357" t="s">
        <v>1008</v>
      </c>
      <c r="C86" s="358">
        <v>2950.0</v>
      </c>
      <c r="D86" s="381">
        <v>5320.0</v>
      </c>
      <c r="E86" s="381" t="s">
        <v>893</v>
      </c>
      <c r="F86" s="357" t="s">
        <v>1009</v>
      </c>
      <c r="G86" s="357" t="s">
        <v>1010</v>
      </c>
      <c r="H86" s="357" t="s">
        <v>787</v>
      </c>
      <c r="I86" s="357" t="s">
        <v>1020</v>
      </c>
      <c r="J86" s="357" t="s">
        <v>1012</v>
      </c>
      <c r="K86" s="357" t="s">
        <v>1023</v>
      </c>
      <c r="L86" s="357" t="s">
        <v>1014</v>
      </c>
      <c r="M86" s="360" t="s">
        <v>893</v>
      </c>
      <c r="N86" s="203"/>
      <c r="O86" s="203"/>
      <c r="P86" s="203"/>
      <c r="Q86" s="203"/>
      <c r="R86" s="203"/>
      <c r="S86" s="203"/>
    </row>
    <row r="87">
      <c r="A87" s="356">
        <v>46249.0</v>
      </c>
      <c r="B87" s="357" t="s">
        <v>861</v>
      </c>
      <c r="C87" s="358">
        <v>517.32</v>
      </c>
      <c r="D87" s="381">
        <v>5360.0</v>
      </c>
      <c r="E87" s="359">
        <v>5360.0</v>
      </c>
      <c r="F87" s="357" t="s">
        <v>703</v>
      </c>
      <c r="G87" s="357" t="s">
        <v>917</v>
      </c>
      <c r="H87" s="357" t="s">
        <v>783</v>
      </c>
      <c r="I87" s="357" t="s">
        <v>1024</v>
      </c>
      <c r="J87" s="357" t="s">
        <v>994</v>
      </c>
      <c r="K87" s="357" t="s">
        <v>1007</v>
      </c>
      <c r="L87" s="357" t="s">
        <v>866</v>
      </c>
      <c r="M87" s="360" t="s">
        <v>240</v>
      </c>
      <c r="N87" s="203"/>
      <c r="O87" s="203"/>
      <c r="P87" s="203"/>
      <c r="Q87" s="203"/>
      <c r="R87" s="203"/>
      <c r="S87" s="203"/>
    </row>
    <row r="88">
      <c r="A88" s="356">
        <v>46249.0</v>
      </c>
      <c r="B88" s="357" t="s">
        <v>861</v>
      </c>
      <c r="C88" s="358">
        <v>400.26</v>
      </c>
      <c r="D88" s="359">
        <v>5360.0</v>
      </c>
      <c r="E88" s="359">
        <v>5360.0</v>
      </c>
      <c r="F88" s="357" t="s">
        <v>697</v>
      </c>
      <c r="G88" s="357" t="s">
        <v>903</v>
      </c>
      <c r="H88" s="357" t="s">
        <v>783</v>
      </c>
      <c r="I88" s="357" t="s">
        <v>1025</v>
      </c>
      <c r="J88" s="357" t="s">
        <v>878</v>
      </c>
      <c r="K88" s="357" t="s">
        <v>1007</v>
      </c>
      <c r="L88" s="357" t="s">
        <v>866</v>
      </c>
      <c r="M88" s="360" t="s">
        <v>240</v>
      </c>
      <c r="N88" s="203"/>
      <c r="O88" s="203"/>
      <c r="P88" s="203"/>
      <c r="Q88" s="203"/>
      <c r="R88" s="203"/>
      <c r="S88" s="203"/>
    </row>
    <row r="89">
      <c r="A89" s="356">
        <v>46248.0</v>
      </c>
      <c r="B89" s="357" t="s">
        <v>861</v>
      </c>
      <c r="C89" s="358">
        <v>13.09</v>
      </c>
      <c r="D89" s="359">
        <v>5050.0</v>
      </c>
      <c r="E89" s="381">
        <v>5360.0</v>
      </c>
      <c r="F89" s="357" t="s">
        <v>706</v>
      </c>
      <c r="G89" s="357" t="s">
        <v>901</v>
      </c>
      <c r="H89" s="357" t="s">
        <v>783</v>
      </c>
      <c r="I89" s="357" t="s">
        <v>1026</v>
      </c>
      <c r="J89" s="357" t="s">
        <v>994</v>
      </c>
      <c r="K89" s="357" t="s">
        <v>1007</v>
      </c>
      <c r="L89" s="357" t="s">
        <v>866</v>
      </c>
      <c r="M89" s="360" t="s">
        <v>879</v>
      </c>
      <c r="N89" s="203"/>
      <c r="O89" s="203"/>
      <c r="P89" s="203"/>
      <c r="Q89" s="203"/>
      <c r="R89" s="203"/>
      <c r="S89" s="203"/>
    </row>
    <row r="90">
      <c r="A90" s="356">
        <v>46248.0</v>
      </c>
      <c r="B90" s="357" t="s">
        <v>869</v>
      </c>
      <c r="C90" s="358">
        <v>-507.96</v>
      </c>
      <c r="D90" s="359">
        <v>6100.0</v>
      </c>
      <c r="E90" s="359">
        <v>5360.0</v>
      </c>
      <c r="F90" s="357" t="s">
        <v>697</v>
      </c>
      <c r="G90" s="357" t="s">
        <v>903</v>
      </c>
      <c r="H90" s="357" t="s">
        <v>781</v>
      </c>
      <c r="I90" s="357" t="s">
        <v>1027</v>
      </c>
      <c r="J90" s="357" t="s">
        <v>994</v>
      </c>
      <c r="K90" s="357" t="s">
        <v>1007</v>
      </c>
      <c r="L90" s="357" t="s">
        <v>866</v>
      </c>
      <c r="M90" s="360" t="s">
        <v>879</v>
      </c>
      <c r="N90" s="203"/>
      <c r="O90" s="203"/>
      <c r="P90" s="203"/>
      <c r="Q90" s="203"/>
      <c r="R90" s="203"/>
      <c r="S90" s="203"/>
    </row>
    <row r="91">
      <c r="A91" s="356">
        <v>46247.0</v>
      </c>
      <c r="B91" s="357" t="s">
        <v>881</v>
      </c>
      <c r="C91" s="358">
        <v>-290.2</v>
      </c>
      <c r="D91" s="359">
        <v>5050.0</v>
      </c>
      <c r="E91" s="359">
        <v>5050.0</v>
      </c>
      <c r="F91" s="357" t="s">
        <v>883</v>
      </c>
      <c r="G91" s="357" t="s">
        <v>882</v>
      </c>
      <c r="H91" s="357" t="s">
        <v>781</v>
      </c>
      <c r="I91" s="357" t="s">
        <v>1028</v>
      </c>
      <c r="J91" s="357" t="s">
        <v>994</v>
      </c>
      <c r="K91" s="357" t="s">
        <v>1007</v>
      </c>
      <c r="L91" s="357" t="s">
        <v>866</v>
      </c>
      <c r="M91" s="360" t="s">
        <v>893</v>
      </c>
      <c r="N91" s="203"/>
      <c r="O91" s="203"/>
      <c r="P91" s="203"/>
      <c r="Q91" s="203"/>
      <c r="R91" s="203"/>
      <c r="S91" s="203"/>
    </row>
    <row r="92">
      <c r="A92" s="356">
        <v>46247.0</v>
      </c>
      <c r="B92" s="357" t="s">
        <v>1016</v>
      </c>
      <c r="C92" s="358">
        <v>256.82</v>
      </c>
      <c r="D92" s="359">
        <v>5360.0</v>
      </c>
      <c r="E92" s="381" t="s">
        <v>893</v>
      </c>
      <c r="F92" s="357" t="s">
        <v>1017</v>
      </c>
      <c r="G92" s="357" t="s">
        <v>1018</v>
      </c>
      <c r="H92" s="357" t="s">
        <v>788</v>
      </c>
      <c r="I92" s="357"/>
      <c r="J92" s="357" t="s">
        <v>1012</v>
      </c>
      <c r="K92" s="357" t="s">
        <v>1029</v>
      </c>
      <c r="L92" s="357" t="s">
        <v>1014</v>
      </c>
      <c r="M92" s="360" t="s">
        <v>893</v>
      </c>
      <c r="N92" s="203"/>
      <c r="O92" s="203"/>
      <c r="P92" s="203"/>
      <c r="Q92" s="203"/>
      <c r="R92" s="203"/>
      <c r="S92" s="203"/>
    </row>
    <row r="93">
      <c r="A93" s="356">
        <v>46246.0</v>
      </c>
      <c r="B93" s="357" t="s">
        <v>861</v>
      </c>
      <c r="C93" s="358">
        <v>283.99</v>
      </c>
      <c r="D93" s="359">
        <v>5360.0</v>
      </c>
      <c r="E93" s="359">
        <v>5360.0</v>
      </c>
      <c r="F93" s="357" t="s">
        <v>697</v>
      </c>
      <c r="G93" s="357" t="s">
        <v>903</v>
      </c>
      <c r="H93" s="357" t="s">
        <v>783</v>
      </c>
      <c r="I93" s="357" t="s">
        <v>1030</v>
      </c>
      <c r="J93" s="357" t="s">
        <v>994</v>
      </c>
      <c r="K93" s="357" t="s">
        <v>1007</v>
      </c>
      <c r="L93" s="357" t="s">
        <v>866</v>
      </c>
      <c r="M93" s="360" t="s">
        <v>240</v>
      </c>
      <c r="N93" s="203"/>
      <c r="O93" s="203"/>
      <c r="P93" s="203"/>
      <c r="Q93" s="203"/>
      <c r="R93" s="203"/>
      <c r="S93" s="203"/>
    </row>
    <row r="94">
      <c r="A94" s="356">
        <v>46246.0</v>
      </c>
      <c r="B94" s="357" t="s">
        <v>904</v>
      </c>
      <c r="C94" s="358">
        <v>806.86</v>
      </c>
      <c r="D94" s="359">
        <v>5360.0</v>
      </c>
      <c r="E94" s="359">
        <v>5360.0</v>
      </c>
      <c r="F94" s="357" t="s">
        <v>697</v>
      </c>
      <c r="G94" s="357" t="s">
        <v>903</v>
      </c>
      <c r="H94" s="357" t="s">
        <v>781</v>
      </c>
      <c r="I94" s="357" t="s">
        <v>1031</v>
      </c>
      <c r="J94" s="357" t="s">
        <v>994</v>
      </c>
      <c r="K94" s="357" t="s">
        <v>1007</v>
      </c>
      <c r="L94" s="357" t="s">
        <v>866</v>
      </c>
      <c r="M94" s="360" t="s">
        <v>240</v>
      </c>
      <c r="N94" s="203"/>
      <c r="O94" s="203"/>
      <c r="P94" s="203"/>
      <c r="Q94" s="203"/>
      <c r="R94" s="203"/>
      <c r="S94" s="203"/>
    </row>
    <row r="95">
      <c r="A95" s="356">
        <v>46246.0</v>
      </c>
      <c r="B95" s="357" t="s">
        <v>881</v>
      </c>
      <c r="C95" s="358">
        <v>290.2</v>
      </c>
      <c r="D95" s="359">
        <v>5050.0</v>
      </c>
      <c r="E95" s="381">
        <v>5050.0</v>
      </c>
      <c r="F95" s="357" t="s">
        <v>883</v>
      </c>
      <c r="G95" s="357" t="s">
        <v>882</v>
      </c>
      <c r="H95" s="357" t="s">
        <v>781</v>
      </c>
      <c r="I95" s="357" t="s">
        <v>1032</v>
      </c>
      <c r="J95" s="357" t="s">
        <v>994</v>
      </c>
      <c r="K95" s="357" t="s">
        <v>1007</v>
      </c>
      <c r="L95" s="357" t="s">
        <v>866</v>
      </c>
      <c r="M95" s="360" t="s">
        <v>893</v>
      </c>
      <c r="N95" s="203"/>
      <c r="O95" s="203"/>
      <c r="P95" s="203"/>
      <c r="Q95" s="203"/>
      <c r="R95" s="203"/>
      <c r="S95" s="203"/>
    </row>
    <row r="96">
      <c r="A96" s="356">
        <v>46246.0</v>
      </c>
      <c r="B96" s="357" t="s">
        <v>941</v>
      </c>
      <c r="C96" s="358">
        <v>370.2</v>
      </c>
      <c r="D96" s="359">
        <v>5060.0</v>
      </c>
      <c r="E96" s="359">
        <v>5050.0</v>
      </c>
      <c r="F96" s="357" t="s">
        <v>883</v>
      </c>
      <c r="G96" s="357" t="s">
        <v>882</v>
      </c>
      <c r="H96" s="357" t="s">
        <v>781</v>
      </c>
      <c r="I96" s="357" t="s">
        <v>1033</v>
      </c>
      <c r="J96" s="357" t="s">
        <v>994</v>
      </c>
      <c r="K96" s="357" t="s">
        <v>1007</v>
      </c>
      <c r="L96" s="357" t="s">
        <v>866</v>
      </c>
      <c r="M96" s="360" t="s">
        <v>893</v>
      </c>
      <c r="N96" s="203"/>
      <c r="O96" s="203"/>
      <c r="P96" s="203"/>
      <c r="Q96" s="203"/>
      <c r="R96" s="203"/>
      <c r="S96" s="203"/>
    </row>
    <row r="97">
      <c r="A97" s="356">
        <v>46246.0</v>
      </c>
      <c r="B97" s="357" t="s">
        <v>869</v>
      </c>
      <c r="C97" s="358">
        <v>1594.66</v>
      </c>
      <c r="D97" s="359">
        <v>5360.0</v>
      </c>
      <c r="E97" s="359">
        <v>5360.0</v>
      </c>
      <c r="F97" s="357" t="s">
        <v>697</v>
      </c>
      <c r="G97" s="357" t="s">
        <v>903</v>
      </c>
      <c r="H97" s="357" t="s">
        <v>782</v>
      </c>
      <c r="I97" s="357" t="s">
        <v>1034</v>
      </c>
      <c r="J97" s="357" t="s">
        <v>994</v>
      </c>
      <c r="K97" s="357" t="s">
        <v>1007</v>
      </c>
      <c r="L97" s="357" t="s">
        <v>866</v>
      </c>
      <c r="M97" s="360" t="s">
        <v>240</v>
      </c>
      <c r="N97" s="203"/>
      <c r="O97" s="203"/>
      <c r="P97" s="203"/>
      <c r="Q97" s="203"/>
      <c r="R97" s="203"/>
      <c r="S97" s="203"/>
    </row>
    <row r="98">
      <c r="A98" s="356">
        <v>46246.0</v>
      </c>
      <c r="B98" s="357" t="s">
        <v>869</v>
      </c>
      <c r="C98" s="358">
        <v>507.96</v>
      </c>
      <c r="D98" s="359">
        <v>6100.0</v>
      </c>
      <c r="E98" s="359">
        <v>5360.0</v>
      </c>
      <c r="F98" s="357" t="s">
        <v>697</v>
      </c>
      <c r="G98" s="357" t="s">
        <v>903</v>
      </c>
      <c r="H98" s="357" t="s">
        <v>782</v>
      </c>
      <c r="I98" s="357" t="s">
        <v>1035</v>
      </c>
      <c r="J98" s="357" t="s">
        <v>994</v>
      </c>
      <c r="K98" s="357" t="s">
        <v>1007</v>
      </c>
      <c r="L98" s="357" t="s">
        <v>866</v>
      </c>
      <c r="M98" s="360" t="s">
        <v>879</v>
      </c>
      <c r="N98" s="203"/>
      <c r="O98" s="203"/>
      <c r="P98" s="203"/>
      <c r="Q98" s="203"/>
      <c r="R98" s="203"/>
      <c r="S98" s="203"/>
    </row>
    <row r="99">
      <c r="A99" s="356">
        <v>46246.0</v>
      </c>
      <c r="B99" s="357" t="s">
        <v>1036</v>
      </c>
      <c r="C99" s="358">
        <v>1980.0</v>
      </c>
      <c r="D99" s="359">
        <v>7550.0</v>
      </c>
      <c r="E99" s="381" t="s">
        <v>893</v>
      </c>
      <c r="F99" s="357" t="s">
        <v>1037</v>
      </c>
      <c r="G99" s="357" t="s">
        <v>1038</v>
      </c>
      <c r="H99" s="357" t="s">
        <v>786</v>
      </c>
      <c r="I99" s="357" t="s">
        <v>1039</v>
      </c>
      <c r="J99" s="357" t="s">
        <v>1012</v>
      </c>
      <c r="K99" s="357" t="s">
        <v>1040</v>
      </c>
      <c r="L99" s="357" t="s">
        <v>1014</v>
      </c>
      <c r="M99" s="360" t="s">
        <v>893</v>
      </c>
      <c r="N99" s="203"/>
      <c r="O99" s="203"/>
      <c r="P99" s="203"/>
      <c r="Q99" s="203"/>
      <c r="R99" s="203"/>
      <c r="S99" s="203"/>
    </row>
    <row r="100">
      <c r="A100" s="356">
        <v>46245.0</v>
      </c>
      <c r="B100" s="357" t="s">
        <v>1008</v>
      </c>
      <c r="C100" s="358">
        <v>557.5</v>
      </c>
      <c r="D100" s="359">
        <v>5320.0</v>
      </c>
      <c r="E100" s="381" t="s">
        <v>893</v>
      </c>
      <c r="F100" s="357" t="s">
        <v>1009</v>
      </c>
      <c r="G100" s="357" t="s">
        <v>1010</v>
      </c>
      <c r="H100" s="357" t="s">
        <v>787</v>
      </c>
      <c r="I100" s="357" t="s">
        <v>1020</v>
      </c>
      <c r="J100" s="357" t="s">
        <v>1012</v>
      </c>
      <c r="K100" s="357" t="s">
        <v>1041</v>
      </c>
      <c r="L100" s="357" t="s">
        <v>1014</v>
      </c>
      <c r="M100" s="360" t="s">
        <v>893</v>
      </c>
      <c r="N100" s="203"/>
      <c r="O100" s="203"/>
      <c r="P100" s="203"/>
      <c r="Q100" s="203"/>
      <c r="R100" s="203"/>
      <c r="S100" s="203"/>
    </row>
    <row r="101">
      <c r="A101" s="356">
        <v>46244.0</v>
      </c>
      <c r="B101" s="357" t="s">
        <v>1008</v>
      </c>
      <c r="C101" s="358">
        <v>467.62</v>
      </c>
      <c r="D101" s="359">
        <v>5320.0</v>
      </c>
      <c r="E101" s="381" t="s">
        <v>893</v>
      </c>
      <c r="F101" s="357" t="s">
        <v>1009</v>
      </c>
      <c r="G101" s="357" t="s">
        <v>1010</v>
      </c>
      <c r="H101" s="357" t="s">
        <v>787</v>
      </c>
      <c r="I101" s="357" t="s">
        <v>1020</v>
      </c>
      <c r="J101" s="357" t="s">
        <v>1012</v>
      </c>
      <c r="K101" s="357" t="s">
        <v>1042</v>
      </c>
      <c r="L101" s="357" t="s">
        <v>1014</v>
      </c>
      <c r="M101" s="360" t="s">
        <v>893</v>
      </c>
      <c r="N101" s="203"/>
      <c r="O101" s="203"/>
      <c r="P101" s="203"/>
      <c r="Q101" s="203"/>
      <c r="R101" s="203"/>
      <c r="S101" s="203"/>
    </row>
    <row r="102">
      <c r="A102" s="356">
        <v>46244.0</v>
      </c>
      <c r="B102" s="357" t="s">
        <v>1008</v>
      </c>
      <c r="C102" s="358">
        <v>585.0</v>
      </c>
      <c r="D102" s="359">
        <v>5320.0</v>
      </c>
      <c r="E102" s="381" t="s">
        <v>893</v>
      </c>
      <c r="F102" s="357" t="s">
        <v>1009</v>
      </c>
      <c r="G102" s="357" t="s">
        <v>1010</v>
      </c>
      <c r="H102" s="357" t="s">
        <v>787</v>
      </c>
      <c r="I102" s="357" t="s">
        <v>1020</v>
      </c>
      <c r="J102" s="357" t="s">
        <v>1012</v>
      </c>
      <c r="K102" s="357" t="s">
        <v>1043</v>
      </c>
      <c r="L102" s="357" t="s">
        <v>1014</v>
      </c>
      <c r="M102" s="360" t="s">
        <v>893</v>
      </c>
      <c r="N102" s="203"/>
      <c r="O102" s="203"/>
      <c r="P102" s="203"/>
      <c r="Q102" s="203"/>
      <c r="R102" s="203"/>
      <c r="S102" s="203"/>
    </row>
    <row r="103">
      <c r="A103" s="356">
        <v>46242.0</v>
      </c>
      <c r="B103" s="357" t="s">
        <v>869</v>
      </c>
      <c r="C103" s="358">
        <v>500.78</v>
      </c>
      <c r="D103" s="359">
        <v>5360.0</v>
      </c>
      <c r="E103" s="381">
        <v>5360.0</v>
      </c>
      <c r="F103" s="357" t="s">
        <v>703</v>
      </c>
      <c r="G103" s="357" t="s">
        <v>917</v>
      </c>
      <c r="H103" s="357" t="s">
        <v>781</v>
      </c>
      <c r="I103" s="357" t="s">
        <v>1044</v>
      </c>
      <c r="J103" s="357" t="s">
        <v>994</v>
      </c>
      <c r="K103" s="357" t="s">
        <v>1007</v>
      </c>
      <c r="L103" s="357" t="s">
        <v>866</v>
      </c>
      <c r="M103" s="360" t="s">
        <v>240</v>
      </c>
      <c r="N103" s="203"/>
      <c r="O103" s="203"/>
      <c r="P103" s="203"/>
      <c r="Q103" s="203"/>
      <c r="R103" s="203"/>
      <c r="S103" s="203"/>
    </row>
    <row r="104">
      <c r="A104" s="356">
        <v>46241.0</v>
      </c>
      <c r="B104" s="357" t="s">
        <v>923</v>
      </c>
      <c r="C104" s="358">
        <v>92.94</v>
      </c>
      <c r="D104" s="359">
        <v>5050.0</v>
      </c>
      <c r="E104" s="381">
        <v>5360.0</v>
      </c>
      <c r="F104" s="357" t="s">
        <v>706</v>
      </c>
      <c r="G104" s="357" t="s">
        <v>901</v>
      </c>
      <c r="H104" s="357" t="s">
        <v>784</v>
      </c>
      <c r="I104" s="357" t="s">
        <v>1045</v>
      </c>
      <c r="J104" s="357" t="s">
        <v>994</v>
      </c>
      <c r="K104" s="357" t="s">
        <v>1007</v>
      </c>
      <c r="L104" s="357" t="s">
        <v>866</v>
      </c>
      <c r="M104" s="360" t="s">
        <v>879</v>
      </c>
      <c r="N104" s="203"/>
      <c r="O104" s="203"/>
      <c r="P104" s="203"/>
      <c r="Q104" s="203"/>
      <c r="R104" s="203"/>
      <c r="S104" s="203"/>
    </row>
    <row r="105">
      <c r="A105" s="356">
        <v>46241.0</v>
      </c>
      <c r="B105" s="357" t="s">
        <v>881</v>
      </c>
      <c r="C105" s="358">
        <v>976.8</v>
      </c>
      <c r="D105" s="359">
        <v>5360.0</v>
      </c>
      <c r="E105" s="381">
        <v>5360.0</v>
      </c>
      <c r="F105" s="357" t="s">
        <v>703</v>
      </c>
      <c r="G105" s="357" t="s">
        <v>917</v>
      </c>
      <c r="H105" s="357" t="s">
        <v>781</v>
      </c>
      <c r="I105" s="357" t="s">
        <v>1046</v>
      </c>
      <c r="J105" s="357" t="s">
        <v>994</v>
      </c>
      <c r="K105" s="357" t="s">
        <v>1007</v>
      </c>
      <c r="L105" s="357" t="s">
        <v>866</v>
      </c>
      <c r="M105" s="360" t="s">
        <v>240</v>
      </c>
      <c r="N105" s="203"/>
      <c r="O105" s="203"/>
      <c r="P105" s="203"/>
      <c r="Q105" s="203"/>
      <c r="R105" s="203"/>
      <c r="S105" s="203"/>
    </row>
    <row r="106">
      <c r="A106" s="356">
        <v>46241.0</v>
      </c>
      <c r="B106" s="357" t="s">
        <v>861</v>
      </c>
      <c r="C106" s="358">
        <v>74.82</v>
      </c>
      <c r="D106" s="359">
        <v>5360.0</v>
      </c>
      <c r="E106" s="359">
        <v>5360.0</v>
      </c>
      <c r="F106" s="357" t="s">
        <v>706</v>
      </c>
      <c r="G106" s="357" t="s">
        <v>901</v>
      </c>
      <c r="H106" s="357" t="s">
        <v>783</v>
      </c>
      <c r="I106" s="357" t="s">
        <v>1047</v>
      </c>
      <c r="J106" s="357" t="s">
        <v>994</v>
      </c>
      <c r="K106" s="357" t="s">
        <v>1007</v>
      </c>
      <c r="L106" s="357" t="s">
        <v>866</v>
      </c>
      <c r="M106" s="360" t="s">
        <v>240</v>
      </c>
      <c r="N106" s="203"/>
      <c r="O106" s="203"/>
      <c r="P106" s="203"/>
      <c r="Q106" s="203"/>
      <c r="R106" s="203"/>
      <c r="S106" s="203"/>
    </row>
    <row r="107">
      <c r="A107" s="356">
        <v>46241.0</v>
      </c>
      <c r="B107" s="357" t="s">
        <v>861</v>
      </c>
      <c r="C107" s="358">
        <v>305.92</v>
      </c>
      <c r="D107" s="359">
        <v>5050.0</v>
      </c>
      <c r="E107" s="359">
        <v>5360.0</v>
      </c>
      <c r="F107" s="357" t="s">
        <v>706</v>
      </c>
      <c r="G107" s="357" t="s">
        <v>901</v>
      </c>
      <c r="H107" s="357" t="s">
        <v>783</v>
      </c>
      <c r="I107" s="357" t="s">
        <v>1048</v>
      </c>
      <c r="J107" s="357" t="s">
        <v>994</v>
      </c>
      <c r="K107" s="357" t="s">
        <v>1007</v>
      </c>
      <c r="L107" s="357" t="s">
        <v>866</v>
      </c>
      <c r="M107" s="360" t="s">
        <v>879</v>
      </c>
      <c r="N107" s="203"/>
      <c r="O107" s="203"/>
      <c r="P107" s="203"/>
      <c r="Q107" s="203"/>
      <c r="R107" s="203"/>
      <c r="S107" s="203"/>
    </row>
    <row r="108">
      <c r="A108" s="356">
        <v>46240.0</v>
      </c>
      <c r="B108" s="357" t="s">
        <v>998</v>
      </c>
      <c r="C108" s="358">
        <v>666.92</v>
      </c>
      <c r="D108" s="359">
        <v>6100.0</v>
      </c>
      <c r="E108" s="359">
        <v>5360.0</v>
      </c>
      <c r="F108" s="357" t="s">
        <v>697</v>
      </c>
      <c r="G108" s="357" t="s">
        <v>903</v>
      </c>
      <c r="H108" s="357" t="s">
        <v>781</v>
      </c>
      <c r="I108" s="357" t="s">
        <v>1049</v>
      </c>
      <c r="J108" s="357" t="s">
        <v>878</v>
      </c>
      <c r="K108" s="357" t="s">
        <v>1007</v>
      </c>
      <c r="L108" s="357" t="s">
        <v>866</v>
      </c>
      <c r="M108" s="360" t="s">
        <v>879</v>
      </c>
      <c r="N108" s="203"/>
      <c r="O108" s="203"/>
      <c r="P108" s="203"/>
      <c r="Q108" s="203"/>
      <c r="R108" s="203"/>
      <c r="S108" s="203"/>
    </row>
    <row r="109">
      <c r="A109" s="356">
        <v>46240.0</v>
      </c>
      <c r="B109" s="357" t="s">
        <v>869</v>
      </c>
      <c r="C109" s="358">
        <v>712.25</v>
      </c>
      <c r="D109" s="359">
        <v>5360.0</v>
      </c>
      <c r="E109" s="359">
        <v>5360.0</v>
      </c>
      <c r="F109" s="357" t="s">
        <v>697</v>
      </c>
      <c r="G109" s="357" t="s">
        <v>903</v>
      </c>
      <c r="H109" s="357" t="s">
        <v>781</v>
      </c>
      <c r="I109" s="357" t="s">
        <v>1049</v>
      </c>
      <c r="J109" s="357" t="s">
        <v>878</v>
      </c>
      <c r="K109" s="357" t="s">
        <v>1007</v>
      </c>
      <c r="L109" s="357" t="s">
        <v>866</v>
      </c>
      <c r="M109" s="360" t="s">
        <v>240</v>
      </c>
      <c r="N109" s="203"/>
      <c r="O109" s="203"/>
      <c r="P109" s="203"/>
      <c r="Q109" s="203"/>
      <c r="R109" s="203"/>
      <c r="S109" s="203"/>
    </row>
    <row r="110">
      <c r="A110" s="356">
        <v>46240.0</v>
      </c>
      <c r="B110" s="357" t="s">
        <v>1050</v>
      </c>
      <c r="C110" s="358">
        <v>95.61</v>
      </c>
      <c r="D110" s="359">
        <v>5060.0</v>
      </c>
      <c r="E110" s="359">
        <v>5370.0</v>
      </c>
      <c r="F110" s="357" t="s">
        <v>706</v>
      </c>
      <c r="G110" s="357" t="s">
        <v>901</v>
      </c>
      <c r="H110" s="357" t="s">
        <v>785</v>
      </c>
      <c r="I110" s="357" t="s">
        <v>1051</v>
      </c>
      <c r="J110" s="357" t="s">
        <v>994</v>
      </c>
      <c r="K110" s="357" t="s">
        <v>1007</v>
      </c>
      <c r="L110" s="357" t="s">
        <v>866</v>
      </c>
      <c r="M110" s="360" t="s">
        <v>879</v>
      </c>
      <c r="N110" s="203"/>
      <c r="O110" s="203"/>
      <c r="P110" s="203"/>
      <c r="Q110" s="203"/>
      <c r="R110" s="203"/>
      <c r="S110" s="203"/>
    </row>
    <row r="111">
      <c r="A111" s="356">
        <v>46240.0</v>
      </c>
      <c r="B111" s="357" t="s">
        <v>1052</v>
      </c>
      <c r="C111" s="358">
        <v>55.39</v>
      </c>
      <c r="D111" s="359">
        <v>5050.0</v>
      </c>
      <c r="E111" s="359">
        <v>5360.0</v>
      </c>
      <c r="F111" s="357" t="s">
        <v>706</v>
      </c>
      <c r="G111" s="357" t="s">
        <v>901</v>
      </c>
      <c r="H111" s="357" t="s">
        <v>784</v>
      </c>
      <c r="I111" s="357" t="s">
        <v>1053</v>
      </c>
      <c r="J111" s="357" t="s">
        <v>994</v>
      </c>
      <c r="K111" s="357" t="s">
        <v>1007</v>
      </c>
      <c r="L111" s="357" t="s">
        <v>866</v>
      </c>
      <c r="M111" s="360" t="s">
        <v>879</v>
      </c>
      <c r="N111" s="203"/>
      <c r="O111" s="203"/>
      <c r="P111" s="203"/>
      <c r="Q111" s="203"/>
      <c r="R111" s="203"/>
      <c r="S111" s="203"/>
    </row>
    <row r="112">
      <c r="A112" s="356">
        <v>46240.0</v>
      </c>
      <c r="B112" s="357" t="s">
        <v>1054</v>
      </c>
      <c r="C112" s="358">
        <v>631.99</v>
      </c>
      <c r="D112" s="359">
        <v>5050.0</v>
      </c>
      <c r="E112" s="359">
        <v>5360.0</v>
      </c>
      <c r="F112" s="357" t="s">
        <v>706</v>
      </c>
      <c r="G112" s="357" t="s">
        <v>901</v>
      </c>
      <c r="H112" s="357" t="s">
        <v>782</v>
      </c>
      <c r="I112" s="357" t="s">
        <v>1055</v>
      </c>
      <c r="J112" s="357" t="s">
        <v>994</v>
      </c>
      <c r="K112" s="357" t="s">
        <v>1007</v>
      </c>
      <c r="L112" s="357" t="s">
        <v>866</v>
      </c>
      <c r="M112" s="360" t="s">
        <v>879</v>
      </c>
      <c r="N112" s="203"/>
      <c r="O112" s="203"/>
      <c r="P112" s="203"/>
      <c r="Q112" s="203"/>
      <c r="R112" s="203"/>
      <c r="S112" s="203"/>
    </row>
    <row r="113">
      <c r="A113" s="356">
        <v>46240.0</v>
      </c>
      <c r="B113" s="357" t="s">
        <v>1016</v>
      </c>
      <c r="C113" s="358">
        <v>243.6</v>
      </c>
      <c r="D113" s="359">
        <v>5360.0</v>
      </c>
      <c r="E113" s="381" t="s">
        <v>893</v>
      </c>
      <c r="F113" s="357" t="s">
        <v>1017</v>
      </c>
      <c r="G113" s="357" t="s">
        <v>1018</v>
      </c>
      <c r="H113" s="357" t="s">
        <v>788</v>
      </c>
      <c r="I113" s="357"/>
      <c r="J113" s="357" t="s">
        <v>1012</v>
      </c>
      <c r="K113" s="357" t="s">
        <v>1056</v>
      </c>
      <c r="L113" s="357" t="s">
        <v>1014</v>
      </c>
      <c r="M113" s="360" t="s">
        <v>893</v>
      </c>
      <c r="N113" s="203"/>
      <c r="O113" s="203"/>
      <c r="P113" s="203"/>
      <c r="Q113" s="203"/>
      <c r="R113" s="203"/>
      <c r="S113" s="203"/>
    </row>
    <row r="114">
      <c r="A114" s="356">
        <v>46239.0</v>
      </c>
      <c r="B114" s="357" t="s">
        <v>1054</v>
      </c>
      <c r="C114" s="358">
        <v>6.0</v>
      </c>
      <c r="D114" s="359">
        <v>5360.0</v>
      </c>
      <c r="E114" s="359">
        <v>5360.0</v>
      </c>
      <c r="F114" s="357" t="s">
        <v>706</v>
      </c>
      <c r="G114" s="357" t="s">
        <v>901</v>
      </c>
      <c r="H114" s="357" t="s">
        <v>782</v>
      </c>
      <c r="I114" s="357" t="s">
        <v>1055</v>
      </c>
      <c r="J114" s="357" t="s">
        <v>994</v>
      </c>
      <c r="K114" s="357" t="s">
        <v>1007</v>
      </c>
      <c r="L114" s="357" t="s">
        <v>866</v>
      </c>
      <c r="M114" s="360" t="s">
        <v>240</v>
      </c>
      <c r="N114" s="203"/>
      <c r="O114" s="203"/>
      <c r="P114" s="203"/>
      <c r="Q114" s="203"/>
      <c r="R114" s="203"/>
      <c r="S114" s="203"/>
    </row>
    <row r="115">
      <c r="A115" s="356">
        <v>46239.0</v>
      </c>
      <c r="B115" s="357" t="s">
        <v>869</v>
      </c>
      <c r="C115" s="358">
        <v>558.08</v>
      </c>
      <c r="D115" s="359">
        <v>5360.0</v>
      </c>
      <c r="E115" s="359">
        <v>5360.0</v>
      </c>
      <c r="F115" s="357" t="s">
        <v>697</v>
      </c>
      <c r="G115" s="357" t="s">
        <v>903</v>
      </c>
      <c r="H115" s="357" t="s">
        <v>781</v>
      </c>
      <c r="I115" s="357" t="s">
        <v>1057</v>
      </c>
      <c r="J115" s="357" t="s">
        <v>878</v>
      </c>
      <c r="K115" s="357" t="s">
        <v>1007</v>
      </c>
      <c r="L115" s="357" t="s">
        <v>866</v>
      </c>
      <c r="M115" s="360" t="s">
        <v>240</v>
      </c>
      <c r="N115" s="203"/>
      <c r="O115" s="203"/>
      <c r="P115" s="203"/>
      <c r="Q115" s="203"/>
      <c r="R115" s="203"/>
      <c r="S115" s="203"/>
    </row>
    <row r="116">
      <c r="A116" s="356">
        <v>46239.0</v>
      </c>
      <c r="B116" s="357" t="s">
        <v>1058</v>
      </c>
      <c r="C116" s="358">
        <v>203.28</v>
      </c>
      <c r="D116" s="359">
        <v>8300.0</v>
      </c>
      <c r="E116" s="381">
        <v>5320.0</v>
      </c>
      <c r="F116" s="357" t="s">
        <v>706</v>
      </c>
      <c r="G116" s="357" t="s">
        <v>901</v>
      </c>
      <c r="H116" s="357" t="s">
        <v>1059</v>
      </c>
      <c r="I116" s="357" t="s">
        <v>1060</v>
      </c>
      <c r="J116" s="357" t="s">
        <v>994</v>
      </c>
      <c r="K116" s="357" t="s">
        <v>1007</v>
      </c>
      <c r="L116" s="357" t="s">
        <v>866</v>
      </c>
      <c r="M116" s="360" t="s">
        <v>879</v>
      </c>
      <c r="N116" s="203"/>
      <c r="O116" s="203"/>
      <c r="P116" s="203"/>
      <c r="Q116" s="203"/>
      <c r="R116" s="203"/>
      <c r="S116" s="203"/>
    </row>
    <row r="117">
      <c r="A117" s="356">
        <v>46238.0</v>
      </c>
      <c r="B117" s="357" t="s">
        <v>881</v>
      </c>
      <c r="C117" s="358">
        <v>358.4</v>
      </c>
      <c r="D117" s="359">
        <v>5360.0</v>
      </c>
      <c r="E117" s="359">
        <v>5360.0</v>
      </c>
      <c r="F117" s="357" t="s">
        <v>697</v>
      </c>
      <c r="G117" s="357" t="s">
        <v>903</v>
      </c>
      <c r="H117" s="357" t="s">
        <v>781</v>
      </c>
      <c r="I117" s="357" t="s">
        <v>1061</v>
      </c>
      <c r="J117" s="357" t="s">
        <v>994</v>
      </c>
      <c r="K117" s="357" t="s">
        <v>1007</v>
      </c>
      <c r="L117" s="357" t="s">
        <v>866</v>
      </c>
      <c r="M117" s="360" t="s">
        <v>240</v>
      </c>
      <c r="N117" s="203"/>
      <c r="O117" s="203"/>
      <c r="P117" s="203"/>
      <c r="Q117" s="203"/>
      <c r="R117" s="203"/>
      <c r="S117" s="203"/>
    </row>
    <row r="118">
      <c r="A118" s="356">
        <v>46238.0</v>
      </c>
      <c r="B118" s="357" t="s">
        <v>881</v>
      </c>
      <c r="C118" s="358">
        <v>308.4</v>
      </c>
      <c r="D118" s="359">
        <v>5360.0</v>
      </c>
      <c r="E118" s="359">
        <v>5360.0</v>
      </c>
      <c r="F118" s="357" t="s">
        <v>697</v>
      </c>
      <c r="G118" s="357" t="s">
        <v>903</v>
      </c>
      <c r="H118" s="357" t="s">
        <v>781</v>
      </c>
      <c r="I118" s="357" t="s">
        <v>1061</v>
      </c>
      <c r="J118" s="357" t="s">
        <v>994</v>
      </c>
      <c r="K118" s="357" t="s">
        <v>1007</v>
      </c>
      <c r="L118" s="357" t="s">
        <v>866</v>
      </c>
      <c r="M118" s="360" t="s">
        <v>240</v>
      </c>
      <c r="N118" s="203"/>
      <c r="O118" s="203"/>
      <c r="P118" s="203"/>
      <c r="Q118" s="203"/>
      <c r="R118" s="203"/>
      <c r="S118" s="203"/>
    </row>
    <row r="119">
      <c r="A119" s="356">
        <v>46238.0</v>
      </c>
      <c r="B119" s="357" t="s">
        <v>1062</v>
      </c>
      <c r="C119" s="358">
        <v>67.26</v>
      </c>
      <c r="D119" s="359">
        <v>7550.0</v>
      </c>
      <c r="E119" s="359">
        <v>5330.0</v>
      </c>
      <c r="F119" s="357" t="s">
        <v>706</v>
      </c>
      <c r="G119" s="357" t="s">
        <v>901</v>
      </c>
      <c r="H119" s="357" t="s">
        <v>786</v>
      </c>
      <c r="I119" s="357" t="s">
        <v>1063</v>
      </c>
      <c r="J119" s="357" t="s">
        <v>994</v>
      </c>
      <c r="K119" s="357" t="s">
        <v>1007</v>
      </c>
      <c r="L119" s="357" t="s">
        <v>866</v>
      </c>
      <c r="M119" s="360" t="s">
        <v>879</v>
      </c>
      <c r="N119" s="203"/>
      <c r="O119" s="203"/>
      <c r="P119" s="203"/>
      <c r="Q119" s="203"/>
      <c r="R119" s="203"/>
      <c r="S119" s="203"/>
    </row>
    <row r="120">
      <c r="A120" s="356">
        <v>46238.0</v>
      </c>
      <c r="B120" s="357" t="s">
        <v>1064</v>
      </c>
      <c r="C120" s="358">
        <v>62.79</v>
      </c>
      <c r="D120" s="359">
        <v>5060.0</v>
      </c>
      <c r="E120" s="359">
        <v>5370.0</v>
      </c>
      <c r="F120" s="357" t="s">
        <v>706</v>
      </c>
      <c r="G120" s="357" t="s">
        <v>901</v>
      </c>
      <c r="H120" s="357" t="s">
        <v>785</v>
      </c>
      <c r="I120" s="357" t="s">
        <v>1065</v>
      </c>
      <c r="J120" s="357" t="s">
        <v>994</v>
      </c>
      <c r="K120" s="357" t="s">
        <v>1007</v>
      </c>
      <c r="L120" s="357" t="s">
        <v>866</v>
      </c>
      <c r="M120" s="360" t="s">
        <v>879</v>
      </c>
      <c r="N120" s="203"/>
      <c r="O120" s="203"/>
      <c r="P120" s="203"/>
      <c r="Q120" s="203"/>
      <c r="R120" s="203"/>
      <c r="S120" s="203"/>
    </row>
    <row r="121">
      <c r="A121" s="356">
        <v>46237.0</v>
      </c>
      <c r="B121" s="357" t="s">
        <v>923</v>
      </c>
      <c r="C121" s="358">
        <v>44.96</v>
      </c>
      <c r="D121" s="359">
        <v>5050.0</v>
      </c>
      <c r="E121" s="359">
        <v>5360.0</v>
      </c>
      <c r="F121" s="357" t="s">
        <v>706</v>
      </c>
      <c r="G121" s="357" t="s">
        <v>901</v>
      </c>
      <c r="H121" s="357" t="s">
        <v>784</v>
      </c>
      <c r="I121" s="357" t="s">
        <v>1045</v>
      </c>
      <c r="J121" s="357" t="s">
        <v>994</v>
      </c>
      <c r="K121" s="357" t="s">
        <v>1007</v>
      </c>
      <c r="L121" s="357" t="s">
        <v>866</v>
      </c>
      <c r="M121" s="360" t="s">
        <v>879</v>
      </c>
      <c r="N121" s="203"/>
      <c r="O121" s="203"/>
      <c r="P121" s="203"/>
      <c r="Q121" s="203"/>
      <c r="R121" s="203"/>
      <c r="S121" s="203"/>
    </row>
    <row r="122">
      <c r="A122" s="356">
        <v>46236.0</v>
      </c>
      <c r="B122" s="357" t="s">
        <v>961</v>
      </c>
      <c r="C122" s="358">
        <v>159.9</v>
      </c>
      <c r="D122" s="359">
        <v>5330.0</v>
      </c>
      <c r="E122" s="359">
        <v>5330.0</v>
      </c>
      <c r="F122" s="357" t="s">
        <v>711</v>
      </c>
      <c r="G122" s="357" t="s">
        <v>933</v>
      </c>
      <c r="H122" s="357" t="s">
        <v>786</v>
      </c>
      <c r="I122" s="357" t="s">
        <v>1066</v>
      </c>
      <c r="J122" s="357" t="s">
        <v>864</v>
      </c>
      <c r="K122" s="357" t="s">
        <v>1007</v>
      </c>
      <c r="L122" s="357" t="s">
        <v>866</v>
      </c>
      <c r="M122" s="360" t="s">
        <v>240</v>
      </c>
      <c r="N122" s="203"/>
      <c r="O122" s="203"/>
      <c r="P122" s="203"/>
      <c r="Q122" s="203"/>
      <c r="R122" s="203"/>
      <c r="S122" s="203"/>
    </row>
    <row r="123">
      <c r="A123" s="356">
        <v>46234.0</v>
      </c>
      <c r="B123" s="357" t="s">
        <v>869</v>
      </c>
      <c r="C123" s="358">
        <v>124.24</v>
      </c>
      <c r="D123" s="359">
        <v>5050.0</v>
      </c>
      <c r="E123" s="359">
        <v>5360.0</v>
      </c>
      <c r="F123" s="357" t="s">
        <v>703</v>
      </c>
      <c r="G123" s="357" t="s">
        <v>917</v>
      </c>
      <c r="H123" s="357" t="s">
        <v>782</v>
      </c>
      <c r="I123" s="357" t="s">
        <v>1067</v>
      </c>
      <c r="J123" s="357" t="s">
        <v>994</v>
      </c>
      <c r="K123" s="357" t="s">
        <v>1007</v>
      </c>
      <c r="L123" s="357" t="s">
        <v>866</v>
      </c>
      <c r="M123" s="360" t="s">
        <v>879</v>
      </c>
      <c r="N123" s="203"/>
      <c r="O123" s="203"/>
      <c r="P123" s="203"/>
      <c r="Q123" s="203"/>
      <c r="R123" s="203"/>
      <c r="S123" s="203"/>
    </row>
    <row r="124">
      <c r="A124" s="356">
        <v>46233.0</v>
      </c>
      <c r="B124" s="357" t="s">
        <v>1068</v>
      </c>
      <c r="C124" s="358">
        <v>61.92</v>
      </c>
      <c r="D124" s="359">
        <v>5320.0</v>
      </c>
      <c r="E124" s="359">
        <v>5320.0</v>
      </c>
      <c r="F124" s="357" t="s">
        <v>717</v>
      </c>
      <c r="G124" s="357" t="s">
        <v>943</v>
      </c>
      <c r="H124" s="357" t="s">
        <v>787</v>
      </c>
      <c r="I124" s="357" t="s">
        <v>1069</v>
      </c>
      <c r="J124" s="357" t="s">
        <v>1012</v>
      </c>
      <c r="K124" s="357" t="s">
        <v>1070</v>
      </c>
      <c r="L124" s="357" t="s">
        <v>1014</v>
      </c>
      <c r="M124" s="360" t="s">
        <v>240</v>
      </c>
      <c r="N124" s="203"/>
      <c r="O124" s="203"/>
      <c r="P124" s="203"/>
      <c r="Q124" s="203"/>
      <c r="R124" s="203"/>
      <c r="S124" s="203"/>
    </row>
    <row r="125">
      <c r="A125" s="356">
        <v>46233.0</v>
      </c>
      <c r="B125" s="357" t="s">
        <v>1016</v>
      </c>
      <c r="C125" s="358">
        <v>373.54</v>
      </c>
      <c r="D125" s="359">
        <v>6100.0</v>
      </c>
      <c r="E125" s="381" t="s">
        <v>893</v>
      </c>
      <c r="F125" s="357" t="s">
        <v>1017</v>
      </c>
      <c r="G125" s="357" t="s">
        <v>1018</v>
      </c>
      <c r="H125" s="357" t="s">
        <v>788</v>
      </c>
      <c r="I125" s="357"/>
      <c r="J125" s="357" t="s">
        <v>1012</v>
      </c>
      <c r="K125" s="357" t="s">
        <v>1071</v>
      </c>
      <c r="L125" s="357" t="s">
        <v>1014</v>
      </c>
      <c r="M125" s="360" t="s">
        <v>893</v>
      </c>
      <c r="N125" s="203"/>
      <c r="O125" s="203"/>
      <c r="P125" s="203"/>
      <c r="Q125" s="203"/>
      <c r="R125" s="203"/>
      <c r="S125" s="203"/>
    </row>
    <row r="126">
      <c r="A126" s="356">
        <v>46233.0</v>
      </c>
      <c r="B126" s="357" t="s">
        <v>1016</v>
      </c>
      <c r="C126" s="358">
        <v>3039.82</v>
      </c>
      <c r="D126" s="359">
        <v>6100.0</v>
      </c>
      <c r="E126" s="381" t="s">
        <v>893</v>
      </c>
      <c r="F126" s="357" t="s">
        <v>1017</v>
      </c>
      <c r="G126" s="357" t="s">
        <v>1018</v>
      </c>
      <c r="H126" s="357" t="s">
        <v>788</v>
      </c>
      <c r="I126" s="357"/>
      <c r="J126" s="357" t="s">
        <v>1012</v>
      </c>
      <c r="K126" s="357" t="s">
        <v>1072</v>
      </c>
      <c r="L126" s="357" t="s">
        <v>1014</v>
      </c>
      <c r="M126" s="360" t="s">
        <v>893</v>
      </c>
      <c r="N126" s="203"/>
      <c r="O126" s="203"/>
      <c r="P126" s="203"/>
      <c r="Q126" s="203"/>
      <c r="R126" s="203"/>
      <c r="S126" s="203"/>
    </row>
    <row r="127">
      <c r="A127" s="356">
        <v>46233.0</v>
      </c>
      <c r="B127" s="357" t="s">
        <v>1008</v>
      </c>
      <c r="C127" s="358">
        <v>3200.0</v>
      </c>
      <c r="D127" s="359">
        <v>5320.0</v>
      </c>
      <c r="E127" s="381" t="s">
        <v>893</v>
      </c>
      <c r="F127" s="357" t="s">
        <v>1009</v>
      </c>
      <c r="G127" s="357" t="s">
        <v>1010</v>
      </c>
      <c r="H127" s="357" t="s">
        <v>787</v>
      </c>
      <c r="I127" s="357" t="s">
        <v>1020</v>
      </c>
      <c r="J127" s="357" t="s">
        <v>1012</v>
      </c>
      <c r="K127" s="357" t="s">
        <v>1073</v>
      </c>
      <c r="L127" s="357" t="s">
        <v>1014</v>
      </c>
      <c r="M127" s="360" t="s">
        <v>893</v>
      </c>
      <c r="N127" s="203"/>
      <c r="O127" s="203"/>
      <c r="P127" s="203"/>
      <c r="Q127" s="203"/>
      <c r="R127" s="203"/>
      <c r="S127" s="203"/>
    </row>
    <row r="128">
      <c r="A128" s="356">
        <v>46232.0</v>
      </c>
      <c r="B128" s="357" t="s">
        <v>1068</v>
      </c>
      <c r="C128" s="358">
        <v>20.64</v>
      </c>
      <c r="D128" s="359">
        <v>5320.0</v>
      </c>
      <c r="E128" s="381">
        <v>5320.0</v>
      </c>
      <c r="F128" s="357" t="s">
        <v>401</v>
      </c>
      <c r="G128" s="357" t="s">
        <v>947</v>
      </c>
      <c r="H128" s="357" t="s">
        <v>787</v>
      </c>
      <c r="I128" s="357" t="s">
        <v>1074</v>
      </c>
      <c r="J128" s="357" t="s">
        <v>1012</v>
      </c>
      <c r="K128" s="357" t="s">
        <v>1070</v>
      </c>
      <c r="L128" s="357" t="s">
        <v>1014</v>
      </c>
      <c r="M128" s="360" t="s">
        <v>240</v>
      </c>
      <c r="N128" s="203"/>
      <c r="O128" s="203"/>
      <c r="P128" s="203"/>
      <c r="Q128" s="203"/>
      <c r="R128" s="203"/>
      <c r="S128" s="203"/>
    </row>
    <row r="129">
      <c r="A129" s="356">
        <v>46232.0</v>
      </c>
      <c r="B129" s="357" t="s">
        <v>961</v>
      </c>
      <c r="C129" s="358">
        <v>359.1</v>
      </c>
      <c r="D129" s="359">
        <v>5330.0</v>
      </c>
      <c r="E129" s="381">
        <v>5330.0</v>
      </c>
      <c r="F129" s="357" t="s">
        <v>711</v>
      </c>
      <c r="G129" s="357" t="s">
        <v>933</v>
      </c>
      <c r="H129" s="357" t="s">
        <v>786</v>
      </c>
      <c r="I129" s="357" t="s">
        <v>1075</v>
      </c>
      <c r="J129" s="357" t="s">
        <v>1012</v>
      </c>
      <c r="K129" s="357" t="s">
        <v>1070</v>
      </c>
      <c r="L129" s="357" t="s">
        <v>1014</v>
      </c>
      <c r="M129" s="360" t="s">
        <v>240</v>
      </c>
      <c r="N129" s="203"/>
      <c r="O129" s="203"/>
      <c r="P129" s="203"/>
      <c r="Q129" s="203"/>
      <c r="R129" s="203"/>
      <c r="S129" s="203"/>
    </row>
    <row r="130">
      <c r="A130" s="356">
        <v>46232.0</v>
      </c>
      <c r="B130" s="357" t="s">
        <v>1076</v>
      </c>
      <c r="C130" s="358">
        <v>540.71</v>
      </c>
      <c r="D130" s="359">
        <v>5320.0</v>
      </c>
      <c r="E130" s="381">
        <v>5320.0</v>
      </c>
      <c r="F130" s="357" t="s">
        <v>717</v>
      </c>
      <c r="G130" s="357" t="s">
        <v>943</v>
      </c>
      <c r="H130" s="357" t="s">
        <v>787</v>
      </c>
      <c r="I130" s="357" t="s">
        <v>1077</v>
      </c>
      <c r="J130" s="357" t="s">
        <v>1012</v>
      </c>
      <c r="K130" s="357" t="s">
        <v>1070</v>
      </c>
      <c r="L130" s="357" t="s">
        <v>1014</v>
      </c>
      <c r="M130" s="360" t="s">
        <v>240</v>
      </c>
      <c r="N130" s="203"/>
      <c r="O130" s="203"/>
      <c r="P130" s="203"/>
      <c r="Q130" s="203"/>
      <c r="R130" s="203"/>
      <c r="S130" s="203"/>
    </row>
    <row r="131">
      <c r="A131" s="356">
        <v>46232.0</v>
      </c>
      <c r="B131" s="357" t="s">
        <v>1076</v>
      </c>
      <c r="C131" s="358">
        <v>1906.35</v>
      </c>
      <c r="D131" s="359">
        <v>5320.0</v>
      </c>
      <c r="E131" s="359">
        <v>5320.0</v>
      </c>
      <c r="F131" s="357" t="s">
        <v>717</v>
      </c>
      <c r="G131" s="357" t="s">
        <v>943</v>
      </c>
      <c r="H131" s="357" t="s">
        <v>787</v>
      </c>
      <c r="I131" s="357" t="s">
        <v>1077</v>
      </c>
      <c r="J131" s="357" t="s">
        <v>1012</v>
      </c>
      <c r="K131" s="357" t="s">
        <v>1070</v>
      </c>
      <c r="L131" s="357" t="s">
        <v>1014</v>
      </c>
      <c r="M131" s="360" t="s">
        <v>240</v>
      </c>
      <c r="N131" s="203"/>
      <c r="O131" s="203"/>
      <c r="P131" s="203"/>
      <c r="Q131" s="203"/>
      <c r="R131" s="203"/>
      <c r="S131" s="203"/>
    </row>
    <row r="132">
      <c r="A132" s="356">
        <v>46232.0</v>
      </c>
      <c r="B132" s="357" t="s">
        <v>1068</v>
      </c>
      <c r="C132" s="358">
        <v>20.64</v>
      </c>
      <c r="D132" s="359">
        <v>5320.0</v>
      </c>
      <c r="E132" s="359">
        <v>5320.0</v>
      </c>
      <c r="F132" s="357" t="s">
        <v>717</v>
      </c>
      <c r="G132" s="357" t="s">
        <v>943</v>
      </c>
      <c r="H132" s="357" t="s">
        <v>787</v>
      </c>
      <c r="I132" s="357" t="s">
        <v>1069</v>
      </c>
      <c r="J132" s="357" t="s">
        <v>1012</v>
      </c>
      <c r="K132" s="357" t="s">
        <v>1070</v>
      </c>
      <c r="L132" s="357" t="s">
        <v>1014</v>
      </c>
      <c r="M132" s="360" t="s">
        <v>240</v>
      </c>
      <c r="N132" s="203"/>
      <c r="O132" s="203"/>
      <c r="P132" s="203"/>
      <c r="Q132" s="203"/>
      <c r="R132" s="203"/>
      <c r="S132" s="203"/>
    </row>
    <row r="133">
      <c r="A133" s="356">
        <v>46232.0</v>
      </c>
      <c r="B133" s="357" t="s">
        <v>961</v>
      </c>
      <c r="C133" s="358">
        <v>51.17</v>
      </c>
      <c r="D133" s="359">
        <v>5330.0</v>
      </c>
      <c r="E133" s="359">
        <v>5330.0</v>
      </c>
      <c r="F133" s="357" t="s">
        <v>711</v>
      </c>
      <c r="G133" s="357" t="s">
        <v>933</v>
      </c>
      <c r="H133" s="357" t="s">
        <v>786</v>
      </c>
      <c r="I133" s="357" t="s">
        <v>1078</v>
      </c>
      <c r="J133" s="357" t="s">
        <v>1012</v>
      </c>
      <c r="K133" s="357" t="s">
        <v>1070</v>
      </c>
      <c r="L133" s="357" t="s">
        <v>1014</v>
      </c>
      <c r="M133" s="360" t="s">
        <v>240</v>
      </c>
      <c r="N133" s="203"/>
      <c r="O133" s="203"/>
      <c r="P133" s="203"/>
      <c r="Q133" s="203"/>
      <c r="R133" s="203"/>
      <c r="S133" s="203"/>
    </row>
    <row r="134">
      <c r="A134" s="356">
        <v>46231.0</v>
      </c>
      <c r="B134" s="357" t="s">
        <v>881</v>
      </c>
      <c r="C134" s="358">
        <v>636.8</v>
      </c>
      <c r="D134" s="359">
        <v>6100.0</v>
      </c>
      <c r="E134" s="359">
        <v>5360.0</v>
      </c>
      <c r="F134" s="357" t="s">
        <v>706</v>
      </c>
      <c r="G134" s="357" t="s">
        <v>901</v>
      </c>
      <c r="H134" s="357" t="s">
        <v>781</v>
      </c>
      <c r="I134" s="357" t="s">
        <v>1079</v>
      </c>
      <c r="J134" s="357" t="s">
        <v>994</v>
      </c>
      <c r="K134" s="357" t="s">
        <v>1007</v>
      </c>
      <c r="L134" s="357" t="s">
        <v>866</v>
      </c>
      <c r="M134" s="360" t="s">
        <v>879</v>
      </c>
      <c r="N134" s="203"/>
      <c r="O134" s="203"/>
      <c r="P134" s="203"/>
      <c r="Q134" s="203"/>
      <c r="R134" s="203"/>
      <c r="S134" s="203"/>
    </row>
    <row r="135">
      <c r="A135" s="356">
        <v>46231.0</v>
      </c>
      <c r="B135" s="357" t="s">
        <v>1068</v>
      </c>
      <c r="C135" s="358">
        <v>20.64</v>
      </c>
      <c r="D135" s="359">
        <v>5320.0</v>
      </c>
      <c r="E135" s="359">
        <v>5320.0</v>
      </c>
      <c r="F135" s="357" t="s">
        <v>717</v>
      </c>
      <c r="G135" s="357" t="s">
        <v>943</v>
      </c>
      <c r="H135" s="357" t="s">
        <v>787</v>
      </c>
      <c r="I135" s="357" t="s">
        <v>1069</v>
      </c>
      <c r="J135" s="357" t="s">
        <v>1012</v>
      </c>
      <c r="K135" s="357" t="s">
        <v>1070</v>
      </c>
      <c r="L135" s="357" t="s">
        <v>1014</v>
      </c>
      <c r="M135" s="360" t="s">
        <v>240</v>
      </c>
      <c r="N135" s="203"/>
      <c r="O135" s="203"/>
      <c r="P135" s="203"/>
      <c r="Q135" s="203"/>
      <c r="R135" s="203"/>
      <c r="S135" s="203"/>
    </row>
    <row r="136">
      <c r="A136" s="356">
        <v>46231.0</v>
      </c>
      <c r="B136" s="357" t="s">
        <v>1068</v>
      </c>
      <c r="C136" s="358">
        <v>20.64</v>
      </c>
      <c r="D136" s="359">
        <v>5320.0</v>
      </c>
      <c r="E136" s="359">
        <v>5320.0</v>
      </c>
      <c r="F136" s="357" t="s">
        <v>717</v>
      </c>
      <c r="G136" s="357" t="s">
        <v>943</v>
      </c>
      <c r="H136" s="357" t="s">
        <v>787</v>
      </c>
      <c r="I136" s="357" t="s">
        <v>1069</v>
      </c>
      <c r="J136" s="357" t="s">
        <v>1012</v>
      </c>
      <c r="K136" s="357" t="s">
        <v>1070</v>
      </c>
      <c r="L136" s="357" t="s">
        <v>1014</v>
      </c>
      <c r="M136" s="360" t="s">
        <v>240</v>
      </c>
      <c r="N136" s="203"/>
      <c r="O136" s="203"/>
      <c r="P136" s="203"/>
      <c r="Q136" s="203"/>
      <c r="R136" s="203"/>
      <c r="S136" s="203"/>
    </row>
    <row r="137">
      <c r="A137" s="356">
        <v>46231.0</v>
      </c>
      <c r="B137" s="357" t="s">
        <v>1008</v>
      </c>
      <c r="C137" s="358">
        <v>3200.0</v>
      </c>
      <c r="D137" s="359">
        <v>5320.0</v>
      </c>
      <c r="E137" s="381" t="s">
        <v>893</v>
      </c>
      <c r="F137" s="357" t="s">
        <v>1009</v>
      </c>
      <c r="G137" s="357" t="s">
        <v>1010</v>
      </c>
      <c r="H137" s="357" t="s">
        <v>787</v>
      </c>
      <c r="I137" s="357" t="s">
        <v>1020</v>
      </c>
      <c r="J137" s="357" t="s">
        <v>1012</v>
      </c>
      <c r="K137" s="357" t="s">
        <v>1080</v>
      </c>
      <c r="L137" s="357" t="s">
        <v>1014</v>
      </c>
      <c r="M137" s="360" t="s">
        <v>893</v>
      </c>
      <c r="N137" s="203"/>
      <c r="O137" s="203"/>
      <c r="P137" s="203"/>
      <c r="Q137" s="203"/>
      <c r="R137" s="203"/>
      <c r="S137" s="203"/>
    </row>
    <row r="138">
      <c r="A138" s="356">
        <v>46231.0</v>
      </c>
      <c r="B138" s="357" t="s">
        <v>1008</v>
      </c>
      <c r="C138" s="358">
        <v>3700.0</v>
      </c>
      <c r="D138" s="359">
        <v>5320.0</v>
      </c>
      <c r="E138" s="359">
        <v>5320.0</v>
      </c>
      <c r="F138" s="357" t="s">
        <v>401</v>
      </c>
      <c r="G138" s="357" t="s">
        <v>947</v>
      </c>
      <c r="H138" s="357" t="s">
        <v>787</v>
      </c>
      <c r="I138" s="357" t="s">
        <v>1081</v>
      </c>
      <c r="J138" s="357" t="s">
        <v>1012</v>
      </c>
      <c r="K138" s="357" t="s">
        <v>1082</v>
      </c>
      <c r="L138" s="357" t="s">
        <v>1014</v>
      </c>
      <c r="M138" s="360" t="s">
        <v>240</v>
      </c>
      <c r="N138" s="203"/>
      <c r="O138" s="203"/>
      <c r="P138" s="203"/>
      <c r="Q138" s="203"/>
      <c r="R138" s="203"/>
      <c r="S138" s="203"/>
    </row>
    <row r="139">
      <c r="A139" s="356">
        <v>46227.0</v>
      </c>
      <c r="B139" s="357" t="s">
        <v>881</v>
      </c>
      <c r="C139" s="358">
        <v>428.4</v>
      </c>
      <c r="D139" s="359">
        <v>6100.0</v>
      </c>
      <c r="E139" s="359">
        <v>5360.0</v>
      </c>
      <c r="F139" s="357" t="s">
        <v>703</v>
      </c>
      <c r="G139" s="357" t="s">
        <v>917</v>
      </c>
      <c r="H139" s="357" t="s">
        <v>781</v>
      </c>
      <c r="I139" s="357" t="s">
        <v>1083</v>
      </c>
      <c r="J139" s="357" t="s">
        <v>994</v>
      </c>
      <c r="K139" s="357" t="s">
        <v>1007</v>
      </c>
      <c r="L139" s="357" t="s">
        <v>866</v>
      </c>
      <c r="M139" s="360" t="s">
        <v>879</v>
      </c>
      <c r="N139" s="203"/>
      <c r="O139" s="203"/>
      <c r="P139" s="203"/>
      <c r="Q139" s="203"/>
      <c r="R139" s="203"/>
      <c r="S139" s="203"/>
    </row>
    <row r="140">
      <c r="A140" s="356">
        <v>46227.0</v>
      </c>
      <c r="B140" s="357" t="s">
        <v>881</v>
      </c>
      <c r="C140" s="358">
        <v>533.4</v>
      </c>
      <c r="D140" s="359">
        <v>6100.0</v>
      </c>
      <c r="E140" s="381">
        <v>5360.0</v>
      </c>
      <c r="F140" s="357" t="s">
        <v>703</v>
      </c>
      <c r="G140" s="357" t="s">
        <v>917</v>
      </c>
      <c r="H140" s="357" t="s">
        <v>781</v>
      </c>
      <c r="I140" s="357" t="s">
        <v>1084</v>
      </c>
      <c r="J140" s="357" t="s">
        <v>994</v>
      </c>
      <c r="K140" s="357" t="s">
        <v>1007</v>
      </c>
      <c r="L140" s="357" t="s">
        <v>866</v>
      </c>
      <c r="M140" s="360" t="s">
        <v>879</v>
      </c>
      <c r="N140" s="203"/>
      <c r="O140" s="203"/>
      <c r="P140" s="203"/>
      <c r="Q140" s="203"/>
      <c r="R140" s="203"/>
      <c r="S140" s="203"/>
    </row>
    <row r="141">
      <c r="A141" s="356">
        <v>46227.0</v>
      </c>
      <c r="B141" s="357" t="s">
        <v>869</v>
      </c>
      <c r="C141" s="358">
        <v>487.84</v>
      </c>
      <c r="D141" s="359">
        <v>5360.0</v>
      </c>
      <c r="E141" s="359">
        <v>5360.0</v>
      </c>
      <c r="F141" s="357" t="s">
        <v>703</v>
      </c>
      <c r="G141" s="357" t="s">
        <v>917</v>
      </c>
      <c r="H141" s="357" t="s">
        <v>781</v>
      </c>
      <c r="I141" s="357" t="s">
        <v>1083</v>
      </c>
      <c r="J141" s="357" t="s">
        <v>994</v>
      </c>
      <c r="K141" s="357" t="s">
        <v>1007</v>
      </c>
      <c r="L141" s="357" t="s">
        <v>866</v>
      </c>
      <c r="M141" s="360" t="s">
        <v>240</v>
      </c>
      <c r="N141" s="203"/>
      <c r="O141" s="203"/>
      <c r="P141" s="203"/>
      <c r="Q141" s="203"/>
      <c r="R141" s="203"/>
      <c r="S141" s="203"/>
    </row>
    <row r="142">
      <c r="A142" s="356">
        <v>46227.0</v>
      </c>
      <c r="B142" s="357" t="s">
        <v>1085</v>
      </c>
      <c r="C142" s="358">
        <v>130.05</v>
      </c>
      <c r="D142" s="359">
        <v>5330.0</v>
      </c>
      <c r="E142" s="359">
        <v>5330.0</v>
      </c>
      <c r="F142" s="357" t="s">
        <v>711</v>
      </c>
      <c r="G142" s="357" t="s">
        <v>933</v>
      </c>
      <c r="H142" s="357" t="s">
        <v>786</v>
      </c>
      <c r="I142" s="357" t="s">
        <v>1086</v>
      </c>
      <c r="J142" s="357" t="s">
        <v>1012</v>
      </c>
      <c r="K142" s="357" t="s">
        <v>1070</v>
      </c>
      <c r="L142" s="357" t="s">
        <v>1014</v>
      </c>
      <c r="M142" s="360" t="s">
        <v>240</v>
      </c>
      <c r="N142" s="203"/>
      <c r="O142" s="203"/>
      <c r="P142" s="203"/>
      <c r="Q142" s="203"/>
      <c r="R142" s="203"/>
      <c r="S142" s="203"/>
    </row>
    <row r="143">
      <c r="A143" s="356">
        <v>46226.0</v>
      </c>
      <c r="B143" s="357" t="s">
        <v>1085</v>
      </c>
      <c r="C143" s="358">
        <v>122.93</v>
      </c>
      <c r="D143" s="359">
        <v>5330.0</v>
      </c>
      <c r="E143" s="359">
        <v>5330.0</v>
      </c>
      <c r="F143" s="357" t="s">
        <v>711</v>
      </c>
      <c r="G143" s="357" t="s">
        <v>933</v>
      </c>
      <c r="H143" s="357" t="s">
        <v>786</v>
      </c>
      <c r="I143" s="357" t="s">
        <v>1087</v>
      </c>
      <c r="J143" s="357" t="s">
        <v>1012</v>
      </c>
      <c r="K143" s="357" t="s">
        <v>1070</v>
      </c>
      <c r="L143" s="357" t="s">
        <v>1014</v>
      </c>
      <c r="M143" s="360" t="s">
        <v>240</v>
      </c>
      <c r="N143" s="203"/>
      <c r="O143" s="203"/>
      <c r="P143" s="203"/>
      <c r="Q143" s="203"/>
      <c r="R143" s="203"/>
      <c r="S143" s="203"/>
    </row>
    <row r="144">
      <c r="A144" s="356">
        <v>46226.0</v>
      </c>
      <c r="B144" s="357" t="s">
        <v>1016</v>
      </c>
      <c r="C144" s="358">
        <v>240.56</v>
      </c>
      <c r="D144" s="359">
        <v>6100.0</v>
      </c>
      <c r="E144" s="381" t="s">
        <v>893</v>
      </c>
      <c r="F144" s="357" t="s">
        <v>1017</v>
      </c>
      <c r="G144" s="357" t="s">
        <v>1018</v>
      </c>
      <c r="H144" s="357" t="s">
        <v>788</v>
      </c>
      <c r="I144" s="357"/>
      <c r="J144" s="357" t="s">
        <v>1012</v>
      </c>
      <c r="K144" s="357" t="s">
        <v>1088</v>
      </c>
      <c r="L144" s="357" t="s">
        <v>1014</v>
      </c>
      <c r="M144" s="360" t="s">
        <v>893</v>
      </c>
      <c r="N144" s="203"/>
      <c r="O144" s="203"/>
      <c r="P144" s="203"/>
      <c r="Q144" s="203"/>
      <c r="R144" s="203"/>
      <c r="S144" s="203"/>
    </row>
    <row r="145">
      <c r="A145" s="356">
        <v>46225.0</v>
      </c>
      <c r="B145" s="357" t="s">
        <v>961</v>
      </c>
      <c r="C145" s="358">
        <v>9.52</v>
      </c>
      <c r="D145" s="359">
        <v>5330.0</v>
      </c>
      <c r="E145" s="359">
        <v>5330.0</v>
      </c>
      <c r="F145" s="357" t="s">
        <v>711</v>
      </c>
      <c r="G145" s="357" t="s">
        <v>933</v>
      </c>
      <c r="H145" s="357" t="s">
        <v>786</v>
      </c>
      <c r="I145" s="357" t="s">
        <v>1089</v>
      </c>
      <c r="J145" s="357" t="s">
        <v>1012</v>
      </c>
      <c r="K145" s="357" t="s">
        <v>1070</v>
      </c>
      <c r="L145" s="357" t="s">
        <v>1014</v>
      </c>
      <c r="M145" s="360" t="s">
        <v>240</v>
      </c>
      <c r="N145" s="203"/>
      <c r="O145" s="203"/>
      <c r="P145" s="203"/>
      <c r="Q145" s="203"/>
      <c r="R145" s="203"/>
      <c r="S145" s="203"/>
    </row>
    <row r="146">
      <c r="A146" s="356">
        <v>46225.0</v>
      </c>
      <c r="B146" s="357" t="s">
        <v>961</v>
      </c>
      <c r="C146" s="358">
        <v>73.33</v>
      </c>
      <c r="D146" s="359">
        <v>5330.0</v>
      </c>
      <c r="E146" s="359">
        <v>5330.0</v>
      </c>
      <c r="F146" s="357" t="s">
        <v>711</v>
      </c>
      <c r="G146" s="357" t="s">
        <v>933</v>
      </c>
      <c r="H146" s="357" t="s">
        <v>786</v>
      </c>
      <c r="I146" s="357" t="s">
        <v>1090</v>
      </c>
      <c r="J146" s="357" t="s">
        <v>1012</v>
      </c>
      <c r="K146" s="357" t="s">
        <v>1070</v>
      </c>
      <c r="L146" s="357" t="s">
        <v>1014</v>
      </c>
      <c r="M146" s="360" t="s">
        <v>240</v>
      </c>
      <c r="N146" s="203"/>
      <c r="O146" s="203"/>
      <c r="P146" s="203"/>
      <c r="Q146" s="203"/>
      <c r="R146" s="203"/>
      <c r="S146" s="203"/>
    </row>
    <row r="147">
      <c r="A147" s="356">
        <v>46225.0</v>
      </c>
      <c r="B147" s="357" t="s">
        <v>961</v>
      </c>
      <c r="C147" s="358">
        <v>43.9</v>
      </c>
      <c r="D147" s="359">
        <v>5330.0</v>
      </c>
      <c r="E147" s="381">
        <v>5330.0</v>
      </c>
      <c r="F147" s="357" t="s">
        <v>711</v>
      </c>
      <c r="G147" s="357" t="s">
        <v>933</v>
      </c>
      <c r="H147" s="357" t="s">
        <v>786</v>
      </c>
      <c r="I147" s="357" t="s">
        <v>1091</v>
      </c>
      <c r="J147" s="357" t="s">
        <v>1012</v>
      </c>
      <c r="K147" s="357" t="s">
        <v>1070</v>
      </c>
      <c r="L147" s="357" t="s">
        <v>1014</v>
      </c>
      <c r="M147" s="360" t="s">
        <v>240</v>
      </c>
      <c r="N147" s="203"/>
      <c r="O147" s="203"/>
      <c r="P147" s="203"/>
      <c r="Q147" s="203"/>
      <c r="R147" s="203"/>
      <c r="S147" s="203"/>
    </row>
    <row r="148">
      <c r="A148" s="356">
        <v>46223.0</v>
      </c>
      <c r="B148" s="382" t="s">
        <v>1092</v>
      </c>
      <c r="C148" s="358">
        <v>47.7</v>
      </c>
      <c r="D148" s="359">
        <v>5330.0</v>
      </c>
      <c r="E148" s="359">
        <v>5330.0</v>
      </c>
      <c r="F148" s="357" t="s">
        <v>711</v>
      </c>
      <c r="G148" s="357" t="s">
        <v>933</v>
      </c>
      <c r="H148" s="357" t="s">
        <v>786</v>
      </c>
      <c r="I148" s="357" t="s">
        <v>1093</v>
      </c>
      <c r="J148" s="357" t="s">
        <v>1012</v>
      </c>
      <c r="K148" s="357" t="s">
        <v>1070</v>
      </c>
      <c r="L148" s="357" t="s">
        <v>1014</v>
      </c>
      <c r="M148" s="360" t="s">
        <v>240</v>
      </c>
      <c r="N148" s="203"/>
      <c r="O148" s="203"/>
      <c r="P148" s="203"/>
      <c r="Q148" s="203"/>
      <c r="R148" s="203"/>
      <c r="S148" s="203"/>
    </row>
    <row r="149">
      <c r="A149" s="356">
        <v>46221.0</v>
      </c>
      <c r="B149" s="357" t="s">
        <v>1094</v>
      </c>
      <c r="C149" s="358">
        <v>8.0</v>
      </c>
      <c r="D149" s="359">
        <v>5360.0</v>
      </c>
      <c r="E149" s="359">
        <v>5360.0</v>
      </c>
      <c r="F149" s="357" t="s">
        <v>700</v>
      </c>
      <c r="G149" s="357" t="s">
        <v>909</v>
      </c>
      <c r="H149" s="357" t="s">
        <v>784</v>
      </c>
      <c r="I149" s="357" t="s">
        <v>1095</v>
      </c>
      <c r="J149" s="357" t="s">
        <v>1096</v>
      </c>
      <c r="K149" s="357" t="s">
        <v>1070</v>
      </c>
      <c r="L149" s="357" t="s">
        <v>1014</v>
      </c>
      <c r="M149" s="360" t="s">
        <v>240</v>
      </c>
      <c r="N149" s="203"/>
      <c r="O149" s="203"/>
      <c r="P149" s="203"/>
      <c r="Q149" s="203"/>
      <c r="R149" s="203"/>
      <c r="S149" s="203"/>
    </row>
    <row r="150">
      <c r="A150" s="356">
        <v>46221.0</v>
      </c>
      <c r="B150" s="382" t="s">
        <v>1092</v>
      </c>
      <c r="C150" s="358">
        <v>97.49</v>
      </c>
      <c r="D150" s="359">
        <v>5330.0</v>
      </c>
      <c r="E150" s="359">
        <v>5330.0</v>
      </c>
      <c r="F150" s="357" t="s">
        <v>711</v>
      </c>
      <c r="G150" s="357" t="s">
        <v>933</v>
      </c>
      <c r="H150" s="357" t="s">
        <v>786</v>
      </c>
      <c r="I150" s="357" t="s">
        <v>1093</v>
      </c>
      <c r="J150" s="357" t="s">
        <v>1012</v>
      </c>
      <c r="K150" s="357" t="s">
        <v>1070</v>
      </c>
      <c r="L150" s="357" t="s">
        <v>1014</v>
      </c>
      <c r="M150" s="360" t="s">
        <v>240</v>
      </c>
      <c r="N150" s="203"/>
      <c r="O150" s="203"/>
      <c r="P150" s="203"/>
      <c r="Q150" s="203"/>
      <c r="R150" s="203"/>
      <c r="S150" s="203"/>
    </row>
    <row r="151">
      <c r="A151" s="356">
        <v>46220.0</v>
      </c>
      <c r="B151" s="357" t="s">
        <v>1097</v>
      </c>
      <c r="C151" s="358">
        <v>51.81</v>
      </c>
      <c r="D151" s="359">
        <v>5330.0</v>
      </c>
      <c r="E151" s="359">
        <v>5330.0</v>
      </c>
      <c r="F151" s="357" t="s">
        <v>711</v>
      </c>
      <c r="G151" s="357" t="s">
        <v>933</v>
      </c>
      <c r="H151" s="357" t="s">
        <v>786</v>
      </c>
      <c r="I151" s="357" t="s">
        <v>1098</v>
      </c>
      <c r="J151" s="357" t="s">
        <v>1012</v>
      </c>
      <c r="K151" s="357" t="s">
        <v>1070</v>
      </c>
      <c r="L151" s="357" t="s">
        <v>1014</v>
      </c>
      <c r="M151" s="360" t="s">
        <v>240</v>
      </c>
      <c r="N151" s="203"/>
      <c r="O151" s="203"/>
      <c r="P151" s="203"/>
      <c r="Q151" s="203"/>
      <c r="R151" s="203"/>
      <c r="S151" s="203"/>
    </row>
    <row r="152">
      <c r="A152" s="356">
        <v>46219.0</v>
      </c>
      <c r="B152" s="357" t="s">
        <v>1099</v>
      </c>
      <c r="C152" s="358">
        <v>61.64</v>
      </c>
      <c r="D152" s="381">
        <v>5330.0</v>
      </c>
      <c r="E152" s="359">
        <v>5330.0</v>
      </c>
      <c r="F152" s="357" t="s">
        <v>474</v>
      </c>
      <c r="G152" s="357" t="s">
        <v>928</v>
      </c>
      <c r="H152" s="357" t="s">
        <v>786</v>
      </c>
      <c r="I152" s="357" t="s">
        <v>1100</v>
      </c>
      <c r="J152" s="357" t="s">
        <v>1012</v>
      </c>
      <c r="K152" s="357" t="s">
        <v>1070</v>
      </c>
      <c r="L152" s="357" t="s">
        <v>1014</v>
      </c>
      <c r="M152" s="360" t="s">
        <v>240</v>
      </c>
      <c r="N152" s="203"/>
      <c r="O152" s="203"/>
      <c r="P152" s="203"/>
      <c r="Q152" s="203"/>
      <c r="R152" s="203"/>
      <c r="S152" s="203"/>
    </row>
    <row r="153">
      <c r="A153" s="356">
        <v>46219.0</v>
      </c>
      <c r="B153" s="357" t="s">
        <v>1101</v>
      </c>
      <c r="C153" s="358">
        <v>31.97</v>
      </c>
      <c r="D153" s="359">
        <v>5330.0</v>
      </c>
      <c r="E153" s="359">
        <v>5330.0</v>
      </c>
      <c r="F153" s="357" t="s">
        <v>714</v>
      </c>
      <c r="G153" s="357" t="s">
        <v>938</v>
      </c>
      <c r="H153" s="357" t="s">
        <v>786</v>
      </c>
      <c r="I153" s="357" t="s">
        <v>1102</v>
      </c>
      <c r="J153" s="357" t="s">
        <v>1012</v>
      </c>
      <c r="K153" s="357" t="s">
        <v>1070</v>
      </c>
      <c r="L153" s="357" t="s">
        <v>1014</v>
      </c>
      <c r="M153" s="360" t="s">
        <v>240</v>
      </c>
      <c r="N153" s="203"/>
      <c r="O153" s="203"/>
      <c r="P153" s="203"/>
      <c r="Q153" s="203"/>
      <c r="R153" s="203"/>
      <c r="S153" s="203"/>
    </row>
    <row r="154">
      <c r="A154" s="356">
        <v>46219.0</v>
      </c>
      <c r="B154" s="357" t="s">
        <v>1103</v>
      </c>
      <c r="C154" s="358">
        <v>16.21</v>
      </c>
      <c r="D154" s="359">
        <v>5330.0</v>
      </c>
      <c r="E154" s="359">
        <v>5330.0</v>
      </c>
      <c r="F154" s="357" t="s">
        <v>714</v>
      </c>
      <c r="G154" s="357" t="s">
        <v>938</v>
      </c>
      <c r="H154" s="357" t="s">
        <v>786</v>
      </c>
      <c r="I154" s="357" t="s">
        <v>1104</v>
      </c>
      <c r="J154" s="357" t="s">
        <v>1012</v>
      </c>
      <c r="K154" s="357" t="s">
        <v>1070</v>
      </c>
      <c r="L154" s="357" t="s">
        <v>1014</v>
      </c>
      <c r="M154" s="360" t="s">
        <v>240</v>
      </c>
      <c r="N154" s="203"/>
      <c r="O154" s="203"/>
      <c r="P154" s="203"/>
      <c r="Q154" s="203"/>
      <c r="R154" s="203"/>
      <c r="S154" s="203"/>
    </row>
    <row r="155">
      <c r="A155" s="356">
        <v>46219.0</v>
      </c>
      <c r="B155" s="357" t="s">
        <v>1016</v>
      </c>
      <c r="C155" s="358">
        <v>911.81</v>
      </c>
      <c r="D155" s="359">
        <v>5050.0</v>
      </c>
      <c r="E155" s="381" t="s">
        <v>893</v>
      </c>
      <c r="F155" s="357" t="s">
        <v>1017</v>
      </c>
      <c r="G155" s="357" t="s">
        <v>1018</v>
      </c>
      <c r="H155" s="357" t="s">
        <v>788</v>
      </c>
      <c r="I155" s="357"/>
      <c r="J155" s="357" t="s">
        <v>1012</v>
      </c>
      <c r="K155" s="357" t="s">
        <v>1105</v>
      </c>
      <c r="L155" s="357" t="s">
        <v>1014</v>
      </c>
      <c r="M155" s="360" t="s">
        <v>893</v>
      </c>
      <c r="N155" s="203"/>
      <c r="O155" s="203"/>
      <c r="P155" s="203"/>
      <c r="Q155" s="203"/>
      <c r="R155" s="203"/>
      <c r="S155" s="203"/>
    </row>
    <row r="156">
      <c r="A156" s="356">
        <v>46219.0</v>
      </c>
      <c r="B156" s="357" t="s">
        <v>1036</v>
      </c>
      <c r="C156" s="358">
        <v>343.29</v>
      </c>
      <c r="D156" s="359">
        <v>7550.0</v>
      </c>
      <c r="E156" s="381" t="s">
        <v>893</v>
      </c>
      <c r="F156" s="357" t="s">
        <v>1037</v>
      </c>
      <c r="G156" s="357" t="s">
        <v>1038</v>
      </c>
      <c r="H156" s="357" t="s">
        <v>786</v>
      </c>
      <c r="I156" s="357" t="s">
        <v>1039</v>
      </c>
      <c r="J156" s="357" t="s">
        <v>1012</v>
      </c>
      <c r="K156" s="357" t="s">
        <v>1106</v>
      </c>
      <c r="L156" s="357" t="s">
        <v>1014</v>
      </c>
      <c r="M156" s="360" t="s">
        <v>893</v>
      </c>
      <c r="N156" s="203"/>
      <c r="O156" s="203"/>
      <c r="P156" s="203"/>
      <c r="Q156" s="203"/>
      <c r="R156" s="203"/>
      <c r="S156" s="203"/>
    </row>
    <row r="157">
      <c r="A157" s="356">
        <v>46217.0</v>
      </c>
      <c r="B157" s="357" t="s">
        <v>1008</v>
      </c>
      <c r="C157" s="358">
        <v>308.18</v>
      </c>
      <c r="D157" s="359">
        <v>5320.0</v>
      </c>
      <c r="E157" s="359">
        <v>5320.0</v>
      </c>
      <c r="F157" s="357" t="s">
        <v>401</v>
      </c>
      <c r="G157" s="357" t="s">
        <v>947</v>
      </c>
      <c r="H157" s="357" t="s">
        <v>787</v>
      </c>
      <c r="I157" s="357" t="s">
        <v>1081</v>
      </c>
      <c r="J157" s="357" t="s">
        <v>1012</v>
      </c>
      <c r="K157" s="357" t="s">
        <v>1107</v>
      </c>
      <c r="L157" s="357" t="s">
        <v>1014</v>
      </c>
      <c r="M157" s="360" t="s">
        <v>240</v>
      </c>
      <c r="N157" s="203"/>
      <c r="O157" s="203"/>
      <c r="P157" s="203"/>
      <c r="Q157" s="203"/>
      <c r="R157" s="203"/>
      <c r="S157" s="203"/>
    </row>
    <row r="158">
      <c r="A158" s="356">
        <v>46216.0</v>
      </c>
      <c r="B158" s="357" t="s">
        <v>1108</v>
      </c>
      <c r="C158" s="358">
        <v>33.25</v>
      </c>
      <c r="D158" s="359">
        <v>5330.0</v>
      </c>
      <c r="E158" s="381">
        <v>5330.0</v>
      </c>
      <c r="F158" s="357" t="s">
        <v>714</v>
      </c>
      <c r="G158" s="357" t="s">
        <v>938</v>
      </c>
      <c r="H158" s="357" t="s">
        <v>786</v>
      </c>
      <c r="I158" s="357" t="s">
        <v>1109</v>
      </c>
      <c r="J158" s="357" t="s">
        <v>1012</v>
      </c>
      <c r="K158" s="357" t="s">
        <v>1070</v>
      </c>
      <c r="L158" s="357" t="s">
        <v>1014</v>
      </c>
      <c r="M158" s="360" t="s">
        <v>240</v>
      </c>
      <c r="N158" s="203"/>
      <c r="O158" s="203"/>
      <c r="P158" s="203"/>
      <c r="Q158" s="203"/>
      <c r="R158" s="203"/>
      <c r="S158" s="203"/>
    </row>
    <row r="159">
      <c r="A159" s="356">
        <v>46216.0</v>
      </c>
      <c r="B159" s="357" t="s">
        <v>1110</v>
      </c>
      <c r="C159" s="358">
        <v>-32.2</v>
      </c>
      <c r="D159" s="359">
        <v>5360.0</v>
      </c>
      <c r="E159" s="359">
        <v>5360.0</v>
      </c>
      <c r="F159" s="357" t="s">
        <v>697</v>
      </c>
      <c r="G159" s="357" t="s">
        <v>900</v>
      </c>
      <c r="H159" s="357" t="s">
        <v>783</v>
      </c>
      <c r="I159" s="357" t="s">
        <v>1111</v>
      </c>
      <c r="J159" s="357" t="s">
        <v>1096</v>
      </c>
      <c r="K159" s="357" t="s">
        <v>1112</v>
      </c>
      <c r="L159" s="357" t="s">
        <v>1014</v>
      </c>
      <c r="M159" s="360" t="s">
        <v>240</v>
      </c>
      <c r="N159" s="203"/>
      <c r="O159" s="203"/>
      <c r="P159" s="203"/>
      <c r="Q159" s="203"/>
      <c r="R159" s="203"/>
      <c r="S159" s="203"/>
    </row>
    <row r="160">
      <c r="A160" s="356">
        <v>46213.0</v>
      </c>
      <c r="B160" s="357" t="s">
        <v>1113</v>
      </c>
      <c r="C160" s="358">
        <v>644.04</v>
      </c>
      <c r="D160" s="381">
        <v>6100.0</v>
      </c>
      <c r="E160" s="359">
        <v>5360.0</v>
      </c>
      <c r="F160" s="357" t="s">
        <v>697</v>
      </c>
      <c r="G160" s="357" t="s">
        <v>900</v>
      </c>
      <c r="H160" s="357" t="s">
        <v>783</v>
      </c>
      <c r="I160" s="357" t="s">
        <v>1114</v>
      </c>
      <c r="J160" s="357" t="s">
        <v>994</v>
      </c>
      <c r="K160" s="357" t="s">
        <v>1007</v>
      </c>
      <c r="L160" s="357" t="s">
        <v>866</v>
      </c>
      <c r="M160" s="360" t="s">
        <v>879</v>
      </c>
      <c r="N160" s="203"/>
      <c r="O160" s="203"/>
      <c r="P160" s="203"/>
      <c r="Q160" s="203"/>
      <c r="R160" s="203"/>
      <c r="S160" s="203"/>
    </row>
    <row r="161">
      <c r="A161" s="356">
        <v>46213.0</v>
      </c>
      <c r="B161" s="357" t="s">
        <v>1076</v>
      </c>
      <c r="C161" s="358">
        <v>1041.37</v>
      </c>
      <c r="D161" s="359">
        <v>5320.0</v>
      </c>
      <c r="E161" s="359">
        <v>5320.0</v>
      </c>
      <c r="F161" s="357" t="s">
        <v>717</v>
      </c>
      <c r="G161" s="357" t="s">
        <v>943</v>
      </c>
      <c r="H161" s="357" t="s">
        <v>787</v>
      </c>
      <c r="I161" s="357" t="s">
        <v>1115</v>
      </c>
      <c r="J161" s="357" t="s">
        <v>1012</v>
      </c>
      <c r="K161" s="357" t="s">
        <v>1070</v>
      </c>
      <c r="L161" s="357" t="s">
        <v>1014</v>
      </c>
      <c r="M161" s="360" t="s">
        <v>240</v>
      </c>
      <c r="N161" s="203"/>
      <c r="O161" s="203"/>
      <c r="P161" s="203"/>
      <c r="Q161" s="203"/>
      <c r="R161" s="203"/>
      <c r="S161" s="203"/>
    </row>
    <row r="162">
      <c r="A162" s="356">
        <v>46213.0</v>
      </c>
      <c r="B162" s="357" t="s">
        <v>1116</v>
      </c>
      <c r="C162" s="358">
        <v>242.75</v>
      </c>
      <c r="D162" s="381">
        <v>5360.0</v>
      </c>
      <c r="E162" s="359">
        <v>5360.0</v>
      </c>
      <c r="F162" s="357" t="s">
        <v>703</v>
      </c>
      <c r="G162" s="357" t="s">
        <v>917</v>
      </c>
      <c r="H162" s="357" t="s">
        <v>783</v>
      </c>
      <c r="I162" s="357" t="s">
        <v>1117</v>
      </c>
      <c r="J162" s="357" t="s">
        <v>1096</v>
      </c>
      <c r="K162" s="357" t="s">
        <v>1070</v>
      </c>
      <c r="L162" s="357" t="s">
        <v>1014</v>
      </c>
      <c r="M162" s="360" t="s">
        <v>240</v>
      </c>
      <c r="N162" s="203"/>
      <c r="O162" s="203"/>
      <c r="P162" s="203"/>
      <c r="Q162" s="203"/>
      <c r="R162" s="203"/>
      <c r="S162" s="203"/>
    </row>
    <row r="163">
      <c r="A163" s="356">
        <v>46213.0</v>
      </c>
      <c r="B163" s="357" t="s">
        <v>1076</v>
      </c>
      <c r="C163" s="358">
        <v>127.42</v>
      </c>
      <c r="D163" s="359">
        <v>5320.0</v>
      </c>
      <c r="E163" s="359">
        <v>5320.0</v>
      </c>
      <c r="F163" s="357" t="s">
        <v>717</v>
      </c>
      <c r="G163" s="357" t="s">
        <v>943</v>
      </c>
      <c r="H163" s="357" t="s">
        <v>787</v>
      </c>
      <c r="I163" s="357" t="s">
        <v>1118</v>
      </c>
      <c r="J163" s="357" t="s">
        <v>1012</v>
      </c>
      <c r="K163" s="357" t="s">
        <v>1070</v>
      </c>
      <c r="L163" s="357" t="s">
        <v>1014</v>
      </c>
      <c r="M163" s="360" t="s">
        <v>240</v>
      </c>
      <c r="N163" s="203"/>
      <c r="O163" s="203"/>
      <c r="P163" s="203"/>
      <c r="Q163" s="203"/>
      <c r="R163" s="203"/>
      <c r="S163" s="203"/>
    </row>
    <row r="164">
      <c r="A164" s="356">
        <v>46213.0</v>
      </c>
      <c r="B164" s="357" t="s">
        <v>1008</v>
      </c>
      <c r="C164" s="358">
        <v>2795.0</v>
      </c>
      <c r="D164" s="359">
        <v>7550.0</v>
      </c>
      <c r="E164" s="381" t="s">
        <v>893</v>
      </c>
      <c r="F164" s="357" t="s">
        <v>1119</v>
      </c>
      <c r="G164" s="357" t="s">
        <v>1120</v>
      </c>
      <c r="H164" s="357" t="s">
        <v>786</v>
      </c>
      <c r="I164" s="357" t="s">
        <v>1121</v>
      </c>
      <c r="J164" s="357" t="s">
        <v>1012</v>
      </c>
      <c r="K164" s="357" t="s">
        <v>1122</v>
      </c>
      <c r="L164" s="357" t="s">
        <v>1014</v>
      </c>
      <c r="M164" s="360" t="s">
        <v>893</v>
      </c>
      <c r="N164" s="203"/>
      <c r="O164" s="203"/>
      <c r="P164" s="203"/>
      <c r="Q164" s="203"/>
      <c r="R164" s="203"/>
      <c r="S164" s="203"/>
    </row>
    <row r="165">
      <c r="A165" s="356">
        <v>46212.0</v>
      </c>
      <c r="B165" s="357" t="s">
        <v>869</v>
      </c>
      <c r="C165" s="358">
        <v>744.6</v>
      </c>
      <c r="D165" s="359">
        <v>5050.0</v>
      </c>
      <c r="E165" s="359">
        <v>5050.0</v>
      </c>
      <c r="F165" s="357" t="s">
        <v>689</v>
      </c>
      <c r="G165" s="357" t="s">
        <v>871</v>
      </c>
      <c r="H165" s="357" t="s">
        <v>781</v>
      </c>
      <c r="I165" s="357" t="s">
        <v>1123</v>
      </c>
      <c r="J165" s="357" t="s">
        <v>994</v>
      </c>
      <c r="K165" s="357" t="s">
        <v>1007</v>
      </c>
      <c r="L165" s="357" t="s">
        <v>866</v>
      </c>
      <c r="M165" s="360" t="s">
        <v>240</v>
      </c>
      <c r="N165" s="203"/>
      <c r="O165" s="203"/>
      <c r="P165" s="203"/>
      <c r="Q165" s="203"/>
      <c r="R165" s="203"/>
      <c r="S165" s="203"/>
    </row>
    <row r="166">
      <c r="A166" s="356">
        <v>46205.0</v>
      </c>
      <c r="B166" s="357" t="s">
        <v>869</v>
      </c>
      <c r="C166" s="358">
        <v>517.08</v>
      </c>
      <c r="D166" s="359">
        <v>6100.0</v>
      </c>
      <c r="E166" s="359">
        <v>5360.0</v>
      </c>
      <c r="F166" s="357" t="s">
        <v>697</v>
      </c>
      <c r="G166" s="357" t="s">
        <v>900</v>
      </c>
      <c r="H166" s="357" t="s">
        <v>781</v>
      </c>
      <c r="I166" s="357" t="s">
        <v>1124</v>
      </c>
      <c r="J166" s="357" t="s">
        <v>1096</v>
      </c>
      <c r="K166" s="357" t="s">
        <v>1070</v>
      </c>
      <c r="L166" s="357" t="s">
        <v>1014</v>
      </c>
      <c r="M166" s="360" t="s">
        <v>879</v>
      </c>
      <c r="N166" s="203"/>
      <c r="O166" s="203"/>
      <c r="P166" s="203"/>
      <c r="Q166" s="203"/>
      <c r="R166" s="203"/>
      <c r="S166" s="203"/>
    </row>
    <row r="167">
      <c r="A167" s="356">
        <v>46205.0</v>
      </c>
      <c r="B167" s="357" t="s">
        <v>1125</v>
      </c>
      <c r="C167" s="358">
        <v>475.4</v>
      </c>
      <c r="D167" s="359">
        <v>6100.0</v>
      </c>
      <c r="E167" s="381">
        <v>5360.0</v>
      </c>
      <c r="F167" s="357" t="s">
        <v>703</v>
      </c>
      <c r="G167" s="357" t="s">
        <v>917</v>
      </c>
      <c r="H167" s="357" t="s">
        <v>781</v>
      </c>
      <c r="I167" s="357" t="s">
        <v>1126</v>
      </c>
      <c r="J167" s="357" t="s">
        <v>1096</v>
      </c>
      <c r="K167" s="357" t="s">
        <v>1070</v>
      </c>
      <c r="L167" s="357" t="s">
        <v>1014</v>
      </c>
      <c r="M167" s="360" t="s">
        <v>879</v>
      </c>
      <c r="N167" s="203"/>
      <c r="O167" s="203"/>
      <c r="P167" s="203"/>
      <c r="Q167" s="203"/>
      <c r="R167" s="203"/>
      <c r="S167" s="203"/>
    </row>
    <row r="168">
      <c r="A168" s="356">
        <v>46205.0</v>
      </c>
      <c r="B168" s="357" t="s">
        <v>1125</v>
      </c>
      <c r="C168" s="358">
        <v>486.4</v>
      </c>
      <c r="D168" s="359">
        <v>6100.0</v>
      </c>
      <c r="E168" s="359">
        <v>5360.0</v>
      </c>
      <c r="F168" s="357" t="s">
        <v>703</v>
      </c>
      <c r="G168" s="357" t="s">
        <v>917</v>
      </c>
      <c r="H168" s="357" t="s">
        <v>781</v>
      </c>
      <c r="I168" s="357" t="s">
        <v>1127</v>
      </c>
      <c r="J168" s="357" t="s">
        <v>1096</v>
      </c>
      <c r="K168" s="357" t="s">
        <v>1070</v>
      </c>
      <c r="L168" s="357" t="s">
        <v>1014</v>
      </c>
      <c r="M168" s="360" t="s">
        <v>879</v>
      </c>
      <c r="N168" s="203"/>
      <c r="O168" s="203"/>
      <c r="P168" s="203"/>
      <c r="Q168" s="203"/>
      <c r="R168" s="203"/>
      <c r="S168" s="203"/>
    </row>
    <row r="169">
      <c r="A169" s="356">
        <v>46205.0</v>
      </c>
      <c r="B169" s="357" t="s">
        <v>1125</v>
      </c>
      <c r="C169" s="358">
        <v>691.81</v>
      </c>
      <c r="D169" s="381">
        <v>6100.0</v>
      </c>
      <c r="E169" s="359">
        <v>5360.0</v>
      </c>
      <c r="F169" s="357" t="s">
        <v>697</v>
      </c>
      <c r="G169" s="357" t="s">
        <v>900</v>
      </c>
      <c r="H169" s="357" t="s">
        <v>781</v>
      </c>
      <c r="I169" s="357" t="s">
        <v>1124</v>
      </c>
      <c r="J169" s="357" t="s">
        <v>1096</v>
      </c>
      <c r="K169" s="357" t="s">
        <v>1070</v>
      </c>
      <c r="L169" s="357" t="s">
        <v>1014</v>
      </c>
      <c r="M169" s="360" t="s">
        <v>879</v>
      </c>
      <c r="N169" s="203"/>
      <c r="O169" s="203"/>
      <c r="P169" s="203"/>
      <c r="Q169" s="203"/>
      <c r="R169" s="203"/>
      <c r="S169" s="203"/>
    </row>
    <row r="170">
      <c r="A170" s="356">
        <v>46205.0</v>
      </c>
      <c r="B170" s="357" t="s">
        <v>1068</v>
      </c>
      <c r="C170" s="358">
        <v>10.65</v>
      </c>
      <c r="D170" s="381">
        <v>5320.0</v>
      </c>
      <c r="E170" s="359">
        <v>5320.0</v>
      </c>
      <c r="F170" s="357" t="s">
        <v>717</v>
      </c>
      <c r="G170" s="357" t="s">
        <v>943</v>
      </c>
      <c r="H170" s="357" t="s">
        <v>787</v>
      </c>
      <c r="I170" s="357" t="s">
        <v>1128</v>
      </c>
      <c r="J170" s="357" t="s">
        <v>1012</v>
      </c>
      <c r="K170" s="357" t="s">
        <v>1070</v>
      </c>
      <c r="L170" s="357" t="s">
        <v>1014</v>
      </c>
      <c r="M170" s="360" t="s">
        <v>240</v>
      </c>
      <c r="N170" s="203"/>
      <c r="O170" s="203"/>
      <c r="P170" s="203"/>
      <c r="Q170" s="203"/>
      <c r="R170" s="203"/>
      <c r="S170" s="203"/>
    </row>
    <row r="171">
      <c r="A171" s="356">
        <v>46205.0</v>
      </c>
      <c r="B171" s="357" t="s">
        <v>1129</v>
      </c>
      <c r="C171" s="358">
        <v>485.98</v>
      </c>
      <c r="D171" s="381">
        <v>6100.0</v>
      </c>
      <c r="E171" s="359">
        <v>5360.0</v>
      </c>
      <c r="F171" s="357" t="s">
        <v>703</v>
      </c>
      <c r="G171" s="357" t="s">
        <v>917</v>
      </c>
      <c r="H171" s="357" t="s">
        <v>782</v>
      </c>
      <c r="I171" s="357" t="s">
        <v>1130</v>
      </c>
      <c r="J171" s="357" t="s">
        <v>1096</v>
      </c>
      <c r="K171" s="357" t="s">
        <v>1070</v>
      </c>
      <c r="L171" s="357" t="s">
        <v>1014</v>
      </c>
      <c r="M171" s="360" t="s">
        <v>879</v>
      </c>
      <c r="N171" s="203"/>
      <c r="O171" s="203"/>
      <c r="P171" s="203"/>
      <c r="Q171" s="203"/>
      <c r="R171" s="203"/>
      <c r="S171" s="203"/>
    </row>
    <row r="172">
      <c r="A172" s="356">
        <v>46204.0</v>
      </c>
      <c r="B172" s="357" t="s">
        <v>1116</v>
      </c>
      <c r="C172" s="358">
        <v>255.03</v>
      </c>
      <c r="D172" s="381">
        <v>5360.0</v>
      </c>
      <c r="E172" s="359">
        <v>5050.0</v>
      </c>
      <c r="F172" s="357" t="s">
        <v>689</v>
      </c>
      <c r="G172" s="357" t="s">
        <v>871</v>
      </c>
      <c r="H172" s="357" t="s">
        <v>783</v>
      </c>
      <c r="I172" s="357" t="s">
        <v>1131</v>
      </c>
      <c r="J172" s="357" t="s">
        <v>1096</v>
      </c>
      <c r="K172" s="357" t="s">
        <v>1070</v>
      </c>
      <c r="L172" s="357" t="s">
        <v>1014</v>
      </c>
      <c r="M172" s="360" t="s">
        <v>879</v>
      </c>
      <c r="N172" s="203"/>
      <c r="O172" s="203"/>
      <c r="P172" s="203"/>
      <c r="Q172" s="203"/>
      <c r="R172" s="203"/>
      <c r="S172" s="203"/>
    </row>
    <row r="173">
      <c r="A173" s="356">
        <v>46204.0</v>
      </c>
      <c r="B173" s="357" t="s">
        <v>1132</v>
      </c>
      <c r="C173" s="358">
        <v>164.38</v>
      </c>
      <c r="D173" s="381">
        <v>5330.0</v>
      </c>
      <c r="E173" s="359">
        <v>5330.0</v>
      </c>
      <c r="F173" s="357" t="s">
        <v>689</v>
      </c>
      <c r="G173" s="357" t="s">
        <v>871</v>
      </c>
      <c r="H173" s="357" t="s">
        <v>786</v>
      </c>
      <c r="I173" s="357" t="s">
        <v>1133</v>
      </c>
      <c r="J173" s="357" t="s">
        <v>1096</v>
      </c>
      <c r="K173" s="357" t="s">
        <v>1070</v>
      </c>
      <c r="L173" s="357" t="s">
        <v>1014</v>
      </c>
      <c r="M173" s="360" t="s">
        <v>240</v>
      </c>
      <c r="N173" s="203"/>
      <c r="O173" s="203"/>
      <c r="P173" s="203"/>
      <c r="Q173" s="203"/>
      <c r="R173" s="203"/>
      <c r="S173" s="203"/>
    </row>
    <row r="174">
      <c r="A174" s="356">
        <v>46204.0</v>
      </c>
      <c r="B174" s="357" t="s">
        <v>1134</v>
      </c>
      <c r="C174" s="358">
        <v>17.93</v>
      </c>
      <c r="D174" s="359">
        <v>6100.0</v>
      </c>
      <c r="E174" s="359">
        <v>5050.0</v>
      </c>
      <c r="F174" s="357" t="s">
        <v>689</v>
      </c>
      <c r="G174" s="357" t="s">
        <v>871</v>
      </c>
      <c r="H174" s="357" t="s">
        <v>784</v>
      </c>
      <c r="I174" s="357" t="s">
        <v>1135</v>
      </c>
      <c r="J174" s="357" t="s">
        <v>1096</v>
      </c>
      <c r="K174" s="357" t="s">
        <v>1070</v>
      </c>
      <c r="L174" s="357" t="s">
        <v>1014</v>
      </c>
      <c r="M174" s="360" t="s">
        <v>879</v>
      </c>
      <c r="N174" s="203"/>
      <c r="O174" s="203"/>
      <c r="P174" s="203"/>
      <c r="Q174" s="203"/>
      <c r="R174" s="203"/>
      <c r="S174" s="203"/>
    </row>
    <row r="175">
      <c r="A175" s="356">
        <v>46204.0</v>
      </c>
      <c r="B175" s="357" t="s">
        <v>1136</v>
      </c>
      <c r="C175" s="358">
        <v>-57.31</v>
      </c>
      <c r="D175" s="381">
        <v>5330.0</v>
      </c>
      <c r="E175" s="359">
        <v>5330.0</v>
      </c>
      <c r="F175" s="357" t="s">
        <v>689</v>
      </c>
      <c r="G175" s="357" t="s">
        <v>871</v>
      </c>
      <c r="H175" s="357" t="s">
        <v>786</v>
      </c>
      <c r="I175" s="357" t="s">
        <v>1137</v>
      </c>
      <c r="J175" s="357" t="s">
        <v>1096</v>
      </c>
      <c r="K175" s="357" t="s">
        <v>1112</v>
      </c>
      <c r="L175" s="357" t="s">
        <v>1014</v>
      </c>
      <c r="M175" s="360" t="s">
        <v>240</v>
      </c>
      <c r="N175" s="203"/>
      <c r="O175" s="203"/>
      <c r="P175" s="203"/>
      <c r="Q175" s="203"/>
      <c r="R175" s="203"/>
      <c r="S175" s="203"/>
    </row>
    <row r="176">
      <c r="A176" s="356">
        <v>46203.0</v>
      </c>
      <c r="B176" s="357" t="s">
        <v>1094</v>
      </c>
      <c r="C176" s="358">
        <v>264.57</v>
      </c>
      <c r="D176" s="381">
        <v>5360.0</v>
      </c>
      <c r="E176" s="359">
        <v>5360.0</v>
      </c>
      <c r="F176" s="357" t="s">
        <v>700</v>
      </c>
      <c r="G176" s="357" t="s">
        <v>909</v>
      </c>
      <c r="H176" s="357" t="s">
        <v>784</v>
      </c>
      <c r="I176" s="357" t="s">
        <v>1138</v>
      </c>
      <c r="J176" s="357" t="s">
        <v>1096</v>
      </c>
      <c r="K176" s="357" t="s">
        <v>1070</v>
      </c>
      <c r="L176" s="357" t="s">
        <v>1014</v>
      </c>
      <c r="M176" s="360" t="s">
        <v>240</v>
      </c>
      <c r="N176" s="203"/>
      <c r="O176" s="203"/>
      <c r="P176" s="203"/>
      <c r="Q176" s="203"/>
      <c r="R176" s="203"/>
      <c r="S176" s="203"/>
    </row>
    <row r="177">
      <c r="A177" s="356">
        <v>46203.0</v>
      </c>
      <c r="B177" s="357" t="s">
        <v>1139</v>
      </c>
      <c r="C177" s="358">
        <v>444.82</v>
      </c>
      <c r="D177" s="381">
        <v>6100.0</v>
      </c>
      <c r="E177" s="359">
        <v>5050.0</v>
      </c>
      <c r="F177" s="357" t="s">
        <v>689</v>
      </c>
      <c r="G177" s="357" t="s">
        <v>871</v>
      </c>
      <c r="H177" s="357" t="s">
        <v>782</v>
      </c>
      <c r="I177" s="357" t="s">
        <v>1140</v>
      </c>
      <c r="J177" s="357" t="s">
        <v>1096</v>
      </c>
      <c r="K177" s="357" t="s">
        <v>1070</v>
      </c>
      <c r="L177" s="357" t="s">
        <v>1014</v>
      </c>
      <c r="M177" s="360" t="s">
        <v>879</v>
      </c>
      <c r="N177" s="203"/>
      <c r="O177" s="203"/>
      <c r="P177" s="203"/>
      <c r="Q177" s="203"/>
      <c r="R177" s="203"/>
      <c r="S177" s="203"/>
    </row>
    <row r="178">
      <c r="A178" s="356">
        <v>46203.0</v>
      </c>
      <c r="B178" s="357" t="s">
        <v>1141</v>
      </c>
      <c r="C178" s="358">
        <v>1306.97</v>
      </c>
      <c r="D178" s="381">
        <v>6100.0</v>
      </c>
      <c r="E178" s="381" t="s">
        <v>893</v>
      </c>
      <c r="F178" s="357" t="s">
        <v>1017</v>
      </c>
      <c r="G178" s="357" t="s">
        <v>1018</v>
      </c>
      <c r="H178" s="357" t="s">
        <v>788</v>
      </c>
      <c r="I178" s="357"/>
      <c r="J178" s="357" t="s">
        <v>1012</v>
      </c>
      <c r="K178" s="357" t="s">
        <v>1142</v>
      </c>
      <c r="L178" s="357" t="s">
        <v>1014</v>
      </c>
      <c r="M178" s="360" t="s">
        <v>893</v>
      </c>
      <c r="N178" s="203"/>
      <c r="O178" s="203"/>
      <c r="P178" s="203"/>
      <c r="Q178" s="203"/>
      <c r="R178" s="203"/>
      <c r="S178" s="203"/>
    </row>
    <row r="179">
      <c r="A179" s="356">
        <v>46203.0</v>
      </c>
      <c r="B179" s="357" t="s">
        <v>1141</v>
      </c>
      <c r="C179" s="358">
        <v>-1306.97</v>
      </c>
      <c r="D179" s="381">
        <v>6100.0</v>
      </c>
      <c r="E179" s="381" t="s">
        <v>893</v>
      </c>
      <c r="F179" s="357" t="s">
        <v>1017</v>
      </c>
      <c r="G179" s="357" t="s">
        <v>1018</v>
      </c>
      <c r="H179" s="357" t="s">
        <v>788</v>
      </c>
      <c r="I179" s="357"/>
      <c r="J179" s="357" t="s">
        <v>1012</v>
      </c>
      <c r="K179" s="357" t="s">
        <v>1142</v>
      </c>
      <c r="L179" s="357" t="s">
        <v>1014</v>
      </c>
      <c r="M179" s="360" t="s">
        <v>893</v>
      </c>
      <c r="N179" s="203"/>
      <c r="O179" s="203"/>
      <c r="P179" s="203"/>
      <c r="Q179" s="203"/>
      <c r="R179" s="203"/>
      <c r="S179" s="203"/>
    </row>
    <row r="180">
      <c r="A180" s="356">
        <v>46203.0</v>
      </c>
      <c r="B180" s="357" t="s">
        <v>1141</v>
      </c>
      <c r="C180" s="358">
        <v>119.53</v>
      </c>
      <c r="D180" s="359">
        <v>6110.0</v>
      </c>
      <c r="E180" s="381" t="s">
        <v>893</v>
      </c>
      <c r="F180" s="357" t="s">
        <v>1017</v>
      </c>
      <c r="G180" s="357" t="s">
        <v>1018</v>
      </c>
      <c r="H180" s="357" t="s">
        <v>785</v>
      </c>
      <c r="I180" s="383"/>
      <c r="J180" s="357" t="s">
        <v>1012</v>
      </c>
      <c r="K180" s="357" t="s">
        <v>1142</v>
      </c>
      <c r="L180" s="357" t="s">
        <v>1014</v>
      </c>
      <c r="M180" s="360" t="s">
        <v>893</v>
      </c>
      <c r="N180" s="203"/>
      <c r="O180" s="203"/>
      <c r="P180" s="203"/>
      <c r="Q180" s="203"/>
      <c r="R180" s="203"/>
      <c r="S180" s="203"/>
    </row>
    <row r="181">
      <c r="A181" s="356">
        <v>46203.0</v>
      </c>
      <c r="B181" s="357" t="s">
        <v>1141</v>
      </c>
      <c r="C181" s="358">
        <v>-119.53</v>
      </c>
      <c r="D181" s="359">
        <v>6110.0</v>
      </c>
      <c r="E181" s="381" t="s">
        <v>893</v>
      </c>
      <c r="F181" s="357" t="s">
        <v>1017</v>
      </c>
      <c r="G181" s="357" t="s">
        <v>1018</v>
      </c>
      <c r="H181" s="357" t="s">
        <v>785</v>
      </c>
      <c r="I181" s="383"/>
      <c r="J181" s="357" t="s">
        <v>1012</v>
      </c>
      <c r="K181" s="357" t="s">
        <v>1142</v>
      </c>
      <c r="L181" s="357" t="s">
        <v>1014</v>
      </c>
      <c r="M181" s="360" t="s">
        <v>893</v>
      </c>
      <c r="N181" s="203"/>
      <c r="O181" s="203"/>
      <c r="P181" s="203"/>
      <c r="Q181" s="203"/>
      <c r="R181" s="203"/>
      <c r="S181" s="203"/>
    </row>
    <row r="182">
      <c r="A182" s="356">
        <v>46203.0</v>
      </c>
      <c r="B182" s="357" t="s">
        <v>1141</v>
      </c>
      <c r="C182" s="358">
        <v>-511.83</v>
      </c>
      <c r="D182" s="359">
        <v>5330.0</v>
      </c>
      <c r="E182" s="381" t="s">
        <v>893</v>
      </c>
      <c r="F182" s="357" t="s">
        <v>1143</v>
      </c>
      <c r="G182" s="357" t="s">
        <v>1144</v>
      </c>
      <c r="H182" s="357" t="s">
        <v>786</v>
      </c>
      <c r="I182" s="357" t="s">
        <v>1145</v>
      </c>
      <c r="J182" s="357" t="s">
        <v>1012</v>
      </c>
      <c r="K182" s="357" t="s">
        <v>1146</v>
      </c>
      <c r="L182" s="357" t="s">
        <v>1014</v>
      </c>
      <c r="M182" s="360" t="s">
        <v>893</v>
      </c>
      <c r="N182" s="203"/>
      <c r="O182" s="203"/>
      <c r="P182" s="203"/>
      <c r="Q182" s="203"/>
      <c r="R182" s="203"/>
      <c r="S182" s="203"/>
    </row>
    <row r="183">
      <c r="A183" s="356">
        <v>46203.0</v>
      </c>
      <c r="B183" s="357" t="s">
        <v>1141</v>
      </c>
      <c r="C183" s="358">
        <v>-147.89</v>
      </c>
      <c r="D183" s="359">
        <v>6110.0</v>
      </c>
      <c r="E183" s="381" t="s">
        <v>893</v>
      </c>
      <c r="F183" s="357" t="s">
        <v>1017</v>
      </c>
      <c r="G183" s="357" t="s">
        <v>1018</v>
      </c>
      <c r="H183" s="357" t="s">
        <v>785</v>
      </c>
      <c r="I183" s="357" t="s">
        <v>1145</v>
      </c>
      <c r="J183" s="357" t="s">
        <v>1012</v>
      </c>
      <c r="K183" s="357" t="s">
        <v>1146</v>
      </c>
      <c r="L183" s="357" t="s">
        <v>1014</v>
      </c>
      <c r="M183" s="360" t="s">
        <v>893</v>
      </c>
      <c r="N183" s="203"/>
      <c r="O183" s="203"/>
      <c r="P183" s="203"/>
      <c r="Q183" s="203"/>
      <c r="R183" s="203"/>
      <c r="S183" s="203"/>
    </row>
    <row r="184">
      <c r="A184" s="356">
        <v>46202.0</v>
      </c>
      <c r="B184" s="357" t="s">
        <v>1147</v>
      </c>
      <c r="C184" s="358">
        <v>20.14</v>
      </c>
      <c r="D184" s="359">
        <v>5060.0</v>
      </c>
      <c r="E184" s="381" t="s">
        <v>893</v>
      </c>
      <c r="F184" s="357" t="s">
        <v>951</v>
      </c>
      <c r="G184" s="357" t="s">
        <v>950</v>
      </c>
      <c r="H184" s="357" t="s">
        <v>785</v>
      </c>
      <c r="I184" s="357" t="s">
        <v>1148</v>
      </c>
      <c r="J184" s="357" t="s">
        <v>1012</v>
      </c>
      <c r="K184" s="357" t="s">
        <v>1070</v>
      </c>
      <c r="L184" s="357" t="s">
        <v>1014</v>
      </c>
      <c r="M184" s="360" t="s">
        <v>893</v>
      </c>
      <c r="N184" s="203"/>
      <c r="O184" s="203"/>
      <c r="P184" s="203"/>
      <c r="Q184" s="203"/>
      <c r="R184" s="203"/>
      <c r="S184" s="203"/>
    </row>
    <row r="185">
      <c r="A185" s="356">
        <v>46202.0</v>
      </c>
      <c r="B185" s="357" t="s">
        <v>1076</v>
      </c>
      <c r="C185" s="358">
        <v>587.32</v>
      </c>
      <c r="D185" s="359">
        <v>5320.0</v>
      </c>
      <c r="E185" s="381">
        <v>5320.0</v>
      </c>
      <c r="F185" s="357" t="s">
        <v>717</v>
      </c>
      <c r="G185" s="357" t="s">
        <v>943</v>
      </c>
      <c r="H185" s="357" t="s">
        <v>787</v>
      </c>
      <c r="I185" s="357" t="s">
        <v>1128</v>
      </c>
      <c r="J185" s="357" t="s">
        <v>1012</v>
      </c>
      <c r="K185" s="357" t="s">
        <v>1070</v>
      </c>
      <c r="L185" s="357" t="s">
        <v>1014</v>
      </c>
      <c r="M185" s="360" t="s">
        <v>240</v>
      </c>
      <c r="N185" s="203"/>
      <c r="O185" s="203"/>
      <c r="P185" s="203"/>
      <c r="Q185" s="203"/>
      <c r="R185" s="203"/>
      <c r="S185" s="203"/>
    </row>
    <row r="186">
      <c r="A186" s="356">
        <v>46202.0</v>
      </c>
      <c r="B186" s="357" t="s">
        <v>1076</v>
      </c>
      <c r="C186" s="358">
        <v>808.41</v>
      </c>
      <c r="D186" s="381">
        <v>5320.0</v>
      </c>
      <c r="E186" s="359">
        <v>5320.0</v>
      </c>
      <c r="F186" s="357" t="s">
        <v>717</v>
      </c>
      <c r="G186" s="357" t="s">
        <v>943</v>
      </c>
      <c r="H186" s="357" t="s">
        <v>787</v>
      </c>
      <c r="I186" s="357" t="s">
        <v>1115</v>
      </c>
      <c r="J186" s="357" t="s">
        <v>1012</v>
      </c>
      <c r="K186" s="357" t="s">
        <v>1070</v>
      </c>
      <c r="L186" s="357" t="s">
        <v>1014</v>
      </c>
      <c r="M186" s="360" t="s">
        <v>240</v>
      </c>
      <c r="N186" s="203"/>
      <c r="O186" s="203"/>
      <c r="P186" s="203"/>
      <c r="Q186" s="203"/>
      <c r="R186" s="203"/>
      <c r="S186" s="203"/>
    </row>
    <row r="187">
      <c r="A187" s="356">
        <v>46202.0</v>
      </c>
      <c r="B187" s="357" t="s">
        <v>1149</v>
      </c>
      <c r="C187" s="358">
        <v>39.23</v>
      </c>
      <c r="D187" s="359">
        <v>5330.0</v>
      </c>
      <c r="E187" s="381">
        <v>5330.0</v>
      </c>
      <c r="F187" s="357" t="s">
        <v>711</v>
      </c>
      <c r="G187" s="357" t="s">
        <v>933</v>
      </c>
      <c r="H187" s="357" t="s">
        <v>786</v>
      </c>
      <c r="I187" s="357" t="s">
        <v>1150</v>
      </c>
      <c r="J187" s="357" t="s">
        <v>1012</v>
      </c>
      <c r="K187" s="357" t="s">
        <v>1070</v>
      </c>
      <c r="L187" s="357" t="s">
        <v>1014</v>
      </c>
      <c r="M187" s="360" t="s">
        <v>240</v>
      </c>
      <c r="N187" s="203"/>
      <c r="O187" s="203"/>
      <c r="P187" s="203"/>
      <c r="Q187" s="203"/>
      <c r="R187" s="203"/>
      <c r="S187" s="203"/>
    </row>
    <row r="188">
      <c r="A188" s="356">
        <v>46202.0</v>
      </c>
      <c r="B188" s="357" t="s">
        <v>1008</v>
      </c>
      <c r="C188" s="358">
        <v>2795.0</v>
      </c>
      <c r="D188" s="359">
        <v>5320.0</v>
      </c>
      <c r="E188" s="359">
        <v>5320.0</v>
      </c>
      <c r="F188" s="357" t="s">
        <v>401</v>
      </c>
      <c r="G188" s="357" t="s">
        <v>947</v>
      </c>
      <c r="H188" s="357" t="s">
        <v>787</v>
      </c>
      <c r="I188" s="357" t="s">
        <v>1151</v>
      </c>
      <c r="J188" s="357" t="s">
        <v>1012</v>
      </c>
      <c r="K188" s="357" t="s">
        <v>1152</v>
      </c>
      <c r="L188" s="357" t="s">
        <v>1014</v>
      </c>
      <c r="M188" s="360" t="s">
        <v>240</v>
      </c>
      <c r="N188" s="203"/>
      <c r="O188" s="203"/>
      <c r="P188" s="203"/>
      <c r="Q188" s="203"/>
      <c r="R188" s="203"/>
      <c r="S188" s="203"/>
    </row>
    <row r="189">
      <c r="A189" s="356">
        <v>46202.0</v>
      </c>
      <c r="B189" s="357" t="s">
        <v>1008</v>
      </c>
      <c r="C189" s="358">
        <v>2795.0</v>
      </c>
      <c r="D189" s="359">
        <v>7550.0</v>
      </c>
      <c r="E189" s="381" t="s">
        <v>893</v>
      </c>
      <c r="F189" s="357" t="s">
        <v>1119</v>
      </c>
      <c r="G189" s="357" t="s">
        <v>1120</v>
      </c>
      <c r="H189" s="357" t="s">
        <v>786</v>
      </c>
      <c r="I189" s="357" t="s">
        <v>1121</v>
      </c>
      <c r="J189" s="357" t="s">
        <v>1012</v>
      </c>
      <c r="K189" s="357" t="s">
        <v>1153</v>
      </c>
      <c r="L189" s="357" t="s">
        <v>1014</v>
      </c>
      <c r="M189" s="360" t="s">
        <v>893</v>
      </c>
      <c r="N189" s="203"/>
      <c r="O189" s="203"/>
      <c r="P189" s="203"/>
      <c r="Q189" s="203"/>
      <c r="R189" s="203"/>
      <c r="S189" s="203"/>
    </row>
    <row r="190">
      <c r="A190" s="356">
        <v>46200.0</v>
      </c>
      <c r="B190" s="357" t="s">
        <v>1125</v>
      </c>
      <c r="C190" s="358">
        <v>468.39</v>
      </c>
      <c r="D190" s="359">
        <v>6100.0</v>
      </c>
      <c r="E190" s="359">
        <v>5050.0</v>
      </c>
      <c r="F190" s="357" t="s">
        <v>689</v>
      </c>
      <c r="G190" s="357" t="s">
        <v>871</v>
      </c>
      <c r="H190" s="357" t="s">
        <v>781</v>
      </c>
      <c r="I190" s="357" t="s">
        <v>1154</v>
      </c>
      <c r="J190" s="357" t="s">
        <v>1096</v>
      </c>
      <c r="K190" s="357" t="s">
        <v>1070</v>
      </c>
      <c r="L190" s="357" t="s">
        <v>1014</v>
      </c>
      <c r="M190" s="360" t="s">
        <v>879</v>
      </c>
      <c r="N190" s="203"/>
      <c r="O190" s="203"/>
      <c r="P190" s="203"/>
      <c r="Q190" s="203"/>
      <c r="R190" s="203"/>
      <c r="S190" s="203"/>
    </row>
    <row r="191">
      <c r="A191" s="356">
        <v>46200.0</v>
      </c>
      <c r="B191" s="357" t="s">
        <v>1125</v>
      </c>
      <c r="C191" s="358">
        <v>381.62</v>
      </c>
      <c r="D191" s="359">
        <v>6100.0</v>
      </c>
      <c r="E191" s="359">
        <v>5050.0</v>
      </c>
      <c r="F191" s="357" t="s">
        <v>689</v>
      </c>
      <c r="G191" s="357" t="s">
        <v>871</v>
      </c>
      <c r="H191" s="357" t="s">
        <v>781</v>
      </c>
      <c r="I191" s="357" t="s">
        <v>1154</v>
      </c>
      <c r="J191" s="357" t="s">
        <v>1096</v>
      </c>
      <c r="K191" s="357" t="s">
        <v>1070</v>
      </c>
      <c r="L191" s="357" t="s">
        <v>1014</v>
      </c>
      <c r="M191" s="360" t="s">
        <v>879</v>
      </c>
      <c r="N191" s="203"/>
      <c r="O191" s="203"/>
      <c r="P191" s="203"/>
      <c r="Q191" s="203"/>
      <c r="R191" s="203"/>
      <c r="S191" s="203"/>
    </row>
    <row r="192">
      <c r="A192" s="356">
        <v>46199.0</v>
      </c>
      <c r="B192" s="357" t="s">
        <v>1155</v>
      </c>
      <c r="C192" s="358">
        <v>55.14</v>
      </c>
      <c r="D192" s="359">
        <v>5330.0</v>
      </c>
      <c r="E192" s="381">
        <v>5330.0</v>
      </c>
      <c r="F192" s="357" t="s">
        <v>689</v>
      </c>
      <c r="G192" s="357" t="s">
        <v>871</v>
      </c>
      <c r="H192" s="357" t="s">
        <v>786</v>
      </c>
      <c r="I192" s="357" t="s">
        <v>1156</v>
      </c>
      <c r="J192" s="357" t="s">
        <v>1012</v>
      </c>
      <c r="K192" s="357" t="s">
        <v>1070</v>
      </c>
      <c r="L192" s="357" t="s">
        <v>1014</v>
      </c>
      <c r="M192" s="360" t="s">
        <v>240</v>
      </c>
      <c r="N192" s="203"/>
      <c r="O192" s="203"/>
      <c r="P192" s="203"/>
      <c r="Q192" s="203"/>
      <c r="R192" s="203"/>
      <c r="S192" s="203"/>
    </row>
    <row r="193">
      <c r="A193" s="356">
        <v>46199.0</v>
      </c>
      <c r="B193" s="357" t="s">
        <v>1157</v>
      </c>
      <c r="C193" s="358">
        <v>187.26</v>
      </c>
      <c r="D193" s="381">
        <v>5330.0</v>
      </c>
      <c r="E193" s="359">
        <v>5330.0</v>
      </c>
      <c r="F193" s="357" t="s">
        <v>714</v>
      </c>
      <c r="G193" s="357" t="s">
        <v>938</v>
      </c>
      <c r="H193" s="357" t="s">
        <v>786</v>
      </c>
      <c r="I193" s="357" t="s">
        <v>1158</v>
      </c>
      <c r="J193" s="357" t="s">
        <v>1012</v>
      </c>
      <c r="K193" s="357" t="s">
        <v>1070</v>
      </c>
      <c r="L193" s="357" t="s">
        <v>1014</v>
      </c>
      <c r="M193" s="360" t="s">
        <v>240</v>
      </c>
      <c r="N193" s="203"/>
      <c r="O193" s="203"/>
      <c r="P193" s="203"/>
      <c r="Q193" s="203"/>
      <c r="R193" s="203"/>
      <c r="S193" s="203"/>
    </row>
    <row r="194">
      <c r="A194" s="356">
        <v>46199.0</v>
      </c>
      <c r="B194" s="357" t="s">
        <v>1008</v>
      </c>
      <c r="C194" s="358">
        <v>1850.0</v>
      </c>
      <c r="D194" s="381">
        <v>5320.0</v>
      </c>
      <c r="E194" s="359">
        <v>5320.0</v>
      </c>
      <c r="F194" s="357" t="s">
        <v>401</v>
      </c>
      <c r="G194" s="357" t="s">
        <v>947</v>
      </c>
      <c r="H194" s="357" t="s">
        <v>787</v>
      </c>
      <c r="I194" s="357" t="s">
        <v>1151</v>
      </c>
      <c r="J194" s="357" t="s">
        <v>1012</v>
      </c>
      <c r="K194" s="357" t="s">
        <v>1159</v>
      </c>
      <c r="L194" s="357" t="s">
        <v>1014</v>
      </c>
      <c r="M194" s="360" t="s">
        <v>240</v>
      </c>
      <c r="N194" s="203"/>
      <c r="O194" s="203"/>
      <c r="P194" s="203"/>
      <c r="Q194" s="203"/>
      <c r="R194" s="203"/>
      <c r="S194" s="203"/>
    </row>
    <row r="195">
      <c r="A195" s="356">
        <v>46198.0</v>
      </c>
      <c r="B195" s="357" t="s">
        <v>1016</v>
      </c>
      <c r="C195" s="358">
        <v>759.91</v>
      </c>
      <c r="D195" s="359">
        <v>5360.0</v>
      </c>
      <c r="E195" s="381" t="s">
        <v>893</v>
      </c>
      <c r="F195" s="357" t="s">
        <v>1017</v>
      </c>
      <c r="G195" s="357" t="s">
        <v>1018</v>
      </c>
      <c r="H195" s="357" t="s">
        <v>788</v>
      </c>
      <c r="I195" s="357"/>
      <c r="J195" s="357" t="s">
        <v>1012</v>
      </c>
      <c r="K195" s="357" t="s">
        <v>1160</v>
      </c>
      <c r="L195" s="357" t="s">
        <v>1014</v>
      </c>
      <c r="M195" s="360" t="s">
        <v>893</v>
      </c>
      <c r="N195" s="203"/>
      <c r="O195" s="203"/>
      <c r="P195" s="203"/>
      <c r="Q195" s="203"/>
      <c r="R195" s="203"/>
      <c r="S195" s="203"/>
    </row>
    <row r="196">
      <c r="A196" s="356">
        <v>46197.0</v>
      </c>
      <c r="B196" s="357" t="s">
        <v>1076</v>
      </c>
      <c r="C196" s="358">
        <v>585.93</v>
      </c>
      <c r="D196" s="359">
        <v>5320.0</v>
      </c>
      <c r="E196" s="359">
        <v>5320.0</v>
      </c>
      <c r="F196" s="357" t="s">
        <v>717</v>
      </c>
      <c r="G196" s="357" t="s">
        <v>943</v>
      </c>
      <c r="H196" s="357" t="s">
        <v>787</v>
      </c>
      <c r="I196" s="357" t="s">
        <v>1128</v>
      </c>
      <c r="J196" s="357" t="s">
        <v>1012</v>
      </c>
      <c r="K196" s="357" t="s">
        <v>1070</v>
      </c>
      <c r="L196" s="357" t="s">
        <v>1014</v>
      </c>
      <c r="M196" s="360" t="s">
        <v>240</v>
      </c>
      <c r="N196" s="203"/>
      <c r="O196" s="203"/>
      <c r="P196" s="203"/>
      <c r="Q196" s="203"/>
      <c r="R196" s="203"/>
      <c r="S196" s="203"/>
    </row>
    <row r="197">
      <c r="A197" s="356">
        <v>46197.0</v>
      </c>
      <c r="B197" s="357" t="s">
        <v>1161</v>
      </c>
      <c r="C197" s="358">
        <v>3.39</v>
      </c>
      <c r="D197" s="359">
        <v>5330.0</v>
      </c>
      <c r="E197" s="359">
        <v>5320.0</v>
      </c>
      <c r="F197" s="357" t="s">
        <v>401</v>
      </c>
      <c r="G197" s="357" t="s">
        <v>947</v>
      </c>
      <c r="H197" s="357" t="s">
        <v>786</v>
      </c>
      <c r="I197" s="357" t="s">
        <v>1162</v>
      </c>
      <c r="J197" s="357" t="s">
        <v>1012</v>
      </c>
      <c r="K197" s="357" t="s">
        <v>1070</v>
      </c>
      <c r="L197" s="357" t="s">
        <v>1014</v>
      </c>
      <c r="M197" s="360" t="s">
        <v>879</v>
      </c>
      <c r="N197" s="203"/>
      <c r="O197" s="203"/>
      <c r="P197" s="203"/>
      <c r="Q197" s="203"/>
      <c r="R197" s="203"/>
      <c r="S197" s="203"/>
    </row>
    <row r="198">
      <c r="A198" s="356">
        <v>46196.0</v>
      </c>
      <c r="B198" s="357" t="s">
        <v>1161</v>
      </c>
      <c r="C198" s="358">
        <v>3.39</v>
      </c>
      <c r="D198" s="359">
        <v>5330.0</v>
      </c>
      <c r="E198" s="381">
        <v>5320.0</v>
      </c>
      <c r="F198" s="357" t="s">
        <v>401</v>
      </c>
      <c r="G198" s="357" t="s">
        <v>947</v>
      </c>
      <c r="H198" s="357" t="s">
        <v>786</v>
      </c>
      <c r="I198" s="357" t="s">
        <v>1163</v>
      </c>
      <c r="J198" s="357" t="s">
        <v>1012</v>
      </c>
      <c r="K198" s="357" t="s">
        <v>1070</v>
      </c>
      <c r="L198" s="357" t="s">
        <v>1014</v>
      </c>
      <c r="M198" s="360" t="s">
        <v>879</v>
      </c>
      <c r="N198" s="203"/>
      <c r="O198" s="203"/>
      <c r="P198" s="203"/>
      <c r="Q198" s="203"/>
      <c r="R198" s="203"/>
      <c r="S198" s="203"/>
    </row>
    <row r="199">
      <c r="A199" s="356">
        <v>46196.0</v>
      </c>
      <c r="B199" s="357" t="s">
        <v>1116</v>
      </c>
      <c r="C199" s="358">
        <v>90.0</v>
      </c>
      <c r="D199" s="359">
        <v>6100.0</v>
      </c>
      <c r="E199" s="359">
        <v>5360.0</v>
      </c>
      <c r="F199" s="357" t="s">
        <v>700</v>
      </c>
      <c r="G199" s="357" t="s">
        <v>913</v>
      </c>
      <c r="H199" s="357" t="s">
        <v>783</v>
      </c>
      <c r="I199" s="357" t="s">
        <v>1164</v>
      </c>
      <c r="J199" s="357" t="s">
        <v>1096</v>
      </c>
      <c r="K199" s="357" t="s">
        <v>1070</v>
      </c>
      <c r="L199" s="357" t="s">
        <v>1014</v>
      </c>
      <c r="M199" s="360" t="s">
        <v>879</v>
      </c>
      <c r="N199" s="203"/>
      <c r="O199" s="203"/>
      <c r="P199" s="203"/>
      <c r="Q199" s="203"/>
      <c r="R199" s="203"/>
      <c r="S199" s="203"/>
    </row>
    <row r="200">
      <c r="A200" s="356">
        <v>46195.0</v>
      </c>
      <c r="B200" s="357" t="s">
        <v>1068</v>
      </c>
      <c r="C200" s="358">
        <v>110.83</v>
      </c>
      <c r="D200" s="359">
        <v>5320.0</v>
      </c>
      <c r="E200" s="381" t="s">
        <v>893</v>
      </c>
      <c r="F200" s="357" t="s">
        <v>1165</v>
      </c>
      <c r="G200" s="357" t="s">
        <v>1166</v>
      </c>
      <c r="H200" s="357" t="s">
        <v>787</v>
      </c>
      <c r="I200" s="357" t="s">
        <v>1167</v>
      </c>
      <c r="J200" s="357" t="s">
        <v>1012</v>
      </c>
      <c r="K200" s="357" t="s">
        <v>1070</v>
      </c>
      <c r="L200" s="357" t="s">
        <v>1014</v>
      </c>
      <c r="M200" s="360" t="s">
        <v>893</v>
      </c>
      <c r="N200" s="203"/>
      <c r="O200" s="203"/>
      <c r="P200" s="203"/>
      <c r="Q200" s="203"/>
      <c r="R200" s="203"/>
      <c r="S200" s="203"/>
    </row>
    <row r="201">
      <c r="A201" s="356">
        <v>46195.0</v>
      </c>
      <c r="B201" s="357" t="s">
        <v>1139</v>
      </c>
      <c r="C201" s="358">
        <v>568.75</v>
      </c>
      <c r="D201" s="359">
        <v>6100.0</v>
      </c>
      <c r="E201" s="359">
        <v>5360.0</v>
      </c>
      <c r="F201" s="357" t="s">
        <v>700</v>
      </c>
      <c r="G201" s="357" t="s">
        <v>913</v>
      </c>
      <c r="H201" s="357" t="s">
        <v>782</v>
      </c>
      <c r="I201" s="357" t="s">
        <v>1168</v>
      </c>
      <c r="J201" s="357" t="s">
        <v>1096</v>
      </c>
      <c r="K201" s="357" t="s">
        <v>1070</v>
      </c>
      <c r="L201" s="357" t="s">
        <v>1014</v>
      </c>
      <c r="M201" s="360" t="s">
        <v>879</v>
      </c>
      <c r="N201" s="203"/>
      <c r="O201" s="203"/>
      <c r="P201" s="203"/>
      <c r="Q201" s="203"/>
      <c r="R201" s="203"/>
      <c r="S201" s="203"/>
    </row>
    <row r="202">
      <c r="A202" s="356">
        <v>46195.0</v>
      </c>
      <c r="B202" s="357" t="s">
        <v>1068</v>
      </c>
      <c r="C202" s="358">
        <v>2.12</v>
      </c>
      <c r="D202" s="381">
        <v>5320.0</v>
      </c>
      <c r="E202" s="359">
        <v>5320.0</v>
      </c>
      <c r="F202" s="357" t="s">
        <v>717</v>
      </c>
      <c r="G202" s="357" t="s">
        <v>943</v>
      </c>
      <c r="H202" s="357" t="s">
        <v>787</v>
      </c>
      <c r="I202" s="357" t="s">
        <v>1118</v>
      </c>
      <c r="J202" s="357" t="s">
        <v>1012</v>
      </c>
      <c r="K202" s="357" t="s">
        <v>1070</v>
      </c>
      <c r="L202" s="357" t="s">
        <v>1014</v>
      </c>
      <c r="M202" s="360" t="s">
        <v>240</v>
      </c>
      <c r="N202" s="203"/>
      <c r="O202" s="203"/>
      <c r="P202" s="203"/>
      <c r="Q202" s="203"/>
      <c r="R202" s="203"/>
      <c r="S202" s="203"/>
    </row>
    <row r="203">
      <c r="A203" s="356">
        <v>46192.0</v>
      </c>
      <c r="B203" s="357" t="s">
        <v>1116</v>
      </c>
      <c r="C203" s="358">
        <v>887.51</v>
      </c>
      <c r="D203" s="381">
        <v>6100.0</v>
      </c>
      <c r="E203" s="359">
        <v>5360.0</v>
      </c>
      <c r="F203" s="357" t="s">
        <v>700</v>
      </c>
      <c r="G203" s="357" t="s">
        <v>909</v>
      </c>
      <c r="H203" s="357" t="s">
        <v>783</v>
      </c>
      <c r="I203" s="357" t="s">
        <v>1169</v>
      </c>
      <c r="J203" s="357" t="s">
        <v>1012</v>
      </c>
      <c r="K203" s="357" t="s">
        <v>1070</v>
      </c>
      <c r="L203" s="357" t="s">
        <v>1014</v>
      </c>
      <c r="M203" s="360" t="s">
        <v>879</v>
      </c>
      <c r="N203" s="203"/>
      <c r="O203" s="203"/>
      <c r="P203" s="203"/>
      <c r="Q203" s="203"/>
      <c r="R203" s="203"/>
      <c r="S203" s="203"/>
    </row>
    <row r="204">
      <c r="A204" s="356">
        <v>46189.0</v>
      </c>
      <c r="B204" s="357" t="s">
        <v>1125</v>
      </c>
      <c r="C204" s="358">
        <v>600.56</v>
      </c>
      <c r="D204" s="359">
        <v>6100.0</v>
      </c>
      <c r="E204" s="381">
        <v>5360.0</v>
      </c>
      <c r="F204" s="357" t="s">
        <v>700</v>
      </c>
      <c r="G204" s="357" t="s">
        <v>913</v>
      </c>
      <c r="H204" s="357" t="s">
        <v>781</v>
      </c>
      <c r="I204" s="357" t="s">
        <v>1170</v>
      </c>
      <c r="J204" s="357" t="s">
        <v>1096</v>
      </c>
      <c r="K204" s="357" t="s">
        <v>1070</v>
      </c>
      <c r="L204" s="357" t="s">
        <v>1014</v>
      </c>
      <c r="M204" s="360" t="s">
        <v>879</v>
      </c>
      <c r="N204" s="203"/>
      <c r="O204" s="203"/>
      <c r="P204" s="203"/>
      <c r="Q204" s="203"/>
      <c r="R204" s="203"/>
      <c r="S204" s="203"/>
    </row>
    <row r="205">
      <c r="A205" s="356">
        <v>46189.0</v>
      </c>
      <c r="B205" s="357" t="s">
        <v>1171</v>
      </c>
      <c r="C205" s="358">
        <v>91.64</v>
      </c>
      <c r="D205" s="359">
        <v>5330.0</v>
      </c>
      <c r="E205" s="359">
        <v>5330.0</v>
      </c>
      <c r="F205" s="357" t="s">
        <v>714</v>
      </c>
      <c r="G205" s="357" t="s">
        <v>938</v>
      </c>
      <c r="H205" s="357" t="s">
        <v>786</v>
      </c>
      <c r="I205" s="357" t="s">
        <v>1172</v>
      </c>
      <c r="J205" s="357" t="s">
        <v>1012</v>
      </c>
      <c r="K205" s="357" t="s">
        <v>1070</v>
      </c>
      <c r="L205" s="357" t="s">
        <v>1014</v>
      </c>
      <c r="M205" s="360" t="s">
        <v>240</v>
      </c>
      <c r="N205" s="203"/>
      <c r="O205" s="203"/>
      <c r="P205" s="203"/>
      <c r="Q205" s="203"/>
      <c r="R205" s="203"/>
      <c r="S205" s="203"/>
    </row>
    <row r="206">
      <c r="A206" s="356">
        <v>46188.0</v>
      </c>
      <c r="B206" s="357" t="s">
        <v>1085</v>
      </c>
      <c r="C206" s="358">
        <v>167.39</v>
      </c>
      <c r="D206" s="359">
        <v>7550.0</v>
      </c>
      <c r="E206" s="359">
        <v>5330.0</v>
      </c>
      <c r="F206" s="357" t="s">
        <v>711</v>
      </c>
      <c r="G206" s="357" t="s">
        <v>933</v>
      </c>
      <c r="H206" s="357" t="s">
        <v>786</v>
      </c>
      <c r="I206" s="357" t="s">
        <v>1086</v>
      </c>
      <c r="J206" s="357" t="s">
        <v>1012</v>
      </c>
      <c r="K206" s="357" t="s">
        <v>1070</v>
      </c>
      <c r="L206" s="357" t="s">
        <v>1014</v>
      </c>
      <c r="M206" s="360" t="s">
        <v>879</v>
      </c>
      <c r="N206" s="203"/>
      <c r="O206" s="203"/>
      <c r="P206" s="203"/>
      <c r="Q206" s="203"/>
      <c r="R206" s="203"/>
      <c r="S206" s="203"/>
    </row>
    <row r="207">
      <c r="A207" s="356">
        <v>46188.0</v>
      </c>
      <c r="B207" s="357" t="s">
        <v>1139</v>
      </c>
      <c r="C207" s="358">
        <v>729.96</v>
      </c>
      <c r="D207" s="381">
        <v>5360.0</v>
      </c>
      <c r="E207" s="359">
        <v>5360.0</v>
      </c>
      <c r="F207" s="357" t="s">
        <v>700</v>
      </c>
      <c r="G207" s="357" t="s">
        <v>909</v>
      </c>
      <c r="H207" s="357" t="s">
        <v>782</v>
      </c>
      <c r="I207" s="357" t="s">
        <v>1173</v>
      </c>
      <c r="J207" s="357" t="s">
        <v>1096</v>
      </c>
      <c r="K207" s="357" t="s">
        <v>1070</v>
      </c>
      <c r="L207" s="357" t="s">
        <v>1014</v>
      </c>
      <c r="M207" s="360" t="s">
        <v>240</v>
      </c>
      <c r="N207" s="203"/>
      <c r="O207" s="203"/>
      <c r="P207" s="203"/>
      <c r="Q207" s="203"/>
      <c r="R207" s="203"/>
      <c r="S207" s="203"/>
    </row>
    <row r="208">
      <c r="A208" s="356">
        <v>46188.0</v>
      </c>
      <c r="B208" s="357" t="s">
        <v>1174</v>
      </c>
      <c r="C208" s="358">
        <v>118.06</v>
      </c>
      <c r="D208" s="359">
        <v>5360.0</v>
      </c>
      <c r="E208" s="359">
        <v>5360.0</v>
      </c>
      <c r="F208" s="357" t="s">
        <v>700</v>
      </c>
      <c r="G208" s="357" t="s">
        <v>909</v>
      </c>
      <c r="H208" s="357" t="s">
        <v>782</v>
      </c>
      <c r="I208" s="357" t="s">
        <v>1175</v>
      </c>
      <c r="J208" s="357" t="s">
        <v>1012</v>
      </c>
      <c r="K208" s="357" t="s">
        <v>1070</v>
      </c>
      <c r="L208" s="357" t="s">
        <v>1014</v>
      </c>
      <c r="M208" s="360" t="s">
        <v>240</v>
      </c>
      <c r="N208" s="203"/>
      <c r="O208" s="203"/>
      <c r="P208" s="203"/>
      <c r="Q208" s="203"/>
      <c r="R208" s="203"/>
      <c r="S208" s="203"/>
    </row>
    <row r="209">
      <c r="A209" s="356">
        <v>46185.0</v>
      </c>
      <c r="B209" s="357" t="s">
        <v>1016</v>
      </c>
      <c r="C209" s="358">
        <v>715.01</v>
      </c>
      <c r="D209" s="381">
        <v>5360.0</v>
      </c>
      <c r="E209" s="381" t="s">
        <v>893</v>
      </c>
      <c r="F209" s="357" t="s">
        <v>1017</v>
      </c>
      <c r="G209" s="357" t="s">
        <v>1018</v>
      </c>
      <c r="H209" s="357" t="s">
        <v>788</v>
      </c>
      <c r="I209" s="357"/>
      <c r="J209" s="357" t="s">
        <v>1012</v>
      </c>
      <c r="K209" s="357" t="s">
        <v>1176</v>
      </c>
      <c r="L209" s="357" t="s">
        <v>1014</v>
      </c>
      <c r="M209" s="360" t="s">
        <v>893</v>
      </c>
      <c r="N209" s="203"/>
      <c r="O209" s="203"/>
      <c r="P209" s="203"/>
      <c r="Q209" s="203"/>
      <c r="R209" s="203"/>
      <c r="S209" s="203"/>
    </row>
    <row r="210">
      <c r="A210" s="356">
        <v>46184.0</v>
      </c>
      <c r="B210" s="357" t="s">
        <v>1016</v>
      </c>
      <c r="C210" s="358">
        <v>313.2</v>
      </c>
      <c r="D210" s="359">
        <v>5360.0</v>
      </c>
      <c r="E210" s="381" t="s">
        <v>893</v>
      </c>
      <c r="F210" s="357" t="s">
        <v>1017</v>
      </c>
      <c r="G210" s="357" t="s">
        <v>1018</v>
      </c>
      <c r="H210" s="357" t="s">
        <v>788</v>
      </c>
      <c r="I210" s="357"/>
      <c r="J210" s="357" t="s">
        <v>1012</v>
      </c>
      <c r="K210" s="357" t="s">
        <v>1177</v>
      </c>
      <c r="L210" s="357" t="s">
        <v>1014</v>
      </c>
      <c r="M210" s="360" t="s">
        <v>893</v>
      </c>
      <c r="N210" s="203"/>
      <c r="O210" s="203"/>
      <c r="P210" s="203"/>
      <c r="Q210" s="203"/>
      <c r="R210" s="203"/>
      <c r="S210" s="203"/>
    </row>
    <row r="211">
      <c r="A211" s="356">
        <v>46182.0</v>
      </c>
      <c r="B211" s="357" t="s">
        <v>1076</v>
      </c>
      <c r="C211" s="358">
        <v>345.09</v>
      </c>
      <c r="D211" s="359">
        <v>5320.0</v>
      </c>
      <c r="E211" s="359">
        <v>5320.0</v>
      </c>
      <c r="F211" s="357" t="s">
        <v>717</v>
      </c>
      <c r="G211" s="357" t="s">
        <v>943</v>
      </c>
      <c r="H211" s="357" t="s">
        <v>787</v>
      </c>
      <c r="I211" s="357" t="s">
        <v>1118</v>
      </c>
      <c r="J211" s="357" t="s">
        <v>1012</v>
      </c>
      <c r="K211" s="357" t="s">
        <v>1070</v>
      </c>
      <c r="L211" s="357" t="s">
        <v>1014</v>
      </c>
      <c r="M211" s="360" t="s">
        <v>240</v>
      </c>
      <c r="N211" s="203"/>
      <c r="O211" s="203"/>
      <c r="P211" s="203"/>
      <c r="Q211" s="203"/>
      <c r="R211" s="203"/>
      <c r="S211" s="203"/>
    </row>
    <row r="212">
      <c r="A212" s="356">
        <v>46182.0</v>
      </c>
      <c r="B212" s="357" t="s">
        <v>1076</v>
      </c>
      <c r="C212" s="358">
        <v>117.47</v>
      </c>
      <c r="D212" s="359">
        <v>5320.0</v>
      </c>
      <c r="E212" s="381">
        <v>5320.0</v>
      </c>
      <c r="F212" s="357" t="s">
        <v>717</v>
      </c>
      <c r="G212" s="357" t="s">
        <v>943</v>
      </c>
      <c r="H212" s="357" t="s">
        <v>787</v>
      </c>
      <c r="I212" s="357" t="s">
        <v>1128</v>
      </c>
      <c r="J212" s="357" t="s">
        <v>1012</v>
      </c>
      <c r="K212" s="357" t="s">
        <v>1070</v>
      </c>
      <c r="L212" s="357" t="s">
        <v>1014</v>
      </c>
      <c r="M212" s="360" t="s">
        <v>240</v>
      </c>
      <c r="N212" s="203"/>
      <c r="O212" s="203"/>
      <c r="P212" s="203"/>
      <c r="Q212" s="203"/>
      <c r="R212" s="203"/>
      <c r="S212" s="203"/>
    </row>
    <row r="213">
      <c r="A213" s="356">
        <v>46182.0</v>
      </c>
      <c r="B213" s="357" t="s">
        <v>1076</v>
      </c>
      <c r="C213" s="358">
        <v>686.48</v>
      </c>
      <c r="D213" s="359">
        <v>5320.0</v>
      </c>
      <c r="E213" s="381">
        <v>5320.0</v>
      </c>
      <c r="F213" s="357" t="s">
        <v>717</v>
      </c>
      <c r="G213" s="357" t="s">
        <v>943</v>
      </c>
      <c r="H213" s="357" t="s">
        <v>787</v>
      </c>
      <c r="I213" s="357" t="s">
        <v>1118</v>
      </c>
      <c r="J213" s="357" t="s">
        <v>1012</v>
      </c>
      <c r="K213" s="357" t="s">
        <v>1070</v>
      </c>
      <c r="L213" s="357" t="s">
        <v>1014</v>
      </c>
      <c r="M213" s="360" t="s">
        <v>240</v>
      </c>
      <c r="N213" s="203"/>
      <c r="O213" s="203"/>
      <c r="P213" s="203"/>
      <c r="Q213" s="203"/>
      <c r="R213" s="203"/>
      <c r="S213" s="203"/>
    </row>
    <row r="214">
      <c r="A214" s="356">
        <v>46181.0</v>
      </c>
      <c r="B214" s="357" t="s">
        <v>1139</v>
      </c>
      <c r="C214" s="358">
        <v>826.42</v>
      </c>
      <c r="D214" s="359">
        <v>5360.0</v>
      </c>
      <c r="E214" s="359">
        <v>5360.0</v>
      </c>
      <c r="F214" s="357" t="s">
        <v>700</v>
      </c>
      <c r="G214" s="357" t="s">
        <v>909</v>
      </c>
      <c r="H214" s="357" t="s">
        <v>782</v>
      </c>
      <c r="I214" s="357" t="s">
        <v>1175</v>
      </c>
      <c r="J214" s="357" t="s">
        <v>1012</v>
      </c>
      <c r="K214" s="357" t="s">
        <v>1070</v>
      </c>
      <c r="L214" s="357" t="s">
        <v>1014</v>
      </c>
      <c r="M214" s="360" t="s">
        <v>240</v>
      </c>
      <c r="N214" s="203"/>
      <c r="O214" s="203"/>
      <c r="P214" s="203"/>
      <c r="Q214" s="203"/>
      <c r="R214" s="203"/>
      <c r="S214" s="203"/>
    </row>
    <row r="215">
      <c r="A215" s="356">
        <v>46177.0</v>
      </c>
      <c r="B215" s="357" t="s">
        <v>961</v>
      </c>
      <c r="C215" s="358">
        <v>102.52</v>
      </c>
      <c r="D215" s="359">
        <v>5330.0</v>
      </c>
      <c r="E215" s="359">
        <v>5330.0</v>
      </c>
      <c r="F215" s="357" t="s">
        <v>714</v>
      </c>
      <c r="G215" s="357" t="s">
        <v>938</v>
      </c>
      <c r="H215" s="357" t="s">
        <v>786</v>
      </c>
      <c r="I215" s="357" t="s">
        <v>1178</v>
      </c>
      <c r="J215" s="357" t="s">
        <v>1012</v>
      </c>
      <c r="K215" s="357" t="s">
        <v>1070</v>
      </c>
      <c r="L215" s="357" t="s">
        <v>1014</v>
      </c>
      <c r="M215" s="360" t="s">
        <v>240</v>
      </c>
      <c r="N215" s="203"/>
      <c r="O215" s="203"/>
      <c r="P215" s="203"/>
      <c r="Q215" s="203"/>
      <c r="R215" s="203"/>
      <c r="S215" s="203"/>
    </row>
    <row r="216">
      <c r="A216" s="356">
        <v>46177.0</v>
      </c>
      <c r="B216" s="357" t="s">
        <v>961</v>
      </c>
      <c r="C216" s="358">
        <v>29.44</v>
      </c>
      <c r="D216" s="359">
        <v>5330.0</v>
      </c>
      <c r="E216" s="359">
        <v>5330.0</v>
      </c>
      <c r="F216" s="357" t="s">
        <v>714</v>
      </c>
      <c r="G216" s="357" t="s">
        <v>938</v>
      </c>
      <c r="H216" s="357" t="s">
        <v>786</v>
      </c>
      <c r="I216" s="357" t="s">
        <v>1178</v>
      </c>
      <c r="J216" s="357" t="s">
        <v>1012</v>
      </c>
      <c r="K216" s="357" t="s">
        <v>1070</v>
      </c>
      <c r="L216" s="357" t="s">
        <v>1014</v>
      </c>
      <c r="M216" s="360" t="s">
        <v>240</v>
      </c>
      <c r="N216" s="203"/>
      <c r="O216" s="203"/>
      <c r="P216" s="203"/>
      <c r="Q216" s="203"/>
      <c r="R216" s="203"/>
      <c r="S216" s="203"/>
    </row>
    <row r="217">
      <c r="A217" s="356">
        <v>46176.0</v>
      </c>
      <c r="B217" s="357" t="s">
        <v>961</v>
      </c>
      <c r="C217" s="358">
        <v>131.67</v>
      </c>
      <c r="D217" s="359">
        <v>5330.0</v>
      </c>
      <c r="E217" s="359">
        <v>5330.0</v>
      </c>
      <c r="F217" s="357" t="s">
        <v>714</v>
      </c>
      <c r="G217" s="357" t="s">
        <v>938</v>
      </c>
      <c r="H217" s="357" t="s">
        <v>786</v>
      </c>
      <c r="I217" s="357" t="s">
        <v>1179</v>
      </c>
      <c r="J217" s="357" t="s">
        <v>1012</v>
      </c>
      <c r="K217" s="357" t="s">
        <v>1070</v>
      </c>
      <c r="L217" s="357" t="s">
        <v>1014</v>
      </c>
      <c r="M217" s="360" t="s">
        <v>240</v>
      </c>
      <c r="N217" s="203"/>
      <c r="O217" s="203"/>
      <c r="P217" s="203"/>
      <c r="Q217" s="203"/>
      <c r="R217" s="203"/>
      <c r="S217" s="203"/>
    </row>
    <row r="218">
      <c r="A218" s="356">
        <v>46176.0</v>
      </c>
      <c r="B218" s="357" t="s">
        <v>1058</v>
      </c>
      <c r="C218" s="358">
        <v>106.49</v>
      </c>
      <c r="D218" s="359">
        <v>5330.0</v>
      </c>
      <c r="E218" s="359">
        <v>5330.0</v>
      </c>
      <c r="F218" s="357" t="s">
        <v>692</v>
      </c>
      <c r="G218" s="357" t="s">
        <v>867</v>
      </c>
      <c r="H218" s="357" t="s">
        <v>786</v>
      </c>
      <c r="I218" s="357" t="s">
        <v>1180</v>
      </c>
      <c r="J218" s="357" t="s">
        <v>1012</v>
      </c>
      <c r="K218" s="357" t="s">
        <v>1070</v>
      </c>
      <c r="L218" s="357" t="s">
        <v>1014</v>
      </c>
      <c r="M218" s="360" t="s">
        <v>240</v>
      </c>
      <c r="N218" s="203"/>
      <c r="O218" s="203"/>
      <c r="P218" s="203"/>
      <c r="Q218" s="203"/>
      <c r="R218" s="203"/>
      <c r="S218" s="203"/>
    </row>
    <row r="219">
      <c r="A219" s="356">
        <v>46175.0</v>
      </c>
      <c r="B219" s="357" t="s">
        <v>1125</v>
      </c>
      <c r="C219" s="358">
        <v>48.36</v>
      </c>
      <c r="D219" s="359">
        <v>5360.0</v>
      </c>
      <c r="E219" s="359">
        <v>5360.0</v>
      </c>
      <c r="F219" s="357" t="s">
        <v>700</v>
      </c>
      <c r="G219" s="357" t="s">
        <v>909</v>
      </c>
      <c r="H219" s="357" t="s">
        <v>781</v>
      </c>
      <c r="I219" s="357" t="s">
        <v>1175</v>
      </c>
      <c r="J219" s="357" t="s">
        <v>1012</v>
      </c>
      <c r="K219" s="357" t="s">
        <v>1070</v>
      </c>
      <c r="L219" s="357" t="s">
        <v>1014</v>
      </c>
      <c r="M219" s="360" t="s">
        <v>240</v>
      </c>
      <c r="N219" s="203"/>
      <c r="O219" s="203"/>
      <c r="P219" s="203"/>
      <c r="Q219" s="203"/>
      <c r="R219" s="203"/>
      <c r="S219" s="203"/>
    </row>
    <row r="220">
      <c r="A220" s="356">
        <v>46175.0</v>
      </c>
      <c r="B220" s="357" t="s">
        <v>1125</v>
      </c>
      <c r="C220" s="358">
        <v>539.05</v>
      </c>
      <c r="D220" s="359">
        <v>5360.0</v>
      </c>
      <c r="E220" s="359">
        <v>5360.0</v>
      </c>
      <c r="F220" s="357" t="s">
        <v>700</v>
      </c>
      <c r="G220" s="357" t="s">
        <v>909</v>
      </c>
      <c r="H220" s="357" t="s">
        <v>781</v>
      </c>
      <c r="I220" s="357" t="s">
        <v>1175</v>
      </c>
      <c r="J220" s="357" t="s">
        <v>1012</v>
      </c>
      <c r="K220" s="357" t="s">
        <v>1070</v>
      </c>
      <c r="L220" s="357" t="s">
        <v>1014</v>
      </c>
      <c r="M220" s="360" t="s">
        <v>240</v>
      </c>
      <c r="N220" s="203"/>
      <c r="O220" s="203"/>
      <c r="P220" s="203"/>
      <c r="Q220" s="203"/>
      <c r="R220" s="203"/>
      <c r="S220" s="203"/>
    </row>
    <row r="221">
      <c r="A221" s="356">
        <v>46174.0</v>
      </c>
      <c r="B221" s="357" t="s">
        <v>961</v>
      </c>
      <c r="C221" s="358">
        <v>96.58</v>
      </c>
      <c r="D221" s="359">
        <v>5330.0</v>
      </c>
      <c r="E221" s="359">
        <v>5330.0</v>
      </c>
      <c r="F221" s="357" t="s">
        <v>711</v>
      </c>
      <c r="G221" s="357" t="s">
        <v>933</v>
      </c>
      <c r="H221" s="357" t="s">
        <v>786</v>
      </c>
      <c r="I221" s="357" t="s">
        <v>1181</v>
      </c>
      <c r="J221" s="357" t="s">
        <v>1012</v>
      </c>
      <c r="K221" s="357" t="s">
        <v>1070</v>
      </c>
      <c r="L221" s="357" t="s">
        <v>1014</v>
      </c>
      <c r="M221" s="360" t="s">
        <v>240</v>
      </c>
      <c r="N221" s="203"/>
      <c r="O221" s="203"/>
      <c r="P221" s="203"/>
      <c r="Q221" s="203"/>
      <c r="R221" s="203"/>
      <c r="S221" s="203"/>
    </row>
    <row r="222">
      <c r="A222" s="356">
        <v>46170.0</v>
      </c>
      <c r="B222" s="357" t="s">
        <v>1016</v>
      </c>
      <c r="C222" s="358">
        <v>848.25</v>
      </c>
      <c r="D222" s="359">
        <v>6100.0</v>
      </c>
      <c r="E222" s="381" t="s">
        <v>893</v>
      </c>
      <c r="F222" s="357" t="s">
        <v>1017</v>
      </c>
      <c r="G222" s="357" t="s">
        <v>1018</v>
      </c>
      <c r="H222" s="357" t="s">
        <v>788</v>
      </c>
      <c r="I222" s="357"/>
      <c r="J222" s="357" t="s">
        <v>1012</v>
      </c>
      <c r="K222" s="357" t="s">
        <v>1182</v>
      </c>
      <c r="L222" s="357" t="s">
        <v>1014</v>
      </c>
      <c r="M222" s="360" t="s">
        <v>893</v>
      </c>
      <c r="N222" s="203"/>
      <c r="O222" s="203"/>
      <c r="P222" s="203"/>
      <c r="Q222" s="203"/>
      <c r="R222" s="203"/>
      <c r="S222" s="203"/>
    </row>
    <row r="223">
      <c r="A223" s="356">
        <v>46164.0</v>
      </c>
      <c r="B223" s="357" t="s">
        <v>881</v>
      </c>
      <c r="C223" s="358">
        <v>45.2</v>
      </c>
      <c r="D223" s="359">
        <v>5320.0</v>
      </c>
      <c r="E223" s="359">
        <v>5320.0</v>
      </c>
      <c r="F223" s="357" t="s">
        <v>717</v>
      </c>
      <c r="G223" s="357" t="s">
        <v>943</v>
      </c>
      <c r="H223" s="357" t="s">
        <v>787</v>
      </c>
      <c r="I223" s="357" t="s">
        <v>1183</v>
      </c>
      <c r="J223" s="357" t="s">
        <v>1012</v>
      </c>
      <c r="K223" s="357" t="s">
        <v>1070</v>
      </c>
      <c r="L223" s="357" t="s">
        <v>1014</v>
      </c>
      <c r="M223" s="360" t="s">
        <v>240</v>
      </c>
      <c r="N223" s="203"/>
      <c r="O223" s="203"/>
      <c r="P223" s="203"/>
      <c r="Q223" s="203"/>
      <c r="R223" s="203"/>
      <c r="S223" s="203"/>
    </row>
    <row r="224">
      <c r="A224" s="356">
        <v>46164.0</v>
      </c>
      <c r="B224" s="357" t="s">
        <v>1184</v>
      </c>
      <c r="C224" s="358">
        <v>88.05</v>
      </c>
      <c r="D224" s="359">
        <v>5360.0</v>
      </c>
      <c r="E224" s="359">
        <v>5050.0</v>
      </c>
      <c r="F224" s="357" t="s">
        <v>692</v>
      </c>
      <c r="G224" s="357" t="s">
        <v>867</v>
      </c>
      <c r="H224" s="357" t="s">
        <v>782</v>
      </c>
      <c r="I224" s="357" t="s">
        <v>1185</v>
      </c>
      <c r="J224" s="357" t="s">
        <v>1012</v>
      </c>
      <c r="K224" s="357" t="s">
        <v>1070</v>
      </c>
      <c r="L224" s="357" t="s">
        <v>1014</v>
      </c>
      <c r="M224" s="360" t="s">
        <v>879</v>
      </c>
      <c r="N224" s="203"/>
      <c r="O224" s="203"/>
      <c r="P224" s="203"/>
      <c r="Q224" s="203"/>
      <c r="R224" s="203"/>
      <c r="S224" s="203"/>
    </row>
    <row r="225">
      <c r="A225" s="356">
        <v>46163.0</v>
      </c>
      <c r="B225" s="357" t="s">
        <v>1016</v>
      </c>
      <c r="C225" s="358">
        <v>807.04</v>
      </c>
      <c r="D225" s="359">
        <v>6100.0</v>
      </c>
      <c r="E225" s="381" t="s">
        <v>893</v>
      </c>
      <c r="F225" s="357" t="s">
        <v>1017</v>
      </c>
      <c r="G225" s="357" t="s">
        <v>1018</v>
      </c>
      <c r="H225" s="357" t="s">
        <v>788</v>
      </c>
      <c r="I225" s="383"/>
      <c r="J225" s="357" t="s">
        <v>1012</v>
      </c>
      <c r="K225" s="357" t="s">
        <v>1186</v>
      </c>
      <c r="L225" s="357" t="s">
        <v>1014</v>
      </c>
      <c r="M225" s="360" t="s">
        <v>893</v>
      </c>
      <c r="N225" s="203"/>
      <c r="O225" s="203"/>
      <c r="P225" s="203"/>
      <c r="Q225" s="203"/>
      <c r="R225" s="203"/>
      <c r="S225" s="203"/>
    </row>
    <row r="226">
      <c r="A226" s="356">
        <v>46162.0</v>
      </c>
      <c r="B226" s="357" t="s">
        <v>961</v>
      </c>
      <c r="C226" s="358">
        <v>231.84</v>
      </c>
      <c r="D226" s="359">
        <v>5330.0</v>
      </c>
      <c r="E226" s="359">
        <v>5330.0</v>
      </c>
      <c r="F226" s="357" t="s">
        <v>714</v>
      </c>
      <c r="G226" s="357" t="s">
        <v>938</v>
      </c>
      <c r="H226" s="357" t="s">
        <v>786</v>
      </c>
      <c r="I226" s="357" t="s">
        <v>1187</v>
      </c>
      <c r="J226" s="357" t="s">
        <v>1012</v>
      </c>
      <c r="K226" s="357" t="s">
        <v>1070</v>
      </c>
      <c r="L226" s="357" t="s">
        <v>1014</v>
      </c>
      <c r="M226" s="360" t="s">
        <v>240</v>
      </c>
      <c r="N226" s="203"/>
      <c r="O226" s="203"/>
      <c r="P226" s="203"/>
      <c r="Q226" s="203"/>
      <c r="R226" s="203"/>
      <c r="S226" s="203"/>
    </row>
    <row r="227">
      <c r="A227" s="356">
        <v>46162.0</v>
      </c>
      <c r="B227" s="357" t="s">
        <v>1188</v>
      </c>
      <c r="C227" s="358">
        <v>86.01</v>
      </c>
      <c r="D227" s="359">
        <v>5330.0</v>
      </c>
      <c r="E227" s="359">
        <v>5330.0</v>
      </c>
      <c r="F227" s="357" t="s">
        <v>692</v>
      </c>
      <c r="G227" s="357" t="s">
        <v>867</v>
      </c>
      <c r="H227" s="357" t="s">
        <v>786</v>
      </c>
      <c r="I227" s="357" t="s">
        <v>1189</v>
      </c>
      <c r="J227" s="357" t="s">
        <v>1012</v>
      </c>
      <c r="K227" s="357" t="s">
        <v>1070</v>
      </c>
      <c r="L227" s="357" t="s">
        <v>1014</v>
      </c>
      <c r="M227" s="360" t="s">
        <v>240</v>
      </c>
      <c r="N227" s="203"/>
      <c r="O227" s="203"/>
      <c r="P227" s="203"/>
      <c r="Q227" s="203"/>
      <c r="R227" s="203"/>
      <c r="S227" s="203"/>
    </row>
    <row r="228">
      <c r="A228" s="356">
        <v>46162.0</v>
      </c>
      <c r="B228" s="357" t="s">
        <v>1076</v>
      </c>
      <c r="C228" s="358">
        <v>250.74</v>
      </c>
      <c r="D228" s="359">
        <v>5320.0</v>
      </c>
      <c r="E228" s="381">
        <v>5320.0</v>
      </c>
      <c r="F228" s="357" t="s">
        <v>717</v>
      </c>
      <c r="G228" s="357" t="s">
        <v>943</v>
      </c>
      <c r="H228" s="357" t="s">
        <v>787</v>
      </c>
      <c r="I228" s="357" t="s">
        <v>1118</v>
      </c>
      <c r="J228" s="357" t="s">
        <v>1012</v>
      </c>
      <c r="K228" s="357" t="s">
        <v>1070</v>
      </c>
      <c r="L228" s="357" t="s">
        <v>1014</v>
      </c>
      <c r="M228" s="360" t="s">
        <v>240</v>
      </c>
      <c r="N228" s="203"/>
      <c r="O228" s="203"/>
      <c r="P228" s="203"/>
      <c r="Q228" s="203"/>
      <c r="R228" s="203"/>
      <c r="S228" s="203"/>
    </row>
    <row r="229">
      <c r="A229" s="356">
        <v>46161.0</v>
      </c>
      <c r="B229" s="357" t="s">
        <v>1190</v>
      </c>
      <c r="C229" s="358">
        <v>247.59</v>
      </c>
      <c r="D229" s="359">
        <v>5360.0</v>
      </c>
      <c r="E229" s="359">
        <v>5050.0</v>
      </c>
      <c r="F229" s="357" t="s">
        <v>692</v>
      </c>
      <c r="G229" s="357" t="s">
        <v>867</v>
      </c>
      <c r="H229" s="357" t="s">
        <v>782</v>
      </c>
      <c r="I229" s="357" t="s">
        <v>1191</v>
      </c>
      <c r="J229" s="357" t="s">
        <v>1012</v>
      </c>
      <c r="K229" s="357" t="s">
        <v>1070</v>
      </c>
      <c r="L229" s="357" t="s">
        <v>1014</v>
      </c>
      <c r="M229" s="360" t="s">
        <v>879</v>
      </c>
      <c r="N229" s="203"/>
      <c r="O229" s="203"/>
      <c r="P229" s="203"/>
      <c r="Q229" s="203"/>
      <c r="R229" s="203"/>
      <c r="S229" s="203"/>
    </row>
    <row r="230">
      <c r="A230" s="356">
        <v>46161.0</v>
      </c>
      <c r="B230" s="357" t="s">
        <v>1184</v>
      </c>
      <c r="C230" s="358">
        <v>147.75</v>
      </c>
      <c r="D230" s="359">
        <v>5360.0</v>
      </c>
      <c r="E230" s="359">
        <v>5050.0</v>
      </c>
      <c r="F230" s="357" t="s">
        <v>692</v>
      </c>
      <c r="G230" s="357" t="s">
        <v>867</v>
      </c>
      <c r="H230" s="357" t="s">
        <v>782</v>
      </c>
      <c r="I230" s="357" t="s">
        <v>1192</v>
      </c>
      <c r="J230" s="357" t="s">
        <v>1012</v>
      </c>
      <c r="K230" s="357" t="s">
        <v>1070</v>
      </c>
      <c r="L230" s="357" t="s">
        <v>1014</v>
      </c>
      <c r="M230" s="360" t="s">
        <v>879</v>
      </c>
      <c r="N230" s="203"/>
      <c r="O230" s="203"/>
      <c r="P230" s="203"/>
      <c r="Q230" s="203"/>
      <c r="R230" s="203"/>
      <c r="S230" s="203"/>
    </row>
    <row r="231">
      <c r="A231" s="356">
        <v>46160.0</v>
      </c>
      <c r="B231" s="357" t="s">
        <v>1125</v>
      </c>
      <c r="C231" s="358">
        <v>1507.96</v>
      </c>
      <c r="D231" s="359">
        <v>5360.0</v>
      </c>
      <c r="E231" s="359">
        <v>5050.0</v>
      </c>
      <c r="F231" s="357" t="s">
        <v>692</v>
      </c>
      <c r="G231" s="357" t="s">
        <v>867</v>
      </c>
      <c r="H231" s="357" t="s">
        <v>781</v>
      </c>
      <c r="I231" s="357" t="s">
        <v>1193</v>
      </c>
      <c r="J231" s="357" t="s">
        <v>1012</v>
      </c>
      <c r="K231" s="357" t="s">
        <v>1070</v>
      </c>
      <c r="L231" s="357" t="s">
        <v>1014</v>
      </c>
      <c r="M231" s="360" t="s">
        <v>879</v>
      </c>
      <c r="N231" s="203"/>
      <c r="O231" s="203"/>
      <c r="P231" s="203"/>
      <c r="Q231" s="203"/>
      <c r="R231" s="203"/>
      <c r="S231" s="203"/>
    </row>
    <row r="232">
      <c r="A232" s="356">
        <v>46160.0</v>
      </c>
      <c r="B232" s="357" t="s">
        <v>1125</v>
      </c>
      <c r="C232" s="358">
        <v>100.0</v>
      </c>
      <c r="D232" s="359">
        <v>5360.0</v>
      </c>
      <c r="E232" s="359">
        <v>5050.0</v>
      </c>
      <c r="F232" s="357" t="s">
        <v>692</v>
      </c>
      <c r="G232" s="357" t="s">
        <v>867</v>
      </c>
      <c r="H232" s="357" t="s">
        <v>781</v>
      </c>
      <c r="I232" s="357" t="s">
        <v>1194</v>
      </c>
      <c r="J232" s="357" t="s">
        <v>1012</v>
      </c>
      <c r="K232" s="357" t="s">
        <v>1070</v>
      </c>
      <c r="L232" s="357" t="s">
        <v>1014</v>
      </c>
      <c r="M232" s="360" t="s">
        <v>879</v>
      </c>
      <c r="N232" s="203"/>
      <c r="O232" s="203"/>
      <c r="P232" s="203"/>
      <c r="Q232" s="203"/>
      <c r="R232" s="203"/>
      <c r="S232" s="203"/>
    </row>
    <row r="233">
      <c r="A233" s="356">
        <v>46160.0</v>
      </c>
      <c r="B233" s="357" t="s">
        <v>1195</v>
      </c>
      <c r="C233" s="358">
        <v>45.0</v>
      </c>
      <c r="D233" s="359">
        <v>5320.0</v>
      </c>
      <c r="E233" s="359">
        <v>5050.0</v>
      </c>
      <c r="F233" s="357" t="s">
        <v>692</v>
      </c>
      <c r="G233" s="357" t="s">
        <v>867</v>
      </c>
      <c r="H233" s="357" t="s">
        <v>787</v>
      </c>
      <c r="I233" s="357" t="s">
        <v>1196</v>
      </c>
      <c r="J233" s="357" t="s">
        <v>1012</v>
      </c>
      <c r="K233" s="357" t="s">
        <v>1070</v>
      </c>
      <c r="L233" s="357" t="s">
        <v>1014</v>
      </c>
      <c r="M233" s="360" t="s">
        <v>879</v>
      </c>
      <c r="N233" s="203"/>
      <c r="O233" s="203"/>
      <c r="P233" s="203"/>
      <c r="Q233" s="203"/>
      <c r="R233" s="203"/>
      <c r="S233" s="203"/>
    </row>
    <row r="234">
      <c r="A234" s="356">
        <v>46160.0</v>
      </c>
      <c r="B234" s="357" t="s">
        <v>1197</v>
      </c>
      <c r="C234" s="358">
        <v>18.64</v>
      </c>
      <c r="D234" s="359">
        <v>5370.0</v>
      </c>
      <c r="E234" s="359">
        <v>5060.0</v>
      </c>
      <c r="F234" s="357" t="s">
        <v>692</v>
      </c>
      <c r="G234" s="357" t="s">
        <v>867</v>
      </c>
      <c r="H234" s="357" t="s">
        <v>785</v>
      </c>
      <c r="I234" s="357" t="s">
        <v>1198</v>
      </c>
      <c r="J234" s="357" t="s">
        <v>1012</v>
      </c>
      <c r="K234" s="357" t="s">
        <v>1070</v>
      </c>
      <c r="L234" s="357" t="s">
        <v>1014</v>
      </c>
      <c r="M234" s="360" t="s">
        <v>879</v>
      </c>
      <c r="N234" s="203"/>
      <c r="O234" s="203"/>
      <c r="P234" s="203"/>
      <c r="Q234" s="203"/>
      <c r="R234" s="203"/>
      <c r="S234" s="203"/>
    </row>
    <row r="235">
      <c r="A235" s="356">
        <v>46160.0</v>
      </c>
      <c r="B235" s="357" t="s">
        <v>1195</v>
      </c>
      <c r="C235" s="358">
        <v>55.0</v>
      </c>
      <c r="D235" s="359">
        <v>5360.0</v>
      </c>
      <c r="E235" s="359">
        <v>5050.0</v>
      </c>
      <c r="F235" s="357" t="s">
        <v>692</v>
      </c>
      <c r="G235" s="357" t="s">
        <v>867</v>
      </c>
      <c r="H235" s="357" t="s">
        <v>781</v>
      </c>
      <c r="I235" s="357" t="s">
        <v>1199</v>
      </c>
      <c r="J235" s="357" t="s">
        <v>1012</v>
      </c>
      <c r="K235" s="357" t="s">
        <v>1070</v>
      </c>
      <c r="L235" s="357" t="s">
        <v>1014</v>
      </c>
      <c r="M235" s="360" t="s">
        <v>879</v>
      </c>
      <c r="N235" s="203"/>
      <c r="O235" s="203"/>
      <c r="P235" s="203"/>
      <c r="Q235" s="203"/>
      <c r="R235" s="203"/>
      <c r="S235" s="203"/>
    </row>
    <row r="236">
      <c r="A236" s="356">
        <v>46160.0</v>
      </c>
      <c r="B236" s="357" t="s">
        <v>1200</v>
      </c>
      <c r="C236" s="358">
        <v>190.0</v>
      </c>
      <c r="D236" s="359">
        <v>5360.0</v>
      </c>
      <c r="E236" s="359">
        <v>5050.0</v>
      </c>
      <c r="F236" s="357" t="s">
        <v>692</v>
      </c>
      <c r="G236" s="357" t="s">
        <v>867</v>
      </c>
      <c r="H236" s="357" t="s">
        <v>788</v>
      </c>
      <c r="I236" s="357" t="s">
        <v>1201</v>
      </c>
      <c r="J236" s="357" t="s">
        <v>1012</v>
      </c>
      <c r="K236" s="357" t="s">
        <v>1070</v>
      </c>
      <c r="L236" s="357" t="s">
        <v>1014</v>
      </c>
      <c r="M236" s="360" t="s">
        <v>879</v>
      </c>
      <c r="N236" s="203"/>
      <c r="O236" s="203"/>
      <c r="P236" s="203"/>
      <c r="Q236" s="203"/>
      <c r="R236" s="203"/>
      <c r="S236" s="203"/>
    </row>
    <row r="237">
      <c r="A237" s="356">
        <v>46160.0</v>
      </c>
      <c r="B237" s="357" t="s">
        <v>1139</v>
      </c>
      <c r="C237" s="358">
        <v>99.59</v>
      </c>
      <c r="D237" s="359">
        <v>5360.0</v>
      </c>
      <c r="E237" s="359">
        <v>5050.0</v>
      </c>
      <c r="F237" s="357" t="s">
        <v>692</v>
      </c>
      <c r="G237" s="357" t="s">
        <v>867</v>
      </c>
      <c r="H237" s="357" t="s">
        <v>782</v>
      </c>
      <c r="I237" s="357" t="s">
        <v>1202</v>
      </c>
      <c r="J237" s="357" t="s">
        <v>1012</v>
      </c>
      <c r="K237" s="357" t="s">
        <v>1070</v>
      </c>
      <c r="L237" s="357" t="s">
        <v>1014</v>
      </c>
      <c r="M237" s="360" t="s">
        <v>879</v>
      </c>
      <c r="N237" s="203"/>
      <c r="O237" s="203"/>
      <c r="P237" s="203"/>
      <c r="Q237" s="203"/>
      <c r="R237" s="203"/>
      <c r="S237" s="203"/>
    </row>
    <row r="238">
      <c r="A238" s="356">
        <v>46160.0</v>
      </c>
      <c r="B238" s="357" t="s">
        <v>1139</v>
      </c>
      <c r="C238" s="358">
        <v>1240.59</v>
      </c>
      <c r="D238" s="359">
        <v>5360.0</v>
      </c>
      <c r="E238" s="359">
        <v>5360.0</v>
      </c>
      <c r="F238" s="357" t="s">
        <v>700</v>
      </c>
      <c r="G238" s="357" t="s">
        <v>909</v>
      </c>
      <c r="H238" s="357" t="s">
        <v>782</v>
      </c>
      <c r="I238" s="357" t="s">
        <v>1203</v>
      </c>
      <c r="J238" s="357" t="s">
        <v>1012</v>
      </c>
      <c r="K238" s="357" t="s">
        <v>1070</v>
      </c>
      <c r="L238" s="357" t="s">
        <v>1014</v>
      </c>
      <c r="M238" s="360" t="s">
        <v>240</v>
      </c>
      <c r="N238" s="203"/>
      <c r="O238" s="203"/>
      <c r="P238" s="203"/>
      <c r="Q238" s="203"/>
      <c r="R238" s="203"/>
      <c r="S238" s="203"/>
    </row>
    <row r="239">
      <c r="A239" s="356">
        <v>46159.0</v>
      </c>
      <c r="B239" s="357" t="s">
        <v>961</v>
      </c>
      <c r="C239" s="358">
        <v>85.58</v>
      </c>
      <c r="D239" s="359">
        <v>5330.0</v>
      </c>
      <c r="E239" s="359">
        <v>5330.0</v>
      </c>
      <c r="F239" s="357" t="s">
        <v>711</v>
      </c>
      <c r="G239" s="357" t="s">
        <v>933</v>
      </c>
      <c r="H239" s="357" t="s">
        <v>786</v>
      </c>
      <c r="I239" s="357" t="s">
        <v>1204</v>
      </c>
      <c r="J239" s="357" t="s">
        <v>1012</v>
      </c>
      <c r="K239" s="357" t="s">
        <v>1070</v>
      </c>
      <c r="L239" s="357" t="s">
        <v>1014</v>
      </c>
      <c r="M239" s="360" t="s">
        <v>240</v>
      </c>
      <c r="N239" s="203"/>
      <c r="O239" s="203"/>
      <c r="P239" s="203"/>
      <c r="Q239" s="203"/>
      <c r="R239" s="203"/>
      <c r="S239" s="203"/>
    </row>
    <row r="240">
      <c r="A240" s="356">
        <v>46157.0</v>
      </c>
      <c r="B240" s="357" t="s">
        <v>1139</v>
      </c>
      <c r="C240" s="358">
        <v>560.8</v>
      </c>
      <c r="D240" s="359">
        <v>5360.0</v>
      </c>
      <c r="E240" s="359">
        <v>5360.0</v>
      </c>
      <c r="F240" s="357" t="s">
        <v>700</v>
      </c>
      <c r="G240" s="357" t="s">
        <v>909</v>
      </c>
      <c r="H240" s="357" t="s">
        <v>782</v>
      </c>
      <c r="I240" s="357" t="s">
        <v>1205</v>
      </c>
      <c r="J240" s="357" t="s">
        <v>1012</v>
      </c>
      <c r="K240" s="357" t="s">
        <v>1070</v>
      </c>
      <c r="L240" s="357" t="s">
        <v>1014</v>
      </c>
      <c r="M240" s="360" t="s">
        <v>240</v>
      </c>
      <c r="N240" s="203"/>
      <c r="O240" s="203"/>
      <c r="P240" s="203"/>
      <c r="Q240" s="203"/>
      <c r="R240" s="203"/>
      <c r="S240" s="203"/>
    </row>
    <row r="241">
      <c r="A241" s="356">
        <v>46157.0</v>
      </c>
      <c r="B241" s="357" t="s">
        <v>1125</v>
      </c>
      <c r="C241" s="358">
        <v>73.0</v>
      </c>
      <c r="D241" s="359">
        <v>5360.0</v>
      </c>
      <c r="E241" s="359">
        <v>5360.0</v>
      </c>
      <c r="F241" s="357" t="s">
        <v>700</v>
      </c>
      <c r="G241" s="357" t="s">
        <v>909</v>
      </c>
      <c r="H241" s="357" t="s">
        <v>781</v>
      </c>
      <c r="I241" s="357" t="s">
        <v>1206</v>
      </c>
      <c r="J241" s="357" t="s">
        <v>1012</v>
      </c>
      <c r="K241" s="357" t="s">
        <v>1070</v>
      </c>
      <c r="L241" s="357" t="s">
        <v>1014</v>
      </c>
      <c r="M241" s="360" t="s">
        <v>240</v>
      </c>
      <c r="N241" s="203"/>
      <c r="O241" s="203"/>
      <c r="P241" s="203"/>
      <c r="Q241" s="203"/>
      <c r="R241" s="203"/>
      <c r="S241" s="203"/>
    </row>
    <row r="242">
      <c r="A242" s="356">
        <v>46157.0</v>
      </c>
      <c r="B242" s="357" t="s">
        <v>1207</v>
      </c>
      <c r="C242" s="358">
        <v>653.38</v>
      </c>
      <c r="D242" s="359">
        <v>5360.0</v>
      </c>
      <c r="E242" s="359">
        <v>5360.0</v>
      </c>
      <c r="F242" s="357" t="s">
        <v>700</v>
      </c>
      <c r="G242" s="357" t="s">
        <v>909</v>
      </c>
      <c r="H242" s="357" t="s">
        <v>783</v>
      </c>
      <c r="I242" s="357" t="s">
        <v>1208</v>
      </c>
      <c r="J242" s="357" t="s">
        <v>1012</v>
      </c>
      <c r="K242" s="357" t="s">
        <v>1070</v>
      </c>
      <c r="L242" s="357" t="s">
        <v>1014</v>
      </c>
      <c r="M242" s="360" t="s">
        <v>240</v>
      </c>
      <c r="N242" s="203"/>
      <c r="O242" s="203"/>
      <c r="P242" s="203"/>
      <c r="Q242" s="203"/>
      <c r="R242" s="203"/>
      <c r="S242" s="203"/>
    </row>
    <row r="243">
      <c r="A243" s="356">
        <v>46156.0</v>
      </c>
      <c r="B243" s="357" t="s">
        <v>1209</v>
      </c>
      <c r="C243" s="358">
        <v>29.0</v>
      </c>
      <c r="D243" s="359">
        <v>6100.0</v>
      </c>
      <c r="E243" s="381" t="s">
        <v>893</v>
      </c>
      <c r="F243" s="357" t="s">
        <v>951</v>
      </c>
      <c r="G243" s="357" t="s">
        <v>950</v>
      </c>
      <c r="H243" s="357" t="s">
        <v>781</v>
      </c>
      <c r="I243" s="357" t="s">
        <v>1210</v>
      </c>
      <c r="J243" s="357" t="s">
        <v>1012</v>
      </c>
      <c r="K243" s="357" t="s">
        <v>1070</v>
      </c>
      <c r="L243" s="357" t="s">
        <v>1014</v>
      </c>
      <c r="M243" s="360" t="s">
        <v>893</v>
      </c>
      <c r="N243" s="203"/>
      <c r="O243" s="203"/>
      <c r="P243" s="203"/>
      <c r="Q243" s="203"/>
      <c r="R243" s="203"/>
      <c r="S243" s="203"/>
    </row>
    <row r="244">
      <c r="A244" s="356">
        <v>46156.0</v>
      </c>
      <c r="B244" s="357" t="s">
        <v>1139</v>
      </c>
      <c r="C244" s="358">
        <v>1229.16</v>
      </c>
      <c r="D244" s="359">
        <v>5360.0</v>
      </c>
      <c r="E244" s="359">
        <v>5360.0</v>
      </c>
      <c r="F244" s="357" t="s">
        <v>700</v>
      </c>
      <c r="G244" s="357" t="s">
        <v>909</v>
      </c>
      <c r="H244" s="357" t="s">
        <v>782</v>
      </c>
      <c r="I244" s="357" t="s">
        <v>1203</v>
      </c>
      <c r="J244" s="357" t="s">
        <v>1012</v>
      </c>
      <c r="K244" s="357" t="s">
        <v>1070</v>
      </c>
      <c r="L244" s="357" t="s">
        <v>1014</v>
      </c>
      <c r="M244" s="360" t="s">
        <v>240</v>
      </c>
      <c r="N244" s="203"/>
      <c r="O244" s="203"/>
      <c r="P244" s="203"/>
      <c r="Q244" s="203"/>
      <c r="R244" s="203"/>
      <c r="S244" s="203"/>
    </row>
    <row r="245">
      <c r="A245" s="356">
        <v>46156.0</v>
      </c>
      <c r="B245" s="357" t="s">
        <v>961</v>
      </c>
      <c r="C245" s="358">
        <v>47.45</v>
      </c>
      <c r="D245" s="359">
        <v>5330.0</v>
      </c>
      <c r="E245" s="359">
        <v>5330.0</v>
      </c>
      <c r="F245" s="357" t="s">
        <v>714</v>
      </c>
      <c r="G245" s="357" t="s">
        <v>938</v>
      </c>
      <c r="H245" s="357" t="s">
        <v>786</v>
      </c>
      <c r="I245" s="357" t="s">
        <v>1211</v>
      </c>
      <c r="J245" s="357" t="s">
        <v>1012</v>
      </c>
      <c r="K245" s="357" t="s">
        <v>1070</v>
      </c>
      <c r="L245" s="357" t="s">
        <v>1014</v>
      </c>
      <c r="M245" s="360" t="s">
        <v>240</v>
      </c>
      <c r="N245" s="203"/>
      <c r="O245" s="203"/>
      <c r="P245" s="203"/>
      <c r="Q245" s="203"/>
      <c r="R245" s="203"/>
      <c r="S245" s="203"/>
    </row>
    <row r="246">
      <c r="A246" s="356">
        <v>46156.0</v>
      </c>
      <c r="B246" s="357" t="s">
        <v>1016</v>
      </c>
      <c r="C246" s="358">
        <v>820.02</v>
      </c>
      <c r="D246" s="359">
        <v>6100.0</v>
      </c>
      <c r="E246" s="381" t="s">
        <v>893</v>
      </c>
      <c r="F246" s="357" t="s">
        <v>1017</v>
      </c>
      <c r="G246" s="357" t="s">
        <v>1018</v>
      </c>
      <c r="H246" s="357" t="s">
        <v>788</v>
      </c>
      <c r="I246" s="357"/>
      <c r="J246" s="357" t="s">
        <v>1012</v>
      </c>
      <c r="K246" s="357" t="s">
        <v>1212</v>
      </c>
      <c r="L246" s="357" t="s">
        <v>1014</v>
      </c>
      <c r="M246" s="360" t="s">
        <v>893</v>
      </c>
      <c r="N246" s="203"/>
      <c r="O246" s="203"/>
      <c r="P246" s="203"/>
      <c r="Q246" s="203"/>
      <c r="R246" s="203"/>
      <c r="S246" s="203"/>
    </row>
    <row r="247">
      <c r="A247" s="356">
        <v>46155.0</v>
      </c>
      <c r="B247" s="357" t="s">
        <v>961</v>
      </c>
      <c r="C247" s="358">
        <v>43.19</v>
      </c>
      <c r="D247" s="359">
        <v>5330.0</v>
      </c>
      <c r="E247" s="359">
        <v>5330.0</v>
      </c>
      <c r="F247" s="357" t="s">
        <v>711</v>
      </c>
      <c r="G247" s="357" t="s">
        <v>933</v>
      </c>
      <c r="H247" s="357" t="s">
        <v>786</v>
      </c>
      <c r="I247" s="357" t="s">
        <v>1213</v>
      </c>
      <c r="J247" s="357" t="s">
        <v>1012</v>
      </c>
      <c r="K247" s="357" t="s">
        <v>1070</v>
      </c>
      <c r="L247" s="357" t="s">
        <v>1014</v>
      </c>
      <c r="M247" s="360" t="s">
        <v>240</v>
      </c>
      <c r="N247" s="203"/>
      <c r="O247" s="203"/>
      <c r="P247" s="203"/>
      <c r="Q247" s="203"/>
      <c r="R247" s="203"/>
      <c r="S247" s="203"/>
    </row>
    <row r="248">
      <c r="A248" s="356">
        <v>46155.0</v>
      </c>
      <c r="B248" s="357" t="s">
        <v>961</v>
      </c>
      <c r="C248" s="358">
        <v>20.11</v>
      </c>
      <c r="D248" s="359">
        <v>5330.0</v>
      </c>
      <c r="E248" s="359">
        <v>5330.0</v>
      </c>
      <c r="F248" s="357" t="s">
        <v>714</v>
      </c>
      <c r="G248" s="357" t="s">
        <v>938</v>
      </c>
      <c r="H248" s="357" t="s">
        <v>786</v>
      </c>
      <c r="I248" s="357" t="s">
        <v>1214</v>
      </c>
      <c r="J248" s="357" t="s">
        <v>1012</v>
      </c>
      <c r="K248" s="357" t="s">
        <v>1070</v>
      </c>
      <c r="L248" s="357" t="s">
        <v>1014</v>
      </c>
      <c r="M248" s="360" t="s">
        <v>240</v>
      </c>
      <c r="N248" s="203"/>
      <c r="O248" s="203"/>
      <c r="P248" s="203"/>
      <c r="Q248" s="203"/>
      <c r="R248" s="203"/>
      <c r="S248" s="203"/>
    </row>
    <row r="249">
      <c r="A249" s="356">
        <v>46155.0</v>
      </c>
      <c r="B249" s="357" t="s">
        <v>961</v>
      </c>
      <c r="C249" s="358">
        <v>64.23</v>
      </c>
      <c r="D249" s="359">
        <v>5330.0</v>
      </c>
      <c r="E249" s="381">
        <v>5330.0</v>
      </c>
      <c r="F249" s="357" t="s">
        <v>714</v>
      </c>
      <c r="G249" s="357" t="s">
        <v>938</v>
      </c>
      <c r="H249" s="357" t="s">
        <v>786</v>
      </c>
      <c r="I249" s="357" t="s">
        <v>1211</v>
      </c>
      <c r="J249" s="357" t="s">
        <v>1012</v>
      </c>
      <c r="K249" s="357" t="s">
        <v>1070</v>
      </c>
      <c r="L249" s="357" t="s">
        <v>1014</v>
      </c>
      <c r="M249" s="360" t="s">
        <v>240</v>
      </c>
      <c r="N249" s="203"/>
      <c r="O249" s="203"/>
      <c r="P249" s="203"/>
      <c r="Q249" s="203"/>
      <c r="R249" s="203"/>
      <c r="S249" s="203"/>
    </row>
    <row r="250">
      <c r="A250" s="356">
        <v>46155.0</v>
      </c>
      <c r="B250" s="357" t="s">
        <v>961</v>
      </c>
      <c r="C250" s="358">
        <v>88.21</v>
      </c>
      <c r="D250" s="359">
        <v>5330.0</v>
      </c>
      <c r="E250" s="359">
        <v>5330.0</v>
      </c>
      <c r="F250" s="357" t="s">
        <v>714</v>
      </c>
      <c r="G250" s="357" t="s">
        <v>938</v>
      </c>
      <c r="H250" s="357" t="s">
        <v>786</v>
      </c>
      <c r="I250" s="357" t="s">
        <v>1215</v>
      </c>
      <c r="J250" s="357" t="s">
        <v>1012</v>
      </c>
      <c r="K250" s="357" t="s">
        <v>1070</v>
      </c>
      <c r="L250" s="357" t="s">
        <v>1014</v>
      </c>
      <c r="M250" s="360" t="s">
        <v>240</v>
      </c>
      <c r="N250" s="203"/>
      <c r="O250" s="203"/>
      <c r="P250" s="203"/>
      <c r="Q250" s="203"/>
      <c r="R250" s="203"/>
      <c r="S250" s="203"/>
    </row>
    <row r="251">
      <c r="A251" s="356">
        <v>46155.0</v>
      </c>
      <c r="B251" s="357" t="s">
        <v>961</v>
      </c>
      <c r="C251" s="358">
        <v>42.83</v>
      </c>
      <c r="D251" s="359">
        <v>5330.0</v>
      </c>
      <c r="E251" s="359">
        <v>5330.0</v>
      </c>
      <c r="F251" s="357" t="s">
        <v>714</v>
      </c>
      <c r="G251" s="357" t="s">
        <v>938</v>
      </c>
      <c r="H251" s="357" t="s">
        <v>786</v>
      </c>
      <c r="I251" s="357" t="s">
        <v>1211</v>
      </c>
      <c r="J251" s="357" t="s">
        <v>1012</v>
      </c>
      <c r="K251" s="357" t="s">
        <v>1070</v>
      </c>
      <c r="L251" s="357" t="s">
        <v>1014</v>
      </c>
      <c r="M251" s="360" t="s">
        <v>240</v>
      </c>
      <c r="N251" s="203"/>
      <c r="O251" s="203"/>
      <c r="P251" s="203"/>
      <c r="Q251" s="203"/>
      <c r="R251" s="203"/>
      <c r="S251" s="203"/>
    </row>
    <row r="252">
      <c r="A252" s="356">
        <v>46155.0</v>
      </c>
      <c r="B252" s="357" t="s">
        <v>961</v>
      </c>
      <c r="C252" s="358">
        <v>54.4</v>
      </c>
      <c r="D252" s="359">
        <v>5330.0</v>
      </c>
      <c r="E252" s="359">
        <v>5330.0</v>
      </c>
      <c r="F252" s="357" t="s">
        <v>714</v>
      </c>
      <c r="G252" s="357" t="s">
        <v>938</v>
      </c>
      <c r="H252" s="357" t="s">
        <v>786</v>
      </c>
      <c r="I252" s="357" t="s">
        <v>1211</v>
      </c>
      <c r="J252" s="357" t="s">
        <v>1012</v>
      </c>
      <c r="K252" s="357" t="s">
        <v>1070</v>
      </c>
      <c r="L252" s="357" t="s">
        <v>1014</v>
      </c>
      <c r="M252" s="360" t="s">
        <v>240</v>
      </c>
      <c r="N252" s="203"/>
      <c r="O252" s="203"/>
      <c r="P252" s="203"/>
      <c r="Q252" s="203"/>
      <c r="R252" s="203"/>
      <c r="S252" s="203"/>
    </row>
    <row r="253">
      <c r="A253" s="356">
        <v>46155.0</v>
      </c>
      <c r="B253" s="357" t="s">
        <v>961</v>
      </c>
      <c r="C253" s="358">
        <v>38.82</v>
      </c>
      <c r="D253" s="359">
        <v>5330.0</v>
      </c>
      <c r="E253" s="359">
        <v>5330.0</v>
      </c>
      <c r="F253" s="357" t="s">
        <v>714</v>
      </c>
      <c r="G253" s="357" t="s">
        <v>938</v>
      </c>
      <c r="H253" s="357" t="s">
        <v>786</v>
      </c>
      <c r="I253" s="357" t="s">
        <v>1211</v>
      </c>
      <c r="J253" s="357" t="s">
        <v>1012</v>
      </c>
      <c r="K253" s="357" t="s">
        <v>1070</v>
      </c>
      <c r="L253" s="357" t="s">
        <v>1014</v>
      </c>
      <c r="M253" s="360" t="s">
        <v>240</v>
      </c>
      <c r="N253" s="203"/>
      <c r="O253" s="203"/>
      <c r="P253" s="203"/>
      <c r="Q253" s="203"/>
      <c r="R253" s="203"/>
      <c r="S253" s="203"/>
    </row>
    <row r="254">
      <c r="A254" s="356">
        <v>46153.0</v>
      </c>
      <c r="B254" s="357" t="s">
        <v>1076</v>
      </c>
      <c r="C254" s="358">
        <v>284.1</v>
      </c>
      <c r="D254" s="359">
        <v>5320.0</v>
      </c>
      <c r="E254" s="359">
        <v>5320.0</v>
      </c>
      <c r="F254" s="357" t="s">
        <v>717</v>
      </c>
      <c r="G254" s="357" t="s">
        <v>943</v>
      </c>
      <c r="H254" s="357" t="s">
        <v>787</v>
      </c>
      <c r="I254" s="357" t="s">
        <v>1128</v>
      </c>
      <c r="J254" s="357" t="s">
        <v>1012</v>
      </c>
      <c r="K254" s="357" t="s">
        <v>1070</v>
      </c>
      <c r="L254" s="357" t="s">
        <v>1014</v>
      </c>
      <c r="M254" s="360" t="s">
        <v>240</v>
      </c>
      <c r="N254" s="203"/>
      <c r="O254" s="203"/>
      <c r="P254" s="203"/>
      <c r="Q254" s="203"/>
      <c r="R254" s="203"/>
      <c r="S254" s="203"/>
    </row>
    <row r="255">
      <c r="A255" s="356">
        <v>46153.0</v>
      </c>
      <c r="B255" s="357" t="s">
        <v>1076</v>
      </c>
      <c r="C255" s="358">
        <v>28.69</v>
      </c>
      <c r="D255" s="359">
        <v>5320.0</v>
      </c>
      <c r="E255" s="359">
        <v>5320.0</v>
      </c>
      <c r="F255" s="357" t="s">
        <v>717</v>
      </c>
      <c r="G255" s="357" t="s">
        <v>943</v>
      </c>
      <c r="H255" s="357" t="s">
        <v>787</v>
      </c>
      <c r="I255" s="357" t="s">
        <v>1216</v>
      </c>
      <c r="J255" s="357" t="s">
        <v>1012</v>
      </c>
      <c r="K255" s="357" t="s">
        <v>1070</v>
      </c>
      <c r="L255" s="357" t="s">
        <v>1014</v>
      </c>
      <c r="M255" s="360" t="s">
        <v>240</v>
      </c>
      <c r="N255" s="203"/>
      <c r="O255" s="203"/>
      <c r="P255" s="203"/>
      <c r="Q255" s="203"/>
      <c r="R255" s="203"/>
      <c r="S255" s="203"/>
    </row>
    <row r="256">
      <c r="A256" s="356">
        <v>46153.0</v>
      </c>
      <c r="B256" s="357" t="s">
        <v>1076</v>
      </c>
      <c r="C256" s="358">
        <v>53.44</v>
      </c>
      <c r="D256" s="359">
        <v>5320.0</v>
      </c>
      <c r="E256" s="359">
        <v>5320.0</v>
      </c>
      <c r="F256" s="357" t="s">
        <v>717</v>
      </c>
      <c r="G256" s="357" t="s">
        <v>943</v>
      </c>
      <c r="H256" s="357" t="s">
        <v>787</v>
      </c>
      <c r="I256" s="357" t="s">
        <v>1118</v>
      </c>
      <c r="J256" s="357" t="s">
        <v>1012</v>
      </c>
      <c r="K256" s="357" t="s">
        <v>1070</v>
      </c>
      <c r="L256" s="357" t="s">
        <v>1014</v>
      </c>
      <c r="M256" s="360" t="s">
        <v>240</v>
      </c>
      <c r="N256" s="203"/>
      <c r="O256" s="203"/>
      <c r="P256" s="203"/>
      <c r="Q256" s="203"/>
      <c r="R256" s="203"/>
      <c r="S256" s="203"/>
    </row>
    <row r="257">
      <c r="A257" s="356">
        <v>46153.0</v>
      </c>
      <c r="B257" s="357" t="s">
        <v>1076</v>
      </c>
      <c r="C257" s="358">
        <v>225.62</v>
      </c>
      <c r="D257" s="359">
        <v>5320.0</v>
      </c>
      <c r="E257" s="359">
        <v>5320.0</v>
      </c>
      <c r="F257" s="357" t="s">
        <v>717</v>
      </c>
      <c r="G257" s="357" t="s">
        <v>943</v>
      </c>
      <c r="H257" s="357" t="s">
        <v>787</v>
      </c>
      <c r="I257" s="357" t="s">
        <v>1128</v>
      </c>
      <c r="J257" s="357" t="s">
        <v>1012</v>
      </c>
      <c r="K257" s="357" t="s">
        <v>1070</v>
      </c>
      <c r="L257" s="357" t="s">
        <v>1014</v>
      </c>
      <c r="M257" s="360" t="s">
        <v>240</v>
      </c>
      <c r="N257" s="203"/>
      <c r="O257" s="203"/>
      <c r="P257" s="203"/>
      <c r="Q257" s="203"/>
      <c r="R257" s="203"/>
      <c r="S257" s="203"/>
    </row>
    <row r="258">
      <c r="A258" s="356">
        <v>46150.0</v>
      </c>
      <c r="B258" s="357" t="s">
        <v>1125</v>
      </c>
      <c r="C258" s="358">
        <v>454.41</v>
      </c>
      <c r="D258" s="359">
        <v>5360.0</v>
      </c>
      <c r="E258" s="359">
        <v>5360.0</v>
      </c>
      <c r="F258" s="357" t="s">
        <v>700</v>
      </c>
      <c r="G258" s="357" t="s">
        <v>909</v>
      </c>
      <c r="H258" s="357" t="s">
        <v>781</v>
      </c>
      <c r="I258" s="357" t="s">
        <v>1217</v>
      </c>
      <c r="J258" s="357" t="s">
        <v>1012</v>
      </c>
      <c r="K258" s="357" t="s">
        <v>1070</v>
      </c>
      <c r="L258" s="357" t="s">
        <v>1014</v>
      </c>
      <c r="M258" s="360" t="s">
        <v>240</v>
      </c>
      <c r="N258" s="203"/>
      <c r="O258" s="203"/>
      <c r="P258" s="203"/>
      <c r="Q258" s="203"/>
      <c r="R258" s="203"/>
      <c r="S258" s="203"/>
    </row>
    <row r="259">
      <c r="A259" s="356">
        <v>46147.0</v>
      </c>
      <c r="B259" s="357" t="s">
        <v>1218</v>
      </c>
      <c r="C259" s="358">
        <v>250.9</v>
      </c>
      <c r="D259" s="359">
        <v>5330.0</v>
      </c>
      <c r="E259" s="359">
        <v>5320.0</v>
      </c>
      <c r="F259" s="357" t="s">
        <v>401</v>
      </c>
      <c r="G259" s="357" t="s">
        <v>947</v>
      </c>
      <c r="H259" s="357" t="s">
        <v>786</v>
      </c>
      <c r="I259" s="357" t="s">
        <v>1219</v>
      </c>
      <c r="J259" s="357" t="s">
        <v>1012</v>
      </c>
      <c r="K259" s="357" t="s">
        <v>1070</v>
      </c>
      <c r="L259" s="357" t="s">
        <v>1014</v>
      </c>
      <c r="M259" s="360" t="s">
        <v>879</v>
      </c>
      <c r="N259" s="203"/>
      <c r="O259" s="203"/>
      <c r="P259" s="203"/>
      <c r="Q259" s="203"/>
      <c r="R259" s="203"/>
      <c r="S259" s="203"/>
    </row>
    <row r="260">
      <c r="A260" s="356">
        <v>46146.0</v>
      </c>
      <c r="B260" s="357" t="s">
        <v>1220</v>
      </c>
      <c r="C260" s="358">
        <v>3473.0</v>
      </c>
      <c r="D260" s="359">
        <v>5320.0</v>
      </c>
      <c r="E260" s="359">
        <v>5320.0</v>
      </c>
      <c r="F260" s="357" t="s">
        <v>401</v>
      </c>
      <c r="G260" s="357" t="s">
        <v>947</v>
      </c>
      <c r="H260" s="357" t="s">
        <v>787</v>
      </c>
      <c r="I260" s="357" t="s">
        <v>1221</v>
      </c>
      <c r="J260" s="357" t="s">
        <v>1012</v>
      </c>
      <c r="K260" s="357" t="s">
        <v>1070</v>
      </c>
      <c r="L260" s="357" t="s">
        <v>1014</v>
      </c>
      <c r="M260" s="360" t="s">
        <v>240</v>
      </c>
      <c r="N260" s="203"/>
      <c r="O260" s="203"/>
      <c r="P260" s="203"/>
      <c r="Q260" s="203"/>
      <c r="R260" s="203"/>
      <c r="S260" s="203"/>
    </row>
    <row r="261">
      <c r="A261" s="356">
        <v>46146.0</v>
      </c>
      <c r="B261" s="357" t="s">
        <v>1161</v>
      </c>
      <c r="C261" s="358">
        <v>5.7</v>
      </c>
      <c r="D261" s="359">
        <v>5330.0</v>
      </c>
      <c r="E261" s="359">
        <v>5320.0</v>
      </c>
      <c r="F261" s="357" t="s">
        <v>401</v>
      </c>
      <c r="G261" s="357" t="s">
        <v>947</v>
      </c>
      <c r="H261" s="357" t="s">
        <v>786</v>
      </c>
      <c r="I261" s="357" t="s">
        <v>1222</v>
      </c>
      <c r="J261" s="357" t="s">
        <v>1012</v>
      </c>
      <c r="K261" s="357" t="s">
        <v>1070</v>
      </c>
      <c r="L261" s="357" t="s">
        <v>1014</v>
      </c>
      <c r="M261" s="360" t="s">
        <v>879</v>
      </c>
      <c r="N261" s="203"/>
      <c r="O261" s="203"/>
      <c r="P261" s="203"/>
      <c r="Q261" s="203"/>
      <c r="R261" s="203"/>
      <c r="S261" s="203"/>
    </row>
    <row r="262">
      <c r="A262" s="356">
        <v>46146.0</v>
      </c>
      <c r="B262" s="357" t="s">
        <v>1223</v>
      </c>
      <c r="C262" s="358">
        <v>241.94</v>
      </c>
      <c r="D262" s="359">
        <v>5320.0</v>
      </c>
      <c r="E262" s="359">
        <v>5320.0</v>
      </c>
      <c r="F262" s="357" t="s">
        <v>401</v>
      </c>
      <c r="G262" s="357" t="s">
        <v>947</v>
      </c>
      <c r="H262" s="357" t="s">
        <v>787</v>
      </c>
      <c r="I262" s="357" t="s">
        <v>1224</v>
      </c>
      <c r="J262" s="357" t="s">
        <v>1012</v>
      </c>
      <c r="K262" s="357" t="s">
        <v>1070</v>
      </c>
      <c r="L262" s="357" t="s">
        <v>1014</v>
      </c>
      <c r="M262" s="360" t="s">
        <v>240</v>
      </c>
      <c r="N262" s="203"/>
      <c r="O262" s="203"/>
      <c r="P262" s="203"/>
      <c r="Q262" s="203"/>
      <c r="R262" s="203"/>
      <c r="S262" s="203"/>
    </row>
    <row r="263">
      <c r="A263" s="356">
        <v>46146.0</v>
      </c>
      <c r="B263" s="357" t="s">
        <v>1225</v>
      </c>
      <c r="C263" s="358">
        <v>336.08</v>
      </c>
      <c r="D263" s="359">
        <v>5320.0</v>
      </c>
      <c r="E263" s="381" t="s">
        <v>893</v>
      </c>
      <c r="F263" s="357" t="s">
        <v>1165</v>
      </c>
      <c r="G263" s="357" t="s">
        <v>1166</v>
      </c>
      <c r="H263" s="357" t="s">
        <v>787</v>
      </c>
      <c r="I263" s="357" t="s">
        <v>1226</v>
      </c>
      <c r="J263" s="357" t="s">
        <v>1012</v>
      </c>
      <c r="K263" s="357" t="s">
        <v>1070</v>
      </c>
      <c r="L263" s="357" t="s">
        <v>1014</v>
      </c>
      <c r="M263" s="360" t="s">
        <v>893</v>
      </c>
      <c r="N263" s="203"/>
      <c r="O263" s="203"/>
      <c r="P263" s="203"/>
      <c r="Q263" s="203"/>
      <c r="R263" s="203"/>
      <c r="S263" s="203"/>
    </row>
    <row r="264">
      <c r="A264" s="356">
        <v>46146.0</v>
      </c>
      <c r="B264" s="357" t="s">
        <v>1227</v>
      </c>
      <c r="C264" s="358">
        <v>-3464.0</v>
      </c>
      <c r="D264" s="359">
        <v>5320.0</v>
      </c>
      <c r="E264" s="359">
        <v>5320.0</v>
      </c>
      <c r="F264" s="357" t="s">
        <v>401</v>
      </c>
      <c r="G264" s="357" t="s">
        <v>947</v>
      </c>
      <c r="H264" s="357" t="s">
        <v>787</v>
      </c>
      <c r="I264" s="357" t="s">
        <v>1228</v>
      </c>
      <c r="J264" s="357" t="s">
        <v>1012</v>
      </c>
      <c r="K264" s="357" t="s">
        <v>1112</v>
      </c>
      <c r="L264" s="357" t="s">
        <v>1014</v>
      </c>
      <c r="M264" s="360" t="s">
        <v>240</v>
      </c>
      <c r="N264" s="203"/>
      <c r="O264" s="203"/>
      <c r="P264" s="203"/>
      <c r="Q264" s="203"/>
      <c r="R264" s="203"/>
      <c r="S264" s="203"/>
    </row>
    <row r="265">
      <c r="A265" s="356">
        <v>46145.0</v>
      </c>
      <c r="B265" s="357" t="s">
        <v>1125</v>
      </c>
      <c r="C265" s="358">
        <v>352.4</v>
      </c>
      <c r="D265" s="359">
        <v>5360.0</v>
      </c>
      <c r="E265" s="359">
        <v>5360.0</v>
      </c>
      <c r="F265" s="357" t="s">
        <v>700</v>
      </c>
      <c r="G265" s="357" t="s">
        <v>909</v>
      </c>
      <c r="H265" s="357" t="s">
        <v>781</v>
      </c>
      <c r="I265" s="357" t="s">
        <v>1229</v>
      </c>
      <c r="J265" s="357" t="s">
        <v>1012</v>
      </c>
      <c r="K265" s="357" t="s">
        <v>1070</v>
      </c>
      <c r="L265" s="357" t="s">
        <v>1014</v>
      </c>
      <c r="M265" s="360" t="s">
        <v>240</v>
      </c>
      <c r="N265" s="203"/>
      <c r="O265" s="203"/>
      <c r="P265" s="203"/>
      <c r="Q265" s="203"/>
      <c r="R265" s="203"/>
      <c r="S265" s="203"/>
    </row>
    <row r="266">
      <c r="A266" s="356">
        <v>46143.0</v>
      </c>
      <c r="B266" s="357" t="s">
        <v>1230</v>
      </c>
      <c r="C266" s="358">
        <v>12.0</v>
      </c>
      <c r="D266" s="359">
        <v>5360.0</v>
      </c>
      <c r="E266" s="381" t="s">
        <v>893</v>
      </c>
      <c r="F266" s="357" t="s">
        <v>951</v>
      </c>
      <c r="G266" s="357" t="s">
        <v>950</v>
      </c>
      <c r="H266" s="357" t="s">
        <v>788</v>
      </c>
      <c r="I266" s="357" t="s">
        <v>1231</v>
      </c>
      <c r="J266" s="357" t="s">
        <v>1012</v>
      </c>
      <c r="K266" s="357" t="s">
        <v>1070</v>
      </c>
      <c r="L266" s="357" t="s">
        <v>1014</v>
      </c>
      <c r="M266" s="360" t="s">
        <v>893</v>
      </c>
      <c r="N266" s="203"/>
      <c r="O266" s="203"/>
      <c r="P266" s="203"/>
      <c r="Q266" s="203"/>
      <c r="R266" s="203"/>
      <c r="S266" s="203"/>
    </row>
    <row r="267">
      <c r="A267" s="356">
        <v>46143.0</v>
      </c>
      <c r="B267" s="357" t="s">
        <v>1220</v>
      </c>
      <c r="C267" s="358">
        <v>3464.0</v>
      </c>
      <c r="D267" s="359">
        <v>5320.0</v>
      </c>
      <c r="E267" s="359">
        <v>5320.0</v>
      </c>
      <c r="F267" s="357" t="s">
        <v>401</v>
      </c>
      <c r="G267" s="357" t="s">
        <v>947</v>
      </c>
      <c r="H267" s="357" t="s">
        <v>787</v>
      </c>
      <c r="I267" s="357" t="s">
        <v>1232</v>
      </c>
      <c r="J267" s="357" t="s">
        <v>1012</v>
      </c>
      <c r="K267" s="357" t="s">
        <v>1070</v>
      </c>
      <c r="L267" s="357" t="s">
        <v>1014</v>
      </c>
      <c r="M267" s="360" t="s">
        <v>240</v>
      </c>
      <c r="N267" s="203"/>
      <c r="O267" s="203"/>
      <c r="P267" s="203"/>
      <c r="Q267" s="203"/>
      <c r="R267" s="203"/>
      <c r="S267" s="203"/>
    </row>
    <row r="268">
      <c r="A268" s="356">
        <v>46142.0</v>
      </c>
      <c r="B268" s="357" t="s">
        <v>1141</v>
      </c>
      <c r="C268" s="358">
        <v>-120.35</v>
      </c>
      <c r="D268" s="359">
        <v>5360.0</v>
      </c>
      <c r="E268" s="381" t="s">
        <v>893</v>
      </c>
      <c r="F268" s="357" t="s">
        <v>1017</v>
      </c>
      <c r="G268" s="357" t="s">
        <v>1018</v>
      </c>
      <c r="H268" s="357" t="s">
        <v>788</v>
      </c>
      <c r="I268" s="357"/>
      <c r="J268" s="357" t="s">
        <v>1012</v>
      </c>
      <c r="K268" s="357" t="s">
        <v>1233</v>
      </c>
      <c r="L268" s="357" t="s">
        <v>1014</v>
      </c>
      <c r="M268" s="360" t="s">
        <v>893</v>
      </c>
      <c r="N268" s="203"/>
      <c r="O268" s="203"/>
      <c r="P268" s="203"/>
      <c r="Q268" s="203"/>
      <c r="R268" s="203"/>
      <c r="S268" s="203"/>
    </row>
    <row r="269">
      <c r="A269" s="356">
        <v>46141.0</v>
      </c>
      <c r="B269" s="357" t="s">
        <v>1116</v>
      </c>
      <c r="C269" s="358">
        <v>0.01</v>
      </c>
      <c r="D269" s="359">
        <v>6100.0</v>
      </c>
      <c r="E269" s="381">
        <v>5050.0</v>
      </c>
      <c r="F269" s="357" t="s">
        <v>692</v>
      </c>
      <c r="G269" s="357" t="s">
        <v>867</v>
      </c>
      <c r="H269" s="357" t="s">
        <v>783</v>
      </c>
      <c r="I269" s="357" t="s">
        <v>1234</v>
      </c>
      <c r="J269" s="357" t="s">
        <v>1012</v>
      </c>
      <c r="K269" s="357" t="s">
        <v>1070</v>
      </c>
      <c r="L269" s="357" t="s">
        <v>1014</v>
      </c>
      <c r="M269" s="360" t="s">
        <v>879</v>
      </c>
      <c r="N269" s="203"/>
      <c r="O269" s="203"/>
      <c r="P269" s="203"/>
      <c r="Q269" s="203"/>
      <c r="R269" s="203"/>
      <c r="S269" s="203"/>
    </row>
    <row r="270">
      <c r="A270" s="356">
        <v>46135.0</v>
      </c>
      <c r="B270" s="357" t="s">
        <v>1235</v>
      </c>
      <c r="C270" s="358">
        <v>559.5</v>
      </c>
      <c r="D270" s="359">
        <v>5360.0</v>
      </c>
      <c r="E270" s="359">
        <v>5050.0</v>
      </c>
      <c r="F270" s="357" t="s">
        <v>692</v>
      </c>
      <c r="G270" s="357" t="s">
        <v>867</v>
      </c>
      <c r="H270" s="357" t="s">
        <v>782</v>
      </c>
      <c r="I270" s="357" t="s">
        <v>1236</v>
      </c>
      <c r="J270" s="357" t="s">
        <v>1012</v>
      </c>
      <c r="K270" s="357" t="s">
        <v>1070</v>
      </c>
      <c r="L270" s="357" t="s">
        <v>1014</v>
      </c>
      <c r="M270" s="360" t="s">
        <v>879</v>
      </c>
      <c r="N270" s="203"/>
      <c r="O270" s="203"/>
      <c r="P270" s="203"/>
      <c r="Q270" s="203"/>
      <c r="R270" s="203"/>
      <c r="S270" s="203"/>
    </row>
    <row r="271">
      <c r="A271" s="356">
        <v>46134.0</v>
      </c>
      <c r="B271" s="357" t="s">
        <v>1235</v>
      </c>
      <c r="C271" s="358">
        <v>139.29</v>
      </c>
      <c r="D271" s="359">
        <v>6110.0</v>
      </c>
      <c r="E271" s="381">
        <v>5060.0</v>
      </c>
      <c r="F271" s="357" t="s">
        <v>692</v>
      </c>
      <c r="G271" s="357" t="s">
        <v>867</v>
      </c>
      <c r="H271" s="357" t="s">
        <v>782</v>
      </c>
      <c r="I271" s="357" t="s">
        <v>1237</v>
      </c>
      <c r="J271" s="357" t="s">
        <v>1012</v>
      </c>
      <c r="K271" s="357" t="s">
        <v>1070</v>
      </c>
      <c r="L271" s="357" t="s">
        <v>1014</v>
      </c>
      <c r="M271" s="360" t="s">
        <v>879</v>
      </c>
      <c r="N271" s="203"/>
      <c r="O271" s="203"/>
      <c r="P271" s="203"/>
      <c r="Q271" s="203"/>
      <c r="R271" s="203"/>
      <c r="S271" s="203"/>
    </row>
    <row r="272">
      <c r="A272" s="356">
        <v>46134.0</v>
      </c>
      <c r="B272" s="357" t="s">
        <v>1238</v>
      </c>
      <c r="C272" s="358">
        <v>650.0</v>
      </c>
      <c r="D272" s="359">
        <v>5320.0</v>
      </c>
      <c r="E272" s="359">
        <v>5320.0</v>
      </c>
      <c r="F272" s="357" t="s">
        <v>401</v>
      </c>
      <c r="G272" s="357" t="s">
        <v>947</v>
      </c>
      <c r="H272" s="357" t="s">
        <v>787</v>
      </c>
      <c r="I272" s="357" t="s">
        <v>1239</v>
      </c>
      <c r="J272" s="357" t="s">
        <v>1012</v>
      </c>
      <c r="K272" s="357" t="s">
        <v>1240</v>
      </c>
      <c r="L272" s="357" t="s">
        <v>1014</v>
      </c>
      <c r="M272" s="360" t="s">
        <v>240</v>
      </c>
      <c r="N272" s="203"/>
      <c r="O272" s="203"/>
      <c r="P272" s="203"/>
      <c r="Q272" s="203"/>
      <c r="R272" s="203"/>
      <c r="S272" s="203"/>
    </row>
    <row r="273">
      <c r="A273" s="356">
        <v>46134.0</v>
      </c>
      <c r="B273" s="357" t="s">
        <v>1238</v>
      </c>
      <c r="C273" s="358">
        <v>300.0</v>
      </c>
      <c r="D273" s="359">
        <v>5320.0</v>
      </c>
      <c r="E273" s="359">
        <v>5320.0</v>
      </c>
      <c r="F273" s="357" t="s">
        <v>401</v>
      </c>
      <c r="G273" s="357" t="s">
        <v>947</v>
      </c>
      <c r="H273" s="357" t="s">
        <v>787</v>
      </c>
      <c r="I273" s="357" t="s">
        <v>1241</v>
      </c>
      <c r="J273" s="357" t="s">
        <v>1012</v>
      </c>
      <c r="K273" s="357" t="s">
        <v>1240</v>
      </c>
      <c r="L273" s="357" t="s">
        <v>1014</v>
      </c>
      <c r="M273" s="360" t="s">
        <v>240</v>
      </c>
      <c r="N273" s="203"/>
      <c r="O273" s="203"/>
      <c r="P273" s="203"/>
      <c r="Q273" s="203"/>
      <c r="R273" s="203"/>
      <c r="S273" s="203"/>
    </row>
    <row r="274">
      <c r="A274" s="356">
        <v>46133.0</v>
      </c>
      <c r="B274" s="357" t="s">
        <v>1125</v>
      </c>
      <c r="C274" s="358">
        <v>679.74</v>
      </c>
      <c r="D274" s="359">
        <v>6100.0</v>
      </c>
      <c r="E274" s="381" t="s">
        <v>893</v>
      </c>
      <c r="F274" s="357" t="s">
        <v>1242</v>
      </c>
      <c r="G274" s="357" t="s">
        <v>1243</v>
      </c>
      <c r="H274" s="357" t="s">
        <v>781</v>
      </c>
      <c r="I274" s="357" t="s">
        <v>1244</v>
      </c>
      <c r="J274" s="357" t="s">
        <v>1012</v>
      </c>
      <c r="K274" s="357" t="s">
        <v>1070</v>
      </c>
      <c r="L274" s="357" t="s">
        <v>1014</v>
      </c>
      <c r="M274" s="360" t="s">
        <v>893</v>
      </c>
      <c r="N274" s="203"/>
      <c r="O274" s="203"/>
      <c r="P274" s="203"/>
      <c r="Q274" s="203"/>
      <c r="R274" s="203"/>
      <c r="S274" s="203"/>
    </row>
    <row r="275">
      <c r="A275" s="356">
        <v>46133.0</v>
      </c>
      <c r="B275" s="357" t="s">
        <v>1245</v>
      </c>
      <c r="C275" s="358">
        <v>20.0</v>
      </c>
      <c r="D275" s="359">
        <v>5360.0</v>
      </c>
      <c r="E275" s="359">
        <v>5050.0</v>
      </c>
      <c r="F275" s="357" t="s">
        <v>692</v>
      </c>
      <c r="G275" s="357" t="s">
        <v>867</v>
      </c>
      <c r="H275" s="357" t="s">
        <v>784</v>
      </c>
      <c r="I275" s="357" t="s">
        <v>1246</v>
      </c>
      <c r="J275" s="357" t="s">
        <v>1012</v>
      </c>
      <c r="K275" s="357" t="s">
        <v>1070</v>
      </c>
      <c r="L275" s="357" t="s">
        <v>1014</v>
      </c>
      <c r="M275" s="360" t="s">
        <v>879</v>
      </c>
      <c r="N275" s="203"/>
      <c r="O275" s="203"/>
      <c r="P275" s="203"/>
      <c r="Q275" s="203"/>
      <c r="R275" s="203"/>
      <c r="S275" s="203"/>
    </row>
    <row r="276">
      <c r="A276" s="356">
        <v>46133.0</v>
      </c>
      <c r="B276" s="357" t="s">
        <v>1238</v>
      </c>
      <c r="C276" s="358">
        <v>650.0</v>
      </c>
      <c r="D276" s="359">
        <v>5320.0</v>
      </c>
      <c r="E276" s="359">
        <v>5320.0</v>
      </c>
      <c r="F276" s="357" t="s">
        <v>401</v>
      </c>
      <c r="G276" s="357" t="s">
        <v>947</v>
      </c>
      <c r="H276" s="357" t="s">
        <v>787</v>
      </c>
      <c r="I276" s="357" t="s">
        <v>1247</v>
      </c>
      <c r="J276" s="357" t="s">
        <v>1012</v>
      </c>
      <c r="K276" s="357" t="s">
        <v>1248</v>
      </c>
      <c r="L276" s="357" t="s">
        <v>1014</v>
      </c>
      <c r="M276" s="360" t="s">
        <v>240</v>
      </c>
      <c r="N276" s="203"/>
      <c r="O276" s="203"/>
      <c r="P276" s="203"/>
      <c r="Q276" s="203"/>
      <c r="R276" s="203"/>
      <c r="S276" s="203"/>
    </row>
    <row r="277">
      <c r="A277" s="356">
        <v>46133.0</v>
      </c>
      <c r="B277" s="357" t="s">
        <v>1238</v>
      </c>
      <c r="C277" s="358">
        <v>300.0</v>
      </c>
      <c r="D277" s="359">
        <v>5320.0</v>
      </c>
      <c r="E277" s="381">
        <v>5320.0</v>
      </c>
      <c r="F277" s="357" t="s">
        <v>401</v>
      </c>
      <c r="G277" s="357" t="s">
        <v>947</v>
      </c>
      <c r="H277" s="357" t="s">
        <v>787</v>
      </c>
      <c r="I277" s="357" t="s">
        <v>1249</v>
      </c>
      <c r="J277" s="357" t="s">
        <v>1012</v>
      </c>
      <c r="K277" s="357" t="s">
        <v>1248</v>
      </c>
      <c r="L277" s="357" t="s">
        <v>1014</v>
      </c>
      <c r="M277" s="360" t="s">
        <v>240</v>
      </c>
      <c r="N277" s="203"/>
      <c r="O277" s="203"/>
      <c r="P277" s="203"/>
      <c r="Q277" s="203"/>
      <c r="R277" s="203"/>
      <c r="S277" s="203"/>
    </row>
    <row r="278">
      <c r="A278" s="356">
        <v>46128.0</v>
      </c>
      <c r="B278" s="357" t="s">
        <v>1184</v>
      </c>
      <c r="C278" s="358">
        <v>61.99</v>
      </c>
      <c r="D278" s="359">
        <v>6100.0</v>
      </c>
      <c r="E278" s="381" t="s">
        <v>893</v>
      </c>
      <c r="F278" s="357" t="s">
        <v>1242</v>
      </c>
      <c r="G278" s="357" t="s">
        <v>1243</v>
      </c>
      <c r="H278" s="357" t="s">
        <v>784</v>
      </c>
      <c r="I278" s="357" t="s">
        <v>1250</v>
      </c>
      <c r="J278" s="357" t="s">
        <v>1012</v>
      </c>
      <c r="K278" s="357" t="s">
        <v>1070</v>
      </c>
      <c r="L278" s="357" t="s">
        <v>1014</v>
      </c>
      <c r="M278" s="360" t="s">
        <v>893</v>
      </c>
      <c r="N278" s="203"/>
      <c r="O278" s="203"/>
      <c r="P278" s="203"/>
      <c r="Q278" s="203"/>
      <c r="R278" s="203"/>
      <c r="S278" s="203"/>
    </row>
    <row r="279">
      <c r="A279" s="356">
        <v>46128.0</v>
      </c>
      <c r="B279" s="357" t="s">
        <v>1251</v>
      </c>
      <c r="C279" s="358">
        <v>1370.0</v>
      </c>
      <c r="D279" s="359">
        <v>5320.0</v>
      </c>
      <c r="E279" s="359">
        <v>5320.0</v>
      </c>
      <c r="F279" s="357" t="s">
        <v>401</v>
      </c>
      <c r="G279" s="357" t="s">
        <v>947</v>
      </c>
      <c r="H279" s="357" t="s">
        <v>787</v>
      </c>
      <c r="I279" s="357" t="s">
        <v>1252</v>
      </c>
      <c r="J279" s="357" t="s">
        <v>1012</v>
      </c>
      <c r="K279" s="357" t="s">
        <v>1070</v>
      </c>
      <c r="L279" s="357" t="s">
        <v>1014</v>
      </c>
      <c r="M279" s="360" t="s">
        <v>240</v>
      </c>
      <c r="N279" s="203"/>
      <c r="O279" s="203"/>
      <c r="P279" s="203"/>
      <c r="Q279" s="203"/>
      <c r="R279" s="203"/>
      <c r="S279" s="203"/>
    </row>
    <row r="280">
      <c r="A280" s="356">
        <v>46128.0</v>
      </c>
      <c r="B280" s="357" t="s">
        <v>1094</v>
      </c>
      <c r="C280" s="358">
        <v>16.95</v>
      </c>
      <c r="D280" s="359">
        <v>5320.0</v>
      </c>
      <c r="E280" s="381" t="s">
        <v>893</v>
      </c>
      <c r="F280" s="357" t="s">
        <v>1165</v>
      </c>
      <c r="G280" s="357" t="s">
        <v>1166</v>
      </c>
      <c r="H280" s="357" t="s">
        <v>787</v>
      </c>
      <c r="I280" s="357" t="s">
        <v>1253</v>
      </c>
      <c r="J280" s="357" t="s">
        <v>1012</v>
      </c>
      <c r="K280" s="357" t="s">
        <v>1070</v>
      </c>
      <c r="L280" s="357" t="s">
        <v>1014</v>
      </c>
      <c r="M280" s="360" t="s">
        <v>893</v>
      </c>
      <c r="N280" s="203"/>
      <c r="O280" s="203"/>
      <c r="P280" s="203"/>
      <c r="Q280" s="203"/>
      <c r="R280" s="203"/>
      <c r="S280" s="203"/>
    </row>
    <row r="281">
      <c r="A281" s="356">
        <v>46128.0</v>
      </c>
      <c r="B281" s="357" t="s">
        <v>1184</v>
      </c>
      <c r="C281" s="358">
        <v>64.89</v>
      </c>
      <c r="D281" s="359">
        <v>6100.0</v>
      </c>
      <c r="E281" s="381" t="s">
        <v>893</v>
      </c>
      <c r="F281" s="357" t="s">
        <v>1242</v>
      </c>
      <c r="G281" s="357" t="s">
        <v>1243</v>
      </c>
      <c r="H281" s="357" t="s">
        <v>784</v>
      </c>
      <c r="I281" s="357" t="s">
        <v>1254</v>
      </c>
      <c r="J281" s="357" t="s">
        <v>1012</v>
      </c>
      <c r="K281" s="357" t="s">
        <v>1070</v>
      </c>
      <c r="L281" s="357" t="s">
        <v>1014</v>
      </c>
      <c r="M281" s="360" t="s">
        <v>893</v>
      </c>
      <c r="N281" s="203"/>
      <c r="O281" s="203"/>
      <c r="P281" s="203"/>
      <c r="Q281" s="203"/>
      <c r="R281" s="203"/>
      <c r="S281" s="203"/>
    </row>
    <row r="282">
      <c r="A282" s="356">
        <v>46127.0</v>
      </c>
      <c r="B282" s="357" t="s">
        <v>1016</v>
      </c>
      <c r="C282" s="358">
        <v>120.35</v>
      </c>
      <c r="D282" s="359">
        <v>5360.0</v>
      </c>
      <c r="E282" s="381" t="s">
        <v>893</v>
      </c>
      <c r="F282" s="357" t="s">
        <v>1017</v>
      </c>
      <c r="G282" s="357" t="s">
        <v>1018</v>
      </c>
      <c r="H282" s="357" t="s">
        <v>788</v>
      </c>
      <c r="I282" s="357" t="s">
        <v>1255</v>
      </c>
      <c r="J282" s="357" t="s">
        <v>1012</v>
      </c>
      <c r="K282" s="357" t="s">
        <v>1256</v>
      </c>
      <c r="L282" s="357" t="s">
        <v>1014</v>
      </c>
      <c r="M282" s="360" t="s">
        <v>893</v>
      </c>
      <c r="N282" s="203"/>
      <c r="O282" s="203"/>
      <c r="P282" s="203"/>
      <c r="Q282" s="203"/>
      <c r="R282" s="203"/>
      <c r="S282" s="203"/>
    </row>
    <row r="283">
      <c r="A283" s="356">
        <v>46126.0</v>
      </c>
      <c r="B283" s="357" t="s">
        <v>1197</v>
      </c>
      <c r="C283" s="358">
        <v>250.51</v>
      </c>
      <c r="D283" s="359">
        <v>6120.0</v>
      </c>
      <c r="E283" s="381" t="s">
        <v>893</v>
      </c>
      <c r="F283" s="357" t="s">
        <v>1242</v>
      </c>
      <c r="G283" s="357" t="s">
        <v>1243</v>
      </c>
      <c r="H283" s="357" t="s">
        <v>785</v>
      </c>
      <c r="I283" s="357" t="s">
        <v>1257</v>
      </c>
      <c r="J283" s="357" t="s">
        <v>1012</v>
      </c>
      <c r="K283" s="357" t="s">
        <v>1070</v>
      </c>
      <c r="L283" s="357" t="s">
        <v>1014</v>
      </c>
      <c r="M283" s="360" t="s">
        <v>893</v>
      </c>
      <c r="N283" s="203"/>
      <c r="O283" s="203"/>
      <c r="P283" s="203"/>
      <c r="Q283" s="203"/>
      <c r="R283" s="203"/>
      <c r="S283" s="203"/>
    </row>
    <row r="284">
      <c r="A284" s="356">
        <v>46126.0</v>
      </c>
      <c r="B284" s="357" t="s">
        <v>1197</v>
      </c>
      <c r="C284" s="358">
        <v>20.75</v>
      </c>
      <c r="D284" s="359">
        <v>6120.0</v>
      </c>
      <c r="E284" s="381" t="s">
        <v>893</v>
      </c>
      <c r="F284" s="357" t="s">
        <v>1242</v>
      </c>
      <c r="G284" s="357" t="s">
        <v>1243</v>
      </c>
      <c r="H284" s="357" t="s">
        <v>785</v>
      </c>
      <c r="I284" s="357" t="s">
        <v>1258</v>
      </c>
      <c r="J284" s="357" t="s">
        <v>1012</v>
      </c>
      <c r="K284" s="357" t="s">
        <v>1070</v>
      </c>
      <c r="L284" s="357" t="s">
        <v>1014</v>
      </c>
      <c r="M284" s="360" t="s">
        <v>893</v>
      </c>
      <c r="N284" s="203"/>
      <c r="O284" s="203"/>
      <c r="P284" s="203"/>
      <c r="Q284" s="203"/>
      <c r="R284" s="203"/>
      <c r="S284" s="203"/>
    </row>
    <row r="285">
      <c r="A285" s="356">
        <v>46126.0</v>
      </c>
      <c r="B285" s="357" t="s">
        <v>1197</v>
      </c>
      <c r="C285" s="358">
        <v>6.41</v>
      </c>
      <c r="D285" s="359">
        <v>6120.0</v>
      </c>
      <c r="E285" s="381" t="s">
        <v>893</v>
      </c>
      <c r="F285" s="357" t="s">
        <v>1242</v>
      </c>
      <c r="G285" s="357" t="s">
        <v>1243</v>
      </c>
      <c r="H285" s="357" t="s">
        <v>785</v>
      </c>
      <c r="I285" s="357" t="s">
        <v>1258</v>
      </c>
      <c r="J285" s="357" t="s">
        <v>1012</v>
      </c>
      <c r="K285" s="357" t="s">
        <v>1070</v>
      </c>
      <c r="L285" s="357" t="s">
        <v>1014</v>
      </c>
      <c r="M285" s="360" t="s">
        <v>893</v>
      </c>
      <c r="N285" s="203"/>
      <c r="O285" s="203"/>
      <c r="P285" s="203"/>
      <c r="Q285" s="203"/>
      <c r="R285" s="203"/>
      <c r="S285" s="203"/>
    </row>
    <row r="286">
      <c r="A286" s="356">
        <v>46125.0</v>
      </c>
      <c r="B286" s="357" t="s">
        <v>1076</v>
      </c>
      <c r="C286" s="358">
        <v>271.66</v>
      </c>
      <c r="D286" s="359">
        <v>5320.0</v>
      </c>
      <c r="E286" s="381">
        <v>5320.0</v>
      </c>
      <c r="F286" s="357" t="s">
        <v>717</v>
      </c>
      <c r="G286" s="357" t="s">
        <v>943</v>
      </c>
      <c r="H286" s="357" t="s">
        <v>787</v>
      </c>
      <c r="I286" s="357" t="s">
        <v>1115</v>
      </c>
      <c r="J286" s="357" t="s">
        <v>1012</v>
      </c>
      <c r="K286" s="357" t="s">
        <v>1070</v>
      </c>
      <c r="L286" s="357" t="s">
        <v>1014</v>
      </c>
      <c r="M286" s="360" t="s">
        <v>240</v>
      </c>
      <c r="N286" s="203"/>
      <c r="O286" s="203"/>
      <c r="P286" s="203"/>
      <c r="Q286" s="203"/>
      <c r="R286" s="203"/>
      <c r="S286" s="203"/>
    </row>
    <row r="287">
      <c r="A287" s="356">
        <v>46125.0</v>
      </c>
      <c r="B287" s="357" t="s">
        <v>1076</v>
      </c>
      <c r="C287" s="358">
        <v>643.91</v>
      </c>
      <c r="D287" s="359">
        <v>5320.0</v>
      </c>
      <c r="E287" s="381">
        <v>5320.0</v>
      </c>
      <c r="F287" s="357" t="s">
        <v>717</v>
      </c>
      <c r="G287" s="357" t="s">
        <v>943</v>
      </c>
      <c r="H287" s="357" t="s">
        <v>787</v>
      </c>
      <c r="I287" s="357" t="s">
        <v>1259</v>
      </c>
      <c r="J287" s="357" t="s">
        <v>1012</v>
      </c>
      <c r="K287" s="357" t="s">
        <v>1070</v>
      </c>
      <c r="L287" s="357" t="s">
        <v>1014</v>
      </c>
      <c r="M287" s="360" t="s">
        <v>240</v>
      </c>
      <c r="N287" s="203"/>
      <c r="O287" s="203"/>
      <c r="P287" s="203"/>
      <c r="Q287" s="203"/>
      <c r="R287" s="203"/>
      <c r="S287" s="203"/>
    </row>
    <row r="288">
      <c r="A288" s="356">
        <v>46124.0</v>
      </c>
      <c r="B288" s="357" t="s">
        <v>1184</v>
      </c>
      <c r="C288" s="358">
        <v>113.24</v>
      </c>
      <c r="D288" s="359">
        <v>6100.0</v>
      </c>
      <c r="E288" s="381" t="s">
        <v>893</v>
      </c>
      <c r="F288" s="357" t="s">
        <v>1242</v>
      </c>
      <c r="G288" s="357" t="s">
        <v>1243</v>
      </c>
      <c r="H288" s="357" t="s">
        <v>784</v>
      </c>
      <c r="I288" s="357" t="s">
        <v>1260</v>
      </c>
      <c r="J288" s="357" t="s">
        <v>1012</v>
      </c>
      <c r="K288" s="357" t="s">
        <v>1070</v>
      </c>
      <c r="L288" s="357" t="s">
        <v>1014</v>
      </c>
      <c r="M288" s="360" t="s">
        <v>893</v>
      </c>
      <c r="N288" s="203"/>
      <c r="O288" s="203"/>
      <c r="P288" s="203"/>
      <c r="Q288" s="203"/>
      <c r="R288" s="203"/>
      <c r="S288" s="203"/>
    </row>
    <row r="289">
      <c r="A289" s="356">
        <v>46122.0</v>
      </c>
      <c r="B289" s="357" t="s">
        <v>961</v>
      </c>
      <c r="C289" s="358">
        <v>83.36</v>
      </c>
      <c r="D289" s="359">
        <v>7550.0</v>
      </c>
      <c r="E289" s="359">
        <v>5330.0</v>
      </c>
      <c r="F289" s="357" t="s">
        <v>711</v>
      </c>
      <c r="G289" s="357" t="s">
        <v>933</v>
      </c>
      <c r="H289" s="357" t="s">
        <v>786</v>
      </c>
      <c r="I289" s="357" t="s">
        <v>1261</v>
      </c>
      <c r="J289" s="357" t="s">
        <v>1012</v>
      </c>
      <c r="K289" s="357" t="s">
        <v>1070</v>
      </c>
      <c r="L289" s="357" t="s">
        <v>1014</v>
      </c>
      <c r="M289" s="360" t="s">
        <v>879</v>
      </c>
      <c r="N289" s="203"/>
      <c r="O289" s="203"/>
      <c r="P289" s="203"/>
      <c r="Q289" s="203"/>
      <c r="R289" s="203"/>
      <c r="S289" s="203"/>
    </row>
    <row r="290">
      <c r="A290" s="356">
        <v>46121.0</v>
      </c>
      <c r="B290" s="357" t="s">
        <v>1184</v>
      </c>
      <c r="C290" s="358">
        <v>150.97</v>
      </c>
      <c r="D290" s="359">
        <v>6100.0</v>
      </c>
      <c r="E290" s="381" t="s">
        <v>893</v>
      </c>
      <c r="F290" s="357" t="s">
        <v>1242</v>
      </c>
      <c r="G290" s="357" t="s">
        <v>1243</v>
      </c>
      <c r="H290" s="357" t="s">
        <v>784</v>
      </c>
      <c r="I290" s="357" t="s">
        <v>1262</v>
      </c>
      <c r="J290" s="357" t="s">
        <v>1012</v>
      </c>
      <c r="K290" s="357" t="s">
        <v>1070</v>
      </c>
      <c r="L290" s="357" t="s">
        <v>1014</v>
      </c>
      <c r="M290" s="360" t="s">
        <v>893</v>
      </c>
      <c r="N290" s="203"/>
      <c r="O290" s="203"/>
      <c r="P290" s="203"/>
      <c r="Q290" s="203"/>
      <c r="R290" s="203"/>
      <c r="S290" s="203"/>
    </row>
    <row r="291">
      <c r="A291" s="356">
        <v>46119.0</v>
      </c>
      <c r="B291" s="357" t="s">
        <v>1197</v>
      </c>
      <c r="C291" s="358">
        <v>283.89</v>
      </c>
      <c r="D291" s="359">
        <v>6120.0</v>
      </c>
      <c r="E291" s="381" t="s">
        <v>893</v>
      </c>
      <c r="F291" s="357" t="s">
        <v>1242</v>
      </c>
      <c r="G291" s="357" t="s">
        <v>1243</v>
      </c>
      <c r="H291" s="357" t="s">
        <v>785</v>
      </c>
      <c r="I291" s="357" t="s">
        <v>1263</v>
      </c>
      <c r="J291" s="357" t="s">
        <v>1012</v>
      </c>
      <c r="K291" s="357" t="s">
        <v>1070</v>
      </c>
      <c r="L291" s="357" t="s">
        <v>1014</v>
      </c>
      <c r="M291" s="360" t="s">
        <v>893</v>
      </c>
      <c r="N291" s="203"/>
      <c r="O291" s="203"/>
      <c r="P291" s="203"/>
      <c r="Q291" s="203"/>
      <c r="R291" s="203"/>
      <c r="S291" s="203"/>
    </row>
    <row r="292">
      <c r="A292" s="356">
        <v>46119.0</v>
      </c>
      <c r="B292" s="357" t="s">
        <v>1184</v>
      </c>
      <c r="C292" s="358">
        <v>136.84</v>
      </c>
      <c r="D292" s="359">
        <v>6100.0</v>
      </c>
      <c r="E292" s="381" t="s">
        <v>893</v>
      </c>
      <c r="F292" s="357" t="s">
        <v>1242</v>
      </c>
      <c r="G292" s="357" t="s">
        <v>1243</v>
      </c>
      <c r="H292" s="357" t="s">
        <v>784</v>
      </c>
      <c r="I292" s="357" t="s">
        <v>1264</v>
      </c>
      <c r="J292" s="357" t="s">
        <v>1012</v>
      </c>
      <c r="K292" s="357" t="s">
        <v>1070</v>
      </c>
      <c r="L292" s="357" t="s">
        <v>1014</v>
      </c>
      <c r="M292" s="360" t="s">
        <v>893</v>
      </c>
      <c r="N292" s="203"/>
      <c r="O292" s="203"/>
      <c r="P292" s="203"/>
      <c r="Q292" s="203"/>
      <c r="R292" s="203"/>
      <c r="S292" s="203"/>
    </row>
    <row r="293">
      <c r="A293" s="356">
        <v>46118.0</v>
      </c>
      <c r="B293" s="357" t="s">
        <v>961</v>
      </c>
      <c r="C293" s="358">
        <v>10.8</v>
      </c>
      <c r="D293" s="359">
        <v>7550.0</v>
      </c>
      <c r="E293" s="381">
        <v>5330.0</v>
      </c>
      <c r="F293" s="357" t="s">
        <v>711</v>
      </c>
      <c r="G293" s="357" t="s">
        <v>933</v>
      </c>
      <c r="H293" s="357" t="s">
        <v>786</v>
      </c>
      <c r="I293" s="357" t="s">
        <v>1265</v>
      </c>
      <c r="J293" s="357" t="s">
        <v>1012</v>
      </c>
      <c r="K293" s="357" t="s">
        <v>1070</v>
      </c>
      <c r="L293" s="357" t="s">
        <v>1014</v>
      </c>
      <c r="M293" s="360" t="s">
        <v>879</v>
      </c>
      <c r="N293" s="203"/>
      <c r="O293" s="203"/>
      <c r="P293" s="203"/>
      <c r="Q293" s="203"/>
      <c r="R293" s="203"/>
      <c r="S293" s="203"/>
    </row>
    <row r="294">
      <c r="A294" s="356">
        <v>46117.0</v>
      </c>
      <c r="B294" s="357" t="s">
        <v>961</v>
      </c>
      <c r="C294" s="358">
        <v>10.9</v>
      </c>
      <c r="D294" s="359">
        <v>7550.0</v>
      </c>
      <c r="E294" s="381">
        <v>5330.0</v>
      </c>
      <c r="F294" s="357" t="s">
        <v>711</v>
      </c>
      <c r="G294" s="357" t="s">
        <v>933</v>
      </c>
      <c r="H294" s="357" t="s">
        <v>786</v>
      </c>
      <c r="I294" s="357" t="s">
        <v>1266</v>
      </c>
      <c r="J294" s="357" t="s">
        <v>1012</v>
      </c>
      <c r="K294" s="357" t="s">
        <v>1070</v>
      </c>
      <c r="L294" s="357" t="s">
        <v>1014</v>
      </c>
      <c r="M294" s="360" t="s">
        <v>879</v>
      </c>
      <c r="N294" s="203"/>
      <c r="O294" s="203"/>
      <c r="P294" s="203"/>
      <c r="Q294" s="203"/>
      <c r="R294" s="203"/>
      <c r="S294" s="203"/>
    </row>
    <row r="295">
      <c r="A295" s="356">
        <v>46117.0</v>
      </c>
      <c r="B295" s="357" t="s">
        <v>961</v>
      </c>
      <c r="C295" s="358">
        <v>27.84</v>
      </c>
      <c r="D295" s="359">
        <v>7550.0</v>
      </c>
      <c r="E295" s="381">
        <v>5330.0</v>
      </c>
      <c r="F295" s="357" t="s">
        <v>711</v>
      </c>
      <c r="G295" s="357" t="s">
        <v>933</v>
      </c>
      <c r="H295" s="357" t="s">
        <v>786</v>
      </c>
      <c r="I295" s="357" t="s">
        <v>1267</v>
      </c>
      <c r="J295" s="357" t="s">
        <v>1012</v>
      </c>
      <c r="K295" s="357" t="s">
        <v>1070</v>
      </c>
      <c r="L295" s="357" t="s">
        <v>1014</v>
      </c>
      <c r="M295" s="360" t="s">
        <v>879</v>
      </c>
      <c r="N295" s="203"/>
      <c r="O295" s="203"/>
      <c r="P295" s="203"/>
      <c r="Q295" s="203"/>
      <c r="R295" s="203"/>
      <c r="S295" s="203"/>
    </row>
    <row r="296">
      <c r="A296" s="356">
        <v>46116.0</v>
      </c>
      <c r="B296" s="357" t="s">
        <v>961</v>
      </c>
      <c r="C296" s="358">
        <v>31.46</v>
      </c>
      <c r="D296" s="359">
        <v>7550.0</v>
      </c>
      <c r="E296" s="359">
        <v>5330.0</v>
      </c>
      <c r="F296" s="357" t="s">
        <v>711</v>
      </c>
      <c r="G296" s="357" t="s">
        <v>933</v>
      </c>
      <c r="H296" s="357" t="s">
        <v>786</v>
      </c>
      <c r="I296" s="357" t="s">
        <v>1268</v>
      </c>
      <c r="J296" s="357" t="s">
        <v>1012</v>
      </c>
      <c r="K296" s="357" t="s">
        <v>1070</v>
      </c>
      <c r="L296" s="357" t="s">
        <v>1014</v>
      </c>
      <c r="M296" s="360" t="s">
        <v>879</v>
      </c>
      <c r="N296" s="203"/>
      <c r="O296" s="203"/>
      <c r="P296" s="203"/>
      <c r="Q296" s="203"/>
      <c r="R296" s="203"/>
      <c r="S296" s="203"/>
    </row>
    <row r="297">
      <c r="A297" s="356">
        <v>46116.0</v>
      </c>
      <c r="B297" s="357" t="s">
        <v>961</v>
      </c>
      <c r="C297" s="358">
        <v>199.2</v>
      </c>
      <c r="D297" s="359">
        <v>7550.0</v>
      </c>
      <c r="E297" s="359">
        <v>5330.0</v>
      </c>
      <c r="F297" s="357" t="s">
        <v>711</v>
      </c>
      <c r="G297" s="357" t="s">
        <v>933</v>
      </c>
      <c r="H297" s="357" t="s">
        <v>786</v>
      </c>
      <c r="I297" s="357" t="s">
        <v>1269</v>
      </c>
      <c r="J297" s="357" t="s">
        <v>1012</v>
      </c>
      <c r="K297" s="357" t="s">
        <v>1070</v>
      </c>
      <c r="L297" s="357" t="s">
        <v>1014</v>
      </c>
      <c r="M297" s="360" t="s">
        <v>879</v>
      </c>
      <c r="N297" s="203"/>
      <c r="O297" s="203"/>
      <c r="P297" s="203"/>
      <c r="Q297" s="203"/>
      <c r="R297" s="203"/>
      <c r="S297" s="203"/>
    </row>
    <row r="298">
      <c r="A298" s="356">
        <v>46115.0</v>
      </c>
      <c r="B298" s="357" t="s">
        <v>961</v>
      </c>
      <c r="C298" s="358">
        <v>17.22</v>
      </c>
      <c r="D298" s="359">
        <v>7550.0</v>
      </c>
      <c r="E298" s="359">
        <v>5330.0</v>
      </c>
      <c r="F298" s="357" t="s">
        <v>711</v>
      </c>
      <c r="G298" s="357" t="s">
        <v>933</v>
      </c>
      <c r="H298" s="357" t="s">
        <v>786</v>
      </c>
      <c r="I298" s="357" t="s">
        <v>1270</v>
      </c>
      <c r="J298" s="357" t="s">
        <v>1012</v>
      </c>
      <c r="K298" s="357" t="s">
        <v>1070</v>
      </c>
      <c r="L298" s="357" t="s">
        <v>1014</v>
      </c>
      <c r="M298" s="360" t="s">
        <v>879</v>
      </c>
      <c r="N298" s="203"/>
      <c r="O298" s="203"/>
      <c r="P298" s="203"/>
      <c r="Q298" s="203"/>
      <c r="R298" s="203"/>
      <c r="S298" s="203"/>
    </row>
    <row r="299">
      <c r="A299" s="356">
        <v>46115.0</v>
      </c>
      <c r="B299" s="357" t="s">
        <v>961</v>
      </c>
      <c r="C299" s="358">
        <v>181.22</v>
      </c>
      <c r="D299" s="359">
        <v>7550.0</v>
      </c>
      <c r="E299" s="359">
        <v>5330.0</v>
      </c>
      <c r="F299" s="357" t="s">
        <v>711</v>
      </c>
      <c r="G299" s="357" t="s">
        <v>933</v>
      </c>
      <c r="H299" s="357" t="s">
        <v>786</v>
      </c>
      <c r="I299" s="357" t="s">
        <v>1271</v>
      </c>
      <c r="J299" s="357" t="s">
        <v>1012</v>
      </c>
      <c r="K299" s="357" t="s">
        <v>1070</v>
      </c>
      <c r="L299" s="357" t="s">
        <v>1014</v>
      </c>
      <c r="M299" s="360" t="s">
        <v>879</v>
      </c>
      <c r="N299" s="203"/>
      <c r="O299" s="203"/>
      <c r="P299" s="203"/>
      <c r="Q299" s="203"/>
      <c r="R299" s="203"/>
      <c r="S299" s="203"/>
    </row>
    <row r="300">
      <c r="A300" s="356">
        <v>46115.0</v>
      </c>
      <c r="B300" s="357" t="s">
        <v>1184</v>
      </c>
      <c r="C300" s="358">
        <v>21.18</v>
      </c>
      <c r="D300" s="359">
        <v>6100.0</v>
      </c>
      <c r="E300" s="381" t="s">
        <v>893</v>
      </c>
      <c r="F300" s="357" t="s">
        <v>1242</v>
      </c>
      <c r="G300" s="357" t="s">
        <v>1243</v>
      </c>
      <c r="H300" s="357" t="s">
        <v>784</v>
      </c>
      <c r="I300" s="357" t="s">
        <v>1272</v>
      </c>
      <c r="J300" s="357" t="s">
        <v>1012</v>
      </c>
      <c r="K300" s="357" t="s">
        <v>1070</v>
      </c>
      <c r="L300" s="357" t="s">
        <v>1014</v>
      </c>
      <c r="M300" s="360" t="s">
        <v>893</v>
      </c>
      <c r="N300" s="203"/>
      <c r="O300" s="203"/>
      <c r="P300" s="203"/>
      <c r="Q300" s="203"/>
      <c r="R300" s="203"/>
      <c r="S300" s="203"/>
    </row>
    <row r="301">
      <c r="A301" s="356">
        <v>46114.0</v>
      </c>
      <c r="B301" s="357" t="s">
        <v>1197</v>
      </c>
      <c r="C301" s="358">
        <v>94.01</v>
      </c>
      <c r="D301" s="359">
        <v>6120.0</v>
      </c>
      <c r="E301" s="381" t="s">
        <v>893</v>
      </c>
      <c r="F301" s="357" t="s">
        <v>1242</v>
      </c>
      <c r="G301" s="357" t="s">
        <v>1243</v>
      </c>
      <c r="H301" s="357" t="s">
        <v>785</v>
      </c>
      <c r="I301" s="357" t="s">
        <v>1273</v>
      </c>
      <c r="J301" s="357" t="s">
        <v>1012</v>
      </c>
      <c r="K301" s="357" t="s">
        <v>1070</v>
      </c>
      <c r="L301" s="357" t="s">
        <v>1014</v>
      </c>
      <c r="M301" s="360" t="s">
        <v>893</v>
      </c>
      <c r="N301" s="203"/>
      <c r="O301" s="203"/>
      <c r="P301" s="203"/>
      <c r="Q301" s="203"/>
      <c r="R301" s="203"/>
      <c r="S301" s="203"/>
    </row>
    <row r="302">
      <c r="A302" s="356">
        <v>46113.0</v>
      </c>
      <c r="B302" s="357" t="s">
        <v>1076</v>
      </c>
      <c r="C302" s="358">
        <v>308.6</v>
      </c>
      <c r="D302" s="359">
        <v>5320.0</v>
      </c>
      <c r="E302" s="359">
        <v>5320.0</v>
      </c>
      <c r="F302" s="357" t="s">
        <v>717</v>
      </c>
      <c r="G302" s="357" t="s">
        <v>943</v>
      </c>
      <c r="H302" s="357" t="s">
        <v>787</v>
      </c>
      <c r="I302" s="357" t="s">
        <v>1115</v>
      </c>
      <c r="J302" s="357" t="s">
        <v>1012</v>
      </c>
      <c r="K302" s="357" t="s">
        <v>1070</v>
      </c>
      <c r="L302" s="357" t="s">
        <v>1014</v>
      </c>
      <c r="M302" s="360" t="s">
        <v>240</v>
      </c>
      <c r="N302" s="203"/>
      <c r="O302" s="203"/>
      <c r="P302" s="203"/>
      <c r="Q302" s="203"/>
      <c r="R302" s="203"/>
      <c r="S302" s="203"/>
    </row>
    <row r="303">
      <c r="A303" s="356">
        <v>46113.0</v>
      </c>
      <c r="B303" s="357" t="s">
        <v>961</v>
      </c>
      <c r="C303" s="358">
        <v>942.4</v>
      </c>
      <c r="D303" s="359">
        <v>7550.0</v>
      </c>
      <c r="E303" s="381">
        <v>5330.0</v>
      </c>
      <c r="F303" s="357" t="s">
        <v>711</v>
      </c>
      <c r="G303" s="357" t="s">
        <v>933</v>
      </c>
      <c r="H303" s="357" t="s">
        <v>786</v>
      </c>
      <c r="I303" s="357" t="s">
        <v>1274</v>
      </c>
      <c r="J303" s="357" t="s">
        <v>1012</v>
      </c>
      <c r="K303" s="357" t="s">
        <v>1070</v>
      </c>
      <c r="L303" s="357" t="s">
        <v>1014</v>
      </c>
      <c r="M303" s="360" t="s">
        <v>879</v>
      </c>
      <c r="N303" s="203"/>
      <c r="O303" s="203"/>
      <c r="P303" s="203"/>
      <c r="Q303" s="203"/>
      <c r="R303" s="203"/>
      <c r="S303" s="203"/>
    </row>
    <row r="304">
      <c r="A304" s="356">
        <v>46113.0</v>
      </c>
      <c r="B304" s="357" t="s">
        <v>1076</v>
      </c>
      <c r="C304" s="358">
        <v>1133.76</v>
      </c>
      <c r="D304" s="359">
        <v>5320.0</v>
      </c>
      <c r="E304" s="381">
        <v>5320.0</v>
      </c>
      <c r="F304" s="357" t="s">
        <v>717</v>
      </c>
      <c r="G304" s="357" t="s">
        <v>943</v>
      </c>
      <c r="H304" s="357" t="s">
        <v>787</v>
      </c>
      <c r="I304" s="357" t="s">
        <v>1259</v>
      </c>
      <c r="J304" s="357" t="s">
        <v>1012</v>
      </c>
      <c r="K304" s="357" t="s">
        <v>1070</v>
      </c>
      <c r="L304" s="357" t="s">
        <v>1014</v>
      </c>
      <c r="M304" s="360" t="s">
        <v>240</v>
      </c>
      <c r="N304" s="203"/>
      <c r="O304" s="203"/>
      <c r="P304" s="203"/>
      <c r="Q304" s="203"/>
      <c r="R304" s="203"/>
      <c r="S304" s="203"/>
    </row>
    <row r="305">
      <c r="A305" s="356">
        <v>46113.0</v>
      </c>
      <c r="B305" s="357" t="s">
        <v>961</v>
      </c>
      <c r="C305" s="358">
        <v>11.08</v>
      </c>
      <c r="D305" s="359">
        <v>7550.0</v>
      </c>
      <c r="E305" s="359">
        <v>5330.0</v>
      </c>
      <c r="F305" s="357" t="s">
        <v>714</v>
      </c>
      <c r="G305" s="357" t="s">
        <v>938</v>
      </c>
      <c r="H305" s="357" t="s">
        <v>786</v>
      </c>
      <c r="I305" s="357" t="s">
        <v>1275</v>
      </c>
      <c r="J305" s="357" t="s">
        <v>1012</v>
      </c>
      <c r="K305" s="357" t="s">
        <v>1070</v>
      </c>
      <c r="L305" s="357" t="s">
        <v>1014</v>
      </c>
      <c r="M305" s="360" t="s">
        <v>879</v>
      </c>
      <c r="N305" s="203"/>
      <c r="O305" s="203"/>
      <c r="P305" s="203"/>
      <c r="Q305" s="203"/>
      <c r="R305" s="203"/>
      <c r="S305" s="203"/>
    </row>
    <row r="306">
      <c r="A306" s="356">
        <v>46113.0</v>
      </c>
      <c r="B306" s="357" t="s">
        <v>1076</v>
      </c>
      <c r="C306" s="358">
        <v>519.3</v>
      </c>
      <c r="D306" s="359">
        <v>5320.0</v>
      </c>
      <c r="E306" s="359">
        <v>5320.0</v>
      </c>
      <c r="F306" s="357" t="s">
        <v>717</v>
      </c>
      <c r="G306" s="357" t="s">
        <v>943</v>
      </c>
      <c r="H306" s="357" t="s">
        <v>787</v>
      </c>
      <c r="I306" s="357" t="s">
        <v>1128</v>
      </c>
      <c r="J306" s="357" t="s">
        <v>1012</v>
      </c>
      <c r="K306" s="357" t="s">
        <v>1070</v>
      </c>
      <c r="L306" s="357" t="s">
        <v>1014</v>
      </c>
      <c r="M306" s="360" t="s">
        <v>240</v>
      </c>
      <c r="N306" s="203"/>
      <c r="O306" s="203"/>
      <c r="P306" s="203"/>
      <c r="Q306" s="203"/>
      <c r="R306" s="203"/>
      <c r="S306" s="203"/>
    </row>
    <row r="307">
      <c r="A307" s="356">
        <v>46112.0</v>
      </c>
      <c r="B307" s="357" t="s">
        <v>1068</v>
      </c>
      <c r="C307" s="358">
        <v>23.49</v>
      </c>
      <c r="D307" s="359">
        <v>5320.0</v>
      </c>
      <c r="E307" s="359">
        <v>5320.0</v>
      </c>
      <c r="F307" s="357" t="s">
        <v>717</v>
      </c>
      <c r="G307" s="357" t="s">
        <v>943</v>
      </c>
      <c r="H307" s="357" t="s">
        <v>787</v>
      </c>
      <c r="I307" s="357" t="s">
        <v>1276</v>
      </c>
      <c r="J307" s="357" t="s">
        <v>1012</v>
      </c>
      <c r="K307" s="357" t="s">
        <v>1070</v>
      </c>
      <c r="L307" s="357" t="s">
        <v>1014</v>
      </c>
      <c r="M307" s="360" t="s">
        <v>240</v>
      </c>
      <c r="N307" s="203"/>
      <c r="O307" s="203"/>
      <c r="P307" s="203"/>
      <c r="Q307" s="203"/>
      <c r="R307" s="203"/>
      <c r="S307" s="203"/>
    </row>
    <row r="308">
      <c r="A308" s="356">
        <v>46112.0</v>
      </c>
      <c r="B308" s="357" t="s">
        <v>1195</v>
      </c>
      <c r="C308" s="358">
        <v>616.4</v>
      </c>
      <c r="D308" s="359">
        <v>5360.0</v>
      </c>
      <c r="E308" s="359">
        <v>5050.0</v>
      </c>
      <c r="F308" s="357" t="s">
        <v>689</v>
      </c>
      <c r="G308" s="357" t="s">
        <v>880</v>
      </c>
      <c r="H308" s="357" t="s">
        <v>781</v>
      </c>
      <c r="I308" s="357" t="s">
        <v>1277</v>
      </c>
      <c r="J308" s="357" t="s">
        <v>1012</v>
      </c>
      <c r="K308" s="357" t="s">
        <v>1070</v>
      </c>
      <c r="L308" s="357" t="s">
        <v>1014</v>
      </c>
      <c r="M308" s="360" t="s">
        <v>879</v>
      </c>
      <c r="N308" s="203"/>
      <c r="O308" s="203"/>
      <c r="P308" s="203"/>
      <c r="Q308" s="203"/>
      <c r="R308" s="203"/>
      <c r="S308" s="203"/>
    </row>
    <row r="309">
      <c r="A309" s="356">
        <v>46105.0</v>
      </c>
      <c r="B309" s="357" t="s">
        <v>1278</v>
      </c>
      <c r="C309" s="358">
        <v>827.63</v>
      </c>
      <c r="D309" s="359">
        <v>5320.0</v>
      </c>
      <c r="E309" s="359">
        <v>5320.0</v>
      </c>
      <c r="F309" s="357" t="s">
        <v>717</v>
      </c>
      <c r="G309" s="357" t="s">
        <v>943</v>
      </c>
      <c r="H309" s="357" t="s">
        <v>787</v>
      </c>
      <c r="I309" s="357" t="s">
        <v>1279</v>
      </c>
      <c r="J309" s="357" t="s">
        <v>1012</v>
      </c>
      <c r="K309" s="357" t="s">
        <v>1070</v>
      </c>
      <c r="L309" s="357" t="s">
        <v>1014</v>
      </c>
      <c r="M309" s="360" t="s">
        <v>240</v>
      </c>
      <c r="N309" s="203"/>
      <c r="O309" s="203"/>
      <c r="P309" s="203"/>
      <c r="Q309" s="203"/>
      <c r="R309" s="203"/>
      <c r="S309" s="203"/>
    </row>
    <row r="310">
      <c r="A310" s="356">
        <v>46102.0</v>
      </c>
      <c r="B310" s="357" t="s">
        <v>1280</v>
      </c>
      <c r="C310" s="358">
        <v>248.03</v>
      </c>
      <c r="D310" s="359">
        <v>5330.0</v>
      </c>
      <c r="E310" s="359">
        <v>5330.0</v>
      </c>
      <c r="F310" s="357" t="s">
        <v>474</v>
      </c>
      <c r="G310" s="357" t="s">
        <v>928</v>
      </c>
      <c r="H310" s="357" t="s">
        <v>786</v>
      </c>
      <c r="I310" s="357" t="s">
        <v>1281</v>
      </c>
      <c r="J310" s="357" t="s">
        <v>1012</v>
      </c>
      <c r="K310" s="357" t="s">
        <v>1070</v>
      </c>
      <c r="L310" s="357" t="s">
        <v>1014</v>
      </c>
      <c r="M310" s="360" t="s">
        <v>240</v>
      </c>
      <c r="N310" s="203"/>
      <c r="O310" s="203"/>
      <c r="P310" s="203"/>
      <c r="Q310" s="203"/>
      <c r="R310" s="203"/>
      <c r="S310" s="203"/>
    </row>
    <row r="311">
      <c r="A311" s="356">
        <v>46101.0</v>
      </c>
      <c r="B311" s="357" t="s">
        <v>1076</v>
      </c>
      <c r="C311" s="358">
        <v>128.75</v>
      </c>
      <c r="D311" s="359">
        <v>5320.0</v>
      </c>
      <c r="E311" s="359">
        <v>5320.0</v>
      </c>
      <c r="F311" s="357" t="s">
        <v>717</v>
      </c>
      <c r="G311" s="357" t="s">
        <v>943</v>
      </c>
      <c r="H311" s="357" t="s">
        <v>787</v>
      </c>
      <c r="I311" s="357" t="s">
        <v>1115</v>
      </c>
      <c r="J311" s="357" t="s">
        <v>1012</v>
      </c>
      <c r="K311" s="357" t="s">
        <v>1070</v>
      </c>
      <c r="L311" s="357" t="s">
        <v>1014</v>
      </c>
      <c r="M311" s="360" t="s">
        <v>240</v>
      </c>
      <c r="N311" s="203"/>
      <c r="O311" s="203"/>
      <c r="P311" s="203"/>
      <c r="Q311" s="203"/>
      <c r="R311" s="203"/>
      <c r="S311" s="203"/>
    </row>
    <row r="312">
      <c r="A312" s="356">
        <v>46101.0</v>
      </c>
      <c r="B312" s="357" t="s">
        <v>1197</v>
      </c>
      <c r="C312" s="358">
        <v>8.23</v>
      </c>
      <c r="D312" s="359">
        <v>6120.0</v>
      </c>
      <c r="E312" s="381" t="s">
        <v>893</v>
      </c>
      <c r="F312" s="357" t="s">
        <v>1242</v>
      </c>
      <c r="G312" s="357" t="s">
        <v>1243</v>
      </c>
      <c r="H312" s="357" t="s">
        <v>785</v>
      </c>
      <c r="I312" s="357" t="s">
        <v>1258</v>
      </c>
      <c r="J312" s="357" t="s">
        <v>1012</v>
      </c>
      <c r="K312" s="357" t="s">
        <v>1070</v>
      </c>
      <c r="L312" s="357" t="s">
        <v>1014</v>
      </c>
      <c r="M312" s="360" t="s">
        <v>893</v>
      </c>
      <c r="N312" s="203"/>
      <c r="O312" s="203"/>
      <c r="P312" s="203"/>
      <c r="Q312" s="203"/>
      <c r="R312" s="203"/>
      <c r="S312" s="203"/>
    </row>
    <row r="313">
      <c r="A313" s="356">
        <v>46100.0</v>
      </c>
      <c r="B313" s="357" t="s">
        <v>1282</v>
      </c>
      <c r="C313" s="358">
        <v>113.11</v>
      </c>
      <c r="D313" s="359">
        <v>5330.0</v>
      </c>
      <c r="E313" s="359">
        <v>5330.0</v>
      </c>
      <c r="F313" s="357" t="s">
        <v>474</v>
      </c>
      <c r="G313" s="357" t="s">
        <v>928</v>
      </c>
      <c r="H313" s="357" t="s">
        <v>786</v>
      </c>
      <c r="I313" s="357" t="s">
        <v>1283</v>
      </c>
      <c r="J313" s="357" t="s">
        <v>1012</v>
      </c>
      <c r="K313" s="357" t="s">
        <v>1070</v>
      </c>
      <c r="L313" s="357" t="s">
        <v>1014</v>
      </c>
      <c r="M313" s="360" t="s">
        <v>240</v>
      </c>
      <c r="N313" s="203"/>
      <c r="O313" s="203"/>
      <c r="P313" s="203"/>
      <c r="Q313" s="203"/>
      <c r="R313" s="203"/>
      <c r="S313" s="203"/>
    </row>
    <row r="314">
      <c r="A314" s="356">
        <v>46100.0</v>
      </c>
      <c r="B314" s="357" t="s">
        <v>1284</v>
      </c>
      <c r="C314" s="358">
        <v>181.09</v>
      </c>
      <c r="D314" s="359">
        <v>5330.0</v>
      </c>
      <c r="E314" s="359">
        <v>5330.0</v>
      </c>
      <c r="F314" s="357" t="s">
        <v>474</v>
      </c>
      <c r="G314" s="357" t="s">
        <v>928</v>
      </c>
      <c r="H314" s="357" t="s">
        <v>786</v>
      </c>
      <c r="I314" s="357" t="s">
        <v>1285</v>
      </c>
      <c r="J314" s="357" t="s">
        <v>1012</v>
      </c>
      <c r="K314" s="357" t="s">
        <v>1070</v>
      </c>
      <c r="L314" s="357" t="s">
        <v>1014</v>
      </c>
      <c r="M314" s="360" t="s">
        <v>240</v>
      </c>
      <c r="N314" s="203"/>
      <c r="O314" s="203"/>
      <c r="P314" s="203"/>
      <c r="Q314" s="203"/>
      <c r="R314" s="203"/>
      <c r="S314" s="203"/>
    </row>
    <row r="315">
      <c r="A315" s="356">
        <v>46100.0</v>
      </c>
      <c r="B315" s="357" t="s">
        <v>1278</v>
      </c>
      <c r="C315" s="358">
        <v>391.87</v>
      </c>
      <c r="D315" s="359">
        <v>5330.0</v>
      </c>
      <c r="E315" s="381">
        <v>5330.0</v>
      </c>
      <c r="F315" s="357" t="s">
        <v>474</v>
      </c>
      <c r="G315" s="357" t="s">
        <v>928</v>
      </c>
      <c r="H315" s="357" t="s">
        <v>786</v>
      </c>
      <c r="I315" s="357" t="s">
        <v>1283</v>
      </c>
      <c r="J315" s="357" t="s">
        <v>1012</v>
      </c>
      <c r="K315" s="357" t="s">
        <v>1070</v>
      </c>
      <c r="L315" s="357" t="s">
        <v>1014</v>
      </c>
      <c r="M315" s="360" t="s">
        <v>240</v>
      </c>
      <c r="N315" s="203"/>
      <c r="O315" s="203"/>
      <c r="P315" s="203"/>
      <c r="Q315" s="203"/>
      <c r="R315" s="203"/>
      <c r="S315" s="203"/>
    </row>
    <row r="316">
      <c r="A316" s="356">
        <v>46100.0</v>
      </c>
      <c r="B316" s="357" t="s">
        <v>1286</v>
      </c>
      <c r="C316" s="358">
        <v>114.37</v>
      </c>
      <c r="D316" s="359">
        <v>5330.0</v>
      </c>
      <c r="E316" s="359">
        <v>5330.0</v>
      </c>
      <c r="F316" s="357" t="s">
        <v>474</v>
      </c>
      <c r="G316" s="357" t="s">
        <v>928</v>
      </c>
      <c r="H316" s="357" t="s">
        <v>786</v>
      </c>
      <c r="I316" s="357" t="s">
        <v>1285</v>
      </c>
      <c r="J316" s="357" t="s">
        <v>1012</v>
      </c>
      <c r="K316" s="357" t="s">
        <v>1070</v>
      </c>
      <c r="L316" s="357" t="s">
        <v>1014</v>
      </c>
      <c r="M316" s="360" t="s">
        <v>240</v>
      </c>
      <c r="N316" s="203"/>
      <c r="O316" s="203"/>
      <c r="P316" s="203"/>
      <c r="Q316" s="203"/>
      <c r="R316" s="203"/>
      <c r="S316" s="203"/>
    </row>
    <row r="317">
      <c r="A317" s="356">
        <v>46100.0</v>
      </c>
      <c r="B317" s="357" t="s">
        <v>1278</v>
      </c>
      <c r="C317" s="358">
        <v>378.65</v>
      </c>
      <c r="D317" s="359">
        <v>5330.0</v>
      </c>
      <c r="E317" s="359">
        <v>5330.0</v>
      </c>
      <c r="F317" s="357" t="s">
        <v>474</v>
      </c>
      <c r="G317" s="357" t="s">
        <v>928</v>
      </c>
      <c r="H317" s="357" t="s">
        <v>786</v>
      </c>
      <c r="I317" s="357" t="s">
        <v>1285</v>
      </c>
      <c r="J317" s="357" t="s">
        <v>1012</v>
      </c>
      <c r="K317" s="357" t="s">
        <v>1070</v>
      </c>
      <c r="L317" s="357" t="s">
        <v>1014</v>
      </c>
      <c r="M317" s="360" t="s">
        <v>240</v>
      </c>
      <c r="N317" s="203"/>
      <c r="O317" s="203"/>
      <c r="P317" s="203"/>
      <c r="Q317" s="203"/>
      <c r="R317" s="203"/>
      <c r="S317" s="203"/>
    </row>
    <row r="318">
      <c r="A318" s="356">
        <v>46100.0</v>
      </c>
      <c r="B318" s="357" t="s">
        <v>1287</v>
      </c>
      <c r="C318" s="358">
        <v>183.11</v>
      </c>
      <c r="D318" s="359">
        <v>5330.0</v>
      </c>
      <c r="E318" s="359">
        <v>5330.0</v>
      </c>
      <c r="F318" s="357" t="s">
        <v>474</v>
      </c>
      <c r="G318" s="357" t="s">
        <v>928</v>
      </c>
      <c r="H318" s="357" t="s">
        <v>786</v>
      </c>
      <c r="I318" s="357" t="s">
        <v>1283</v>
      </c>
      <c r="J318" s="357" t="s">
        <v>1012</v>
      </c>
      <c r="K318" s="357" t="s">
        <v>1070</v>
      </c>
      <c r="L318" s="357" t="s">
        <v>1014</v>
      </c>
      <c r="M318" s="360" t="s">
        <v>240</v>
      </c>
      <c r="N318" s="203"/>
      <c r="O318" s="203"/>
      <c r="P318" s="203"/>
      <c r="Q318" s="203"/>
      <c r="R318" s="203"/>
      <c r="S318" s="203"/>
    </row>
    <row r="319">
      <c r="A319" s="356">
        <v>46100.0</v>
      </c>
      <c r="B319" s="357" t="s">
        <v>1288</v>
      </c>
      <c r="C319" s="358">
        <v>211.45</v>
      </c>
      <c r="D319" s="359">
        <v>5330.0</v>
      </c>
      <c r="E319" s="359">
        <v>5330.0</v>
      </c>
      <c r="F319" s="357" t="s">
        <v>474</v>
      </c>
      <c r="G319" s="357" t="s">
        <v>928</v>
      </c>
      <c r="H319" s="357" t="s">
        <v>786</v>
      </c>
      <c r="I319" s="357" t="s">
        <v>1283</v>
      </c>
      <c r="J319" s="357" t="s">
        <v>1012</v>
      </c>
      <c r="K319" s="357" t="s">
        <v>1070</v>
      </c>
      <c r="L319" s="357" t="s">
        <v>1014</v>
      </c>
      <c r="M319" s="360" t="s">
        <v>240</v>
      </c>
      <c r="N319" s="203"/>
      <c r="O319" s="203"/>
      <c r="P319" s="203"/>
      <c r="Q319" s="203"/>
      <c r="R319" s="203"/>
      <c r="S319" s="203"/>
    </row>
    <row r="320">
      <c r="A320" s="356">
        <v>46098.0</v>
      </c>
      <c r="B320" s="357" t="s">
        <v>1197</v>
      </c>
      <c r="C320" s="358">
        <v>42.97</v>
      </c>
      <c r="D320" s="359">
        <v>6120.0</v>
      </c>
      <c r="E320" s="381" t="s">
        <v>893</v>
      </c>
      <c r="F320" s="357" t="s">
        <v>1242</v>
      </c>
      <c r="G320" s="357" t="s">
        <v>1243</v>
      </c>
      <c r="H320" s="357" t="s">
        <v>785</v>
      </c>
      <c r="I320" s="357" t="s">
        <v>1258</v>
      </c>
      <c r="J320" s="357" t="s">
        <v>1012</v>
      </c>
      <c r="K320" s="357" t="s">
        <v>1070</v>
      </c>
      <c r="L320" s="357" t="s">
        <v>1014</v>
      </c>
      <c r="M320" s="360" t="s">
        <v>893</v>
      </c>
      <c r="N320" s="203"/>
      <c r="O320" s="203"/>
      <c r="P320" s="203"/>
      <c r="Q320" s="203"/>
      <c r="R320" s="203"/>
      <c r="S320" s="203"/>
    </row>
    <row r="321">
      <c r="A321" s="356">
        <v>46094.0</v>
      </c>
      <c r="B321" s="357" t="s">
        <v>1197</v>
      </c>
      <c r="C321" s="358">
        <v>11.34</v>
      </c>
      <c r="D321" s="359">
        <v>6120.0</v>
      </c>
      <c r="E321" s="381" t="s">
        <v>893</v>
      </c>
      <c r="F321" s="357" t="s">
        <v>1242</v>
      </c>
      <c r="G321" s="357" t="s">
        <v>1243</v>
      </c>
      <c r="H321" s="357" t="s">
        <v>785</v>
      </c>
      <c r="I321" s="357" t="s">
        <v>1289</v>
      </c>
      <c r="J321" s="357" t="s">
        <v>1012</v>
      </c>
      <c r="K321" s="357" t="s">
        <v>1070</v>
      </c>
      <c r="L321" s="357" t="s">
        <v>1014</v>
      </c>
      <c r="M321" s="360" t="s">
        <v>893</v>
      </c>
      <c r="N321" s="203"/>
      <c r="O321" s="203"/>
      <c r="P321" s="203"/>
      <c r="Q321" s="203"/>
      <c r="R321" s="203"/>
      <c r="S321" s="203"/>
    </row>
    <row r="322">
      <c r="A322" s="356">
        <v>46093.0</v>
      </c>
      <c r="B322" s="357" t="s">
        <v>1197</v>
      </c>
      <c r="C322" s="358">
        <v>42.57</v>
      </c>
      <c r="D322" s="359">
        <v>6120.0</v>
      </c>
      <c r="E322" s="381" t="s">
        <v>893</v>
      </c>
      <c r="F322" s="357" t="s">
        <v>1242</v>
      </c>
      <c r="G322" s="357" t="s">
        <v>1243</v>
      </c>
      <c r="H322" s="357" t="s">
        <v>785</v>
      </c>
      <c r="I322" s="357" t="s">
        <v>1258</v>
      </c>
      <c r="J322" s="357" t="s">
        <v>1012</v>
      </c>
      <c r="K322" s="357" t="s">
        <v>1070</v>
      </c>
      <c r="L322" s="357" t="s">
        <v>1014</v>
      </c>
      <c r="M322" s="360" t="s">
        <v>893</v>
      </c>
      <c r="N322" s="203"/>
      <c r="O322" s="203"/>
      <c r="P322" s="203"/>
      <c r="Q322" s="203"/>
      <c r="R322" s="203"/>
      <c r="S322" s="203"/>
    </row>
    <row r="323">
      <c r="A323" s="356">
        <v>46092.0</v>
      </c>
      <c r="B323" s="357" t="s">
        <v>1076</v>
      </c>
      <c r="C323" s="358">
        <v>210.54</v>
      </c>
      <c r="D323" s="359">
        <v>5320.0</v>
      </c>
      <c r="E323" s="381">
        <v>5320.0</v>
      </c>
      <c r="F323" s="357" t="s">
        <v>717</v>
      </c>
      <c r="G323" s="357" t="s">
        <v>943</v>
      </c>
      <c r="H323" s="357" t="s">
        <v>787</v>
      </c>
      <c r="I323" s="357" t="s">
        <v>1118</v>
      </c>
      <c r="J323" s="357" t="s">
        <v>1012</v>
      </c>
      <c r="K323" s="357" t="s">
        <v>1070</v>
      </c>
      <c r="L323" s="357" t="s">
        <v>1014</v>
      </c>
      <c r="M323" s="360" t="s">
        <v>240</v>
      </c>
      <c r="N323" s="203"/>
      <c r="O323" s="203"/>
      <c r="P323" s="203"/>
      <c r="Q323" s="203"/>
      <c r="R323" s="203"/>
      <c r="S323" s="203"/>
    </row>
    <row r="324">
      <c r="A324" s="356">
        <v>46092.0</v>
      </c>
      <c r="B324" s="357" t="s">
        <v>1076</v>
      </c>
      <c r="C324" s="358">
        <v>136.76</v>
      </c>
      <c r="D324" s="359">
        <v>5320.0</v>
      </c>
      <c r="E324" s="381">
        <v>5320.0</v>
      </c>
      <c r="F324" s="357" t="s">
        <v>717</v>
      </c>
      <c r="G324" s="357" t="s">
        <v>943</v>
      </c>
      <c r="H324" s="357" t="s">
        <v>787</v>
      </c>
      <c r="I324" s="357" t="s">
        <v>1118</v>
      </c>
      <c r="J324" s="357" t="s">
        <v>1012</v>
      </c>
      <c r="K324" s="357" t="s">
        <v>1070</v>
      </c>
      <c r="L324" s="357" t="s">
        <v>1014</v>
      </c>
      <c r="M324" s="360" t="s">
        <v>240</v>
      </c>
      <c r="N324" s="203"/>
      <c r="O324" s="203"/>
      <c r="P324" s="203"/>
      <c r="Q324" s="203"/>
      <c r="R324" s="203"/>
      <c r="S324" s="203"/>
    </row>
    <row r="325">
      <c r="A325" s="356">
        <v>46091.0</v>
      </c>
      <c r="B325" s="357" t="s">
        <v>1184</v>
      </c>
      <c r="C325" s="358">
        <v>44.98</v>
      </c>
      <c r="D325" s="359">
        <v>6100.0</v>
      </c>
      <c r="E325" s="381" t="s">
        <v>893</v>
      </c>
      <c r="F325" s="357" t="s">
        <v>1242</v>
      </c>
      <c r="G325" s="357" t="s">
        <v>1243</v>
      </c>
      <c r="H325" s="357" t="s">
        <v>784</v>
      </c>
      <c r="I325" s="357" t="s">
        <v>1290</v>
      </c>
      <c r="J325" s="357" t="s">
        <v>1012</v>
      </c>
      <c r="K325" s="357" t="s">
        <v>1070</v>
      </c>
      <c r="L325" s="357" t="s">
        <v>1014</v>
      </c>
      <c r="M325" s="360" t="s">
        <v>893</v>
      </c>
      <c r="N325" s="203"/>
      <c r="O325" s="203"/>
      <c r="P325" s="203"/>
      <c r="Q325" s="203"/>
      <c r="R325" s="203"/>
      <c r="S325" s="203"/>
    </row>
    <row r="326">
      <c r="A326" s="356">
        <v>46091.0</v>
      </c>
      <c r="B326" s="357" t="s">
        <v>1291</v>
      </c>
      <c r="C326" s="358">
        <v>76.81</v>
      </c>
      <c r="D326" s="359">
        <v>5330.0</v>
      </c>
      <c r="E326" s="359">
        <v>5330.0</v>
      </c>
      <c r="F326" s="357" t="s">
        <v>474</v>
      </c>
      <c r="G326" s="357" t="s">
        <v>928</v>
      </c>
      <c r="H326" s="357" t="s">
        <v>786</v>
      </c>
      <c r="I326" s="357" t="s">
        <v>1292</v>
      </c>
      <c r="J326" s="357" t="s">
        <v>1012</v>
      </c>
      <c r="K326" s="357" t="s">
        <v>1070</v>
      </c>
      <c r="L326" s="357" t="s">
        <v>1014</v>
      </c>
      <c r="M326" s="360" t="s">
        <v>240</v>
      </c>
      <c r="N326" s="203"/>
      <c r="O326" s="203"/>
      <c r="P326" s="203"/>
      <c r="Q326" s="203"/>
      <c r="R326" s="203"/>
      <c r="S326" s="203"/>
    </row>
    <row r="327">
      <c r="A327" s="356">
        <v>46089.0</v>
      </c>
      <c r="B327" s="357" t="s">
        <v>1184</v>
      </c>
      <c r="C327" s="358">
        <v>88.97</v>
      </c>
      <c r="D327" s="359">
        <v>6100.0</v>
      </c>
      <c r="E327" s="381" t="s">
        <v>893</v>
      </c>
      <c r="F327" s="357" t="s">
        <v>1242</v>
      </c>
      <c r="G327" s="357" t="s">
        <v>1243</v>
      </c>
      <c r="H327" s="357" t="s">
        <v>784</v>
      </c>
      <c r="I327" s="357" t="s">
        <v>1293</v>
      </c>
      <c r="J327" s="357" t="s">
        <v>1012</v>
      </c>
      <c r="K327" s="357" t="s">
        <v>1070</v>
      </c>
      <c r="L327" s="357" t="s">
        <v>1014</v>
      </c>
      <c r="M327" s="360" t="s">
        <v>893</v>
      </c>
      <c r="N327" s="203"/>
      <c r="O327" s="203"/>
      <c r="P327" s="203"/>
      <c r="Q327" s="203"/>
      <c r="R327" s="203"/>
      <c r="S327" s="203"/>
    </row>
    <row r="328">
      <c r="A328" s="356">
        <v>46088.0</v>
      </c>
      <c r="B328" s="357" t="s">
        <v>1184</v>
      </c>
      <c r="C328" s="358">
        <v>9.53</v>
      </c>
      <c r="D328" s="359">
        <v>6100.0</v>
      </c>
      <c r="E328" s="381" t="s">
        <v>893</v>
      </c>
      <c r="F328" s="357" t="s">
        <v>1242</v>
      </c>
      <c r="G328" s="357" t="s">
        <v>1243</v>
      </c>
      <c r="H328" s="357" t="s">
        <v>784</v>
      </c>
      <c r="I328" s="357" t="s">
        <v>1294</v>
      </c>
      <c r="J328" s="357" t="s">
        <v>1012</v>
      </c>
      <c r="K328" s="357" t="s">
        <v>1070</v>
      </c>
      <c r="L328" s="357" t="s">
        <v>1014</v>
      </c>
      <c r="M328" s="360" t="s">
        <v>893</v>
      </c>
      <c r="N328" s="203"/>
      <c r="O328" s="203"/>
      <c r="P328" s="203"/>
      <c r="Q328" s="203"/>
      <c r="R328" s="203"/>
      <c r="S328" s="203"/>
    </row>
    <row r="329">
      <c r="A329" s="356">
        <v>46088.0</v>
      </c>
      <c r="B329" s="357" t="s">
        <v>1184</v>
      </c>
      <c r="C329" s="358">
        <v>65.98</v>
      </c>
      <c r="D329" s="359">
        <v>6100.0</v>
      </c>
      <c r="E329" s="381" t="s">
        <v>893</v>
      </c>
      <c r="F329" s="357" t="s">
        <v>1242</v>
      </c>
      <c r="G329" s="357" t="s">
        <v>1243</v>
      </c>
      <c r="H329" s="357" t="s">
        <v>784</v>
      </c>
      <c r="I329" s="357" t="s">
        <v>1295</v>
      </c>
      <c r="J329" s="357" t="s">
        <v>1012</v>
      </c>
      <c r="K329" s="357" t="s">
        <v>1070</v>
      </c>
      <c r="L329" s="357" t="s">
        <v>1014</v>
      </c>
      <c r="M329" s="360" t="s">
        <v>893</v>
      </c>
      <c r="N329" s="203"/>
      <c r="O329" s="203"/>
      <c r="P329" s="203"/>
      <c r="Q329" s="203"/>
      <c r="R329" s="203"/>
      <c r="S329" s="203"/>
    </row>
    <row r="330">
      <c r="A330" s="356">
        <v>46087.0</v>
      </c>
      <c r="B330" s="357" t="s">
        <v>1296</v>
      </c>
      <c r="C330" s="358">
        <v>110.0</v>
      </c>
      <c r="D330" s="359">
        <v>6100.0</v>
      </c>
      <c r="E330" s="381" t="s">
        <v>893</v>
      </c>
      <c r="F330" s="357" t="s">
        <v>1242</v>
      </c>
      <c r="G330" s="357" t="s">
        <v>1243</v>
      </c>
      <c r="H330" s="357" t="s">
        <v>788</v>
      </c>
      <c r="I330" s="357" t="s">
        <v>1297</v>
      </c>
      <c r="J330" s="357" t="s">
        <v>1012</v>
      </c>
      <c r="K330" s="357" t="s">
        <v>1070</v>
      </c>
      <c r="L330" s="357" t="s">
        <v>1014</v>
      </c>
      <c r="M330" s="360" t="s">
        <v>893</v>
      </c>
      <c r="N330" s="203"/>
      <c r="O330" s="203"/>
      <c r="P330" s="203"/>
      <c r="Q330" s="203"/>
      <c r="R330" s="203"/>
      <c r="S330" s="203"/>
    </row>
    <row r="331">
      <c r="A331" s="356">
        <v>46087.0</v>
      </c>
      <c r="B331" s="357" t="s">
        <v>1197</v>
      </c>
      <c r="C331" s="358">
        <v>41.59</v>
      </c>
      <c r="D331" s="359">
        <v>6120.0</v>
      </c>
      <c r="E331" s="381" t="s">
        <v>893</v>
      </c>
      <c r="F331" s="357" t="s">
        <v>1242</v>
      </c>
      <c r="G331" s="357" t="s">
        <v>1243</v>
      </c>
      <c r="H331" s="357" t="s">
        <v>785</v>
      </c>
      <c r="I331" s="357" t="s">
        <v>1298</v>
      </c>
      <c r="J331" s="357" t="s">
        <v>1012</v>
      </c>
      <c r="K331" s="357" t="s">
        <v>1070</v>
      </c>
      <c r="L331" s="357" t="s">
        <v>1014</v>
      </c>
      <c r="M331" s="360" t="s">
        <v>893</v>
      </c>
      <c r="N331" s="203"/>
      <c r="O331" s="203"/>
      <c r="P331" s="203"/>
      <c r="Q331" s="203"/>
      <c r="R331" s="203"/>
      <c r="S331" s="203"/>
    </row>
    <row r="332">
      <c r="A332" s="356">
        <v>46087.0</v>
      </c>
      <c r="B332" s="357" t="s">
        <v>1184</v>
      </c>
      <c r="C332" s="358">
        <v>52.95</v>
      </c>
      <c r="D332" s="359">
        <v>6100.0</v>
      </c>
      <c r="E332" s="381" t="s">
        <v>893</v>
      </c>
      <c r="F332" s="357" t="s">
        <v>1242</v>
      </c>
      <c r="G332" s="357" t="s">
        <v>1243</v>
      </c>
      <c r="H332" s="357" t="s">
        <v>784</v>
      </c>
      <c r="I332" s="357" t="s">
        <v>1294</v>
      </c>
      <c r="J332" s="357" t="s">
        <v>1012</v>
      </c>
      <c r="K332" s="357" t="s">
        <v>1070</v>
      </c>
      <c r="L332" s="357" t="s">
        <v>1014</v>
      </c>
      <c r="M332" s="360" t="s">
        <v>893</v>
      </c>
      <c r="N332" s="203"/>
      <c r="O332" s="203"/>
      <c r="P332" s="203"/>
      <c r="Q332" s="203"/>
      <c r="R332" s="203"/>
      <c r="S332" s="203"/>
    </row>
    <row r="333">
      <c r="A333" s="356">
        <v>46086.0</v>
      </c>
      <c r="B333" s="357" t="s">
        <v>1184</v>
      </c>
      <c r="C333" s="358">
        <v>85.18</v>
      </c>
      <c r="D333" s="359">
        <v>6100.0</v>
      </c>
      <c r="E333" s="381" t="s">
        <v>893</v>
      </c>
      <c r="F333" s="357" t="s">
        <v>1242</v>
      </c>
      <c r="G333" s="357" t="s">
        <v>1243</v>
      </c>
      <c r="H333" s="357" t="s">
        <v>784</v>
      </c>
      <c r="I333" s="357" t="s">
        <v>1299</v>
      </c>
      <c r="J333" s="357" t="s">
        <v>1012</v>
      </c>
      <c r="K333" s="357" t="s">
        <v>1070</v>
      </c>
      <c r="L333" s="357" t="s">
        <v>1014</v>
      </c>
      <c r="M333" s="360" t="s">
        <v>893</v>
      </c>
      <c r="N333" s="203"/>
      <c r="O333" s="203"/>
      <c r="P333" s="203"/>
      <c r="Q333" s="203"/>
      <c r="R333" s="203"/>
      <c r="S333" s="203"/>
    </row>
    <row r="334">
      <c r="A334" s="356">
        <v>46086.0</v>
      </c>
      <c r="B334" s="357" t="s">
        <v>1197</v>
      </c>
      <c r="C334" s="358">
        <v>20.51</v>
      </c>
      <c r="D334" s="359">
        <v>6120.0</v>
      </c>
      <c r="E334" s="381" t="s">
        <v>893</v>
      </c>
      <c r="F334" s="357" t="s">
        <v>1242</v>
      </c>
      <c r="G334" s="357" t="s">
        <v>1243</v>
      </c>
      <c r="H334" s="357" t="s">
        <v>785</v>
      </c>
      <c r="I334" s="357" t="s">
        <v>1300</v>
      </c>
      <c r="J334" s="357" t="s">
        <v>1012</v>
      </c>
      <c r="K334" s="357" t="s">
        <v>1070</v>
      </c>
      <c r="L334" s="357" t="s">
        <v>1014</v>
      </c>
      <c r="M334" s="360" t="s">
        <v>893</v>
      </c>
      <c r="N334" s="203"/>
      <c r="O334" s="203"/>
      <c r="P334" s="203"/>
      <c r="Q334" s="203"/>
      <c r="R334" s="203"/>
      <c r="S334" s="203"/>
    </row>
    <row r="335">
      <c r="A335" s="356">
        <v>46086.0</v>
      </c>
      <c r="B335" s="357" t="s">
        <v>1301</v>
      </c>
      <c r="C335" s="358">
        <v>23.69</v>
      </c>
      <c r="D335" s="359">
        <v>5330.0</v>
      </c>
      <c r="E335" s="381">
        <v>5330.0</v>
      </c>
      <c r="F335" s="357" t="s">
        <v>474</v>
      </c>
      <c r="G335" s="357" t="s">
        <v>928</v>
      </c>
      <c r="H335" s="357" t="s">
        <v>786</v>
      </c>
      <c r="I335" s="357" t="s">
        <v>1302</v>
      </c>
      <c r="J335" s="357" t="s">
        <v>1012</v>
      </c>
      <c r="K335" s="357" t="s">
        <v>1070</v>
      </c>
      <c r="L335" s="357" t="s">
        <v>1014</v>
      </c>
      <c r="M335" s="360" t="s">
        <v>240</v>
      </c>
      <c r="N335" s="203"/>
      <c r="O335" s="203"/>
      <c r="P335" s="203"/>
      <c r="Q335" s="203"/>
      <c r="R335" s="203"/>
      <c r="S335" s="203"/>
    </row>
    <row r="336">
      <c r="A336" s="356">
        <v>46086.0</v>
      </c>
      <c r="B336" s="357" t="s">
        <v>1303</v>
      </c>
      <c r="C336" s="358">
        <v>251.88</v>
      </c>
      <c r="D336" s="359">
        <v>5330.0</v>
      </c>
      <c r="E336" s="381">
        <v>5330.0</v>
      </c>
      <c r="F336" s="357" t="s">
        <v>474</v>
      </c>
      <c r="G336" s="357" t="s">
        <v>928</v>
      </c>
      <c r="H336" s="357" t="s">
        <v>786</v>
      </c>
      <c r="I336" s="357" t="s">
        <v>1304</v>
      </c>
      <c r="J336" s="357" t="s">
        <v>1012</v>
      </c>
      <c r="K336" s="357" t="s">
        <v>1070</v>
      </c>
      <c r="L336" s="357" t="s">
        <v>1014</v>
      </c>
      <c r="M336" s="360" t="s">
        <v>240</v>
      </c>
      <c r="N336" s="203"/>
      <c r="O336" s="203"/>
      <c r="P336" s="203"/>
      <c r="Q336" s="203"/>
      <c r="R336" s="203"/>
      <c r="S336" s="203"/>
    </row>
    <row r="337">
      <c r="A337" s="356">
        <v>46086.0</v>
      </c>
      <c r="B337" s="357" t="s">
        <v>1141</v>
      </c>
      <c r="C337" s="358">
        <v>400.3</v>
      </c>
      <c r="D337" s="359">
        <v>6100.0</v>
      </c>
      <c r="E337" s="381" t="s">
        <v>893</v>
      </c>
      <c r="F337" s="357" t="s">
        <v>1017</v>
      </c>
      <c r="G337" s="357" t="s">
        <v>1018</v>
      </c>
      <c r="H337" s="357" t="s">
        <v>788</v>
      </c>
      <c r="I337" s="357" t="s">
        <v>1305</v>
      </c>
      <c r="J337" s="357" t="s">
        <v>1012</v>
      </c>
      <c r="K337" s="357" t="s">
        <v>1306</v>
      </c>
      <c r="L337" s="357" t="s">
        <v>1014</v>
      </c>
      <c r="M337" s="360" t="s">
        <v>893</v>
      </c>
      <c r="N337" s="203"/>
      <c r="O337" s="203"/>
      <c r="P337" s="203"/>
      <c r="Q337" s="203"/>
      <c r="R337" s="203"/>
      <c r="S337" s="203"/>
    </row>
    <row r="338">
      <c r="A338" s="356">
        <v>46085.0</v>
      </c>
      <c r="B338" s="357" t="s">
        <v>1184</v>
      </c>
      <c r="C338" s="358">
        <v>82.56</v>
      </c>
      <c r="D338" s="359">
        <v>6100.0</v>
      </c>
      <c r="E338" s="381" t="s">
        <v>893</v>
      </c>
      <c r="F338" s="357" t="s">
        <v>1242</v>
      </c>
      <c r="G338" s="357" t="s">
        <v>1243</v>
      </c>
      <c r="H338" s="357" t="s">
        <v>784</v>
      </c>
      <c r="I338" s="357" t="s">
        <v>1307</v>
      </c>
      <c r="J338" s="357" t="s">
        <v>1012</v>
      </c>
      <c r="K338" s="357" t="s">
        <v>1070</v>
      </c>
      <c r="L338" s="357" t="s">
        <v>1014</v>
      </c>
      <c r="M338" s="360" t="s">
        <v>893</v>
      </c>
      <c r="N338" s="203"/>
      <c r="O338" s="203"/>
      <c r="P338" s="203"/>
      <c r="Q338" s="203"/>
      <c r="R338" s="203"/>
      <c r="S338" s="203"/>
    </row>
    <row r="339">
      <c r="A339" s="356">
        <v>46085.0</v>
      </c>
      <c r="B339" s="357" t="s">
        <v>1308</v>
      </c>
      <c r="C339" s="358">
        <v>188.73</v>
      </c>
      <c r="D339" s="359">
        <v>5330.0</v>
      </c>
      <c r="E339" s="359">
        <v>5330.0</v>
      </c>
      <c r="F339" s="357" t="s">
        <v>474</v>
      </c>
      <c r="G339" s="357" t="s">
        <v>928</v>
      </c>
      <c r="H339" s="357" t="s">
        <v>786</v>
      </c>
      <c r="I339" s="357" t="s">
        <v>1309</v>
      </c>
      <c r="J339" s="357" t="s">
        <v>1012</v>
      </c>
      <c r="K339" s="357" t="s">
        <v>1070</v>
      </c>
      <c r="L339" s="357" t="s">
        <v>1014</v>
      </c>
      <c r="M339" s="360" t="s">
        <v>240</v>
      </c>
      <c r="N339" s="203"/>
      <c r="O339" s="203"/>
      <c r="P339" s="203"/>
      <c r="Q339" s="203"/>
      <c r="R339" s="203"/>
      <c r="S339" s="203"/>
    </row>
    <row r="340">
      <c r="A340" s="356">
        <v>46085.0</v>
      </c>
      <c r="B340" s="357" t="s">
        <v>1278</v>
      </c>
      <c r="C340" s="358">
        <v>293.03</v>
      </c>
      <c r="D340" s="359">
        <v>5330.0</v>
      </c>
      <c r="E340" s="381">
        <v>5330.0</v>
      </c>
      <c r="F340" s="357" t="s">
        <v>474</v>
      </c>
      <c r="G340" s="357" t="s">
        <v>928</v>
      </c>
      <c r="H340" s="357" t="s">
        <v>786</v>
      </c>
      <c r="I340" s="357" t="s">
        <v>1310</v>
      </c>
      <c r="J340" s="357" t="s">
        <v>1012</v>
      </c>
      <c r="K340" s="357" t="s">
        <v>1070</v>
      </c>
      <c r="L340" s="357" t="s">
        <v>1014</v>
      </c>
      <c r="M340" s="360" t="s">
        <v>240</v>
      </c>
      <c r="N340" s="203"/>
      <c r="O340" s="203"/>
      <c r="P340" s="203"/>
      <c r="Q340" s="203"/>
      <c r="R340" s="203"/>
      <c r="S340" s="203"/>
    </row>
    <row r="341">
      <c r="A341" s="356">
        <v>46085.0</v>
      </c>
      <c r="B341" s="357" t="s">
        <v>1184</v>
      </c>
      <c r="C341" s="358">
        <v>19.98</v>
      </c>
      <c r="D341" s="359">
        <v>6100.0</v>
      </c>
      <c r="E341" s="381" t="s">
        <v>893</v>
      </c>
      <c r="F341" s="357" t="s">
        <v>1242</v>
      </c>
      <c r="G341" s="357" t="s">
        <v>1243</v>
      </c>
      <c r="H341" s="357" t="s">
        <v>784</v>
      </c>
      <c r="I341" s="357" t="s">
        <v>1311</v>
      </c>
      <c r="J341" s="357" t="s">
        <v>1012</v>
      </c>
      <c r="K341" s="357" t="s">
        <v>1070</v>
      </c>
      <c r="L341" s="357" t="s">
        <v>1014</v>
      </c>
      <c r="M341" s="360" t="s">
        <v>893</v>
      </c>
      <c r="N341" s="203"/>
      <c r="O341" s="203"/>
      <c r="P341" s="203"/>
      <c r="Q341" s="203"/>
      <c r="R341" s="203"/>
      <c r="S341" s="203"/>
    </row>
    <row r="342">
      <c r="A342" s="356">
        <v>46084.0</v>
      </c>
      <c r="B342" s="357" t="s">
        <v>1197</v>
      </c>
      <c r="C342" s="358">
        <v>89.47</v>
      </c>
      <c r="D342" s="359">
        <v>6120.0</v>
      </c>
      <c r="E342" s="381" t="s">
        <v>893</v>
      </c>
      <c r="F342" s="357" t="s">
        <v>1242</v>
      </c>
      <c r="G342" s="357" t="s">
        <v>1243</v>
      </c>
      <c r="H342" s="357" t="s">
        <v>785</v>
      </c>
      <c r="I342" s="357" t="s">
        <v>1312</v>
      </c>
      <c r="J342" s="357" t="s">
        <v>1012</v>
      </c>
      <c r="K342" s="357" t="s">
        <v>1070</v>
      </c>
      <c r="L342" s="357" t="s">
        <v>1014</v>
      </c>
      <c r="M342" s="360" t="s">
        <v>893</v>
      </c>
      <c r="N342" s="203"/>
      <c r="O342" s="203"/>
      <c r="P342" s="203"/>
      <c r="Q342" s="203"/>
      <c r="R342" s="203"/>
      <c r="S342" s="203"/>
    </row>
    <row r="343">
      <c r="A343" s="356">
        <v>46080.0</v>
      </c>
      <c r="B343" s="357" t="s">
        <v>1195</v>
      </c>
      <c r="C343" s="358">
        <v>9.99</v>
      </c>
      <c r="D343" s="359">
        <v>6100.0</v>
      </c>
      <c r="E343" s="359">
        <v>5050.0</v>
      </c>
      <c r="F343" s="357" t="s">
        <v>692</v>
      </c>
      <c r="G343" s="357" t="s">
        <v>867</v>
      </c>
      <c r="H343" s="357" t="s">
        <v>781</v>
      </c>
      <c r="I343" s="357" t="s">
        <v>1313</v>
      </c>
      <c r="J343" s="357" t="s">
        <v>1012</v>
      </c>
      <c r="K343" s="357" t="s">
        <v>1070</v>
      </c>
      <c r="L343" s="357" t="s">
        <v>1014</v>
      </c>
      <c r="M343" s="360" t="s">
        <v>879</v>
      </c>
      <c r="N343" s="203"/>
      <c r="O343" s="203"/>
      <c r="P343" s="203"/>
      <c r="Q343" s="203"/>
      <c r="R343" s="203"/>
      <c r="S343" s="203"/>
    </row>
    <row r="344">
      <c r="A344" s="356">
        <v>46077.0</v>
      </c>
      <c r="B344" s="357" t="s">
        <v>1076</v>
      </c>
      <c r="C344" s="358">
        <v>88.28</v>
      </c>
      <c r="D344" s="359">
        <v>5320.0</v>
      </c>
      <c r="E344" s="381">
        <v>5320.0</v>
      </c>
      <c r="F344" s="357" t="s">
        <v>717</v>
      </c>
      <c r="G344" s="357" t="s">
        <v>943</v>
      </c>
      <c r="H344" s="357" t="s">
        <v>787</v>
      </c>
      <c r="I344" s="357" t="s">
        <v>1118</v>
      </c>
      <c r="J344" s="357" t="s">
        <v>1012</v>
      </c>
      <c r="K344" s="357" t="s">
        <v>1070</v>
      </c>
      <c r="L344" s="357" t="s">
        <v>1014</v>
      </c>
      <c r="M344" s="360" t="s">
        <v>240</v>
      </c>
      <c r="N344" s="203"/>
      <c r="O344" s="203"/>
      <c r="P344" s="203"/>
      <c r="Q344" s="203"/>
      <c r="R344" s="203"/>
      <c r="S344" s="203"/>
    </row>
    <row r="345">
      <c r="A345" s="356">
        <v>46077.0</v>
      </c>
      <c r="B345" s="357" t="s">
        <v>1068</v>
      </c>
      <c r="C345" s="358">
        <v>6.67</v>
      </c>
      <c r="D345" s="359">
        <v>5320.0</v>
      </c>
      <c r="E345" s="381">
        <v>5320.0</v>
      </c>
      <c r="F345" s="357" t="s">
        <v>717</v>
      </c>
      <c r="G345" s="357" t="s">
        <v>943</v>
      </c>
      <c r="H345" s="357" t="s">
        <v>787</v>
      </c>
      <c r="I345" s="357" t="s">
        <v>1118</v>
      </c>
      <c r="J345" s="357" t="s">
        <v>1012</v>
      </c>
      <c r="K345" s="357" t="s">
        <v>1070</v>
      </c>
      <c r="L345" s="357" t="s">
        <v>1014</v>
      </c>
      <c r="M345" s="360" t="s">
        <v>240</v>
      </c>
      <c r="N345" s="203"/>
      <c r="O345" s="203"/>
      <c r="P345" s="203"/>
      <c r="Q345" s="203"/>
      <c r="R345" s="203"/>
      <c r="S345" s="203"/>
    </row>
    <row r="346">
      <c r="A346" s="356">
        <v>46076.0</v>
      </c>
      <c r="B346" s="357" t="s">
        <v>1094</v>
      </c>
      <c r="C346" s="358">
        <v>10.64</v>
      </c>
      <c r="D346" s="359">
        <v>5360.0</v>
      </c>
      <c r="E346" s="359">
        <v>5360.0</v>
      </c>
      <c r="F346" s="357" t="s">
        <v>697</v>
      </c>
      <c r="G346" s="357" t="s">
        <v>898</v>
      </c>
      <c r="H346" s="357" t="s">
        <v>784</v>
      </c>
      <c r="I346" s="357" t="s">
        <v>1314</v>
      </c>
      <c r="J346" s="357" t="s">
        <v>1012</v>
      </c>
      <c r="K346" s="357" t="s">
        <v>1070</v>
      </c>
      <c r="L346" s="357" t="s">
        <v>1014</v>
      </c>
      <c r="M346" s="360" t="s">
        <v>240</v>
      </c>
      <c r="N346" s="203"/>
      <c r="O346" s="203"/>
      <c r="P346" s="203"/>
      <c r="Q346" s="203"/>
      <c r="R346" s="203"/>
      <c r="S346" s="203"/>
    </row>
    <row r="347">
      <c r="A347" s="356">
        <v>46076.0</v>
      </c>
      <c r="B347" s="357" t="s">
        <v>1068</v>
      </c>
      <c r="C347" s="358">
        <v>18.98</v>
      </c>
      <c r="D347" s="359">
        <v>5320.0</v>
      </c>
      <c r="E347" s="359">
        <v>5320.0</v>
      </c>
      <c r="F347" s="357" t="s">
        <v>717</v>
      </c>
      <c r="G347" s="357" t="s">
        <v>943</v>
      </c>
      <c r="H347" s="357" t="s">
        <v>787</v>
      </c>
      <c r="I347" s="357" t="s">
        <v>1118</v>
      </c>
      <c r="J347" s="357" t="s">
        <v>1012</v>
      </c>
      <c r="K347" s="357" t="s">
        <v>1070</v>
      </c>
      <c r="L347" s="357" t="s">
        <v>1014</v>
      </c>
      <c r="M347" s="360" t="s">
        <v>240</v>
      </c>
      <c r="N347" s="203"/>
      <c r="O347" s="203"/>
      <c r="P347" s="203"/>
      <c r="Q347" s="203"/>
      <c r="R347" s="203"/>
      <c r="S347" s="203"/>
    </row>
    <row r="348">
      <c r="A348" s="356">
        <v>46076.0</v>
      </c>
      <c r="B348" s="357" t="s">
        <v>1068</v>
      </c>
      <c r="C348" s="358">
        <v>7.43</v>
      </c>
      <c r="D348" s="359">
        <v>5320.0</v>
      </c>
      <c r="E348" s="359">
        <v>5320.0</v>
      </c>
      <c r="F348" s="357" t="s">
        <v>717</v>
      </c>
      <c r="G348" s="357" t="s">
        <v>943</v>
      </c>
      <c r="H348" s="357" t="s">
        <v>787</v>
      </c>
      <c r="I348" s="357" t="s">
        <v>1118</v>
      </c>
      <c r="J348" s="357" t="s">
        <v>1012</v>
      </c>
      <c r="K348" s="357" t="s">
        <v>1070</v>
      </c>
      <c r="L348" s="357" t="s">
        <v>1014</v>
      </c>
      <c r="M348" s="360" t="s">
        <v>240</v>
      </c>
      <c r="N348" s="203"/>
      <c r="O348" s="203"/>
      <c r="P348" s="203"/>
      <c r="Q348" s="203"/>
      <c r="R348" s="203"/>
      <c r="S348" s="203"/>
    </row>
    <row r="349">
      <c r="A349" s="356">
        <v>46072.0</v>
      </c>
      <c r="B349" s="357" t="s">
        <v>1315</v>
      </c>
      <c r="C349" s="358">
        <v>159.4</v>
      </c>
      <c r="D349" s="359">
        <v>5360.0</v>
      </c>
      <c r="E349" s="359">
        <v>5360.0</v>
      </c>
      <c r="F349" s="357" t="s">
        <v>697</v>
      </c>
      <c r="G349" s="357" t="s">
        <v>898</v>
      </c>
      <c r="H349" s="357" t="s">
        <v>782</v>
      </c>
      <c r="I349" s="357" t="s">
        <v>1316</v>
      </c>
      <c r="J349" s="357" t="s">
        <v>1012</v>
      </c>
      <c r="K349" s="357" t="s">
        <v>1070</v>
      </c>
      <c r="L349" s="357" t="s">
        <v>1014</v>
      </c>
      <c r="M349" s="360" t="s">
        <v>240</v>
      </c>
      <c r="N349" s="203"/>
      <c r="O349" s="203"/>
      <c r="P349" s="203"/>
      <c r="Q349" s="203"/>
      <c r="R349" s="203"/>
      <c r="S349" s="203"/>
    </row>
    <row r="350">
      <c r="A350" s="356">
        <v>46071.0</v>
      </c>
      <c r="B350" s="357" t="s">
        <v>1149</v>
      </c>
      <c r="C350" s="358">
        <v>60.79</v>
      </c>
      <c r="D350" s="359">
        <v>5330.0</v>
      </c>
      <c r="E350" s="359">
        <v>5330.0</v>
      </c>
      <c r="F350" s="357" t="s">
        <v>689</v>
      </c>
      <c r="G350" s="357" t="s">
        <v>880</v>
      </c>
      <c r="H350" s="357" t="s">
        <v>786</v>
      </c>
      <c r="I350" s="357" t="s">
        <v>1317</v>
      </c>
      <c r="J350" s="357" t="s">
        <v>1012</v>
      </c>
      <c r="K350" s="357" t="s">
        <v>1070</v>
      </c>
      <c r="L350" s="357" t="s">
        <v>1014</v>
      </c>
      <c r="M350" s="360" t="s">
        <v>240</v>
      </c>
      <c r="N350" s="203"/>
      <c r="O350" s="203"/>
      <c r="P350" s="203"/>
      <c r="Q350" s="203"/>
      <c r="R350" s="203"/>
      <c r="S350" s="203"/>
    </row>
    <row r="351">
      <c r="A351" s="356">
        <v>46070.0</v>
      </c>
      <c r="B351" s="357" t="s">
        <v>1318</v>
      </c>
      <c r="C351" s="358">
        <v>78.51</v>
      </c>
      <c r="D351" s="359">
        <v>5330.0</v>
      </c>
      <c r="E351" s="359">
        <v>5330.0</v>
      </c>
      <c r="F351" s="357" t="s">
        <v>689</v>
      </c>
      <c r="G351" s="357" t="s">
        <v>880</v>
      </c>
      <c r="H351" s="357" t="s">
        <v>786</v>
      </c>
      <c r="I351" s="357" t="s">
        <v>1317</v>
      </c>
      <c r="J351" s="357" t="s">
        <v>1012</v>
      </c>
      <c r="K351" s="357" t="s">
        <v>1070</v>
      </c>
      <c r="L351" s="357" t="s">
        <v>1014</v>
      </c>
      <c r="M351" s="360" t="s">
        <v>240</v>
      </c>
      <c r="N351" s="203"/>
      <c r="O351" s="203"/>
      <c r="P351" s="203"/>
      <c r="Q351" s="203"/>
      <c r="R351" s="203"/>
      <c r="S351" s="203"/>
    </row>
    <row r="352">
      <c r="A352" s="356">
        <v>46070.0</v>
      </c>
      <c r="B352" s="357" t="s">
        <v>1319</v>
      </c>
      <c r="C352" s="358">
        <v>217.8</v>
      </c>
      <c r="D352" s="359">
        <v>5330.0</v>
      </c>
      <c r="E352" s="359">
        <v>5330.0</v>
      </c>
      <c r="F352" s="357" t="s">
        <v>474</v>
      </c>
      <c r="G352" s="357" t="s">
        <v>928</v>
      </c>
      <c r="H352" s="357" t="s">
        <v>786</v>
      </c>
      <c r="I352" s="357" t="s">
        <v>1320</v>
      </c>
      <c r="J352" s="357" t="s">
        <v>1012</v>
      </c>
      <c r="K352" s="357" t="s">
        <v>1070</v>
      </c>
      <c r="L352" s="357" t="s">
        <v>1014</v>
      </c>
      <c r="M352" s="360" t="s">
        <v>240</v>
      </c>
      <c r="N352" s="203"/>
      <c r="O352" s="203"/>
      <c r="P352" s="203"/>
      <c r="Q352" s="203"/>
      <c r="R352" s="203"/>
      <c r="S352" s="203"/>
    </row>
    <row r="353">
      <c r="A353" s="356">
        <v>46066.0</v>
      </c>
      <c r="B353" s="357" t="s">
        <v>1321</v>
      </c>
      <c r="C353" s="358">
        <v>847.5</v>
      </c>
      <c r="D353" s="359">
        <v>5360.0</v>
      </c>
      <c r="E353" s="359">
        <v>5360.0</v>
      </c>
      <c r="F353" s="357" t="s">
        <v>697</v>
      </c>
      <c r="G353" s="357" t="s">
        <v>898</v>
      </c>
      <c r="H353" s="357" t="s">
        <v>783</v>
      </c>
      <c r="I353" s="357" t="s">
        <v>1322</v>
      </c>
      <c r="J353" s="357" t="s">
        <v>1012</v>
      </c>
      <c r="K353" s="357" t="s">
        <v>1070</v>
      </c>
      <c r="L353" s="357" t="s">
        <v>1014</v>
      </c>
      <c r="M353" s="360" t="s">
        <v>240</v>
      </c>
      <c r="N353" s="203"/>
      <c r="O353" s="203"/>
      <c r="P353" s="203"/>
      <c r="Q353" s="203"/>
      <c r="R353" s="203"/>
      <c r="S353" s="203"/>
    </row>
    <row r="354">
      <c r="A354" s="356">
        <v>46065.0</v>
      </c>
      <c r="B354" s="357" t="s">
        <v>1315</v>
      </c>
      <c r="C354" s="358">
        <v>353.58</v>
      </c>
      <c r="D354" s="359">
        <v>5360.0</v>
      </c>
      <c r="E354" s="359">
        <v>5360.0</v>
      </c>
      <c r="F354" s="357" t="s">
        <v>697</v>
      </c>
      <c r="G354" s="357" t="s">
        <v>898</v>
      </c>
      <c r="H354" s="357" t="s">
        <v>782</v>
      </c>
      <c r="I354" s="357" t="s">
        <v>1323</v>
      </c>
      <c r="J354" s="357" t="s">
        <v>1012</v>
      </c>
      <c r="K354" s="357" t="s">
        <v>1070</v>
      </c>
      <c r="L354" s="357" t="s">
        <v>1014</v>
      </c>
      <c r="M354" s="360" t="s">
        <v>240</v>
      </c>
      <c r="N354" s="203"/>
      <c r="O354" s="203"/>
      <c r="P354" s="203"/>
      <c r="Q354" s="203"/>
      <c r="R354" s="203"/>
      <c r="S354" s="203"/>
    </row>
    <row r="355">
      <c r="A355" s="356">
        <v>46064.0</v>
      </c>
      <c r="B355" s="357" t="s">
        <v>1076</v>
      </c>
      <c r="C355" s="358">
        <v>135.11</v>
      </c>
      <c r="D355" s="359">
        <v>5320.0</v>
      </c>
      <c r="E355" s="359">
        <v>5320.0</v>
      </c>
      <c r="F355" s="357" t="s">
        <v>717</v>
      </c>
      <c r="G355" s="357" t="s">
        <v>943</v>
      </c>
      <c r="H355" s="357" t="s">
        <v>787</v>
      </c>
      <c r="I355" s="357" t="s">
        <v>1115</v>
      </c>
      <c r="J355" s="357" t="s">
        <v>1012</v>
      </c>
      <c r="K355" s="357" t="s">
        <v>1070</v>
      </c>
      <c r="L355" s="357" t="s">
        <v>1014</v>
      </c>
      <c r="M355" s="360" t="s">
        <v>240</v>
      </c>
      <c r="N355" s="203"/>
      <c r="O355" s="203"/>
      <c r="P355" s="203"/>
      <c r="Q355" s="203"/>
      <c r="R355" s="203"/>
      <c r="S355" s="203"/>
    </row>
    <row r="356">
      <c r="A356" s="356">
        <v>46064.0</v>
      </c>
      <c r="B356" s="357" t="s">
        <v>1197</v>
      </c>
      <c r="C356" s="358">
        <v>121.5</v>
      </c>
      <c r="D356" s="359">
        <v>5370.0</v>
      </c>
      <c r="E356" s="359">
        <v>5370.0</v>
      </c>
      <c r="F356" s="357" t="s">
        <v>697</v>
      </c>
      <c r="G356" s="357" t="s">
        <v>898</v>
      </c>
      <c r="H356" s="357" t="s">
        <v>785</v>
      </c>
      <c r="I356" s="357" t="s">
        <v>1324</v>
      </c>
      <c r="J356" s="357" t="s">
        <v>1012</v>
      </c>
      <c r="K356" s="357" t="s">
        <v>1070</v>
      </c>
      <c r="L356" s="357" t="s">
        <v>1014</v>
      </c>
      <c r="M356" s="360" t="s">
        <v>240</v>
      </c>
      <c r="N356" s="203"/>
      <c r="O356" s="203"/>
      <c r="P356" s="203"/>
      <c r="Q356" s="203"/>
      <c r="R356" s="203"/>
      <c r="S356" s="203"/>
    </row>
    <row r="357">
      <c r="A357" s="356">
        <v>46057.0</v>
      </c>
      <c r="B357" s="357" t="s">
        <v>1325</v>
      </c>
      <c r="C357" s="358">
        <v>597.58</v>
      </c>
      <c r="D357" s="359">
        <v>5330.0</v>
      </c>
      <c r="E357" s="359">
        <v>5330.0</v>
      </c>
      <c r="F357" s="357" t="s">
        <v>697</v>
      </c>
      <c r="G357" s="357" t="s">
        <v>898</v>
      </c>
      <c r="H357" s="357" t="s">
        <v>786</v>
      </c>
      <c r="I357" s="357" t="s">
        <v>1326</v>
      </c>
      <c r="J357" s="357" t="s">
        <v>1012</v>
      </c>
      <c r="K357" s="357" t="s">
        <v>1070</v>
      </c>
      <c r="L357" s="357" t="s">
        <v>1014</v>
      </c>
      <c r="M357" s="360" t="s">
        <v>240</v>
      </c>
      <c r="N357" s="203"/>
      <c r="O357" s="203"/>
      <c r="P357" s="203"/>
      <c r="Q357" s="203"/>
      <c r="R357" s="203"/>
      <c r="S357" s="203"/>
    </row>
    <row r="358">
      <c r="A358" s="356">
        <v>46057.0</v>
      </c>
      <c r="B358" s="357" t="s">
        <v>1327</v>
      </c>
      <c r="C358" s="358">
        <v>99.91</v>
      </c>
      <c r="D358" s="359">
        <v>5330.0</v>
      </c>
      <c r="E358" s="359">
        <v>5330.0</v>
      </c>
      <c r="F358" s="357" t="s">
        <v>714</v>
      </c>
      <c r="G358" s="357" t="s">
        <v>938</v>
      </c>
      <c r="H358" s="357" t="s">
        <v>786</v>
      </c>
      <c r="I358" s="357" t="s">
        <v>1328</v>
      </c>
      <c r="J358" s="357" t="s">
        <v>1012</v>
      </c>
      <c r="K358" s="357" t="s">
        <v>1070</v>
      </c>
      <c r="L358" s="357" t="s">
        <v>1014</v>
      </c>
      <c r="M358" s="360" t="s">
        <v>240</v>
      </c>
      <c r="N358" s="203"/>
      <c r="O358" s="203"/>
      <c r="P358" s="203"/>
      <c r="Q358" s="203"/>
      <c r="R358" s="203"/>
      <c r="S358" s="203"/>
    </row>
    <row r="359">
      <c r="A359" s="356">
        <v>46053.0</v>
      </c>
      <c r="B359" s="357" t="s">
        <v>1141</v>
      </c>
      <c r="C359" s="358">
        <v>298.27</v>
      </c>
      <c r="D359" s="359">
        <v>5320.0</v>
      </c>
      <c r="E359" s="359">
        <v>5320.0</v>
      </c>
      <c r="F359" s="357" t="s">
        <v>717</v>
      </c>
      <c r="G359" s="357" t="s">
        <v>943</v>
      </c>
      <c r="H359" s="357" t="s">
        <v>787</v>
      </c>
      <c r="I359" s="357"/>
      <c r="J359" s="357" t="s">
        <v>1012</v>
      </c>
      <c r="K359" s="357" t="s">
        <v>1329</v>
      </c>
      <c r="L359" s="357" t="s">
        <v>1014</v>
      </c>
      <c r="M359" s="360" t="s">
        <v>240</v>
      </c>
      <c r="N359" s="203"/>
      <c r="O359" s="203"/>
      <c r="P359" s="203"/>
      <c r="Q359" s="203"/>
      <c r="R359" s="203"/>
      <c r="S359" s="203"/>
    </row>
    <row r="360">
      <c r="A360" s="356">
        <v>46053.0</v>
      </c>
      <c r="B360" s="357" t="s">
        <v>1141</v>
      </c>
      <c r="C360" s="358">
        <v>3.49</v>
      </c>
      <c r="D360" s="359">
        <v>5330.0</v>
      </c>
      <c r="E360" s="381" t="s">
        <v>893</v>
      </c>
      <c r="F360" s="357" t="s">
        <v>1143</v>
      </c>
      <c r="G360" s="357" t="s">
        <v>1144</v>
      </c>
      <c r="H360" s="357" t="s">
        <v>786</v>
      </c>
      <c r="I360" s="357"/>
      <c r="J360" s="357" t="s">
        <v>1012</v>
      </c>
      <c r="K360" s="357" t="s">
        <v>1329</v>
      </c>
      <c r="L360" s="357" t="s">
        <v>1014</v>
      </c>
      <c r="M360" s="360" t="s">
        <v>893</v>
      </c>
      <c r="N360" s="203"/>
      <c r="O360" s="203"/>
      <c r="P360" s="203"/>
      <c r="Q360" s="203"/>
      <c r="R360" s="203"/>
      <c r="S360" s="203"/>
    </row>
    <row r="361">
      <c r="A361" s="356">
        <v>46053.0</v>
      </c>
      <c r="B361" s="357" t="s">
        <v>1141</v>
      </c>
      <c r="C361" s="358">
        <v>11.96</v>
      </c>
      <c r="D361" s="359">
        <v>6100.0</v>
      </c>
      <c r="E361" s="381" t="s">
        <v>893</v>
      </c>
      <c r="F361" s="357" t="s">
        <v>1017</v>
      </c>
      <c r="G361" s="357" t="s">
        <v>1018</v>
      </c>
      <c r="H361" s="357" t="s">
        <v>788</v>
      </c>
      <c r="I361" s="357"/>
      <c r="J361" s="357" t="s">
        <v>1012</v>
      </c>
      <c r="K361" s="357" t="s">
        <v>1329</v>
      </c>
      <c r="L361" s="357" t="s">
        <v>1014</v>
      </c>
      <c r="M361" s="360" t="s">
        <v>893</v>
      </c>
      <c r="N361" s="203"/>
      <c r="O361" s="203"/>
      <c r="P361" s="203"/>
      <c r="Q361" s="203"/>
      <c r="R361" s="203"/>
      <c r="S361" s="203"/>
    </row>
    <row r="362">
      <c r="A362" s="356">
        <v>46052.0</v>
      </c>
      <c r="B362" s="357" t="s">
        <v>1068</v>
      </c>
      <c r="C362" s="358">
        <v>28.24</v>
      </c>
      <c r="D362" s="359">
        <v>5320.0</v>
      </c>
      <c r="E362" s="359">
        <v>5320.0</v>
      </c>
      <c r="F362" s="357" t="s">
        <v>717</v>
      </c>
      <c r="G362" s="357" t="s">
        <v>943</v>
      </c>
      <c r="H362" s="357" t="s">
        <v>787</v>
      </c>
      <c r="I362" s="357" t="s">
        <v>1330</v>
      </c>
      <c r="J362" s="357" t="s">
        <v>1012</v>
      </c>
      <c r="K362" s="357" t="s">
        <v>1331</v>
      </c>
      <c r="L362" s="357" t="s">
        <v>1014</v>
      </c>
      <c r="M362" s="360" t="s">
        <v>240</v>
      </c>
      <c r="N362" s="203"/>
      <c r="O362" s="203"/>
      <c r="P362" s="203"/>
      <c r="Q362" s="203"/>
      <c r="R362" s="203"/>
      <c r="S362" s="203"/>
    </row>
    <row r="363">
      <c r="A363" s="356">
        <v>46051.0</v>
      </c>
      <c r="B363" s="357" t="s">
        <v>1068</v>
      </c>
      <c r="C363" s="358">
        <v>1.81</v>
      </c>
      <c r="D363" s="359">
        <v>5320.0</v>
      </c>
      <c r="E363" s="359">
        <v>5320.0</v>
      </c>
      <c r="F363" s="357" t="s">
        <v>717</v>
      </c>
      <c r="G363" s="357" t="s">
        <v>943</v>
      </c>
      <c r="H363" s="357" t="s">
        <v>787</v>
      </c>
      <c r="I363" s="357" t="s">
        <v>1128</v>
      </c>
      <c r="J363" s="357" t="s">
        <v>1012</v>
      </c>
      <c r="K363" s="357" t="s">
        <v>1070</v>
      </c>
      <c r="L363" s="357" t="s">
        <v>1014</v>
      </c>
      <c r="M363" s="360" t="s">
        <v>240</v>
      </c>
      <c r="N363" s="203"/>
      <c r="O363" s="203"/>
      <c r="P363" s="203"/>
      <c r="Q363" s="203"/>
      <c r="R363" s="203"/>
      <c r="S363" s="203"/>
    </row>
    <row r="364">
      <c r="A364" s="356">
        <v>46051.0</v>
      </c>
      <c r="B364" s="357" t="s">
        <v>1076</v>
      </c>
      <c r="C364" s="358">
        <v>150.68</v>
      </c>
      <c r="D364" s="359">
        <v>5320.0</v>
      </c>
      <c r="E364" s="381">
        <v>5320.0</v>
      </c>
      <c r="F364" s="357" t="s">
        <v>717</v>
      </c>
      <c r="G364" s="357" t="s">
        <v>943</v>
      </c>
      <c r="H364" s="357" t="s">
        <v>787</v>
      </c>
      <c r="I364" s="357" t="s">
        <v>1118</v>
      </c>
      <c r="J364" s="357" t="s">
        <v>1012</v>
      </c>
      <c r="K364" s="357" t="s">
        <v>1070</v>
      </c>
      <c r="L364" s="357" t="s">
        <v>1014</v>
      </c>
      <c r="M364" s="360" t="s">
        <v>240</v>
      </c>
      <c r="N364" s="203"/>
      <c r="O364" s="203"/>
      <c r="P364" s="203"/>
      <c r="Q364" s="203"/>
      <c r="R364" s="203"/>
      <c r="S364" s="203"/>
    </row>
    <row r="365">
      <c r="A365" s="356">
        <v>46050.0</v>
      </c>
      <c r="B365" s="357" t="s">
        <v>1068</v>
      </c>
      <c r="C365" s="358">
        <v>4.84</v>
      </c>
      <c r="D365" s="359">
        <v>5320.0</v>
      </c>
      <c r="E365" s="359">
        <v>5320.0</v>
      </c>
      <c r="F365" s="357" t="s">
        <v>717</v>
      </c>
      <c r="G365" s="357" t="s">
        <v>943</v>
      </c>
      <c r="H365" s="357" t="s">
        <v>787</v>
      </c>
      <c r="I365" s="357" t="s">
        <v>1115</v>
      </c>
      <c r="J365" s="357" t="s">
        <v>1012</v>
      </c>
      <c r="K365" s="357" t="s">
        <v>1070</v>
      </c>
      <c r="L365" s="357" t="s">
        <v>1014</v>
      </c>
      <c r="M365" s="360" t="s">
        <v>240</v>
      </c>
      <c r="N365" s="203"/>
      <c r="O365" s="203"/>
      <c r="P365" s="203"/>
      <c r="Q365" s="203"/>
      <c r="R365" s="203"/>
      <c r="S365" s="203"/>
    </row>
    <row r="366">
      <c r="A366" s="356">
        <v>46045.0</v>
      </c>
      <c r="B366" s="357" t="s">
        <v>1068</v>
      </c>
      <c r="C366" s="358">
        <v>62.13</v>
      </c>
      <c r="D366" s="359">
        <v>5320.0</v>
      </c>
      <c r="E366" s="359">
        <v>5320.0</v>
      </c>
      <c r="F366" s="357" t="s">
        <v>717</v>
      </c>
      <c r="G366" s="357" t="s">
        <v>943</v>
      </c>
      <c r="H366" s="357" t="s">
        <v>787</v>
      </c>
      <c r="I366" s="357" t="s">
        <v>1115</v>
      </c>
      <c r="J366" s="357" t="s">
        <v>1012</v>
      </c>
      <c r="K366" s="357" t="s">
        <v>1070</v>
      </c>
      <c r="L366" s="357" t="s">
        <v>1014</v>
      </c>
      <c r="M366" s="360" t="s">
        <v>240</v>
      </c>
      <c r="N366" s="203"/>
      <c r="O366" s="203"/>
      <c r="P366" s="203"/>
      <c r="Q366" s="203"/>
      <c r="R366" s="203"/>
      <c r="S366" s="203"/>
    </row>
    <row r="367">
      <c r="A367" s="356">
        <v>46043.0</v>
      </c>
      <c r="B367" s="357" t="s">
        <v>1332</v>
      </c>
      <c r="C367" s="358">
        <v>760.01</v>
      </c>
      <c r="D367" s="359">
        <v>5330.0</v>
      </c>
      <c r="E367" s="359">
        <v>5330.0</v>
      </c>
      <c r="F367" s="357" t="s">
        <v>711</v>
      </c>
      <c r="G367" s="357" t="s">
        <v>933</v>
      </c>
      <c r="H367" s="357" t="s">
        <v>786</v>
      </c>
      <c r="I367" s="357" t="s">
        <v>1333</v>
      </c>
      <c r="J367" s="357" t="s">
        <v>1012</v>
      </c>
      <c r="K367" s="357" t="s">
        <v>1334</v>
      </c>
      <c r="L367" s="357" t="s">
        <v>1014</v>
      </c>
      <c r="M367" s="360" t="s">
        <v>240</v>
      </c>
      <c r="N367" s="203"/>
      <c r="O367" s="203"/>
      <c r="P367" s="203"/>
      <c r="Q367" s="203"/>
      <c r="R367" s="203"/>
      <c r="S367" s="203"/>
    </row>
    <row r="368">
      <c r="A368" s="356">
        <v>46043.0</v>
      </c>
      <c r="B368" s="357" t="s">
        <v>1238</v>
      </c>
      <c r="C368" s="358">
        <v>4900.0</v>
      </c>
      <c r="D368" s="359">
        <v>5320.0</v>
      </c>
      <c r="E368" s="359">
        <v>5320.0</v>
      </c>
      <c r="F368" s="357" t="s">
        <v>401</v>
      </c>
      <c r="G368" s="357" t="s">
        <v>947</v>
      </c>
      <c r="H368" s="357" t="s">
        <v>787</v>
      </c>
      <c r="I368" s="357" t="s">
        <v>1059</v>
      </c>
      <c r="J368" s="357" t="s">
        <v>1012</v>
      </c>
      <c r="K368" s="357" t="s">
        <v>1335</v>
      </c>
      <c r="L368" s="357" t="s">
        <v>1014</v>
      </c>
      <c r="M368" s="360" t="s">
        <v>240</v>
      </c>
      <c r="N368" s="203"/>
      <c r="O368" s="203"/>
      <c r="P368" s="203"/>
      <c r="Q368" s="203"/>
      <c r="R368" s="203"/>
      <c r="S368" s="203"/>
    </row>
    <row r="369">
      <c r="A369" s="356">
        <v>46038.0</v>
      </c>
      <c r="B369" s="357" t="s">
        <v>1076</v>
      </c>
      <c r="C369" s="358">
        <v>27.46</v>
      </c>
      <c r="D369" s="359">
        <v>5320.0</v>
      </c>
      <c r="E369" s="359">
        <v>5320.0</v>
      </c>
      <c r="F369" s="357" t="s">
        <v>717</v>
      </c>
      <c r="G369" s="357" t="s">
        <v>943</v>
      </c>
      <c r="H369" s="357" t="s">
        <v>787</v>
      </c>
      <c r="I369" s="357" t="s">
        <v>1336</v>
      </c>
      <c r="J369" s="357" t="s">
        <v>1012</v>
      </c>
      <c r="K369" s="357" t="s">
        <v>1070</v>
      </c>
      <c r="L369" s="357" t="s">
        <v>1014</v>
      </c>
      <c r="M369" s="360" t="s">
        <v>240</v>
      </c>
      <c r="N369" s="203"/>
      <c r="O369" s="203"/>
      <c r="P369" s="203"/>
      <c r="Q369" s="203"/>
      <c r="R369" s="203"/>
      <c r="S369" s="203"/>
    </row>
    <row r="370">
      <c r="A370" s="356">
        <v>46038.0</v>
      </c>
      <c r="B370" s="357" t="s">
        <v>1068</v>
      </c>
      <c r="C370" s="358">
        <v>15.35</v>
      </c>
      <c r="D370" s="359">
        <v>5320.0</v>
      </c>
      <c r="E370" s="359">
        <v>5320.0</v>
      </c>
      <c r="F370" s="357" t="s">
        <v>717</v>
      </c>
      <c r="G370" s="357" t="s">
        <v>943</v>
      </c>
      <c r="H370" s="357" t="s">
        <v>787</v>
      </c>
      <c r="I370" s="357" t="s">
        <v>1337</v>
      </c>
      <c r="J370" s="357" t="s">
        <v>1012</v>
      </c>
      <c r="K370" s="357" t="s">
        <v>1070</v>
      </c>
      <c r="L370" s="357" t="s">
        <v>1014</v>
      </c>
      <c r="M370" s="360" t="s">
        <v>240</v>
      </c>
      <c r="N370" s="203"/>
      <c r="O370" s="203"/>
      <c r="P370" s="203"/>
      <c r="Q370" s="203"/>
      <c r="R370" s="203"/>
      <c r="S370" s="203"/>
    </row>
    <row r="371">
      <c r="A371" s="356">
        <v>46036.0</v>
      </c>
      <c r="B371" s="357" t="s">
        <v>1141</v>
      </c>
      <c r="C371" s="358">
        <v>143.33</v>
      </c>
      <c r="D371" s="359">
        <v>5360.0</v>
      </c>
      <c r="E371" s="381" t="s">
        <v>893</v>
      </c>
      <c r="F371" s="357" t="s">
        <v>1017</v>
      </c>
      <c r="G371" s="357" t="s">
        <v>1018</v>
      </c>
      <c r="H371" s="357" t="s">
        <v>788</v>
      </c>
      <c r="I371" s="357" t="s">
        <v>1338</v>
      </c>
      <c r="J371" s="357" t="s">
        <v>1012</v>
      </c>
      <c r="K371" s="357" t="s">
        <v>1339</v>
      </c>
      <c r="L371" s="357" t="s">
        <v>1014</v>
      </c>
      <c r="M371" s="360" t="s">
        <v>893</v>
      </c>
      <c r="N371" s="203"/>
      <c r="O371" s="203"/>
      <c r="P371" s="203"/>
      <c r="Q371" s="203"/>
      <c r="R371" s="203"/>
      <c r="S371" s="203"/>
    </row>
    <row r="372">
      <c r="A372" s="356">
        <v>46035.0</v>
      </c>
      <c r="B372" s="357" t="s">
        <v>1068</v>
      </c>
      <c r="C372" s="358">
        <v>288.9</v>
      </c>
      <c r="D372" s="359">
        <v>5320.0</v>
      </c>
      <c r="E372" s="359">
        <v>5320.0</v>
      </c>
      <c r="F372" s="357" t="s">
        <v>717</v>
      </c>
      <c r="G372" s="357" t="s">
        <v>943</v>
      </c>
      <c r="H372" s="357" t="s">
        <v>787</v>
      </c>
      <c r="I372" s="357" t="s">
        <v>1340</v>
      </c>
      <c r="J372" s="357" t="s">
        <v>1012</v>
      </c>
      <c r="K372" s="357" t="s">
        <v>1331</v>
      </c>
      <c r="L372" s="357" t="s">
        <v>1014</v>
      </c>
      <c r="M372" s="360" t="s">
        <v>240</v>
      </c>
      <c r="N372" s="203"/>
      <c r="O372" s="203"/>
      <c r="P372" s="203"/>
      <c r="Q372" s="203"/>
      <c r="R372" s="203"/>
      <c r="S372" s="203"/>
    </row>
    <row r="373">
      <c r="A373" s="356">
        <v>46031.0</v>
      </c>
      <c r="B373" s="357" t="s">
        <v>1116</v>
      </c>
      <c r="C373" s="358">
        <v>234.9</v>
      </c>
      <c r="D373" s="359">
        <v>5360.0</v>
      </c>
      <c r="E373" s="359">
        <v>5360.0</v>
      </c>
      <c r="F373" s="357" t="s">
        <v>697</v>
      </c>
      <c r="G373" s="357" t="s">
        <v>896</v>
      </c>
      <c r="H373" s="357" t="s">
        <v>783</v>
      </c>
      <c r="I373" s="357" t="s">
        <v>1341</v>
      </c>
      <c r="J373" s="357" t="s">
        <v>1012</v>
      </c>
      <c r="K373" s="357" t="s">
        <v>1334</v>
      </c>
      <c r="L373" s="357" t="s">
        <v>1014</v>
      </c>
      <c r="M373" s="360" t="s">
        <v>240</v>
      </c>
      <c r="N373" s="203"/>
      <c r="O373" s="203"/>
      <c r="P373" s="203"/>
      <c r="Q373" s="203"/>
      <c r="R373" s="203"/>
      <c r="S373" s="203"/>
    </row>
    <row r="374">
      <c r="A374" s="356">
        <v>46030.0</v>
      </c>
      <c r="B374" s="357" t="s">
        <v>1197</v>
      </c>
      <c r="C374" s="358">
        <v>100.02</v>
      </c>
      <c r="D374" s="359">
        <v>5360.0</v>
      </c>
      <c r="E374" s="381">
        <v>5360.0</v>
      </c>
      <c r="F374" s="357" t="s">
        <v>697</v>
      </c>
      <c r="G374" s="357" t="s">
        <v>896</v>
      </c>
      <c r="H374" s="357" t="s">
        <v>785</v>
      </c>
      <c r="I374" s="357" t="s">
        <v>1342</v>
      </c>
      <c r="J374" s="357" t="s">
        <v>1012</v>
      </c>
      <c r="K374" s="357" t="s">
        <v>1334</v>
      </c>
      <c r="L374" s="357" t="s">
        <v>1014</v>
      </c>
      <c r="M374" s="360" t="s">
        <v>240</v>
      </c>
      <c r="N374" s="203"/>
      <c r="O374" s="203"/>
      <c r="P374" s="203"/>
      <c r="Q374" s="203"/>
      <c r="R374" s="203"/>
      <c r="S374" s="203"/>
    </row>
    <row r="375">
      <c r="A375" s="356">
        <v>46030.0</v>
      </c>
      <c r="B375" s="357" t="s">
        <v>1068</v>
      </c>
      <c r="C375" s="358">
        <v>38.78</v>
      </c>
      <c r="D375" s="359">
        <v>5320.0</v>
      </c>
      <c r="E375" s="359">
        <v>5320.0</v>
      </c>
      <c r="F375" s="357" t="s">
        <v>717</v>
      </c>
      <c r="G375" s="357" t="s">
        <v>943</v>
      </c>
      <c r="H375" s="357" t="s">
        <v>787</v>
      </c>
      <c r="I375" s="357" t="s">
        <v>1118</v>
      </c>
      <c r="J375" s="357" t="s">
        <v>1012</v>
      </c>
      <c r="K375" s="357" t="s">
        <v>1070</v>
      </c>
      <c r="L375" s="357" t="s">
        <v>1014</v>
      </c>
      <c r="M375" s="360" t="s">
        <v>240</v>
      </c>
      <c r="N375" s="203"/>
      <c r="O375" s="203"/>
      <c r="P375" s="203"/>
      <c r="Q375" s="203"/>
      <c r="R375" s="203"/>
      <c r="S375" s="203"/>
    </row>
    <row r="376">
      <c r="A376" s="356">
        <v>46029.0</v>
      </c>
      <c r="B376" s="357" t="s">
        <v>961</v>
      </c>
      <c r="C376" s="358">
        <v>614.79</v>
      </c>
      <c r="D376" s="359">
        <v>5330.0</v>
      </c>
      <c r="E376" s="359">
        <v>5330.0</v>
      </c>
      <c r="F376" s="357" t="s">
        <v>697</v>
      </c>
      <c r="G376" s="357" t="s">
        <v>896</v>
      </c>
      <c r="H376" s="357" t="s">
        <v>786</v>
      </c>
      <c r="I376" s="357" t="s">
        <v>1343</v>
      </c>
      <c r="J376" s="357" t="s">
        <v>1012</v>
      </c>
      <c r="K376" s="357" t="s">
        <v>1334</v>
      </c>
      <c r="L376" s="357" t="s">
        <v>1014</v>
      </c>
      <c r="M376" s="360" t="s">
        <v>240</v>
      </c>
      <c r="N376" s="203"/>
      <c r="O376" s="203"/>
      <c r="P376" s="203"/>
      <c r="Q376" s="203"/>
      <c r="R376" s="203"/>
      <c r="S376" s="203"/>
    </row>
    <row r="377">
      <c r="A377" s="356">
        <v>46027.0</v>
      </c>
      <c r="B377" s="357" t="s">
        <v>1344</v>
      </c>
      <c r="C377" s="358">
        <v>453.2</v>
      </c>
      <c r="D377" s="359">
        <v>5360.0</v>
      </c>
      <c r="E377" s="359">
        <v>5360.0</v>
      </c>
      <c r="F377" s="357" t="s">
        <v>697</v>
      </c>
      <c r="G377" s="357" t="s">
        <v>896</v>
      </c>
      <c r="H377" s="357" t="s">
        <v>782</v>
      </c>
      <c r="I377" s="357" t="s">
        <v>1345</v>
      </c>
      <c r="J377" s="357" t="s">
        <v>1012</v>
      </c>
      <c r="K377" s="357" t="s">
        <v>1334</v>
      </c>
      <c r="L377" s="357" t="s">
        <v>1014</v>
      </c>
      <c r="M377" s="360" t="s">
        <v>240</v>
      </c>
      <c r="N377" s="203"/>
      <c r="O377" s="203"/>
      <c r="P377" s="203"/>
      <c r="Q377" s="203"/>
      <c r="R377" s="203"/>
      <c r="S377" s="203"/>
    </row>
    <row r="378">
      <c r="A378" s="356">
        <v>46027.0</v>
      </c>
      <c r="B378" s="357" t="s">
        <v>1068</v>
      </c>
      <c r="C378" s="358">
        <v>6.83</v>
      </c>
      <c r="D378" s="359">
        <v>5320.0</v>
      </c>
      <c r="E378" s="359">
        <v>5320.0</v>
      </c>
      <c r="F378" s="357" t="s">
        <v>717</v>
      </c>
      <c r="G378" s="357" t="s">
        <v>943</v>
      </c>
      <c r="H378" s="357" t="s">
        <v>787</v>
      </c>
      <c r="I378" s="357" t="s">
        <v>1330</v>
      </c>
      <c r="J378" s="357" t="s">
        <v>1012</v>
      </c>
      <c r="K378" s="357" t="s">
        <v>1331</v>
      </c>
      <c r="L378" s="357" t="s">
        <v>1014</v>
      </c>
      <c r="M378" s="360" t="s">
        <v>240</v>
      </c>
      <c r="N378" s="203"/>
      <c r="O378" s="203"/>
      <c r="P378" s="203"/>
      <c r="Q378" s="203"/>
      <c r="R378" s="203"/>
      <c r="S378" s="203"/>
    </row>
    <row r="379">
      <c r="A379" s="356">
        <v>46026.0</v>
      </c>
      <c r="B379" s="357" t="s">
        <v>1125</v>
      </c>
      <c r="C379" s="358">
        <v>968.8</v>
      </c>
      <c r="D379" s="359">
        <v>5360.0</v>
      </c>
      <c r="E379" s="359">
        <v>5360.0</v>
      </c>
      <c r="F379" s="357" t="s">
        <v>697</v>
      </c>
      <c r="G379" s="357" t="s">
        <v>896</v>
      </c>
      <c r="H379" s="357" t="s">
        <v>781</v>
      </c>
      <c r="I379" s="357" t="s">
        <v>1346</v>
      </c>
      <c r="J379" s="357" t="s">
        <v>1012</v>
      </c>
      <c r="K379" s="357" t="s">
        <v>1334</v>
      </c>
      <c r="L379" s="357" t="s">
        <v>1014</v>
      </c>
      <c r="M379" s="360" t="s">
        <v>240</v>
      </c>
      <c r="N379" s="203"/>
      <c r="O379" s="203"/>
      <c r="P379" s="203"/>
      <c r="Q379" s="203"/>
      <c r="R379" s="203"/>
      <c r="S379" s="203"/>
    </row>
    <row r="380">
      <c r="A380" s="356"/>
      <c r="B380" s="357"/>
      <c r="C380" s="358"/>
      <c r="D380" s="359"/>
      <c r="E380" s="359"/>
      <c r="F380" s="357"/>
      <c r="G380" s="357"/>
      <c r="H380" s="357"/>
      <c r="I380" s="357"/>
      <c r="J380" s="357"/>
      <c r="K380" s="357"/>
      <c r="L380" s="357"/>
      <c r="M380" s="360"/>
      <c r="N380" s="203"/>
      <c r="O380" s="203"/>
      <c r="P380" s="203"/>
      <c r="Q380" s="203"/>
      <c r="R380" s="203"/>
      <c r="S380" s="203"/>
    </row>
    <row r="381">
      <c r="A381" s="384" t="s">
        <v>1347</v>
      </c>
      <c r="B381" s="385"/>
      <c r="C381" s="386">
        <f>SUM(C5:C379)</f>
        <v>146699.78</v>
      </c>
      <c r="D381" s="387"/>
      <c r="E381" s="387"/>
      <c r="F381" s="385"/>
      <c r="G381" s="385"/>
      <c r="H381" s="385"/>
      <c r="I381" s="385"/>
      <c r="J381" s="385"/>
      <c r="K381" s="385"/>
      <c r="L381" s="385"/>
      <c r="M381" s="388"/>
      <c r="N381" s="203"/>
      <c r="O381" s="203"/>
      <c r="P381" s="203"/>
      <c r="Q381" s="203"/>
      <c r="R381" s="203"/>
      <c r="S381" s="203"/>
    </row>
    <row r="382">
      <c r="A382" s="389" t="s">
        <v>1348</v>
      </c>
      <c r="B382" s="390"/>
      <c r="C382" s="391">
        <f>SUMIFS(C5:C379,F5:F379,"&lt;&gt;Excluded*")</f>
        <v>100642.4</v>
      </c>
      <c r="D382" s="392"/>
      <c r="E382" s="392"/>
      <c r="F382" s="390"/>
      <c r="G382" s="390"/>
      <c r="H382" s="390"/>
      <c r="I382" s="390"/>
      <c r="J382" s="390"/>
      <c r="K382" s="390"/>
      <c r="L382" s="390"/>
      <c r="M382" s="393"/>
      <c r="N382" s="203"/>
      <c r="O382" s="203"/>
      <c r="P382" s="203"/>
      <c r="Q382" s="203"/>
      <c r="R382" s="203"/>
      <c r="S382" s="203"/>
    </row>
    <row r="383">
      <c r="A383" s="203"/>
      <c r="B383" s="203"/>
      <c r="C383" s="394"/>
      <c r="D383" s="203"/>
      <c r="E383" s="203"/>
      <c r="F383" s="203"/>
      <c r="G383" s="203"/>
      <c r="H383" s="203"/>
      <c r="I383" s="203"/>
      <c r="J383" s="203"/>
      <c r="K383" s="203"/>
      <c r="L383" s="203"/>
      <c r="M383" s="203"/>
      <c r="N383" s="203"/>
      <c r="O383" s="203"/>
      <c r="P383" s="203"/>
      <c r="Q383" s="203"/>
      <c r="R383" s="203"/>
      <c r="S383" s="203"/>
    </row>
    <row r="384">
      <c r="A384" s="346"/>
      <c r="B384" s="395"/>
      <c r="C384" s="396"/>
      <c r="D384" s="395"/>
      <c r="E384" s="395"/>
      <c r="F384" s="395"/>
      <c r="G384" s="395"/>
      <c r="H384" s="395"/>
      <c r="I384" s="395"/>
      <c r="J384" s="395"/>
      <c r="K384" s="395"/>
      <c r="L384" s="395"/>
      <c r="M384" s="395"/>
      <c r="N384" s="203"/>
      <c r="O384" s="203"/>
      <c r="P384" s="203"/>
      <c r="Q384" s="203"/>
      <c r="R384" s="203"/>
      <c r="S384" s="203"/>
    </row>
    <row r="385">
      <c r="A385" s="397"/>
      <c r="B385" s="398"/>
      <c r="C385" s="399"/>
      <c r="D385" s="398"/>
      <c r="E385" s="398"/>
      <c r="F385" s="398"/>
      <c r="G385" s="398"/>
      <c r="H385" s="398"/>
      <c r="I385" s="398"/>
      <c r="J385" s="398"/>
      <c r="K385" s="398"/>
      <c r="L385" s="398"/>
      <c r="M385" s="398"/>
      <c r="N385" s="203"/>
      <c r="O385" s="203"/>
      <c r="P385" s="203"/>
      <c r="Q385" s="203"/>
      <c r="R385" s="203"/>
      <c r="S385" s="203"/>
    </row>
    <row r="386">
      <c r="A386" s="203"/>
      <c r="B386" s="203"/>
      <c r="C386" s="203"/>
      <c r="D386" s="203"/>
      <c r="E386" s="203"/>
      <c r="F386" s="203"/>
      <c r="G386" s="203"/>
      <c r="H386" s="203"/>
      <c r="I386" s="203"/>
      <c r="J386" s="203"/>
      <c r="K386" s="203"/>
      <c r="L386" s="203"/>
      <c r="M386" s="203"/>
      <c r="N386" s="203"/>
      <c r="O386" s="203"/>
      <c r="P386" s="203"/>
      <c r="Q386" s="203"/>
      <c r="R386" s="203"/>
      <c r="S386" s="203"/>
    </row>
    <row r="387">
      <c r="A387" s="203"/>
      <c r="B387" s="203"/>
      <c r="C387" s="203"/>
      <c r="D387" s="203"/>
      <c r="E387" s="203"/>
      <c r="F387" s="203"/>
      <c r="G387" s="203"/>
      <c r="H387" s="203"/>
      <c r="I387" s="203"/>
      <c r="J387" s="203"/>
      <c r="K387" s="203"/>
      <c r="L387" s="203"/>
      <c r="M387" s="203"/>
      <c r="N387" s="203"/>
      <c r="O387" s="203"/>
      <c r="P387" s="203"/>
      <c r="Q387" s="203"/>
      <c r="R387" s="203"/>
      <c r="S387" s="203"/>
    </row>
    <row r="388">
      <c r="A388" s="203"/>
      <c r="B388" s="203"/>
      <c r="C388" s="203"/>
      <c r="D388" s="203"/>
      <c r="E388" s="203"/>
      <c r="F388" s="203"/>
      <c r="G388" s="203"/>
      <c r="H388" s="203"/>
      <c r="I388" s="203"/>
      <c r="J388" s="203"/>
      <c r="K388" s="203"/>
      <c r="L388" s="203"/>
      <c r="M388" s="203"/>
      <c r="N388" s="203"/>
      <c r="O388" s="203"/>
      <c r="P388" s="203"/>
      <c r="Q388" s="203"/>
      <c r="R388" s="203"/>
      <c r="S388" s="203"/>
    </row>
  </sheetData>
  <autoFilter ref="$A$4:$M$379"/>
  <mergeCells count="2">
    <mergeCell ref="A2:I2"/>
    <mergeCell ref="O55:S55"/>
  </mergeCells>
  <hyperlinks>
    <hyperlink r:id="rId1" ref="B148"/>
    <hyperlink r:id="rId2" ref="B150"/>
  </hyperlinks>
  <drawing r:id="rId3"/>
</worksheet>
</file>