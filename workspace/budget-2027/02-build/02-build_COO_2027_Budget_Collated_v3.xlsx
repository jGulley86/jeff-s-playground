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10.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1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8.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comments13.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llation Notes" sheetId="1" state="visible" r:id="rId3"/>
    <sheet name="COO P&amp;L" sheetId="2" state="visible" r:id="rId4"/>
    <sheet name="FO" sheetId="3" state="visible" r:id="rId5"/>
    <sheet name="PO" sheetId="4" state="visible" r:id="rId6"/>
    <sheet name="CO" sheetId="5" state="visible" r:id="rId7"/>
    <sheet name="FE" sheetId="6" state="visible" r:id="rId8"/>
    <sheet name="PE" sheetId="7" state="visible" r:id="rId9"/>
    <sheet name="DeploySum" sheetId="8" state="visible" r:id="rId10"/>
    <sheet name="Depreciation Schedule" sheetId="9" state="visible" r:id="rId11"/>
    <sheet name="Fld Ops Payroll" sheetId="10" state="visible" r:id="rId12"/>
    <sheet name="Prod Payroll" sheetId="11" state="hidden" r:id="rId13"/>
    <sheet name="Fld Maint Budget" sheetId="12" state="visible" r:id="rId14"/>
    <sheet name="Fld Eng Budget" sheetId="13" state="visible" r:id="rId15"/>
  </sheets>
  <definedNames>
    <definedName function="false" hidden="false" name="a" vbProcedure="false">{#N/A,#N/A,FALSE,"Projections";#N/A,#N/A,FALSE,"Multiples Valuation";#N/A,#N/A,FALSE,"LBO";#N/A,#N/A,FALSE,"Multiples_Sensitivity";#N/A,#N/A,FALSE,"Summary"}</definedName>
    <definedName function="false" hidden="false" name="aa" vbProcedure="false">{#N/A,#N/A,FALSE,"Projections";#N/A,#N/A,FALSE,"Multiples Valuation";#N/A,#N/A,FALSE,"LBO";#N/A,#N/A,FALSE,"Multiples_Sensitivity";#N/A,#N/A,FALSE,"Summary"}</definedName>
    <definedName function="false" hidden="false" name="aaa" vbProcedure="false">{#N/A,#N/A,FALSE,"Projections";#N/A,#N/A,FALSE,"Multiples Valuation";#N/A,#N/A,FALSE,"LBO";#N/A,#N/A,FALSE,"Multiples_Sensitivity";#N/A,#N/A,FALSE,"Summary"}</definedName>
    <definedName function="false" hidden="false" name="aaaa" vbProcedure="false">{#N/A,#N/A,FALSE,"TS";#N/A,#N/A,FALSE,"Combo";#N/A,#N/A,FALSE,"FAIR";#N/A,#N/A,FALSE,"RBC";#N/A,#N/A,FALSE,"xxxx";#N/A,#N/A,FALSE,"A_D";#N/A,#N/A,FALSE,"WACC";#N/A,#N/A,FALSE,"DCF";#N/A,#N/A,FALSE,"LBO";#N/A,#N/A,FALSE,"AcqMults";#N/A,#N/A,FALSE,"CompMults"}</definedName>
    <definedName function="false" hidden="false" name="aaaaaaa" vbProcedure="false">{"Outflow 1",#N/A,FALSE,"Outflows-Inflows";"Outflow 2",#N/A,FALSE,"Outflows-Inflows";"Inflow 1",#N/A,FALSE,"Outflows-Inflows";"Inflow 2",#N/A,FALSE,"Outflows-Inflows"}</definedName>
    <definedName function="false" hidden="false" name="AAA_DOCTOPS" vbProcedure="false">"AAA_SET"</definedName>
    <definedName function="false" hidden="false" name="AAA_duser" vbProcedure="false">"OFF"</definedName>
    <definedName function="false" hidden="false" name="aabb" vbProcedure="false">{#N/A,#N/A,FALSE,"Projections";#N/A,#N/A,FALSE,"Multiples Valuation";#N/A,#N/A,FALSE,"LBO";#N/A,#N/A,FALSE,"Multiples_Sensitivity";#N/A,#N/A,FALSE,"Summary"}</definedName>
    <definedName function="false" hidden="false" name="AAB_Addin5" vbProcedure="false">"AAB_Description for addin 5,Description for addin 5,Description for addin 5,Description for addin 5,Description for addin 5,Description for addin 5"</definedName>
    <definedName function="false" hidden="false" name="AAB_GSPPG" vbProcedure="false">"AAB_Goldman Sachs PPG Chart Utilities 1.0g"</definedName>
    <definedName function="false" hidden="false" name="aas" vbProcedure="false">"c4426"</definedName>
    <definedName function="false" hidden="false" name="aasd"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aasdfa" vbProcedure="false">{"rtn",#N/A,FALSE,"RTN";"tables",#N/A,FALSE,"RTN";"cf",#N/A,FALSE,"CF";"stats",#N/A,FALSE,"Stats";"prop",#N/A,FALSE,"Prop"}</definedName>
    <definedName function="false" hidden="false" name="abb"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bc"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ab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ccessDatabase" vbProcedure="false">"C:\DATA\Kevin\Kevin's Model.mdb"</definedName>
    <definedName function="false" hidden="false" name="ad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ds" vbProcedure="false">{#N/A,#N/A,FALSE,"AD_Purch";#N/A,#N/A,FALSE,"Projections";#N/A,#N/A,FALSE,"DCF";#N/A,#N/A,FALSE,"Mkt Val"}</definedName>
    <definedName function="false" hidden="false" name="adsf" vbProcedure="false">{#N/A,#N/A,FALSE,"AD_Purch";#N/A,#N/A,FALSE,"Projections";#N/A,#N/A,FALSE,"DCF";#N/A,#N/A,FALSE,"Mkt Val"}</definedName>
    <definedName function="false" hidden="false" name="aertqet" vbProcedure="false">{#N/A,#N/A,FALSE,"Adj Proj";#N/A,#N/A,FALSE,"Sheet1";#N/A,#N/A,FALSE,"LBO";#N/A,#N/A,FALSE,"LBOMER";#N/A,#N/A,FALSE,"WACC";#N/A,#N/A,FALSE,"DCF";#N/A,#N/A,FALSE,"DCFMER";#N/A,#N/A,FALSE,"Pooling";#N/A,#N/A,FALSE,"income";#N/A,#N/A,FALSE,"Offer"}</definedName>
    <definedName function="false" hidden="false" name="AetnaQuo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Annual" vbProcedure="false">{"Outflow 1",#N/A,FALSE,"Outflows-Inflows";"Outflow 2",#N/A,FALSE,"Outflows-Inflows";"Inflow 1",#N/A,FALSE,"Outflows-Inflows";"Inflow 2",#N/A,FALSE,"Outflows-Inflows"}</definedName>
    <definedName function="false" hidden="false" name="anscount" vbProcedure="false">1</definedName>
    <definedName function="false" hidden="false" name="argqe" vbProcedure="false">{#N/A,#N/A,FALSE,"puboff";#N/A,#N/A,FALSE,"financials";#N/A,#N/A,FALSE,"valuation";#N/A,#N/A,FALSE,"split"}</definedName>
    <definedName function="false" hidden="false" name="as" vbProcedure="false">{"Outflow 1",#N/A,FALSE,"Outflows-Inflows";"Outflow 2",#N/A,FALSE,"Outflows-Inflows";"Inflow 1",#N/A,FALSE,"Outflows-Inflows";"Inflow 2",#N/A,FALSE,"Outflows-Inflows"}</definedName>
    <definedName function="false" hidden="false" name="AS2DocOpenMode" vbProcedure="false">"AS2DocumentEdit"</definedName>
    <definedName function="false" hidden="false" name="AS2NamedRange" vbProcedure="false">196</definedName>
    <definedName function="false" hidden="false" name="AS2ReportLS" vbProcedure="false">1</definedName>
    <definedName function="false" hidden="false" name="AS2SyncStepLS" vbProcedure="false">0</definedName>
    <definedName function="false" hidden="false" name="AS2VersionLS" vbProcedure="false">300</definedName>
    <definedName function="false" hidden="false" name="asdf" vbProcedure="false">40379.4506944444</definedName>
    <definedName function="false" hidden="false" name="asdfas" vbProcedure="false">{"print 1.6",#N/A,FALSE,"Sheet1";"print 2.6",#N/A,FALSE,"Sheet1";"print 3.6",#N/A,FALSE,"Sheet1";"print 4.6",#N/A,FALSE,"Sheet1";"print 5.6",#N/A,FALSE,"Sheet1";"print 6.6",#N/A,FALSE,"Sheet1"}</definedName>
    <definedName function="false" hidden="false" name="asdfasaa" vbProcedure="false">{"print 1.6",#N/A,FALSE,"Sheet1";"print 2.6",#N/A,FALSE,"Sheet1";"print 3.6",#N/A,FALSE,"Sheet1";"print 4.6",#N/A,FALSE,"Sheet1";"print 5.6",#N/A,FALSE,"Sheet1";"print 6.6",#N/A,FALSE,"Sheet1"}</definedName>
    <definedName function="false" hidden="false" name="asdfasdf" vbProcedure="false">{#N/A,#N/A,FALSE,"TS";#N/A,#N/A,FALSE,"Combo";#N/A,#N/A,FALSE,"FAIR";#N/A,#N/A,FALSE,"RBC";#N/A,#N/A,FALSE,"xxxx";#N/A,#N/A,FALSE,"A_D";#N/A,#N/A,FALSE,"WACC";#N/A,#N/A,FALSE,"DCF";#N/A,#N/A,FALSE,"LBO";#N/A,#N/A,FALSE,"AcqMults";#N/A,#N/A,FALSE,"CompMults"}</definedName>
    <definedName function="false" hidden="false" name="asdfg" vbProcedure="false">{"rtn",#N/A,FALSE,"RTN";"tables",#N/A,FALSE,"RTN";"cf",#N/A,FALSE,"CF";"stats",#N/A,FALSE,"Stats";"prop",#N/A,FALSE,"Prop"}</definedName>
    <definedName function="false" hidden="false" name="as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ass" vbProcedure="false">{"print 1.6",#N/A,FALSE,"Sheet1";"print 2.6",#N/A,FALSE,"Sheet1";"print 3.6",#N/A,FALSE,"Sheet1";"print 4.6",#N/A,FALSE,"Sheet1";"print 5.6",#N/A,FALSE,"Sheet1";"print 6.6",#N/A,FALSE,"Sheet1"}</definedName>
    <definedName function="false" hidden="false" name="ass.all" vbProcedure="false">{#N/A,#N/A,FALSE,"cpt"}</definedName>
    <definedName function="false" hidden="false" name="ass2.all" vbProcedure="false">{#N/A,#N/A,FALSE,"cpt"}</definedName>
    <definedName function="false" hidden="false" name="asss" vbProcedure="false">{"rtn",#N/A,FALSE,"RTN";"tables",#N/A,FALSE,"RTN";"cf",#N/A,FALSE,"CF";"stats",#N/A,FALSE,"Stats";"prop",#N/A,FALSE,"Prop"}</definedName>
    <definedName function="false" hidden="false" name="Assumptios2"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Audit_Recon"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AUto1" vbProcedure="false">{#N/A,#N/A,FALSE,"Sheet1"}</definedName>
    <definedName function="false" hidden="false" name="AUto2" vbProcedure="false">{#N/A,#N/A,FALSE,"Sheet1"}</definedName>
    <definedName function="false" hidden="false" name="axe" vbProcedure="false">{#N/A,#N/A,FALSE,"TS";#N/A,#N/A,FALSE,"Combo";#N/A,#N/A,FALSE,"FAIR";#N/A,#N/A,FALSE,"RBC";#N/A,#N/A,FALSE,"xxxx";#N/A,#N/A,FALSE,"A_D";#N/A,#N/A,FALSE,"WACC";#N/A,#N/A,FALSE,"DCF";#N/A,#N/A,FALSE,"LBO";#N/A,#N/A,FALSE,"AcqMults";#N/A,#N/A,FALSE,"CompMults"}</definedName>
    <definedName function="false" hidden="false" name="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bbb" vbProcedure="false">{#N/A,#N/A,FALSE,"ExitStratigy"}</definedName>
    <definedName function="false" hidden="false" name="bbbbbb"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Bear" vbProcedure="false">{#N/A,#N/A,FALSE,"TS";#N/A,#N/A,FALSE,"Combo";#N/A,#N/A,FALSE,"FAIR";#N/A,#N/A,FALSE,"RBC";#N/A,#N/A,FALSE,"xxxx";#N/A,#N/A,FALSE,"A_D";#N/A,#N/A,FALSE,"WACC";#N/A,#N/A,FALSE,"DCF";#N/A,#N/A,FALSE,"LBO";#N/A,#N/A,FALSE,"AcqMults";#N/A,#N/A,FALSE,"CompMults"}</definedName>
    <definedName function="false" hidden="false" name="bear2" vbProcedure="false">{#N/A,#N/A,FALSE,"TS";#N/A,#N/A,FALSE,"Combo";#N/A,#N/A,FALSE,"FAIR";#N/A,#N/A,FALSE,"RBC";#N/A,#N/A,FALSE,"xxxx";#N/A,#N/A,FALSE,"A_D";#N/A,#N/A,FALSE,"WACC";#N/A,#N/A,FALSE,"DCF";#N/A,#N/A,FALSE,"LBO";#N/A,#N/A,FALSE,"AcqMults";#N/A,#N/A,FALSE,"CompMults"}</definedName>
    <definedName function="false" hidden="false" name="bearr" vbProcedure="false">{#N/A,#N/A,FALSE,"TS";#N/A,#N/A,FALSE,"Combo";#N/A,#N/A,FALSE,"FAIR";#N/A,#N/A,FALSE,"RBC";#N/A,#N/A,FALSE,"xxxx";#N/A,#N/A,FALSE,"A_D";#N/A,#N/A,FALSE,"WACC";#N/A,#N/A,FALSE,"DCF";#N/A,#N/A,FALSE,"LBO";#N/A,#N/A,FALSE,"AcqMults";#N/A,#N/A,FALSE,"CompMults"}</definedName>
    <definedName function="false" hidden="false" name="BG_Del" vbProcedure="false">15</definedName>
    <definedName function="false" hidden="false" name="BG_Ins" vbProcedure="false">4</definedName>
    <definedName function="false" hidden="false" name="BG_Mod" vbProcedure="false">6</definedName>
    <definedName function="false" hidden="false" name="BLANK"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ROW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bvwrg"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cap.po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awc"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CBWorkbookPriority" vbProcedure="false">-31260691</definedName>
    <definedName function="false" hidden="false" name="cb_Add_CalloutChart_24_opts" vbProcedure="false">"1, 9, 1, False, 2, False, False, , 0, False, False, 1, 1"</definedName>
    <definedName function="false" hidden="false" name="cb_Add_CalloutChart_25_opts" vbProcedure="false">"1, 10, 1, False, 2, False, False, , 0, False, True, 1, 1"</definedName>
    <definedName function="false" hidden="false" name="cb_Add_CalloutChart_26_opts" vbProcedure="false">"1, 9, 1, False, 2, False, False, , 0, False, True, 1, 1"</definedName>
    <definedName function="false" hidden="false" name="cb_ALT_STACKED_COLUMNChart_22_opts" vbProcedure="false">"1, 3, 1, False, 2, True, False, , 0, False, True, 1, 2"</definedName>
    <definedName function="false" hidden="false" name="cb_ALT_STACKED_COLUMNChart_23_opts" vbProcedure="false">"1, 3, 1, False, 2, True, False, , 0, False, True, 1, 2"</definedName>
    <definedName function="false" hidden="false" name="cb_Chart_100032_opts" vbProcedure="false">"1, 10, 1, False, 2, True, False, , 0, False, False, 2, 2"</definedName>
    <definedName function="false" hidden="false" name="cb_Chart_10104_opts" vbProcedure="false">"1, 5, 1, False, 2, True, False, , 0, True, False, 2, 1"</definedName>
    <definedName function="false" hidden="false" name="cb_Chart_10401_opts" vbProcedure="false">"1, 5, 1, False, 2, False, False, , 0, True, False, 2, 1"</definedName>
    <definedName function="false" hidden="false" name="cb_Chart_10736_opts" vbProcedure="false">"1, 10, 1, False, 2, False, False, , 0, False, False, 2, 2"</definedName>
    <definedName function="false" hidden="false" name="cb_Chart_10_opts" vbProcedure="false">"1, 8, 1, False, 2, False, False, , 0, False, False, 1, 1"</definedName>
    <definedName function="false" hidden="false" name="cb_Chart_11_opts" vbProcedure="false">"1, 5, 1, False, 2, False, False, , 0, False, False, 1, 2"</definedName>
    <definedName function="false" hidden="false" name="cb_Chart_12_opts" vbProcedure="false">"1, 5, 1, False, 2, True, False, , 0, True, False, 1, 2"</definedName>
    <definedName function="false" hidden="false" name="cb_Chart_13_opts" vbProcedure="false">"1, 5, 1, False, 2, True, False, , 0, True, False, 1, 2"</definedName>
    <definedName function="false" hidden="false" name="cb_Chart_14_opts" vbProcedure="false">"2, 2, 2, True, 2, False, False, , 0, False, True, 1, 2"</definedName>
    <definedName function="false" hidden="false" name="cb_Chart_1501_opts" vbProcedure="false">"1, 10, 1, False, 2, True, False, , 0, False, False, 2, 2"</definedName>
    <definedName function="false" hidden="false" name="cb_Chart_15_opts" vbProcedure="false">"2, 1, 2, True, 2, False, False, , 0, False, True, 1, 2"</definedName>
    <definedName function="false" hidden="false" name="cb_Chart_1670_opts" vbProcedure="false">"1, 5, 1, False, 2, True, False, , 0, False, False, 2, 1"</definedName>
    <definedName function="false" hidden="false" name="cb_Chart_16_opts" vbProcedure="false">"2, 1, 2, True, 2, False, False, , 0, False, True, 1, 2"</definedName>
    <definedName function="false" hidden="false" name="cb_Chart_17_opts" vbProcedure="false">"1, 9, 1, False, 2, False, False, , 0, False, False, 1, 1"</definedName>
    <definedName function="false" hidden="false" name="cb_Chart_18_opts" vbProcedure="false">"1, 9, 1, False, 2, False, False, , 0, False, False, 1, 1"</definedName>
    <definedName function="false" hidden="false" name="cb_Chart_19_opts" vbProcedure="false">"1, 2, 1, False, 2, True, False, , 0, True, False, 2, 1"</definedName>
    <definedName function="false" hidden="false" name="cb_Chart_1_opts" vbProcedure="false">"1, 6, 1, False, 2, False, False, , 0, False, True, 1, 2"</definedName>
    <definedName function="false" hidden="false" name="cb_Chart_20_opts" vbProcedure="false">"1, 9, 1, False, 2, False, False, , 0, False, False, 1, 1"</definedName>
    <definedName function="false" hidden="false" name="cb_Chart_21_opts" vbProcedure="false">"1, 2, 1, False, 2, False, False, , 0, False, False, 2, 1"</definedName>
    <definedName function="false" hidden="false" name="cb_Chart_22784_opts" vbProcedure="false">"1, 9, 1, False, 2, False, False, , 0, False, True, 1, 2"</definedName>
    <definedName function="false" hidden="false" name="cb_Chart_22_opts" vbProcedure="false">"1, 2, 1, False, 2, True, False, , 0, False, False, 2, 1"</definedName>
    <definedName function="false" hidden="false" name="cb_Chart_23_opts" vbProcedure="false">"1, 9, 1, False, 2, False, False, , 0, False, False, 1, 1"</definedName>
    <definedName function="false" hidden="false" name="cb_Chart_24490_opts" vbProcedure="false">"1, 10, 1, False, 2, True, False, , 0, False, False, 2, 2"</definedName>
    <definedName function="false" hidden="false" name="cb_Chart_24_opts" vbProcedure="false">"1, 2, 1, False, 2, False, False, , 0, False, False, 2, 1"</definedName>
    <definedName function="false" hidden="false" name="cb_Chart_25_opts" vbProcedure="false">"1, 3, 1, False, 2, False, False, , 0, True, True, 1, 2"</definedName>
    <definedName function="false" hidden="false" name="cb_Chart_26476_opts" vbProcedure="false">"1, 1, 1, False, 2, True, False, , 0, False, False, 1, 2"</definedName>
    <definedName function="false" hidden="false" name="cb_Chart_26_opts" vbProcedure="false">"1, 2, 1, False, 2, False, False, , 0, False, False, 2, 1"</definedName>
    <definedName function="false" hidden="false" name="cb_Chart_27_opts" vbProcedure="false">"1, 1, 1, False, 2, True, False, , 0, False, True, 1, 2"</definedName>
    <definedName function="false" hidden="false" name="cb_Chart_28031_opts" vbProcedure="false">"1, 1, 1, False, 2, True, False, , 0, False, False, 1, 2"</definedName>
    <definedName function="false" hidden="false" name="cb_Chart_28545_opts" vbProcedure="false">"1, 5, 1, False, 2, True, False, , 0, False, True, 2, 1"</definedName>
    <definedName function="false" hidden="false" name="cb_Chart_28_opts" vbProcedure="false">"1, 3, 1, False, 2, True, False, , 0, False, True, 1, 2"</definedName>
    <definedName function="false" hidden="false" name="cb_Chart_29053_opts" vbProcedure="false">"1, 10, 1, False, 2, True, False, , 0, False, False, 2, 2"</definedName>
    <definedName function="false" hidden="false" name="cb_Chart_29913_opts" vbProcedure="false">"1, 1, 1, False, 2, False, False, , 0, False, False, 1, 1"</definedName>
    <definedName function="false" hidden="false" name="cb_Chart_29_opts" vbProcedure="false">"1, 3, 1, False, 2, False, False, , 0, False, False, 1, 1"</definedName>
    <definedName function="false" hidden="false" name="cb_Chart_2_opts" vbProcedure="false">"1, 6, 1, False, 2, False, False, , 0, False, False, 1, 2"</definedName>
    <definedName function="false" hidden="false" name="cb_Chart_30292_opts" vbProcedure="false">"1, 1, 1, False, 2, False, False, , 0, False, False, 1, 2"</definedName>
    <definedName function="false" hidden="false" name="cb_Chart_30_opts" vbProcedure="false">"1, 3, 1, False, 2, True, False, , 0, False, True, 1, 2"</definedName>
    <definedName function="false" hidden="false" name="cb_Chart_31_opts" vbProcedure="false">"1, 1, 1, False, 2, True, False, , 0, True, True, 2, 2"</definedName>
    <definedName function="false" hidden="false" name="cb_Chart_32_opts" vbProcedure="false">"1, 1, 1, False, 2, True, False, , 0, False, False, 2, 2"</definedName>
    <definedName function="false" hidden="false" name="cb_Chart_33_opts" vbProcedure="false">"1, 1, 1, False, 2, True, False, , 0, False, True, 3, 2"</definedName>
    <definedName function="false" hidden="false" name="cb_Chart_34_opts" vbProcedure="false">"1, 10, 1, False, 2, True, False, , 0, False, False, 2, 2"</definedName>
    <definedName function="false" hidden="false" name="cb_Chart_36498_opts" vbProcedure="false">"1, 1, 1, False, 2, True, False, , 0, False, False, 1, 2"</definedName>
    <definedName function="false" hidden="false" name="cb_Chart_37450_opts" vbProcedure="false">"1, 10, 1, False, 2, True, False, , 0, False, False, 2, 2"</definedName>
    <definedName function="false" hidden="false" name="cb_Chart_3_opts" vbProcedure="false">"1, 1, 1, False, 2, True, False, , 0, False, False, 2, 2"</definedName>
    <definedName function="false" hidden="false" name="cb_Chart_41499_opts" vbProcedure="false">"1, 10, 1, False, 2, True, False, , 0, False, False, 2, 2"</definedName>
    <definedName function="false" hidden="false" name="cb_Chart_41_opts" vbProcedure="false">"1, 10, 1, False, 2, True, False, , 0, False, False, 2, 1"</definedName>
    <definedName function="false" hidden="false" name="cb_Chart_42_opts" vbProcedure="false">"1, 10, 1, False, 2, True, False, , 0, False, False, 2, 1"</definedName>
    <definedName function="false" hidden="false" name="cb_Chart_43_opts" vbProcedure="false">"1, 10, 1, False, 2, True, False, , 0, False, False, 2, 1"</definedName>
    <definedName function="false" hidden="false" name="cb_Chart_4634_opts" vbProcedure="false">"1, 10, 1, False, 2, True, False, , 0, False, False, 2, 2"</definedName>
    <definedName function="false" hidden="false" name="cb_Chart_4664_opts" vbProcedure="false">"1, 5, 1, False, 2, True, False, , 0, False, True, 1, 2"</definedName>
    <definedName function="false" hidden="false" name="cb_Chart_46965_opts" vbProcedure="false">"1, 1, 1, False, 2, False, False, , 0, False, False, 1, 1"</definedName>
    <definedName function="false" hidden="false" name="cb_Chart_4_opts" vbProcedure="false">"1, 7, 1, False, 2, False, False, , 0, False, True, 1, 2"</definedName>
    <definedName function="false" hidden="false" name="cb_Chart_52582_opts" vbProcedure="false">"1, 1, 1, False, 2, False, False, , 0, False, False, 1, 2"</definedName>
    <definedName function="false" hidden="false" name="cb_Chart_53437_opts" vbProcedure="false">"1, 10, 1, False, 2, True, False, , 0, False, False, 2, 2"</definedName>
    <definedName function="false" hidden="false" name="cb_Chart_53482_opts" vbProcedure="false">"1, 10, 1, False, 2, True, False, , 0, False, False, 2, 2"</definedName>
    <definedName function="false" hidden="false" name="cb_Chart_5449_opts" vbProcedure="false">"1, 1, 1, False, 2, False, False, , 0, False, False, 1, 1"</definedName>
    <definedName function="false" hidden="false" name="cb_Chart_54_opts" vbProcedure="false">"1, 3, 1, False, 2, False, False, , 0, False, True, 2, 2"</definedName>
    <definedName function="false" hidden="false" name="cb_Chart_5723_opts" vbProcedure="false">"1, 1, 1, False, 2, True, False, , 0, False, True, 1, 2"</definedName>
    <definedName function="false" hidden="false" name="cb_Chart_57613_opts" vbProcedure="false">"1, 5, 1, False, 2, True, False, , 0, False, True, 2, 1"</definedName>
    <definedName function="false" hidden="false" name="cb_Chart_58046_opts" vbProcedure="false">"1, 10, 1, False, 2, True, False, , 0, False, False, 2, 2"</definedName>
    <definedName function="false" hidden="false" name="cb_Chart_59010_opts" vbProcedure="false">"1, 2, 1, False, 2, False, False, , 0, False, False, 2, 1"</definedName>
    <definedName function="false" hidden="false" name="cb_Chart_59340_opts" vbProcedure="false">"1, 1, 1, False, 2, False, False, , 0, False, False, 1, 1"</definedName>
    <definedName function="false" hidden="false" name="cb_Chart_5_opts" vbProcedure="false">"1, 8, 1, False, 2, False, False, , 0, False, False, 1, 2"</definedName>
    <definedName function="false" hidden="false" name="cb_Chart_62364_opts" vbProcedure="false">"1, 1, 1, False, 2, True, False, , 0, False, False, 1, 2"</definedName>
    <definedName function="false" hidden="false" name="cb_Chart_64876_opts" vbProcedure="false">"1, 1, 1, False, 2, True, False, , 0, False, False, 1, 2"</definedName>
    <definedName function="false" hidden="false" name="cb_Chart_67711_opts" vbProcedure="false">"1, 10, 1, False, 2, True, False, , 0, False, False, 2, 2"</definedName>
    <definedName function="false" hidden="false" name="cb_Chart_69605_opts" vbProcedure="false">"1, 2, 1, False, 2, False, False, , 0, False, False, 2, 1"</definedName>
    <definedName function="false" hidden="false" name="cb_Chart_6_opts" vbProcedure="false">"1, 10, 1, False, 2, True, False, , 0, False, False, 2, 2"</definedName>
    <definedName function="false" hidden="false" name="cb_Chart_70648_opts" vbProcedure="false">"1, 1, 1, False, 2, True, False, , 0, False, False, 2, 2"</definedName>
    <definedName function="false" hidden="false" name="cb_Chart_70997_opts" vbProcedure="false">"1, 10, 1, False, 2, False, False, , 0, False, False, 1, 1"</definedName>
    <definedName function="false" hidden="false" name="cb_Chart_70_opts" vbProcedure="false">"1, 10, 1, False, 2, True, False, , 0, False, False, 1, 1"</definedName>
    <definedName function="false" hidden="false" name="cb_Chart_71_opts" vbProcedure="false">"1, 10, 1, False, 2, False, False, , 0, False, False, 1, 1"</definedName>
    <definedName function="false" hidden="false" name="cb_Chart_72_opts" vbProcedure="false">"1, 10, 1, False, 2, True, False, , 0, False, False, 1, 1"</definedName>
    <definedName function="false" hidden="false" name="cb_Chart_73_opts" vbProcedure="false">"1, 10, 1, False, 2, False, False, , 0, False, False, 1, 1"</definedName>
    <definedName function="false" hidden="false" name="cb_Chart_76165_opts" vbProcedure="false">"1, 10, 1, False, 2, True, False, , 0, False, False, 2, 2"</definedName>
    <definedName function="false" hidden="false" name="cb_Chart_76804_opts" vbProcedure="false">"1, 1, 1, False, 2, False, False, , 0, False, False, 1, 1"</definedName>
    <definedName function="false" hidden="false" name="cb_Chart_77567_opts" vbProcedure="false">"1, 10, 1, False, 2, False, False, , 0, False, False, 1, 1"</definedName>
    <definedName function="false" hidden="false" name="cb_Chart_79140_opts" vbProcedure="false">"1, 10, 1, False, 2, True, False, , 0, False, False, 2, 2"</definedName>
    <definedName function="false" hidden="false" name="cb_Chart_79981_opts" vbProcedure="false">"1, 5, 1, False, 2, True, False, , 0, True, False, 2, 1"</definedName>
    <definedName function="false" hidden="false" name="cb_Chart_7_opts" vbProcedure="false">"2, 1, 2, True, 2, False, False, , 0, False, True, 1, 2"</definedName>
    <definedName function="false" hidden="false" name="cb_Chart_81541_opts" vbProcedure="false">"1, 10, 1, False, 2, True, False, , 0, False, False, 2, 2"</definedName>
    <definedName function="false" hidden="false" name="cb_Chart_82552_opts" vbProcedure="false">"1, 1, 1, False, 2, True, False, , 0, False, False, 1, 2"</definedName>
    <definedName function="false" hidden="false" name="cb_Chart_83072_opts" vbProcedure="false">"1, 1, 1, False, 2, True, False, , 0, False, False, 1, 2"</definedName>
    <definedName function="false" hidden="false" name="cb_Chart_86354_opts" vbProcedure="false">"1, 10, 1, False, 2, False, False, , 0, False, False, 1, 1"</definedName>
    <definedName function="false" hidden="false" name="cb_Chart_87236_opts" vbProcedure="false">"1, 1, 1, False, 2, True, False, , 0, False, False, 1, 2"</definedName>
    <definedName function="false" hidden="false" name="cb_Chart_8_opts" vbProcedure="false">"2, 1, 2, True, 2, False, False, , 0, False, True, 1, 2"</definedName>
    <definedName function="false" hidden="false" name="cb_Chart_91188_opts" vbProcedure="false">"1, 8, 1, False, 2, False, False, , 0, False, False, 1, 2"</definedName>
    <definedName function="false" hidden="false" name="cb_Chart_95047_opts" vbProcedure="false">"1, 1, 1, False, 2, False, False, , 0, False, False, 1, 2"</definedName>
    <definedName function="false" hidden="false" name="cb_Chart_96286_opts" vbProcedure="false">"1, 10, 1, False, 2, True, False, , 0, False, False, 2, 2"</definedName>
    <definedName function="false" hidden="false" name="cb_Chart_98091_opts" vbProcedure="false">"1, 2, 1, False, 2, False, False, , 0, False, False, 2, 1"</definedName>
    <definedName function="false" hidden="false" name="cb_Chart_98700_opts" vbProcedure="false">"1, 8, 1, False, 2, False, False, , 0, False, False, 1, 2"</definedName>
    <definedName function="false" hidden="false" name="cb_Chart_9_opts" vbProcedure="false">"1, 8, 1, False, 2, False, False, , 0, False, False, 1, 1"</definedName>
    <definedName function="false" hidden="false" name="cb_Copy_Chart_w_New_DataChart_10_opts" vbProcedure="false">"2, 1, 1, True, 4, False, False, , 0, False, False, 2, 2"</definedName>
    <definedName function="false" hidden="false" name="cb_Copy_Chart_w_New_DataChart_7_opts" vbProcedure="false">"2, 1, 1, True, 4, False, False, , 0, False, False, 2, 2"</definedName>
    <definedName function="false" hidden="false" name="cb_Copy_Chart_w_New_DataChart_8_opts" vbProcedure="false">"2, 1, 1, True, 4, False, False, , 0, False, False, 2, 2"</definedName>
    <definedName function="false" hidden="false" name="cb_Copy_Chart_w_New_DataChart_9_opts" vbProcedure="false">"2, 1, 1, True, 4, False, False, , 0, False, False, 2, 2"</definedName>
    <definedName function="false" hidden="false" name="cb_Dimension_Pie_ChartsChart_1_opts" vbProcedure="false">"1, 1, 1, False, 2, True, False, , 0, False, False, 2, 2"</definedName>
    <definedName function="false" hidden="false" name="cb_Dimension_Pie_ChartsChart_2_opts" vbProcedure="false">"1, 10, 1, False, 2, True, False, , 0, False, False, 2, 2"</definedName>
    <definedName function="false" hidden="false" name="cb_Export_LegendChart_14_opts" vbProcedure="false">"1, 10, 1, False, 2, True, False, , 0, False, False, 2, 2"</definedName>
    <definedName function="false" hidden="false" name="cb_Export_LegendChart_15_opts" vbProcedure="false">"1, 10, 1, False, 2, True, False, , 0, False, False, 2, 2"</definedName>
    <definedName function="false" hidden="false" name="cb_PieChart_16_opts" vbProcedure="false">"1, 10, 1, False, 2, True, False, , 0, False, False, 2, 2"</definedName>
    <definedName function="false" hidden="false" name="cb_sChart11DCFB24_opts" vbProcedure="false">"1, 9, 1, False, 2, False, False, , 0, False, True, 1, 1"</definedName>
    <definedName function="false" hidden="false" name="cb_sChart11EADA92_opts" vbProcedure="false">"1, 1, 1, False, 2, False, False, , 0, False, True, 2, 2"</definedName>
    <definedName function="false" hidden="false" name="cb_sChart11EAED4A_opts" vbProcedure="false">"1, 1, 1, False, 2, False, False, , 0, False, True, 2, 2"</definedName>
    <definedName function="false" hidden="false" name="cb_sChart11EB049E_opts" vbProcedure="false">"1, 1, 1, False, 2, False, False, , 0, False, True, 2, 2"</definedName>
    <definedName function="false" hidden="false" name="cb_sChart11FB1BDC_opts" vbProcedure="false">"1, 1, 1, False, 2, True, False, , 0, False, True, 2, 2"</definedName>
    <definedName function="false" hidden="false" name="cb_sChart11FB2467_opts" vbProcedure="false">"1, 1, 1, False, 2, True, False, , 0, False, True, 2, 2"</definedName>
    <definedName function="false" hidden="false" name="cb_sChart11FB271E_opts" vbProcedure="false">"1, 1, 1, False, 2, True, False, , 0, False, True, 2, 2"</definedName>
    <definedName function="false" hidden="false" name="cb_sChart11FB296C_opts" vbProcedure="false">"1, 1, 1, False, 2, True, False, , 0, False, True, 2, 2"</definedName>
    <definedName function="false" hidden="false" name="cb_sChart11FB4DE8_opts" vbProcedure="false">"1, 9, 1, False, 2, False, False, , 0, False, True, 1, 2"</definedName>
    <definedName function="false" hidden="false" name="cb_sChart11FCA363_opts" vbProcedure="false">"2, 1, 2, True, 2, False, False, , 0, False, True, 2, 2"</definedName>
    <definedName function="false" hidden="false" name="cb_sChart11FCA851_opts" vbProcedure="false">"2, 1, 2, True, 2, False, False, , 0, False, True, 2, 2"</definedName>
    <definedName function="false" hidden="false" name="cb_sChart11FCE81C_opts" vbProcedure="false">"1, 9, 1, False, 2, False, False, , 0, False, True, 2, 2"</definedName>
    <definedName function="false" hidden="false" name="cb_sChart12073B79_opts" vbProcedure="false">"1, 9, 1, False, 2, False, False, , 0, False, True, 2, 2"</definedName>
    <definedName function="false" hidden="false" name="cb_sChart12074F69_opts" vbProcedure="false">"1, 9, 1, False, 2, False, False, , 0, False, True, 2, 2"</definedName>
    <definedName function="false" hidden="false" name="cb_sChart1216F828_opts" vbProcedure="false">"2, 1, 1, False, 2, False, False, , 0, False, True, 2, 2"</definedName>
    <definedName function="false" hidden="false" name="cb_sChart122574E1_opts" vbProcedure="false">"1, 1, 1, False, 2, False, False, , 0, False, True, 2, 2"</definedName>
    <definedName function="false" hidden="false" name="cb_sChart12285211_opts" vbProcedure="false">"1, 9, 1, False, 2, False, False, , 0, False, False, 1, 2"</definedName>
    <definedName function="false" hidden="false" name="cb_sChart12291B1F_opts" vbProcedure="false">"2, 1, 1, True, 3, False, False, , 0, False, False, 1, 2"</definedName>
    <definedName function="false" hidden="false" name="cb_sChart1248DE96_opts" vbProcedure="false">"1, 9, 1, False, 2, False, False, , 0, False, False, 1, 2"</definedName>
    <definedName function="false" hidden="false" name="cb_sChart1248E206_opts" vbProcedure="false">"1, 9, 1, False, 2, False, False, , 0, False, False, 1, 2"</definedName>
    <definedName function="false" hidden="false" name="cb_sChart15CA0E0A_opts" vbProcedure="false">"1, 9, 1, False, 2, False, False, , 0, False, False, 1, 2"</definedName>
    <definedName function="false" hidden="false" name="cb_sChart15CA1FFD_opts" vbProcedure="false">"1, 10, 1, False, 2, False, False, , 0, False, False, 1, 1"</definedName>
    <definedName function="false" hidden="false" name="cb_sChart15CA20AB_opts" vbProcedure="false">"1, 9, 1, False, 2, False, False, , 0, False, False, 1, 1"</definedName>
    <definedName function="false" hidden="false" name="cb_sChart15CA2F5C_opts" vbProcedure="false">"1, 9, 1, False, 2, False, False, , 0, False, False, 1, 1"</definedName>
    <definedName function="false" hidden="false" name="cb_sChart15CA30C3_opts" vbProcedure="false">"1, 9, 1, False, 2, False, False, , 0, False, True, 1, 1"</definedName>
    <definedName function="false" hidden="false" name="cb_sChart1A3873A1_opts" vbProcedure="false">"1, 1, 1, False, 2, True, False, , 0, False, True, 1, 1"</definedName>
    <definedName function="false" hidden="false" name="cb_sChart1A3875D8_opts" vbProcedure="false">"1, 1, 1, False, 2, False, False, , 0, False, False, 1, 1"</definedName>
    <definedName function="false" hidden="false" name="cb_sChart1A3877BF_opts" vbProcedure="false">"1, 1, 1, False, 2, True, False, , 0, False, True, 1, 1"</definedName>
    <definedName function="false" hidden="false" name="cb_sChart1A387878_opts" vbProcedure="false">"1, 1, 1, False, 2, True, False, , 0, False, True, 1, 1"</definedName>
    <definedName function="false" hidden="false" name="cb_sChart1A387AF4_opts" vbProcedure="false">"1, 3, 1, False, 2, False, False, , 0, False, False, 1, 1"</definedName>
    <definedName function="false" hidden="false" name="cb_sChart1A38BEAE_opts" vbProcedure="false">"1, 10, 1, False, 2, True, False, , 0, False, False, 1, 1"</definedName>
    <definedName function="false" hidden="false" name="cb_sChart1A43A019_opts" vbProcedure="false">"1, 1, 1, False, 2, True, False, , 0, False, False, 1, 1"</definedName>
    <definedName function="false" hidden="false" name="cb_sChart1A4414D6_opts" vbProcedure="false">"1, 1, 1, False, 2, True, False, , 0, False, False, 1, 1"</definedName>
    <definedName function="false" hidden="false" name="cb_sChart1A4416BC_opts" vbProcedure="false">"1, 1, 1, False, 2, True, False, , 0, False, False, 1, 1"</definedName>
    <definedName function="false" hidden="false" name="cb_sChart1A4418D0_opts" vbProcedure="false">"1, 1, 1, False, 2, True, False, , 0, False, False, 1, 1"</definedName>
    <definedName function="false" hidden="false" name="cb_sChart1A4419DA_opts" vbProcedure="false">"1, 1, 1, False, 2, True, False, , 0, False, False, 1, 1"</definedName>
    <definedName function="false" hidden="false" name="cb_sChart7F59C8D_opts" vbProcedure="false">"1, 4, 1, False, 2, False, False, , 0, False, False, 1, 1"</definedName>
    <definedName function="false" hidden="false" name="cb_sChart7F59D80_opts" vbProcedure="false">"1, 1, 1, False, 2, True, False, , 0, False, False, 1, 1"</definedName>
    <definedName function="false" hidden="false" name="cb_sChart7F5A913_opts" vbProcedure="false">"1, 1, 1, False, 2, True, False, , 0, False, False, 3, 1"</definedName>
    <definedName function="false" hidden="false" name="cb_sChart7F5AA63_opts" vbProcedure="false">"1, 1, 1, False, 2, False, False, , 0, False, False, 3, 1"</definedName>
    <definedName function="false" hidden="false" name="cb_sChart7F5AB6D_opts" vbProcedure="false">"1, 1, 1, False, 2, False, False, , 0, False, False, 3, 1"</definedName>
    <definedName function="false" hidden="false" name="cb_sChart7F5AED1_opts" vbProcedure="false">"1, 1, 1, False, 2, False, False, , 0, False, False, 3, 1"</definedName>
    <definedName function="false" hidden="false" name="cb_sChartD68BCC9_opts" vbProcedure="false">"1, 1, 1, False, 2, True, False, , 0, False, True, 1, 1"</definedName>
    <definedName function="false" hidden="false" name="cb_sChartD6B06A2_opts" vbProcedure="false">"1, 1, 1, False, 2, False, False, , 0, False, False, 2, 2"</definedName>
    <definedName function="false" hidden="false" name="cb_sChartD6B1FA3_opts" vbProcedure="false">"1, 1, 1, False, 2, False, False, , 0, False, False, 2, 2"</definedName>
    <definedName function="false" hidden="false" name="cb_sChartD6B69B1_opts" vbProcedure="false">"1, 1, 1, False, 2, False, False, , 0, False, False, 1, 2"</definedName>
    <definedName function="false" hidden="false" name="cb_sChartD6B76F0_opts" vbProcedure="false">"2, 1, 1, False, 2, False, False, , 0, False, False, 1, 2"</definedName>
    <definedName function="false" hidden="false" name="cb_sChartD6B943C_opts" vbProcedure="false">"2, 1, 1, False, 3, False, False, , 0, False, False, 1, 2"</definedName>
    <definedName function="false" hidden="false" name="cb_sChartD6C1C01_opts" vbProcedure="false">"2, 1, 1, True, 2, False, False, , 0, False, False, 1, 2"</definedName>
    <definedName function="false" hidden="false" name="cb_sChartD6FD60D_opts" vbProcedure="false">"1, 1, 1, False, 2, False, False, , 0, False, False, 1, 1"</definedName>
    <definedName function="false" hidden="false" name="cb_sChartD78B484_opts" vbProcedure="false">"2, 1, 1, False, 2, True, False, , 0, False, False, 1, 2"</definedName>
    <definedName function="false" hidden="false" name="cb_sChartD78C2AA_opts" vbProcedure="false">"2, 1, 1, True, 2, True, False, , 0, False, False, 1, 2"</definedName>
    <definedName function="false" hidden="false" name="cb_sChartD78C76A_opts" vbProcedure="false">"2, 1, 1, True, 2, True, False, , 0, False, False, 1, 1"</definedName>
    <definedName function="false" hidden="false" name="cb_sChartD78CF99_opts" vbProcedure="false">"2, 1, 3, True, 2, False, False, , 0, False, False, 1, 1"</definedName>
    <definedName function="false" hidden="false" name="cb_sChartD78D2CE_opts" vbProcedure="false">"1, 1, 1, False, 2, False, False, , 0, False, False, 1, 2"</definedName>
    <definedName function="false" hidden="false" name="cb_sChartD78D365_opts" vbProcedure="false">"1, 1, 1, False, 2, False, False, , 0, False, False, 1, 2"</definedName>
    <definedName function="false" hidden="false" name="cb_sChartD78D5B3_opts" vbProcedure="false">"1, 1, 1, False, 2, False, False, , 0, False, False, 1, 2"</definedName>
    <definedName function="false" hidden="false" name="cb_sChartD78D655_opts" vbProcedure="false">"1, 1, 1, False, 2, True, False, , 0, False, False, 1, 2"</definedName>
    <definedName function="false" hidden="false" name="cb_sChartD78DFD4_opts" vbProcedure="false">"2, 1, 1, True, 2, False, False, , 0, False, False, 1, 2"</definedName>
    <definedName function="false" hidden="false" name="cb_sChartD78E27F_opts" vbProcedure="false">"2, 1, 1, True, 2, False, False, , 0, False, False, 1, 2"</definedName>
    <definedName function="false" hidden="false" name="cb_sChartD78E924_opts" vbProcedure="false">"2, 1, 1, True, 3, False, False, , 0, False, False, 1, 2"</definedName>
    <definedName function="false" hidden="false" name="cb_sChartD7A9852_opts" vbProcedure="false">"2, 1, 1, True, 3, False, False, , 0, False, False, 1, 2"</definedName>
    <definedName function="false" hidden="false" name="cb_sChart_1501_opts" vbProcedure="false">"1, 2, 1, False, 2, False, False, , 0, False, False, 2, 1"</definedName>
    <definedName function="false" hidden="false" name="cb_sChart_26476_opts" vbProcedure="false">"1, 4, 1, False, 2, True, False, , 0, False, False, 1, 2"</definedName>
    <definedName function="false" hidden="false" name="cb_sChart_28031_opts" vbProcedure="false">"1, 4, 1, False, 2, True, False, , 0, False, False, 1, 1"</definedName>
    <definedName function="false" hidden="false" name="cb_sChart_29053_opts" vbProcedure="false">"1, 2, 1, False, 2, False, False, , 0, False, False, 2, 1"</definedName>
    <definedName function="false" hidden="false" name="cb_sChart_29913_opts" vbProcedure="false">"1, 3, 1, False, 2, False, False, , 0, False, True, 2, 2"</definedName>
    <definedName function="false" hidden="false" name="cb_sChart_30292_opts" vbProcedure="false">"1, 2, 1, False, 2, False, False, , 0, False, False, 2, 1"</definedName>
    <definedName function="false" hidden="false" name="cb_sChart_36498_opts" vbProcedure="false">"1, 3, 1, False, 2, False, False, , 0, False, False, 1, 2"</definedName>
    <definedName function="false" hidden="false" name="cb_sChart_37450_opts" vbProcedure="false">"1, 1, 1, False, 2, True, False, , 0, False, False, 1, 2"</definedName>
    <definedName function="false" hidden="false" name="cb_sChart_41499_opts" vbProcedure="false">"1, 2, 1, False, 2, False, False, , 0, False, False, 2, 1"</definedName>
    <definedName function="false" hidden="false" name="cb_sChart_4634_opts" vbProcedure="false">"1, 2, 1, False, 2, False, False, , 0, False, False, 2, 1"</definedName>
    <definedName function="false" hidden="false" name="cb_sChart_46965_opts" vbProcedure="false">"1, 1, 1, False, 2, False, False, , 0, False, False, 1, 1"</definedName>
    <definedName function="false" hidden="false" name="cb_sChart_52582_opts" vbProcedure="false">"1, 5, 1, False, 2, False, False, , 0, False, True, 1, 2"</definedName>
    <definedName function="false" hidden="false" name="cb_sChart_53437_opts" vbProcedure="false">"1, 1, 1, False, 2, True, False, , 0, False, False, 1, 2"</definedName>
    <definedName function="false" hidden="false" name="cb_sChart_5449_opts" vbProcedure="false">"1, 3, 1, False, 2, False, False, , 0, False, True, 2, 2"</definedName>
    <definedName function="false" hidden="false" name="cb_sChart_5723_opts" vbProcedure="false">"1, 1, 1, False, 2, True, False, , 0, False, False, 2, 1"</definedName>
    <definedName function="false" hidden="false" name="cb_sChart_58046_opts" vbProcedure="false">"1, 1, 1, False, 2, True, False, , 0, False, False, 1, 2"</definedName>
    <definedName function="false" hidden="false" name="cb_sChart_59010_opts" vbProcedure="false">"1, 5, 1, False, 2, True, False, , 0, False, False, 2, 1"</definedName>
    <definedName function="false" hidden="false" name="cb_sChart_59340_opts" vbProcedure="false">"1, 3, 1, False, 2, False, False, , 0, False, True, 2, 2"</definedName>
    <definedName function="false" hidden="false" name="cb_sChart_62364_opts" vbProcedure="false">"1, 3, 1, False, 2, False, False, , 0, False, True, 2, 2"</definedName>
    <definedName function="false" hidden="false" name="cb_sChart_64876_opts" vbProcedure="false">"1, 5, 1, False, 2, True, False, , 0, False, False, 2, 2"</definedName>
    <definedName function="false" hidden="false" name="cb_sChart_70648_opts" vbProcedure="false">"1, 1, 1, False, 2, False, False, , 0, False, False, 1, 1"</definedName>
    <definedName function="false" hidden="false" name="cb_sChart_70997_opts" vbProcedure="false">"1, 2, 1, False, 2, False, False, , 0, False, False, 2, 1"</definedName>
    <definedName function="false" hidden="false" name="cb_sChart_76165_opts" vbProcedure="false">"1, 2, 1, False, 2, False, False, , 0, False, False, 2, 1"</definedName>
    <definedName function="false" hidden="false" name="cb_sChart_76804_opts" vbProcedure="false">"1, 3, 1, False, 2, False, False, , 0, False, True, 2, 2"</definedName>
    <definedName function="false" hidden="false" name="cb_sChart_77567_opts" vbProcedure="false">"1, 2, 1, False, 2, False, False, , 0, False, False, 2, 1"</definedName>
    <definedName function="false" hidden="false" name="cb_sChart_79140_opts" vbProcedure="false">"1, 1, 1, False, 2, True, False, , 0, False, False, 1, 2"</definedName>
    <definedName function="false" hidden="false" name="cb_sChart_81541_opts" vbProcedure="false">"1, 2, 1, False, 2, False, False, , 0, False, False, 2, 1"</definedName>
    <definedName function="false" hidden="false" name="cb_sChart_82552_opts" vbProcedure="false">"1, 4, 1, False, 2, True, False, , 0, False, False, 2, 1"</definedName>
    <definedName function="false" hidden="false" name="cb_sChart_83072_opts" vbProcedure="false">"1, 4, 1, False, 2, True, False, , 0, False, False, 2, 1"</definedName>
    <definedName function="false" hidden="false" name="cb_sChart_86354_opts" vbProcedure="false">"1, 1, 1, False, 2, True, False, , 0, False, False, 1, 2"</definedName>
    <definedName function="false" hidden="false" name="cb_sChart_87236_opts" vbProcedure="false">"1, 2, 1, False, 2, False, False, , 0, False, False, 2, 1"</definedName>
    <definedName function="false" hidden="false" name="cb_sChart_95047_opts" vbProcedure="false">"1, 3, 1, False, 2, False, False, , 0, False, False, 1, 2"</definedName>
    <definedName function="false" hidden="false" name="cb_sChart_96286_opts" vbProcedure="false">"1, 2, 1, False, 2, False, False, , 0, False, False, 2, 1"</definedName>
    <definedName function="false" hidden="false" name="cb_Size_by_height_and_widthChart_16_opts" vbProcedure="false">"1, 4, 1, False, 2, False, False, , 0, False, False, 1, 1"</definedName>
    <definedName function="false" hidden="false" name="cb_Size_by_height_and_widthChart_7_opts" vbProcedure="false">"1, 4, 1, False, 2, False, False, , 0, False, False, 1, 1"</definedName>
    <definedName function="false" hidden="false" name="cb_Size_by_height_and_widthChart_8_opts" vbProcedure="false">"1, 4, 1, False, 2, False, False, , 0, False, False, 1, 1"</definedName>
    <definedName function="false" hidden="false" name="cc" vbProcedure="false">{#N/A,#N/A,FALSE,"LoanAssumptions"}</definedName>
    <definedName function="false" hidden="false" name="ccc" vbProcedure="false">{#N/A,#N/A,FALSE,"LoanAssumptions"}</definedName>
    <definedName function="false" hidden="false" name="CIGNA12.15"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mparatEU" vbProcedure="false">{#N/A,#N/A,FALSE,"Hip.Bas";#N/A,#N/A,FALSE,"ventas";#N/A,#N/A,FALSE,"ingre-Año";#N/A,#N/A,FALSE,"ventas-Año";#N/A,#N/A,FALSE,"Costepro";#N/A,#N/A,FALSE,"inversion";#N/A,#N/A,FALSE,"personal";#N/A,#N/A,FALSE,"Gastos-V";#N/A,#N/A,FALSE,"Circulante";#N/A,#N/A,FALSE,"CONSOLI";#N/A,#N/A,FALSE,"Es-Fin";#N/A,#N/A,FALSE,"Margen-P"}</definedName>
    <definedName function="false" hidden="false" name="Corporate"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rporate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cost.xl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coun" vbProcedure="false">{#N/A,#N/A,FALSE,"Assessment";#N/A,#N/A,FALSE,"Staffing";#N/A,#N/A,FALSE,"Hires";#N/A,#N/A,FALSE,"Assumptions"}</definedName>
    <definedName function="false" hidden="false" name="COUNTRY" vbProcedure="false">{#N/A,#N/A,FALSE,"Assessment";#N/A,#N/A,FALSE,"Staffing";#N/A,#N/A,FALSE,"Hires";#N/A,#N/A,FALSE,"Assumptions"}</definedName>
    <definedName function="false" hidden="false" name="cpvs"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csdfsa" vbProcedure="false">"c4427"</definedName>
    <definedName function="false" hidden="false" name="cxaa" vbProcedure="false">{#N/A,#N/A,FALSE,"Adj Proj";#N/A,#N/A,FALSE,"Sheet1";#N/A,#N/A,FALSE,"LBO";#N/A,#N/A,FALSE,"LBOMER";#N/A,#N/A,FALSE,"WACC";#N/A,#N/A,FALSE,"DCF";#N/A,#N/A,FALSE,"DCFMER";#N/A,#N/A,FALSE,"Pooling";#N/A,#N/A,FALSE,"income";#N/A,#N/A,FALSE,"Offer"}</definedName>
    <definedName function="false" hidden="false" name="D" vbProcedure="false">{#N/A,#N/A,FALSE,"AD_Purch";#N/A,#N/A,FALSE,"Projections";#N/A,#N/A,FALSE,"DCF";#N/A,#N/A,FALSE,"Mkt Val"}</definedName>
    <definedName function="false" hidden="false" name="dbf"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dd" vbProcedure="false">{#N/A,#N/A,FALSE,"AD_Purch";#N/A,#N/A,FALSE,"Projections";#N/A,#N/A,FALSE,"DCF";#N/A,#N/A,FALSE,"Mkt Val"}</definedName>
    <definedName function="false" hidden="false" name="ddd" vbProcedure="false">{#N/A,#N/A,FALSE,"TS";#N/A,#N/A,FALSE,"Combo";#N/A,#N/A,FALSE,"FAIR";#N/A,#N/A,FALSE,"RBC";#N/A,#N/A,FALSE,"xxxx";#N/A,#N/A,FALSE,"A_D";#N/A,#N/A,FALSE,"WACC";#N/A,#N/A,FALSE,"DCF";#N/A,#N/A,FALSE,"LBO";#N/A,#N/A,FALSE,"AcqMults";#N/A,#N/A,FALSE,"CompMults"}</definedName>
    <definedName function="false" hidden="false" name="dddd" vbProcedure="false">{#N/A,#N/A,FALSE,"AD_Purchase";#N/A,#N/A,FALSE,"Credit";#N/A,#N/A,FALSE,"PF Acquisition";#N/A,#N/A,FALSE,"PF Offering"}</definedName>
    <definedName function="false" hidden="false" name="ddddddddd"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ddsf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ebtService1" vbProcedure="false">{"Outflow 1",#N/A,FALSE,"Outflows-Inflows";"Outflow 2",#N/A,FALSE,"Outflows-Inflows";"Inflow 1",#N/A,FALSE,"Outflows-Inflows";"Inflow 2",#N/A,FALSE,"Outflows-Inflows"}</definedName>
    <definedName function="false" hidden="false" name="dfdfdfd" vbProcedure="false">{#N/A,#N/A,FALSE,"AD_Purchase";#N/A,#N/A,FALSE,"Credit";#N/A,#N/A,FALSE,"PF Acquisition";#N/A,#N/A,FALSE,"PF Offering"}</definedName>
    <definedName function="false" hidden="false" name="dfdfdfldsj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dsf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fg" vbProcedure="false">{#N/A,#N/A,FALSE,"HuscoCombined-Summ";#N/A,#N/A,FALSE,"HuscoCombined-Income";#N/A,#N/A,FALSE,"HuscoCombined-Offering";#N/A,#N/A,FALSE,"Husco-Income";#N/A,#N/A,FALSE,"TargetEngineer";#N/A,#N/A,FALSE,"TargetAcqCalc";#N/A,#N/A,FALSE,"Husco-Acq"}</definedName>
    <definedName function="false" hidden="false" name="dfgdfg"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dfgdfgdfg" vbProcedure="false">{#N/A,#N/A,FALSE,"Assump";#N/A,#N/A,FALSE,"Income";#N/A,#N/A,FALSE,"Balance";#N/A,#N/A,FALSE,"DCF Pump";#N/A,#N/A,FALSE,"Trans Assump";#N/A,#N/A,FALSE,"Combined Income";#N/A,#N/A,FALSE,"Combined Balance"}</definedName>
    <definedName function="false" hidden="false" name="dfssd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ME_Dirty" vbProcedure="false">"False"</definedName>
    <definedName function="false" hidden="false" name="DME_LocalFile" vbProcedure="false">"True"</definedName>
    <definedName function="false" hidden="false" name="DME_ODMALinksCount" vbProcedure="false">"1"</definedName>
    <definedName function="false" hidden="false" name="doh" vbProcedure="false">{#N/A,#N/A,FALSE,"TS";#N/A,#N/A,FALSE,"Combo";#N/A,#N/A,FALSE,"FAIR";#N/A,#N/A,FALSE,"RBC";#N/A,#N/A,FALSE,"xxxx";#N/A,#N/A,FALSE,"A_D";#N/A,#N/A,FALSE,"WACC";#N/A,#N/A,FALSE,"DCF";#N/A,#N/A,FALSE,"LBO";#N/A,#N/A,FALSE,"AcqMults";#N/A,#N/A,FALSE,"CompMults"}</definedName>
    <definedName function="false" hidden="false" name="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s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vf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dwcwc" vbProcedure="false">{#N/A,#N/A,FALSE,"Assump";#N/A,#N/A,FALSE,"Income";#N/A,#N/A,FALSE,"Balance";#N/A,#N/A,FALSE,"DCF Pump";#N/A,#N/A,FALSE,"Trans Assump";#N/A,#N/A,FALSE,"Combined Income";#N/A,#N/A,FALSE,"Combined Balance"}</definedName>
    <definedName function="false" hidden="false" name="e" vbProcedure="false">{"MonthlyRentRoll",#N/A,FALSE,"RentRoll"}</definedName>
    <definedName function="false" hidden="false" name="e5yy25y" vbProcedure="false">{#N/A,#N/A,FALSE,"Projections";#N/A,#N/A,FALSE,"Contribution_Stock";#N/A,#N/A,FALSE,"PF_Combo_Stock";#N/A,#N/A,FALSE,"Projections";#N/A,#N/A,FALSE,"Contribution_Cash";#N/A,#N/A,FALSE,"PF_Combo_Cash";#N/A,#N/A,FALSE,"IPO_Cash"}</definedName>
    <definedName function="false" hidden="false" name="eds"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ee" vbProcedure="false">{#N/A,#N/A,FALSE,"OperatingAssumptions"}</definedName>
    <definedName function="false" hidden="false" name="eee" vbProcedure="false">{#N/A,#N/A,FALSE,"OperatingAssumptions"}</definedName>
    <definedName function="false" hidden="false" name="ert" vbProcedure="false">{#N/A,#N/A,FALSE,"Projections";#N/A,#N/A,FALSE,"Acq Mult";#N/A,#N/A,FALSE,"TWER Mult";#N/A,#N/A,FALSE,"DCF EBITDA";#N/A,#N/A,FALSE,"DCF EBIT";#N/A,#N/A,FALSE,"Debt Accr";#N/A,#N/A,FALSE,"Stock Accr";#N/A,#N/A,FALSE,"Debt Stock Accr";#N/A,#N/A,FALSE,"Accr Dil Sensi"}</definedName>
    <definedName function="false" hidden="false" name="erwer"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etr" vbProcedure="false">{#N/A,#N/A,FALSE,"FACTSHEETS";#N/A,#N/A,FALSE,"pump";#N/A,#N/A,FALSE,"filter"}</definedName>
    <definedName function="false" hidden="false" name="ev.Calculation" vbProcedure="false">-4105</definedName>
    <definedName function="false" hidden="false" name="ev.Initialized" vbProcedure="false">FALSE()</definedName>
    <definedName function="false" hidden="false" name="EV__EVCOM_OPTIONS__" vbProcedure="false">8</definedName>
    <definedName function="false" hidden="false" name="EV__EXPOPTIONS__" vbProcedure="false">0</definedName>
    <definedName function="false" hidden="false" name="EV__LASTREFTIME__" vbProcedure="false">40931.7958912037</definedName>
    <definedName function="false" hidden="false" name="EV__MAXEXPCOLS__" vbProcedure="false">100</definedName>
    <definedName function="false" hidden="false" name="EV__MAXEXPROWS__" vbProcedure="false">1000</definedName>
    <definedName function="false" hidden="false" name="EV__MEMORYCVW__" vbProcedure="false">0</definedName>
    <definedName function="false" hidden="false" name="EV__WBEVMODE__" vbProcedure="false">0</definedName>
    <definedName function="false" hidden="false" name="EV__WBREFOPTIONS__" vbProcedure="false">134217783</definedName>
    <definedName function="false" hidden="false" name="EV__WBVERSION__" vbProcedure="false">0</definedName>
    <definedName function="false" hidden="false" name="EV__WSINFO__" vbProcedure="false">"gjdr09"</definedName>
    <definedName function="false" hidden="false" name="ewrew" vbProcedure="false">{#N/A,#N/A,FALSE,"Projections";#N/A,#N/A,FALSE,"Multiples Valuation";#N/A,#N/A,FALSE,"LBO";#N/A,#N/A,FALSE,"Multiples_Sensitivity";#N/A,#N/A,FALSE,"Summary"}</definedName>
    <definedName function="false" hidden="false" name="f"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fd"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FDD_0_0" vbProcedure="false">"A30681"</definedName>
    <definedName function="false" hidden="false" name="FDD_0_1" vbProcedure="false">"A31047"</definedName>
    <definedName function="false" hidden="false" name="FDD_0_10" vbProcedure="false">"A34334"</definedName>
    <definedName function="false" hidden="false" name="FDD_0_11" vbProcedure="false">"A34699"</definedName>
    <definedName function="false" hidden="false" name="FDD_0_12" vbProcedure="false">"A35064"</definedName>
    <definedName function="false" hidden="false" name="FDD_0_13" vbProcedure="false">"A35430"</definedName>
    <definedName function="false" hidden="false" name="FDD_0_14" vbProcedure="false">"A35795"</definedName>
    <definedName function="false" hidden="false" name="FDD_0_2" vbProcedure="false">"A31412"</definedName>
    <definedName function="false" hidden="false" name="FDD_0_3" vbProcedure="false">"A31777"</definedName>
    <definedName function="false" hidden="false" name="FDD_0_4" vbProcedure="false">"A32142"</definedName>
    <definedName function="false" hidden="false" name="FDD_0_5" vbProcedure="false">"A32508"</definedName>
    <definedName function="false" hidden="false" name="FDD_0_6" vbProcedure="false">"A32873"</definedName>
    <definedName function="false" hidden="false" name="FDD_0_7" vbProcedure="false">"A33238"</definedName>
    <definedName function="false" hidden="false" name="FDD_0_8" vbProcedure="false">"A33603"</definedName>
    <definedName function="false" hidden="false" name="FDD_0_9" vbProcedure="false">"A33969"</definedName>
    <definedName function="false" hidden="false" name="FDD_100_0" vbProcedure="false">"A25569"</definedName>
    <definedName function="false" hidden="false" name="FDD_101_0" vbProcedure="false">"A25569"</definedName>
    <definedName function="false" hidden="false" name="FDD_102_0" vbProcedure="false">"A25569"</definedName>
    <definedName function="false" hidden="false" name="FDD_103_0" vbProcedure="false">"A25569"</definedName>
    <definedName function="false" hidden="false" name="FDD_104_0" vbProcedure="false">"A25569"</definedName>
    <definedName function="false" hidden="false" name="FDD_105_0" vbProcedure="false">"A25569"</definedName>
    <definedName function="false" hidden="false" name="FDD_106_0" vbProcedure="false">"A25569"</definedName>
    <definedName function="false" hidden="false" name="FDD_107_0" vbProcedure="false">"A25569"</definedName>
    <definedName function="false" hidden="false" name="FDD_108_0" vbProcedure="false">"A25569"</definedName>
    <definedName function="false" hidden="false" name="FDD_109_0" vbProcedure="false">"A25569"</definedName>
    <definedName function="false" hidden="false" name="FDD_10_0" vbProcedure="false">"A25569"</definedName>
    <definedName function="false" hidden="false" name="FDD_110_0" vbProcedure="false">"A25569"</definedName>
    <definedName function="false" hidden="false" name="FDD_111_0" vbProcedure="false">"A25569"</definedName>
    <definedName function="false" hidden="false" name="FDD_112_0" vbProcedure="false">"A25569"</definedName>
    <definedName function="false" hidden="false" name="FDD_113_0" vbProcedure="false">"A25569"</definedName>
    <definedName function="false" hidden="false" name="FDD_114_0" vbProcedure="false">"A25569"</definedName>
    <definedName function="false" hidden="false" name="FDD_115_0" vbProcedure="false">"A25569"</definedName>
    <definedName function="false" hidden="false" name="FDD_116_0" vbProcedure="false">"A25569"</definedName>
    <definedName function="false" hidden="false" name="FDD_117_0" vbProcedure="false">"A30681"</definedName>
    <definedName function="false" hidden="false" name="FDD_117_1" vbProcedure="false">"A31047"</definedName>
    <definedName function="false" hidden="false" name="FDD_117_10" vbProcedure="false">"A34334"</definedName>
    <definedName function="false" hidden="false" name="FDD_117_11" vbProcedure="false">"A34699"</definedName>
    <definedName function="false" hidden="false" name="FDD_117_12" vbProcedure="false">"A35064"</definedName>
    <definedName function="false" hidden="false" name="FDD_117_13" vbProcedure="false">"A35430"</definedName>
    <definedName function="false" hidden="false" name="FDD_117_14" vbProcedure="false">"A35795"</definedName>
    <definedName function="false" hidden="false" name="FDD_117_2" vbProcedure="false">"A31412"</definedName>
    <definedName function="false" hidden="false" name="FDD_117_3" vbProcedure="false">"A31777"</definedName>
    <definedName function="false" hidden="false" name="FDD_117_4" vbProcedure="false">"A32142"</definedName>
    <definedName function="false" hidden="false" name="FDD_117_5" vbProcedure="false">"A32508"</definedName>
    <definedName function="false" hidden="false" name="FDD_117_6" vbProcedure="false">"A32873"</definedName>
    <definedName function="false" hidden="false" name="FDD_117_7" vbProcedure="false">"A33238"</definedName>
    <definedName function="false" hidden="false" name="FDD_117_8" vbProcedure="false">"A33603"</definedName>
    <definedName function="false" hidden="false" name="FDD_117_9" vbProcedure="false">"A33969"</definedName>
    <definedName function="false" hidden="false" name="FDD_118_0" vbProcedure="false">"A30681"</definedName>
    <definedName function="false" hidden="false" name="FDD_118_1" vbProcedure="false">"A31047"</definedName>
    <definedName function="false" hidden="false" name="FDD_118_10" vbProcedure="false">"A34334"</definedName>
    <definedName function="false" hidden="false" name="FDD_118_11" vbProcedure="false">"A34699"</definedName>
    <definedName function="false" hidden="false" name="FDD_118_12" vbProcedure="false">"A35064"</definedName>
    <definedName function="false" hidden="false" name="FDD_118_13" vbProcedure="false">"A35430"</definedName>
    <definedName function="false" hidden="false" name="FDD_118_14" vbProcedure="false">"A35795"</definedName>
    <definedName function="false" hidden="false" name="FDD_118_2" vbProcedure="false">"A31412"</definedName>
    <definedName function="false" hidden="false" name="FDD_118_3" vbProcedure="false">"A31777"</definedName>
    <definedName function="false" hidden="false" name="FDD_118_4" vbProcedure="false">"A32142"</definedName>
    <definedName function="false" hidden="false" name="FDD_118_5" vbProcedure="false">"A32508"</definedName>
    <definedName function="false" hidden="false" name="FDD_118_6" vbProcedure="false">"A32873"</definedName>
    <definedName function="false" hidden="false" name="FDD_118_7" vbProcedure="false">"A33238"</definedName>
    <definedName function="false" hidden="false" name="FDD_118_8" vbProcedure="false">"A33603"</definedName>
    <definedName function="false" hidden="false" name="FDD_118_9" vbProcedure="false">"A33969"</definedName>
    <definedName function="false" hidden="false" name="FDD_119_0" vbProcedure="false">"A30681"</definedName>
    <definedName function="false" hidden="false" name="FDD_119_1" vbProcedure="false">"A31047"</definedName>
    <definedName function="false" hidden="false" name="FDD_119_10" vbProcedure="false">"A34334"</definedName>
    <definedName function="false" hidden="false" name="FDD_119_11" vbProcedure="false">"A34699"</definedName>
    <definedName function="false" hidden="false" name="FDD_119_12" vbProcedure="false">"A35064"</definedName>
    <definedName function="false" hidden="false" name="FDD_119_13" vbProcedure="false">"A35430"</definedName>
    <definedName function="false" hidden="false" name="FDD_119_14" vbProcedure="false">"A35795"</definedName>
    <definedName function="false" hidden="false" name="FDD_119_2" vbProcedure="false">"A31412"</definedName>
    <definedName function="false" hidden="false" name="FDD_119_3" vbProcedure="false">"A31777"</definedName>
    <definedName function="false" hidden="false" name="FDD_119_4" vbProcedure="false">"A32142"</definedName>
    <definedName function="false" hidden="false" name="FDD_119_5" vbProcedure="false">"A32508"</definedName>
    <definedName function="false" hidden="false" name="FDD_119_6" vbProcedure="false">"A32873"</definedName>
    <definedName function="false" hidden="false" name="FDD_119_7" vbProcedure="false">"A33238"</definedName>
    <definedName function="false" hidden="false" name="FDD_119_8" vbProcedure="false">"A33603"</definedName>
    <definedName function="false" hidden="false" name="FDD_119_9" vbProcedure="false">"A33969"</definedName>
    <definedName function="false" hidden="false" name="FDD_11_0" vbProcedure="false">"A25569"</definedName>
    <definedName function="false" hidden="false" name="FDD_120_0" vbProcedure="false">"A30681"</definedName>
    <definedName function="false" hidden="false" name="FDD_120_1" vbProcedure="false">"A31047"</definedName>
    <definedName function="false" hidden="false" name="FDD_120_10" vbProcedure="false">"A34334"</definedName>
    <definedName function="false" hidden="false" name="FDD_120_11" vbProcedure="false">"A34699"</definedName>
    <definedName function="false" hidden="false" name="FDD_120_12" vbProcedure="false">"A35064"</definedName>
    <definedName function="false" hidden="false" name="FDD_120_13" vbProcedure="false">"A35430"</definedName>
    <definedName function="false" hidden="false" name="FDD_120_14" vbProcedure="false">"A35795"</definedName>
    <definedName function="false" hidden="false" name="FDD_120_2" vbProcedure="false">"A31412"</definedName>
    <definedName function="false" hidden="false" name="FDD_120_3" vbProcedure="false">"A31777"</definedName>
    <definedName function="false" hidden="false" name="FDD_120_4" vbProcedure="false">"A32142"</definedName>
    <definedName function="false" hidden="false" name="FDD_120_5" vbProcedure="false">"A32508"</definedName>
    <definedName function="false" hidden="false" name="FDD_120_6" vbProcedure="false">"A32873"</definedName>
    <definedName function="false" hidden="false" name="FDD_120_7" vbProcedure="false">"A33238"</definedName>
    <definedName function="false" hidden="false" name="FDD_120_8" vbProcedure="false">"A33603"</definedName>
    <definedName function="false" hidden="false" name="FDD_120_9" vbProcedure="false">"A33969"</definedName>
    <definedName function="false" hidden="false" name="FDD_121_0" vbProcedure="false">"A30681"</definedName>
    <definedName function="false" hidden="false" name="FDD_121_1" vbProcedure="false">"A31047"</definedName>
    <definedName function="false" hidden="false" name="FDD_121_10" vbProcedure="false">"A34334"</definedName>
    <definedName function="false" hidden="false" name="FDD_121_11" vbProcedure="false">"A34699"</definedName>
    <definedName function="false" hidden="false" name="FDD_121_12" vbProcedure="false">"A35064"</definedName>
    <definedName function="false" hidden="false" name="FDD_121_13" vbProcedure="false">"A35430"</definedName>
    <definedName function="false" hidden="false" name="FDD_121_14" vbProcedure="false">"A35795"</definedName>
    <definedName function="false" hidden="false" name="FDD_121_2" vbProcedure="false">"A31412"</definedName>
    <definedName function="false" hidden="false" name="FDD_121_3" vbProcedure="false">"A31777"</definedName>
    <definedName function="false" hidden="false" name="FDD_121_4" vbProcedure="false">"A32142"</definedName>
    <definedName function="false" hidden="false" name="FDD_121_5" vbProcedure="false">"A32508"</definedName>
    <definedName function="false" hidden="false" name="FDD_121_6" vbProcedure="false">"A32873"</definedName>
    <definedName function="false" hidden="false" name="FDD_121_7" vbProcedure="false">"A33238"</definedName>
    <definedName function="false" hidden="false" name="FDD_121_8" vbProcedure="false">"A33603"</definedName>
    <definedName function="false" hidden="false" name="FDD_121_9" vbProcedure="false">"A33969"</definedName>
    <definedName function="false" hidden="false" name="FDD_122_0" vbProcedure="false">"A30681"</definedName>
    <definedName function="false" hidden="false" name="FDD_122_1" vbProcedure="false">"A31047"</definedName>
    <definedName function="false" hidden="false" name="FDD_122_10" vbProcedure="false">"A34334"</definedName>
    <definedName function="false" hidden="false" name="FDD_122_11" vbProcedure="false">"A34699"</definedName>
    <definedName function="false" hidden="false" name="FDD_122_12" vbProcedure="false">"A35064"</definedName>
    <definedName function="false" hidden="false" name="FDD_122_13" vbProcedure="false">"A35430"</definedName>
    <definedName function="false" hidden="false" name="FDD_122_14" vbProcedure="false">"A35795"</definedName>
    <definedName function="false" hidden="false" name="FDD_122_2" vbProcedure="false">"A31412"</definedName>
    <definedName function="false" hidden="false" name="FDD_122_3" vbProcedure="false">"A31777"</definedName>
    <definedName function="false" hidden="false" name="FDD_122_4" vbProcedure="false">"A32142"</definedName>
    <definedName function="false" hidden="false" name="FDD_122_5" vbProcedure="false">"A32508"</definedName>
    <definedName function="false" hidden="false" name="FDD_122_6" vbProcedure="false">"A32873"</definedName>
    <definedName function="false" hidden="false" name="FDD_122_7" vbProcedure="false">"A33238"</definedName>
    <definedName function="false" hidden="false" name="FDD_122_8" vbProcedure="false">"A33603"</definedName>
    <definedName function="false" hidden="false" name="FDD_122_9" vbProcedure="false">"A33969"</definedName>
    <definedName function="false" hidden="false" name="FDD_123_0" vbProcedure="false">"A30681"</definedName>
    <definedName function="false" hidden="false" name="FDD_123_1" vbProcedure="false">"A31047"</definedName>
    <definedName function="false" hidden="false" name="FDD_123_10" vbProcedure="false">"A34334"</definedName>
    <definedName function="false" hidden="false" name="FDD_123_11" vbProcedure="false">"A34699"</definedName>
    <definedName function="false" hidden="false" name="FDD_123_12" vbProcedure="false">"A35064"</definedName>
    <definedName function="false" hidden="false" name="FDD_123_13" vbProcedure="false">"A35430"</definedName>
    <definedName function="false" hidden="false" name="FDD_123_14" vbProcedure="false">"A35795"</definedName>
    <definedName function="false" hidden="false" name="FDD_123_2" vbProcedure="false">"A31412"</definedName>
    <definedName function="false" hidden="false" name="FDD_123_3" vbProcedure="false">"A31777"</definedName>
    <definedName function="false" hidden="false" name="FDD_123_4" vbProcedure="false">"A32142"</definedName>
    <definedName function="false" hidden="false" name="FDD_123_5" vbProcedure="false">"A32508"</definedName>
    <definedName function="false" hidden="false" name="FDD_123_6" vbProcedure="false">"A32873"</definedName>
    <definedName function="false" hidden="false" name="FDD_123_7" vbProcedure="false">"A33238"</definedName>
    <definedName function="false" hidden="false" name="FDD_123_8" vbProcedure="false">"A33603"</definedName>
    <definedName function="false" hidden="false" name="FDD_123_9" vbProcedure="false">"A33969"</definedName>
    <definedName function="false" hidden="false" name="FDD_124_0" vbProcedure="false">"A30681"</definedName>
    <definedName function="false" hidden="false" name="FDD_124_1" vbProcedure="false">"A31047"</definedName>
    <definedName function="false" hidden="false" name="FDD_124_10" vbProcedure="false">"A34334"</definedName>
    <definedName function="false" hidden="false" name="FDD_124_11" vbProcedure="false">"A34699"</definedName>
    <definedName function="false" hidden="false" name="FDD_124_12" vbProcedure="false">"A35064"</definedName>
    <definedName function="false" hidden="false" name="FDD_124_13" vbProcedure="false">"A35430"</definedName>
    <definedName function="false" hidden="false" name="FDD_124_14" vbProcedure="false">"A35795"</definedName>
    <definedName function="false" hidden="false" name="FDD_124_2" vbProcedure="false">"A31412"</definedName>
    <definedName function="false" hidden="false" name="FDD_124_3" vbProcedure="false">"A31777"</definedName>
    <definedName function="false" hidden="false" name="FDD_124_4" vbProcedure="false">"A32142"</definedName>
    <definedName function="false" hidden="false" name="FDD_124_5" vbProcedure="false">"A32508"</definedName>
    <definedName function="false" hidden="false" name="FDD_124_6" vbProcedure="false">"A32873"</definedName>
    <definedName function="false" hidden="false" name="FDD_124_7" vbProcedure="false">"A33238"</definedName>
    <definedName function="false" hidden="false" name="FDD_124_8" vbProcedure="false">"A33603"</definedName>
    <definedName function="false" hidden="false" name="FDD_124_9" vbProcedure="false">"A33969"</definedName>
    <definedName function="false" hidden="false" name="FDD_125_0" vbProcedure="false">"A30681"</definedName>
    <definedName function="false" hidden="false" name="FDD_125_1" vbProcedure="false">"A31047"</definedName>
    <definedName function="false" hidden="false" name="FDD_125_10" vbProcedure="false">"A34334"</definedName>
    <definedName function="false" hidden="false" name="FDD_125_11" vbProcedure="false">"A34699"</definedName>
    <definedName function="false" hidden="false" name="FDD_125_12" vbProcedure="false">"A35064"</definedName>
    <definedName function="false" hidden="false" name="FDD_125_13" vbProcedure="false">"A35430"</definedName>
    <definedName function="false" hidden="false" name="FDD_125_14" vbProcedure="false">"A35795"</definedName>
    <definedName function="false" hidden="false" name="FDD_125_2" vbProcedure="false">"A31412"</definedName>
    <definedName function="false" hidden="false" name="FDD_125_3" vbProcedure="false">"A31777"</definedName>
    <definedName function="false" hidden="false" name="FDD_125_4" vbProcedure="false">"A32142"</definedName>
    <definedName function="false" hidden="false" name="FDD_125_5" vbProcedure="false">"A32508"</definedName>
    <definedName function="false" hidden="false" name="FDD_125_6" vbProcedure="false">"A32873"</definedName>
    <definedName function="false" hidden="false" name="FDD_125_7" vbProcedure="false">"A33238"</definedName>
    <definedName function="false" hidden="false" name="FDD_125_8" vbProcedure="false">"A33603"</definedName>
    <definedName function="false" hidden="false" name="FDD_125_9" vbProcedure="false">"A33969"</definedName>
    <definedName function="false" hidden="false" name="FDD_126_0" vbProcedure="false">"A30681"</definedName>
    <definedName function="false" hidden="false" name="FDD_126_1" vbProcedure="false">"A31047"</definedName>
    <definedName function="false" hidden="false" name="FDD_126_10" vbProcedure="false">"A34334"</definedName>
    <definedName function="false" hidden="false" name="FDD_126_11" vbProcedure="false">"A34699"</definedName>
    <definedName function="false" hidden="false" name="FDD_126_12" vbProcedure="false">"A35064"</definedName>
    <definedName function="false" hidden="false" name="FDD_126_13" vbProcedure="false">"A35430"</definedName>
    <definedName function="false" hidden="false" name="FDD_126_14" vbProcedure="false">"A35795"</definedName>
    <definedName function="false" hidden="false" name="FDD_126_2" vbProcedure="false">"A31412"</definedName>
    <definedName function="false" hidden="false" name="FDD_126_3" vbProcedure="false">"A31777"</definedName>
    <definedName function="false" hidden="false" name="FDD_126_4" vbProcedure="false">"A32142"</definedName>
    <definedName function="false" hidden="false" name="FDD_126_5" vbProcedure="false">"A32508"</definedName>
    <definedName function="false" hidden="false" name="FDD_126_6" vbProcedure="false">"A32873"</definedName>
    <definedName function="false" hidden="false" name="FDD_126_7" vbProcedure="false">"A33238"</definedName>
    <definedName function="false" hidden="false" name="FDD_126_8" vbProcedure="false">"A33603"</definedName>
    <definedName function="false" hidden="false" name="FDD_126_9" vbProcedure="false">"A33969"</definedName>
    <definedName function="false" hidden="false" name="FDD_127_0" vbProcedure="false">"A30681"</definedName>
    <definedName function="false" hidden="false" name="FDD_127_1" vbProcedure="false">"A31047"</definedName>
    <definedName function="false" hidden="false" name="FDD_127_10" vbProcedure="false">"A34334"</definedName>
    <definedName function="false" hidden="false" name="FDD_127_11" vbProcedure="false">"A34699"</definedName>
    <definedName function="false" hidden="false" name="FDD_127_12" vbProcedure="false">"A35064"</definedName>
    <definedName function="false" hidden="false" name="FDD_127_13" vbProcedure="false">"A35430"</definedName>
    <definedName function="false" hidden="false" name="FDD_127_14" vbProcedure="false">"A35795"</definedName>
    <definedName function="false" hidden="false" name="FDD_127_2" vbProcedure="false">"A31412"</definedName>
    <definedName function="false" hidden="false" name="FDD_127_3" vbProcedure="false">"A31777"</definedName>
    <definedName function="false" hidden="false" name="FDD_127_4" vbProcedure="false">"A32142"</definedName>
    <definedName function="false" hidden="false" name="FDD_127_5" vbProcedure="false">"A32508"</definedName>
    <definedName function="false" hidden="false" name="FDD_127_6" vbProcedure="false">"A32873"</definedName>
    <definedName function="false" hidden="false" name="FDD_127_7" vbProcedure="false">"A33238"</definedName>
    <definedName function="false" hidden="false" name="FDD_127_8" vbProcedure="false">"A33603"</definedName>
    <definedName function="false" hidden="false" name="FDD_127_9" vbProcedure="false">"A33969"</definedName>
    <definedName function="false" hidden="false" name="FDD_128_0" vbProcedure="false">"A30681"</definedName>
    <definedName function="false" hidden="false" name="FDD_128_1" vbProcedure="false">"A31047"</definedName>
    <definedName function="false" hidden="false" name="FDD_128_10" vbProcedure="false">"A34334"</definedName>
    <definedName function="false" hidden="false" name="FDD_128_11" vbProcedure="false">"A34699"</definedName>
    <definedName function="false" hidden="false" name="FDD_128_12" vbProcedure="false">"A35064"</definedName>
    <definedName function="false" hidden="false" name="FDD_128_13" vbProcedure="false">"A35430"</definedName>
    <definedName function="false" hidden="false" name="FDD_128_14" vbProcedure="false">"A35795"</definedName>
    <definedName function="false" hidden="false" name="FDD_128_2" vbProcedure="false">"A31412"</definedName>
    <definedName function="false" hidden="false" name="FDD_128_3" vbProcedure="false">"A31777"</definedName>
    <definedName function="false" hidden="false" name="FDD_128_4" vbProcedure="false">"A32142"</definedName>
    <definedName function="false" hidden="false" name="FDD_128_5" vbProcedure="false">"A32508"</definedName>
    <definedName function="false" hidden="false" name="FDD_128_6" vbProcedure="false">"A32873"</definedName>
    <definedName function="false" hidden="false" name="FDD_128_7" vbProcedure="false">"A33238"</definedName>
    <definedName function="false" hidden="false" name="FDD_128_8" vbProcedure="false">"A33603"</definedName>
    <definedName function="false" hidden="false" name="FDD_128_9" vbProcedure="false">"A33969"</definedName>
    <definedName function="false" hidden="false" name="FDD_129_0" vbProcedure="false">"A30681"</definedName>
    <definedName function="false" hidden="false" name="FDD_129_1" vbProcedure="false">"A31047"</definedName>
    <definedName function="false" hidden="false" name="FDD_129_10" vbProcedure="false">"A34334"</definedName>
    <definedName function="false" hidden="false" name="FDD_129_11" vbProcedure="false">"A34699"</definedName>
    <definedName function="false" hidden="false" name="FDD_129_12" vbProcedure="false">"A35064"</definedName>
    <definedName function="false" hidden="false" name="FDD_129_13" vbProcedure="false">"A35430"</definedName>
    <definedName function="false" hidden="false" name="FDD_129_14" vbProcedure="false">"A35795"</definedName>
    <definedName function="false" hidden="false" name="FDD_129_2" vbProcedure="false">"A31412"</definedName>
    <definedName function="false" hidden="false" name="FDD_129_3" vbProcedure="false">"A31777"</definedName>
    <definedName function="false" hidden="false" name="FDD_129_4" vbProcedure="false">"A32142"</definedName>
    <definedName function="false" hidden="false" name="FDD_129_5" vbProcedure="false">"A32508"</definedName>
    <definedName function="false" hidden="false" name="FDD_129_6" vbProcedure="false">"A32873"</definedName>
    <definedName function="false" hidden="false" name="FDD_129_7" vbProcedure="false">"A33238"</definedName>
    <definedName function="false" hidden="false" name="FDD_129_8" vbProcedure="false">"A33603"</definedName>
    <definedName function="false" hidden="false" name="FDD_129_9" vbProcedure="false">"A33969"</definedName>
    <definedName function="false" hidden="false" name="FDD_12_0" vbProcedure="false">"A25569"</definedName>
    <definedName function="false" hidden="false" name="FDD_130_0" vbProcedure="false">"A30681"</definedName>
    <definedName function="false" hidden="false" name="FDD_130_1" vbProcedure="false">"A31047"</definedName>
    <definedName function="false" hidden="false" name="FDD_130_10" vbProcedure="false">"A34334"</definedName>
    <definedName function="false" hidden="false" name="FDD_130_11" vbProcedure="false">"A34699"</definedName>
    <definedName function="false" hidden="false" name="FDD_130_12" vbProcedure="false">"A35064"</definedName>
    <definedName function="false" hidden="false" name="FDD_130_13" vbProcedure="false">"A35430"</definedName>
    <definedName function="false" hidden="false" name="FDD_130_14" vbProcedure="false">"A35795"</definedName>
    <definedName function="false" hidden="false" name="FDD_130_2" vbProcedure="false">"A31412"</definedName>
    <definedName function="false" hidden="false" name="FDD_130_3" vbProcedure="false">"A31777"</definedName>
    <definedName function="false" hidden="false" name="FDD_130_4" vbProcedure="false">"A32142"</definedName>
    <definedName function="false" hidden="false" name="FDD_130_5" vbProcedure="false">"A32508"</definedName>
    <definedName function="false" hidden="false" name="FDD_130_6" vbProcedure="false">"A32873"</definedName>
    <definedName function="false" hidden="false" name="FDD_130_7" vbProcedure="false">"A33238"</definedName>
    <definedName function="false" hidden="false" name="FDD_130_8" vbProcedure="false">"A33603"</definedName>
    <definedName function="false" hidden="false" name="FDD_130_9" vbProcedure="false">"A33969"</definedName>
    <definedName function="false" hidden="false" name="FDD_131_0" vbProcedure="false">"A30681"</definedName>
    <definedName function="false" hidden="false" name="FDD_131_1" vbProcedure="false">"A31047"</definedName>
    <definedName function="false" hidden="false" name="FDD_131_10" vbProcedure="false">"A34334"</definedName>
    <definedName function="false" hidden="false" name="FDD_131_11" vbProcedure="false">"A34699"</definedName>
    <definedName function="false" hidden="false" name="FDD_131_12" vbProcedure="false">"A35064"</definedName>
    <definedName function="false" hidden="false" name="FDD_131_13" vbProcedure="false">"A35430"</definedName>
    <definedName function="false" hidden="false" name="FDD_131_14" vbProcedure="false">"A35795"</definedName>
    <definedName function="false" hidden="false" name="FDD_131_2" vbProcedure="false">"A31412"</definedName>
    <definedName function="false" hidden="false" name="FDD_131_3" vbProcedure="false">"A31777"</definedName>
    <definedName function="false" hidden="false" name="FDD_131_4" vbProcedure="false">"A32142"</definedName>
    <definedName function="false" hidden="false" name="FDD_131_5" vbProcedure="false">"A32508"</definedName>
    <definedName function="false" hidden="false" name="FDD_131_6" vbProcedure="false">"A32873"</definedName>
    <definedName function="false" hidden="false" name="FDD_131_7" vbProcedure="false">"A33238"</definedName>
    <definedName function="false" hidden="false" name="FDD_131_8" vbProcedure="false">"A33603"</definedName>
    <definedName function="false" hidden="false" name="FDD_131_9" vbProcedure="false">"A33969"</definedName>
    <definedName function="false" hidden="false" name="FDD_132_0" vbProcedure="false">"U30681"</definedName>
    <definedName function="false" hidden="false" name="FDD_132_1" vbProcedure="false">"U31047"</definedName>
    <definedName function="false" hidden="false" name="FDD_132_10" vbProcedure="false">"U34334"</definedName>
    <definedName function="false" hidden="false" name="FDD_132_11" vbProcedure="false">"U34699"</definedName>
    <definedName function="false" hidden="false" name="FDD_132_12" vbProcedure="false">"U35064"</definedName>
    <definedName function="false" hidden="false" name="FDD_132_13" vbProcedure="false">"U35430"</definedName>
    <definedName function="false" hidden="false" name="FDD_132_14" vbProcedure="false">"U35795"</definedName>
    <definedName function="false" hidden="false" name="FDD_132_2" vbProcedure="false">"U31412"</definedName>
    <definedName function="false" hidden="false" name="FDD_132_3" vbProcedure="false">"U31777"</definedName>
    <definedName function="false" hidden="false" name="FDD_132_4" vbProcedure="false">"U32142"</definedName>
    <definedName function="false" hidden="false" name="FDD_132_5" vbProcedure="false">"U32508"</definedName>
    <definedName function="false" hidden="false" name="FDD_132_6" vbProcedure="false">"U32873"</definedName>
    <definedName function="false" hidden="false" name="FDD_132_7" vbProcedure="false">"U33238"</definedName>
    <definedName function="false" hidden="false" name="FDD_132_8" vbProcedure="false">"U33603"</definedName>
    <definedName function="false" hidden="false" name="FDD_132_9" vbProcedure="false">"U33969"</definedName>
    <definedName function="false" hidden="false" name="FDD_133_0" vbProcedure="false">"A30681"</definedName>
    <definedName function="false" hidden="false" name="FDD_133_1" vbProcedure="false">"A31047"</definedName>
    <definedName function="false" hidden="false" name="FDD_133_10" vbProcedure="false">"A34334"</definedName>
    <definedName function="false" hidden="false" name="FDD_133_11" vbProcedure="false">"A34699"</definedName>
    <definedName function="false" hidden="false" name="FDD_133_12" vbProcedure="false">"A35064"</definedName>
    <definedName function="false" hidden="false" name="FDD_133_13" vbProcedure="false">"A35430"</definedName>
    <definedName function="false" hidden="false" name="FDD_133_14" vbProcedure="false">"A35795"</definedName>
    <definedName function="false" hidden="false" name="FDD_133_2" vbProcedure="false">"A31412"</definedName>
    <definedName function="false" hidden="false" name="FDD_133_3" vbProcedure="false">"A31777"</definedName>
    <definedName function="false" hidden="false" name="FDD_133_4" vbProcedure="false">"A32142"</definedName>
    <definedName function="false" hidden="false" name="FDD_133_5" vbProcedure="false">"A32508"</definedName>
    <definedName function="false" hidden="false" name="FDD_133_6" vbProcedure="false">"A32873"</definedName>
    <definedName function="false" hidden="false" name="FDD_133_7" vbProcedure="false">"A33238"</definedName>
    <definedName function="false" hidden="false" name="FDD_133_8" vbProcedure="false">"A33603"</definedName>
    <definedName function="false" hidden="false" name="FDD_133_9" vbProcedure="false">"A33969"</definedName>
    <definedName function="false" hidden="false" name="FDD_134_0" vbProcedure="false">"A30681"</definedName>
    <definedName function="false" hidden="false" name="FDD_134_1" vbProcedure="false">"A31047"</definedName>
    <definedName function="false" hidden="false" name="FDD_134_10" vbProcedure="false">"A34334"</definedName>
    <definedName function="false" hidden="false" name="FDD_134_11" vbProcedure="false">"A34699"</definedName>
    <definedName function="false" hidden="false" name="FDD_134_12" vbProcedure="false">"A35064"</definedName>
    <definedName function="false" hidden="false" name="FDD_134_13" vbProcedure="false">"A35430"</definedName>
    <definedName function="false" hidden="false" name="FDD_134_14" vbProcedure="false">"A35795"</definedName>
    <definedName function="false" hidden="false" name="FDD_134_2" vbProcedure="false">"A31412"</definedName>
    <definedName function="false" hidden="false" name="FDD_134_3" vbProcedure="false">"A31777"</definedName>
    <definedName function="false" hidden="false" name="FDD_134_4" vbProcedure="false">"A32142"</definedName>
    <definedName function="false" hidden="false" name="FDD_134_5" vbProcedure="false">"A32508"</definedName>
    <definedName function="false" hidden="false" name="FDD_134_6" vbProcedure="false">"A32873"</definedName>
    <definedName function="false" hidden="false" name="FDD_134_7" vbProcedure="false">"A33238"</definedName>
    <definedName function="false" hidden="false" name="FDD_134_8" vbProcedure="false">"A33603"</definedName>
    <definedName function="false" hidden="false" name="FDD_134_9" vbProcedure="false">"A33969"</definedName>
    <definedName function="false" hidden="false" name="FDD_135_0" vbProcedure="false">"A30681"</definedName>
    <definedName function="false" hidden="false" name="FDD_135_1" vbProcedure="false">"A31047"</definedName>
    <definedName function="false" hidden="false" name="FDD_135_10" vbProcedure="false">"A34334"</definedName>
    <definedName function="false" hidden="false" name="FDD_135_11" vbProcedure="false">"A34699"</definedName>
    <definedName function="false" hidden="false" name="FDD_135_12" vbProcedure="false">"A35064"</definedName>
    <definedName function="false" hidden="false" name="FDD_135_13" vbProcedure="false">"A35430"</definedName>
    <definedName function="false" hidden="false" name="FDD_135_14" vbProcedure="false">"A35795"</definedName>
    <definedName function="false" hidden="false" name="FDD_135_2" vbProcedure="false">"A31412"</definedName>
    <definedName function="false" hidden="false" name="FDD_135_3" vbProcedure="false">"A31777"</definedName>
    <definedName function="false" hidden="false" name="FDD_135_4" vbProcedure="false">"A32142"</definedName>
    <definedName function="false" hidden="false" name="FDD_135_5" vbProcedure="false">"A32508"</definedName>
    <definedName function="false" hidden="false" name="FDD_135_6" vbProcedure="false">"A32873"</definedName>
    <definedName function="false" hidden="false" name="FDD_135_7" vbProcedure="false">"A33238"</definedName>
    <definedName function="false" hidden="false" name="FDD_135_8" vbProcedure="false">"A33603"</definedName>
    <definedName function="false" hidden="false" name="FDD_135_9" vbProcedure="false">"A33969"</definedName>
    <definedName function="false" hidden="false" name="FDD_136_0" vbProcedure="false">"A30681"</definedName>
    <definedName function="false" hidden="false" name="FDD_136_1" vbProcedure="false">"A31047"</definedName>
    <definedName function="false" hidden="false" name="FDD_136_10" vbProcedure="false">"A34334"</definedName>
    <definedName function="false" hidden="false" name="FDD_136_11" vbProcedure="false">"A34699"</definedName>
    <definedName function="false" hidden="false" name="FDD_136_12" vbProcedure="false">"A35064"</definedName>
    <definedName function="false" hidden="false" name="FDD_136_13" vbProcedure="false">"A35430"</definedName>
    <definedName function="false" hidden="false" name="FDD_136_14" vbProcedure="false">"A35795"</definedName>
    <definedName function="false" hidden="false" name="FDD_136_2" vbProcedure="false">"A31412"</definedName>
    <definedName function="false" hidden="false" name="FDD_136_3" vbProcedure="false">"A31777"</definedName>
    <definedName function="false" hidden="false" name="FDD_136_4" vbProcedure="false">"A32142"</definedName>
    <definedName function="false" hidden="false" name="FDD_136_5" vbProcedure="false">"A32508"</definedName>
    <definedName function="false" hidden="false" name="FDD_136_6" vbProcedure="false">"A32873"</definedName>
    <definedName function="false" hidden="false" name="FDD_136_7" vbProcedure="false">"A33238"</definedName>
    <definedName function="false" hidden="false" name="FDD_136_8" vbProcedure="false">"A33603"</definedName>
    <definedName function="false" hidden="false" name="FDD_136_9" vbProcedure="false">"A33969"</definedName>
    <definedName function="false" hidden="false" name="FDD_137_0" vbProcedure="false">"A30681"</definedName>
    <definedName function="false" hidden="false" name="FDD_137_1" vbProcedure="false">"A31047"</definedName>
    <definedName function="false" hidden="false" name="FDD_137_10" vbProcedure="false">"A34334"</definedName>
    <definedName function="false" hidden="false" name="FDD_137_11" vbProcedure="false">"A34699"</definedName>
    <definedName function="false" hidden="false" name="FDD_137_12" vbProcedure="false">"A35064"</definedName>
    <definedName function="false" hidden="false" name="FDD_137_13" vbProcedure="false">"A35430"</definedName>
    <definedName function="false" hidden="false" name="FDD_137_14" vbProcedure="false">"A35795"</definedName>
    <definedName function="false" hidden="false" name="FDD_137_2" vbProcedure="false">"A31412"</definedName>
    <definedName function="false" hidden="false" name="FDD_137_3" vbProcedure="false">"A31777"</definedName>
    <definedName function="false" hidden="false" name="FDD_137_4" vbProcedure="false">"A32142"</definedName>
    <definedName function="false" hidden="false" name="FDD_137_5" vbProcedure="false">"A32508"</definedName>
    <definedName function="false" hidden="false" name="FDD_137_6" vbProcedure="false">"A32873"</definedName>
    <definedName function="false" hidden="false" name="FDD_137_7" vbProcedure="false">"A33238"</definedName>
    <definedName function="false" hidden="false" name="FDD_137_8" vbProcedure="false">"A33603"</definedName>
    <definedName function="false" hidden="false" name="FDD_137_9" vbProcedure="false">"A33969"</definedName>
    <definedName function="false" hidden="false" name="FDD_138_0" vbProcedure="false">"A30681"</definedName>
    <definedName function="false" hidden="false" name="FDD_138_1" vbProcedure="false">"A31047"</definedName>
    <definedName function="false" hidden="false" name="FDD_138_10" vbProcedure="false">"A34334"</definedName>
    <definedName function="false" hidden="false" name="FDD_138_11" vbProcedure="false">"A34699"</definedName>
    <definedName function="false" hidden="false" name="FDD_138_12" vbProcedure="false">"A35064"</definedName>
    <definedName function="false" hidden="false" name="FDD_138_13" vbProcedure="false">"A35430"</definedName>
    <definedName function="false" hidden="false" name="FDD_138_14" vbProcedure="false">"A35795"</definedName>
    <definedName function="false" hidden="false" name="FDD_138_2" vbProcedure="false">"A31412"</definedName>
    <definedName function="false" hidden="false" name="FDD_138_3" vbProcedure="false">"A31777"</definedName>
    <definedName function="false" hidden="false" name="FDD_138_4" vbProcedure="false">"A32142"</definedName>
    <definedName function="false" hidden="false" name="FDD_138_5" vbProcedure="false">"A32508"</definedName>
    <definedName function="false" hidden="false" name="FDD_138_6" vbProcedure="false">"A32873"</definedName>
    <definedName function="false" hidden="false" name="FDD_138_7" vbProcedure="false">"A33238"</definedName>
    <definedName function="false" hidden="false" name="FDD_138_8" vbProcedure="false">"A33603"</definedName>
    <definedName function="false" hidden="false" name="FDD_138_9" vbProcedure="false">"A33969"</definedName>
    <definedName function="false" hidden="false" name="FDD_139_0" vbProcedure="false">"A30681"</definedName>
    <definedName function="false" hidden="false" name="FDD_139_1" vbProcedure="false">"A31047"</definedName>
    <definedName function="false" hidden="false" name="FDD_139_10" vbProcedure="false">"U34334"</definedName>
    <definedName function="false" hidden="false" name="FDD_139_11" vbProcedure="false">"U34699"</definedName>
    <definedName function="false" hidden="false" name="FDD_139_12" vbProcedure="false">"U35064"</definedName>
    <definedName function="false" hidden="false" name="FDD_139_13" vbProcedure="false">"U35430"</definedName>
    <definedName function="false" hidden="false" name="FDD_139_14" vbProcedure="false">"U35795"</definedName>
    <definedName function="false" hidden="false" name="FDD_139_2" vbProcedure="false">"A31412"</definedName>
    <definedName function="false" hidden="false" name="FDD_139_3" vbProcedure="false">"U31777"</definedName>
    <definedName function="false" hidden="false" name="FDD_139_4" vbProcedure="false">"U32142"</definedName>
    <definedName function="false" hidden="false" name="FDD_139_5" vbProcedure="false">"U32508"</definedName>
    <definedName function="false" hidden="false" name="FDD_139_6" vbProcedure="false">"U32873"</definedName>
    <definedName function="false" hidden="false" name="FDD_139_7" vbProcedure="false">"U33238"</definedName>
    <definedName function="false" hidden="false" name="FDD_139_8" vbProcedure="false">"U33603"</definedName>
    <definedName function="false" hidden="false" name="FDD_139_9" vbProcedure="false">"U33969"</definedName>
    <definedName function="false" hidden="false" name="FDD_13_0" vbProcedure="false">"A25569"</definedName>
    <definedName function="false" hidden="false" name="FDD_140_0" vbProcedure="false">"A25569"</definedName>
    <definedName function="false" hidden="false" name="FDD_141_0" vbProcedure="false">"A30681"</definedName>
    <definedName function="false" hidden="false" name="FDD_141_1" vbProcedure="false">"A31047"</definedName>
    <definedName function="false" hidden="false" name="FDD_141_10" vbProcedure="false">"A34334"</definedName>
    <definedName function="false" hidden="false" name="FDD_141_11" vbProcedure="false">"A34699"</definedName>
    <definedName function="false" hidden="false" name="FDD_141_12" vbProcedure="false">"A35064"</definedName>
    <definedName function="false" hidden="false" name="FDD_141_13" vbProcedure="false">"A35430"</definedName>
    <definedName function="false" hidden="false" name="FDD_141_14" vbProcedure="false">"A35795"</definedName>
    <definedName function="false" hidden="false" name="FDD_141_2" vbProcedure="false">"A31412"</definedName>
    <definedName function="false" hidden="false" name="FDD_141_3" vbProcedure="false">"A31777"</definedName>
    <definedName function="false" hidden="false" name="FDD_141_4" vbProcedure="false">"A32142"</definedName>
    <definedName function="false" hidden="false" name="FDD_141_5" vbProcedure="false">"A32508"</definedName>
    <definedName function="false" hidden="false" name="FDD_141_6" vbProcedure="false">"A32873"</definedName>
    <definedName function="false" hidden="false" name="FDD_141_7" vbProcedure="false">"A33238"</definedName>
    <definedName function="false" hidden="false" name="FDD_141_8" vbProcedure="false">"A33603"</definedName>
    <definedName function="false" hidden="false" name="FDD_141_9" vbProcedure="false">"A33969"</definedName>
    <definedName function="false" hidden="false" name="FDD_142_0" vbProcedure="false">"A30681"</definedName>
    <definedName function="false" hidden="false" name="FDD_142_1" vbProcedure="false">"A31047"</definedName>
    <definedName function="false" hidden="false" name="FDD_142_10" vbProcedure="false">"A34334"</definedName>
    <definedName function="false" hidden="false" name="FDD_142_11" vbProcedure="false">"A34699"</definedName>
    <definedName function="false" hidden="false" name="FDD_142_12" vbProcedure="false">"A35064"</definedName>
    <definedName function="false" hidden="false" name="FDD_142_13" vbProcedure="false">"A35430"</definedName>
    <definedName function="false" hidden="false" name="FDD_142_14" vbProcedure="false">"A35795"</definedName>
    <definedName function="false" hidden="false" name="FDD_142_2" vbProcedure="false">"A31412"</definedName>
    <definedName function="false" hidden="false" name="FDD_142_3" vbProcedure="false">"A31777"</definedName>
    <definedName function="false" hidden="false" name="FDD_142_4" vbProcedure="false">"A32142"</definedName>
    <definedName function="false" hidden="false" name="FDD_142_5" vbProcedure="false">"A32508"</definedName>
    <definedName function="false" hidden="false" name="FDD_142_6" vbProcedure="false">"A32873"</definedName>
    <definedName function="false" hidden="false" name="FDD_142_7" vbProcedure="false">"A33238"</definedName>
    <definedName function="false" hidden="false" name="FDD_142_8" vbProcedure="false">"A33603"</definedName>
    <definedName function="false" hidden="false" name="FDD_142_9" vbProcedure="false">"A33969"</definedName>
    <definedName function="false" hidden="false" name="FDD_143_0" vbProcedure="false">"A30681"</definedName>
    <definedName function="false" hidden="false" name="FDD_143_1" vbProcedure="false">"A31047"</definedName>
    <definedName function="false" hidden="false" name="FDD_143_10" vbProcedure="false">"A34334"</definedName>
    <definedName function="false" hidden="false" name="FDD_143_11" vbProcedure="false">"A34699"</definedName>
    <definedName function="false" hidden="false" name="FDD_143_12" vbProcedure="false">"A35064"</definedName>
    <definedName function="false" hidden="false" name="FDD_143_13" vbProcedure="false">"A35430"</definedName>
    <definedName function="false" hidden="false" name="FDD_143_14" vbProcedure="false">"A35795"</definedName>
    <definedName function="false" hidden="false" name="FDD_143_2" vbProcedure="false">"A31412"</definedName>
    <definedName function="false" hidden="false" name="FDD_143_3" vbProcedure="false">"A31777"</definedName>
    <definedName function="false" hidden="false" name="FDD_143_4" vbProcedure="false">"A32142"</definedName>
    <definedName function="false" hidden="false" name="FDD_143_5" vbProcedure="false">"A32508"</definedName>
    <definedName function="false" hidden="false" name="FDD_143_6" vbProcedure="false">"A32873"</definedName>
    <definedName function="false" hidden="false" name="FDD_143_7" vbProcedure="false">"A33238"</definedName>
    <definedName function="false" hidden="false" name="FDD_143_8" vbProcedure="false">"A33603"</definedName>
    <definedName function="false" hidden="false" name="FDD_143_9" vbProcedure="false">"A33969"</definedName>
    <definedName function="false" hidden="false" name="FDD_144_0" vbProcedure="false">"A30681"</definedName>
    <definedName function="false" hidden="false" name="FDD_144_1" vbProcedure="false">"A31047"</definedName>
    <definedName function="false" hidden="false" name="FDD_144_10" vbProcedure="false">"A34334"</definedName>
    <definedName function="false" hidden="false" name="FDD_144_11" vbProcedure="false">"A34699"</definedName>
    <definedName function="false" hidden="false" name="FDD_144_12" vbProcedure="false">"A35064"</definedName>
    <definedName function="false" hidden="false" name="FDD_144_13" vbProcedure="false">"A35430"</definedName>
    <definedName function="false" hidden="false" name="FDD_144_14" vbProcedure="false">"A35795"</definedName>
    <definedName function="false" hidden="false" name="FDD_144_2" vbProcedure="false">"A31412"</definedName>
    <definedName function="false" hidden="false" name="FDD_144_3" vbProcedure="false">"A31777"</definedName>
    <definedName function="false" hidden="false" name="FDD_144_4" vbProcedure="false">"A32142"</definedName>
    <definedName function="false" hidden="false" name="FDD_144_5" vbProcedure="false">"A32508"</definedName>
    <definedName function="false" hidden="false" name="FDD_144_6" vbProcedure="false">"A32873"</definedName>
    <definedName function="false" hidden="false" name="FDD_144_7" vbProcedure="false">"A33238"</definedName>
    <definedName function="false" hidden="false" name="FDD_144_8" vbProcedure="false">"A33603"</definedName>
    <definedName function="false" hidden="false" name="FDD_144_9" vbProcedure="false">"A33969"</definedName>
    <definedName function="false" hidden="false" name="FDD_145_0" vbProcedure="false">"A30681"</definedName>
    <definedName function="false" hidden="false" name="FDD_145_1" vbProcedure="false">"A31047"</definedName>
    <definedName function="false" hidden="false" name="FDD_145_10" vbProcedure="false">"A34334"</definedName>
    <definedName function="false" hidden="false" name="FDD_145_11" vbProcedure="false">"A34699"</definedName>
    <definedName function="false" hidden="false" name="FDD_145_12" vbProcedure="false">"A35064"</definedName>
    <definedName function="false" hidden="false" name="FDD_145_13" vbProcedure="false">"A35430"</definedName>
    <definedName function="false" hidden="false" name="FDD_145_14" vbProcedure="false">"A35795"</definedName>
    <definedName function="false" hidden="false" name="FDD_145_2" vbProcedure="false">"A31412"</definedName>
    <definedName function="false" hidden="false" name="FDD_145_3" vbProcedure="false">"A31777"</definedName>
    <definedName function="false" hidden="false" name="FDD_145_4" vbProcedure="false">"A32142"</definedName>
    <definedName function="false" hidden="false" name="FDD_145_5" vbProcedure="false">"A32508"</definedName>
    <definedName function="false" hidden="false" name="FDD_145_6" vbProcedure="false">"A32873"</definedName>
    <definedName function="false" hidden="false" name="FDD_145_7" vbProcedure="false">"A33238"</definedName>
    <definedName function="false" hidden="false" name="FDD_145_8" vbProcedure="false">"A33603"</definedName>
    <definedName function="false" hidden="false" name="FDD_145_9" vbProcedure="false">"A33969"</definedName>
    <definedName function="false" hidden="false" name="FDD_146_0" vbProcedure="false">"A30681"</definedName>
    <definedName function="false" hidden="false" name="FDD_146_1" vbProcedure="false">"A31047"</definedName>
    <definedName function="false" hidden="false" name="FDD_146_10" vbProcedure="false">"A34334"</definedName>
    <definedName function="false" hidden="false" name="FDD_146_11" vbProcedure="false">"A34699"</definedName>
    <definedName function="false" hidden="false" name="FDD_146_12" vbProcedure="false">"A35064"</definedName>
    <definedName function="false" hidden="false" name="FDD_146_13" vbProcedure="false">"A35430"</definedName>
    <definedName function="false" hidden="false" name="FDD_146_14" vbProcedure="false">"A35795"</definedName>
    <definedName function="false" hidden="false" name="FDD_146_2" vbProcedure="false">"A31412"</definedName>
    <definedName function="false" hidden="false" name="FDD_146_3" vbProcedure="false">"A31777"</definedName>
    <definedName function="false" hidden="false" name="FDD_146_4" vbProcedure="false">"A32142"</definedName>
    <definedName function="false" hidden="false" name="FDD_146_5" vbProcedure="false">"A32508"</definedName>
    <definedName function="false" hidden="false" name="FDD_146_6" vbProcedure="false">"A32873"</definedName>
    <definedName function="false" hidden="false" name="FDD_146_7" vbProcedure="false">"A33238"</definedName>
    <definedName function="false" hidden="false" name="FDD_146_8" vbProcedure="false">"A33603"</definedName>
    <definedName function="false" hidden="false" name="FDD_146_9" vbProcedure="false">"A33969"</definedName>
    <definedName function="false" hidden="false" name="FDD_147_0" vbProcedure="false">"U30681"</definedName>
    <definedName function="false" hidden="false" name="FDD_147_1" vbProcedure="false">"U31047"</definedName>
    <definedName function="false" hidden="false" name="FDD_147_10" vbProcedure="false">"U34334"</definedName>
    <definedName function="false" hidden="false" name="FDD_147_11" vbProcedure="false">"U34699"</definedName>
    <definedName function="false" hidden="false" name="FDD_147_12" vbProcedure="false">"U35064"</definedName>
    <definedName function="false" hidden="false" name="FDD_147_13" vbProcedure="false">"U35430"</definedName>
    <definedName function="false" hidden="false" name="FDD_147_14" vbProcedure="false">"U35795"</definedName>
    <definedName function="false" hidden="false" name="FDD_147_2" vbProcedure="false">"U31412"</definedName>
    <definedName function="false" hidden="false" name="FDD_147_3" vbProcedure="false">"U31777"</definedName>
    <definedName function="false" hidden="false" name="FDD_147_4" vbProcedure="false">"U32142"</definedName>
    <definedName function="false" hidden="false" name="FDD_147_5" vbProcedure="false">"U32508"</definedName>
    <definedName function="false" hidden="false" name="FDD_147_6" vbProcedure="false">"U32873"</definedName>
    <definedName function="false" hidden="false" name="FDD_147_7" vbProcedure="false">"U33238"</definedName>
    <definedName function="false" hidden="false" name="FDD_147_8" vbProcedure="false">"U33603"</definedName>
    <definedName function="false" hidden="false" name="FDD_147_9" vbProcedure="false">"U33969"</definedName>
    <definedName function="false" hidden="false" name="FDD_148_0" vbProcedure="false">"A30681"</definedName>
    <definedName function="false" hidden="false" name="FDD_148_1" vbProcedure="false">"A31047"</definedName>
    <definedName function="false" hidden="false" name="FDD_148_10" vbProcedure="false">"A34334"</definedName>
    <definedName function="false" hidden="false" name="FDD_148_11" vbProcedure="false">"A34699"</definedName>
    <definedName function="false" hidden="false" name="FDD_148_12" vbProcedure="false">"A35064"</definedName>
    <definedName function="false" hidden="false" name="FDD_148_13" vbProcedure="false">"A35430"</definedName>
    <definedName function="false" hidden="false" name="FDD_148_14" vbProcedure="false">"A35795"</definedName>
    <definedName function="false" hidden="false" name="FDD_148_2" vbProcedure="false">"A31412"</definedName>
    <definedName function="false" hidden="false" name="FDD_148_3" vbProcedure="false">"A31777"</definedName>
    <definedName function="false" hidden="false" name="FDD_148_4" vbProcedure="false">"A32142"</definedName>
    <definedName function="false" hidden="false" name="FDD_148_5" vbProcedure="false">"A32508"</definedName>
    <definedName function="false" hidden="false" name="FDD_148_6" vbProcedure="false">"A32873"</definedName>
    <definedName function="false" hidden="false" name="FDD_148_7" vbProcedure="false">"A33238"</definedName>
    <definedName function="false" hidden="false" name="FDD_148_8" vbProcedure="false">"A33603"</definedName>
    <definedName function="false" hidden="false" name="FDD_148_9" vbProcedure="false">"A33969"</definedName>
    <definedName function="false" hidden="false" name="FDD_149_0" vbProcedure="false">"U30681"</definedName>
    <definedName function="false" hidden="false" name="FDD_149_1" vbProcedure="false">"U31047"</definedName>
    <definedName function="false" hidden="false" name="FDD_149_10" vbProcedure="false">"U34334"</definedName>
    <definedName function="false" hidden="false" name="FDD_149_11" vbProcedure="false">"U34699"</definedName>
    <definedName function="false" hidden="false" name="FDD_149_12" vbProcedure="false">"U35064"</definedName>
    <definedName function="false" hidden="false" name="FDD_149_13" vbProcedure="false">"U35430"</definedName>
    <definedName function="false" hidden="false" name="FDD_149_14" vbProcedure="false">"A35795"</definedName>
    <definedName function="false" hidden="false" name="FDD_149_2" vbProcedure="false">"U31412"</definedName>
    <definedName function="false" hidden="false" name="FDD_149_3" vbProcedure="false">"U31777"</definedName>
    <definedName function="false" hidden="false" name="FDD_149_4" vbProcedure="false">"U32142"</definedName>
    <definedName function="false" hidden="false" name="FDD_149_5" vbProcedure="false">"U32508"</definedName>
    <definedName function="false" hidden="false" name="FDD_149_6" vbProcedure="false">"U32873"</definedName>
    <definedName function="false" hidden="false" name="FDD_149_7" vbProcedure="false">"U33238"</definedName>
    <definedName function="false" hidden="false" name="FDD_149_8" vbProcedure="false">"U33603"</definedName>
    <definedName function="false" hidden="false" name="FDD_149_9" vbProcedure="false">"U33969"</definedName>
    <definedName function="false" hidden="false" name="FDD_14_0" vbProcedure="false">"A25569"</definedName>
    <definedName function="false" hidden="false" name="FDD_151_0" vbProcedure="false">"A30681"</definedName>
    <definedName function="false" hidden="false" name="FDD_151_1" vbProcedure="false">"A31047"</definedName>
    <definedName function="false" hidden="false" name="FDD_151_10" vbProcedure="false">"A34334"</definedName>
    <definedName function="false" hidden="false" name="FDD_151_11" vbProcedure="false">"A34699"</definedName>
    <definedName function="false" hidden="false" name="FDD_151_12" vbProcedure="false">"A35064"</definedName>
    <definedName function="false" hidden="false" name="FDD_151_13" vbProcedure="false">"A35430"</definedName>
    <definedName function="false" hidden="false" name="FDD_151_14" vbProcedure="false">"A35795"</definedName>
    <definedName function="false" hidden="false" name="FDD_151_2" vbProcedure="false">"A31412"</definedName>
    <definedName function="false" hidden="false" name="FDD_151_3" vbProcedure="false">"A31777"</definedName>
    <definedName function="false" hidden="false" name="FDD_151_4" vbProcedure="false">"A32142"</definedName>
    <definedName function="false" hidden="false" name="FDD_151_5" vbProcedure="false">"A32508"</definedName>
    <definedName function="false" hidden="false" name="FDD_151_6" vbProcedure="false">"A32873"</definedName>
    <definedName function="false" hidden="false" name="FDD_151_7" vbProcedure="false">"A33238"</definedName>
    <definedName function="false" hidden="false" name="FDD_151_8" vbProcedure="false">"A33603"</definedName>
    <definedName function="false" hidden="false" name="FDD_151_9" vbProcedure="false">"A33969"</definedName>
    <definedName function="false" hidden="false" name="FDD_152_0" vbProcedure="false">"A30681"</definedName>
    <definedName function="false" hidden="false" name="FDD_152_1" vbProcedure="false">"A31047"</definedName>
    <definedName function="false" hidden="false" name="FDD_152_10" vbProcedure="false">"A34334"</definedName>
    <definedName function="false" hidden="false" name="FDD_152_11" vbProcedure="false">"A34699"</definedName>
    <definedName function="false" hidden="false" name="FDD_152_12" vbProcedure="false">"A35064"</definedName>
    <definedName function="false" hidden="false" name="FDD_152_13" vbProcedure="false">"A35430"</definedName>
    <definedName function="false" hidden="false" name="FDD_152_14" vbProcedure="false">"A35795"</definedName>
    <definedName function="false" hidden="false" name="FDD_152_15" vbProcedure="false">"E36160"</definedName>
    <definedName function="false" hidden="false" name="FDD_152_2" vbProcedure="false">"A31412"</definedName>
    <definedName function="false" hidden="false" name="FDD_152_3" vbProcedure="false">"A31777"</definedName>
    <definedName function="false" hidden="false" name="FDD_152_4" vbProcedure="false">"A32142"</definedName>
    <definedName function="false" hidden="false" name="FDD_152_5" vbProcedure="false">"A32508"</definedName>
    <definedName function="false" hidden="false" name="FDD_152_6" vbProcedure="false">"A32873"</definedName>
    <definedName function="false" hidden="false" name="FDD_152_7" vbProcedure="false">"A33238"</definedName>
    <definedName function="false" hidden="false" name="FDD_152_8" vbProcedure="false">"A33603"</definedName>
    <definedName function="false" hidden="false" name="FDD_152_9" vbProcedure="false">"A33969"</definedName>
    <definedName function="false" hidden="false" name="FDD_153_0" vbProcedure="false">"A30681"</definedName>
    <definedName function="false" hidden="false" name="FDD_153_1" vbProcedure="false">"A31047"</definedName>
    <definedName function="false" hidden="false" name="FDD_153_10" vbProcedure="false">"A34334"</definedName>
    <definedName function="false" hidden="false" name="FDD_153_11" vbProcedure="false">"A34699"</definedName>
    <definedName function="false" hidden="false" name="FDD_153_12" vbProcedure="false">"A35064"</definedName>
    <definedName function="false" hidden="false" name="FDD_153_13" vbProcedure="false">"A35430"</definedName>
    <definedName function="false" hidden="false" name="FDD_153_14" vbProcedure="false">"A35795"</definedName>
    <definedName function="false" hidden="false" name="FDD_153_2" vbProcedure="false">"A31412"</definedName>
    <definedName function="false" hidden="false" name="FDD_153_3" vbProcedure="false">"A31777"</definedName>
    <definedName function="false" hidden="false" name="FDD_153_4" vbProcedure="false">"A32142"</definedName>
    <definedName function="false" hidden="false" name="FDD_153_5" vbProcedure="false">"A32508"</definedName>
    <definedName function="false" hidden="false" name="FDD_153_6" vbProcedure="false">"A32873"</definedName>
    <definedName function="false" hidden="false" name="FDD_153_7" vbProcedure="false">"A33238"</definedName>
    <definedName function="false" hidden="false" name="FDD_153_8" vbProcedure="false">"A33603"</definedName>
    <definedName function="false" hidden="false" name="FDD_153_9" vbProcedure="false">"A33969"</definedName>
    <definedName function="false" hidden="false" name="FDD_154_0" vbProcedure="false">"A30681"</definedName>
    <definedName function="false" hidden="false" name="FDD_154_1" vbProcedure="false">"A31047"</definedName>
    <definedName function="false" hidden="false" name="FDD_154_10" vbProcedure="false">"A34334"</definedName>
    <definedName function="false" hidden="false" name="FDD_154_11" vbProcedure="false">"A34699"</definedName>
    <definedName function="false" hidden="false" name="FDD_154_12" vbProcedure="false">"A35064"</definedName>
    <definedName function="false" hidden="false" name="FDD_154_13" vbProcedure="false">"A35430"</definedName>
    <definedName function="false" hidden="false" name="FDD_154_14" vbProcedure="false">"A35795"</definedName>
    <definedName function="false" hidden="false" name="FDD_154_2" vbProcedure="false">"A31412"</definedName>
    <definedName function="false" hidden="false" name="FDD_154_3" vbProcedure="false">"A31777"</definedName>
    <definedName function="false" hidden="false" name="FDD_154_4" vbProcedure="false">"A32142"</definedName>
    <definedName function="false" hidden="false" name="FDD_154_5" vbProcedure="false">"A32508"</definedName>
    <definedName function="false" hidden="false" name="FDD_154_6" vbProcedure="false">"A32873"</definedName>
    <definedName function="false" hidden="false" name="FDD_154_7" vbProcedure="false">"A33238"</definedName>
    <definedName function="false" hidden="false" name="FDD_154_8" vbProcedure="false">"A33603"</definedName>
    <definedName function="false" hidden="false" name="FDD_154_9" vbProcedure="false">"A33969"</definedName>
    <definedName function="false" hidden="false" name="FDD_155_0" vbProcedure="false">"A25569"</definedName>
    <definedName function="false" hidden="false" name="FDD_156_0" vbProcedure="false">"A30681"</definedName>
    <definedName function="false" hidden="false" name="FDD_156_1" vbProcedure="false">"A31047"</definedName>
    <definedName function="false" hidden="false" name="FDD_156_10" vbProcedure="false">"A34334"</definedName>
    <definedName function="false" hidden="false" name="FDD_156_11" vbProcedure="false">"A34699"</definedName>
    <definedName function="false" hidden="false" name="FDD_156_12" vbProcedure="false">"A35064"</definedName>
    <definedName function="false" hidden="false" name="FDD_156_13" vbProcedure="false">"A35430"</definedName>
    <definedName function="false" hidden="false" name="FDD_156_14" vbProcedure="false">"A35795"</definedName>
    <definedName function="false" hidden="false" name="FDD_156_15" vbProcedure="false">"E36160"</definedName>
    <definedName function="false" hidden="false" name="FDD_156_2" vbProcedure="false">"A31412"</definedName>
    <definedName function="false" hidden="false" name="FDD_156_3" vbProcedure="false">"A31777"</definedName>
    <definedName function="false" hidden="false" name="FDD_156_4" vbProcedure="false">"A32142"</definedName>
    <definedName function="false" hidden="false" name="FDD_156_5" vbProcedure="false">"A32508"</definedName>
    <definedName function="false" hidden="false" name="FDD_156_6" vbProcedure="false">"A32873"</definedName>
    <definedName function="false" hidden="false" name="FDD_156_7" vbProcedure="false">"A33238"</definedName>
    <definedName function="false" hidden="false" name="FDD_156_8" vbProcedure="false">"A33603"</definedName>
    <definedName function="false" hidden="false" name="FDD_156_9" vbProcedure="false">"A33969"</definedName>
    <definedName function="false" hidden="false" name="FDD_157_0" vbProcedure="false">"A30681"</definedName>
    <definedName function="false" hidden="false" name="FDD_157_1" vbProcedure="false">"A31047"</definedName>
    <definedName function="false" hidden="false" name="FDD_157_10" vbProcedure="false">"A34334"</definedName>
    <definedName function="false" hidden="false" name="FDD_157_11" vbProcedure="false">"A34699"</definedName>
    <definedName function="false" hidden="false" name="FDD_157_12" vbProcedure="false">"A35064"</definedName>
    <definedName function="false" hidden="false" name="FDD_157_13" vbProcedure="false">"A35430"</definedName>
    <definedName function="false" hidden="false" name="FDD_157_14" vbProcedure="false">"A35795"</definedName>
    <definedName function="false" hidden="false" name="FDD_157_2" vbProcedure="false">"A31412"</definedName>
    <definedName function="false" hidden="false" name="FDD_157_3" vbProcedure="false">"A31777"</definedName>
    <definedName function="false" hidden="false" name="FDD_157_4" vbProcedure="false">"A32142"</definedName>
    <definedName function="false" hidden="false" name="FDD_157_5" vbProcedure="false">"A32508"</definedName>
    <definedName function="false" hidden="false" name="FDD_157_6" vbProcedure="false">"A32873"</definedName>
    <definedName function="false" hidden="false" name="FDD_157_7" vbProcedure="false">"A33238"</definedName>
    <definedName function="false" hidden="false" name="FDD_157_8" vbProcedure="false">"A33603"</definedName>
    <definedName function="false" hidden="false" name="FDD_157_9" vbProcedure="false">"A33969"</definedName>
    <definedName function="false" hidden="false" name="FDD_158_0" vbProcedure="false">"A30681"</definedName>
    <definedName function="false" hidden="false" name="FDD_158_1" vbProcedure="false">"A31047"</definedName>
    <definedName function="false" hidden="false" name="FDD_158_10" vbProcedure="false">"A34334"</definedName>
    <definedName function="false" hidden="false" name="FDD_158_11" vbProcedure="false">"A34699"</definedName>
    <definedName function="false" hidden="false" name="FDD_158_12" vbProcedure="false">"A35064"</definedName>
    <definedName function="false" hidden="false" name="FDD_158_13" vbProcedure="false">"A35430"</definedName>
    <definedName function="false" hidden="false" name="FDD_158_14" vbProcedure="false">"A35795"</definedName>
    <definedName function="false" hidden="false" name="FDD_158_15" vbProcedure="false">"E36160"</definedName>
    <definedName function="false" hidden="false" name="FDD_158_2" vbProcedure="false">"A31412"</definedName>
    <definedName function="false" hidden="false" name="FDD_158_3" vbProcedure="false">"A31777"</definedName>
    <definedName function="false" hidden="false" name="FDD_158_4" vbProcedure="false">"A32142"</definedName>
    <definedName function="false" hidden="false" name="FDD_158_5" vbProcedure="false">"A32508"</definedName>
    <definedName function="false" hidden="false" name="FDD_158_6" vbProcedure="false">"A32873"</definedName>
    <definedName function="false" hidden="false" name="FDD_158_7" vbProcedure="false">"A33238"</definedName>
    <definedName function="false" hidden="false" name="FDD_158_8" vbProcedure="false">"A33603"</definedName>
    <definedName function="false" hidden="false" name="FDD_158_9" vbProcedure="false">"A33969"</definedName>
    <definedName function="false" hidden="false" name="FDD_159_0" vbProcedure="false">"A30681"</definedName>
    <definedName function="false" hidden="false" name="FDD_159_1" vbProcedure="false">"A31047"</definedName>
    <definedName function="false" hidden="false" name="FDD_159_10" vbProcedure="false">"A34334"</definedName>
    <definedName function="false" hidden="false" name="FDD_159_11" vbProcedure="false">"A34699"</definedName>
    <definedName function="false" hidden="false" name="FDD_159_12" vbProcedure="false">"A35064"</definedName>
    <definedName function="false" hidden="false" name="FDD_159_13" vbProcedure="false">"A35430"</definedName>
    <definedName function="false" hidden="false" name="FDD_159_14" vbProcedure="false">"A35795"</definedName>
    <definedName function="false" hidden="false" name="FDD_159_2" vbProcedure="false">"A31412"</definedName>
    <definedName function="false" hidden="false" name="FDD_159_3" vbProcedure="false">"A31777"</definedName>
    <definedName function="false" hidden="false" name="FDD_159_4" vbProcedure="false">"A32142"</definedName>
    <definedName function="false" hidden="false" name="FDD_159_5" vbProcedure="false">"A32508"</definedName>
    <definedName function="false" hidden="false" name="FDD_159_6" vbProcedure="false">"A32873"</definedName>
    <definedName function="false" hidden="false" name="FDD_159_7" vbProcedure="false">"A33238"</definedName>
    <definedName function="false" hidden="false" name="FDD_159_8" vbProcedure="false">"A33603"</definedName>
    <definedName function="false" hidden="false" name="FDD_159_9" vbProcedure="false">"A33969"</definedName>
    <definedName function="false" hidden="false" name="FDD_15_0" vbProcedure="false">"A25569"</definedName>
    <definedName function="false" hidden="false" name="FDD_160_0" vbProcedure="false">"A30681"</definedName>
    <definedName function="false" hidden="false" name="FDD_160_1" vbProcedure="false">"A31047"</definedName>
    <definedName function="false" hidden="false" name="FDD_160_10" vbProcedure="false">"A34334"</definedName>
    <definedName function="false" hidden="false" name="FDD_160_11" vbProcedure="false">"A34699"</definedName>
    <definedName function="false" hidden="false" name="FDD_160_12" vbProcedure="false">"A35064"</definedName>
    <definedName function="false" hidden="false" name="FDD_160_13" vbProcedure="false">"A35430"</definedName>
    <definedName function="false" hidden="false" name="FDD_160_14" vbProcedure="false">"A35795"</definedName>
    <definedName function="false" hidden="false" name="FDD_160_15" vbProcedure="false">"E36160"</definedName>
    <definedName function="false" hidden="false" name="FDD_160_2" vbProcedure="false">"A31412"</definedName>
    <definedName function="false" hidden="false" name="FDD_160_3" vbProcedure="false">"A31777"</definedName>
    <definedName function="false" hidden="false" name="FDD_160_4" vbProcedure="false">"A32142"</definedName>
    <definedName function="false" hidden="false" name="FDD_160_5" vbProcedure="false">"A32508"</definedName>
    <definedName function="false" hidden="false" name="FDD_160_6" vbProcedure="false">"A32873"</definedName>
    <definedName function="false" hidden="false" name="FDD_160_7" vbProcedure="false">"A33238"</definedName>
    <definedName function="false" hidden="false" name="FDD_160_8" vbProcedure="false">"A33603"</definedName>
    <definedName function="false" hidden="false" name="FDD_160_9" vbProcedure="false">"A33969"</definedName>
    <definedName function="false" hidden="false" name="FDD_161_0" vbProcedure="false">"A30681"</definedName>
    <definedName function="false" hidden="false" name="FDD_161_1" vbProcedure="false">"A31047"</definedName>
    <definedName function="false" hidden="false" name="FDD_161_10" vbProcedure="false">"A34334"</definedName>
    <definedName function="false" hidden="false" name="FDD_161_11" vbProcedure="false">"A34699"</definedName>
    <definedName function="false" hidden="false" name="FDD_161_12" vbProcedure="false">"A35064"</definedName>
    <definedName function="false" hidden="false" name="FDD_161_13" vbProcedure="false">"A35430"</definedName>
    <definedName function="false" hidden="false" name="FDD_161_14" vbProcedure="false">"A35795"</definedName>
    <definedName function="false" hidden="false" name="FDD_161_2" vbProcedure="false">"A31412"</definedName>
    <definedName function="false" hidden="false" name="FDD_161_3" vbProcedure="false">"A31777"</definedName>
    <definedName function="false" hidden="false" name="FDD_161_4" vbProcedure="false">"A32142"</definedName>
    <definedName function="false" hidden="false" name="FDD_161_5" vbProcedure="false">"A32508"</definedName>
    <definedName function="false" hidden="false" name="FDD_161_6" vbProcedure="false">"A32873"</definedName>
    <definedName function="false" hidden="false" name="FDD_161_7" vbProcedure="false">"A33238"</definedName>
    <definedName function="false" hidden="false" name="FDD_161_8" vbProcedure="false">"A33603"</definedName>
    <definedName function="false" hidden="false" name="FDD_161_9" vbProcedure="false">"A33969"</definedName>
    <definedName function="false" hidden="false" name="FDD_162_0" vbProcedure="false">"A30681"</definedName>
    <definedName function="false" hidden="false" name="FDD_162_1" vbProcedure="false">"A31047"</definedName>
    <definedName function="false" hidden="false" name="FDD_162_10" vbProcedure="false">"A34334"</definedName>
    <definedName function="false" hidden="false" name="FDD_162_11" vbProcedure="false">"A34699"</definedName>
    <definedName function="false" hidden="false" name="FDD_162_12" vbProcedure="false">"A35064"</definedName>
    <definedName function="false" hidden="false" name="FDD_162_13" vbProcedure="false">"A35430"</definedName>
    <definedName function="false" hidden="false" name="FDD_162_14" vbProcedure="false">"A35795"</definedName>
    <definedName function="false" hidden="false" name="FDD_162_2" vbProcedure="false">"A31412"</definedName>
    <definedName function="false" hidden="false" name="FDD_162_3" vbProcedure="false">"A31777"</definedName>
    <definedName function="false" hidden="false" name="FDD_162_4" vbProcedure="false">"A32142"</definedName>
    <definedName function="false" hidden="false" name="FDD_162_5" vbProcedure="false">"A32508"</definedName>
    <definedName function="false" hidden="false" name="FDD_162_6" vbProcedure="false">"A32873"</definedName>
    <definedName function="false" hidden="false" name="FDD_162_7" vbProcedure="false">"A33238"</definedName>
    <definedName function="false" hidden="false" name="FDD_162_8" vbProcedure="false">"A33603"</definedName>
    <definedName function="false" hidden="false" name="FDD_162_9" vbProcedure="false">"A33969"</definedName>
    <definedName function="false" hidden="false" name="FDD_163_0" vbProcedure="false">"A30681"</definedName>
    <definedName function="false" hidden="false" name="FDD_163_1" vbProcedure="false">"A31047"</definedName>
    <definedName function="false" hidden="false" name="FDD_163_10" vbProcedure="false">"A34334"</definedName>
    <definedName function="false" hidden="false" name="FDD_163_11" vbProcedure="false">"A34699"</definedName>
    <definedName function="false" hidden="false" name="FDD_163_12" vbProcedure="false">"A35064"</definedName>
    <definedName function="false" hidden="false" name="FDD_163_13" vbProcedure="false">"A35430"</definedName>
    <definedName function="false" hidden="false" name="FDD_163_14" vbProcedure="false">"A35795"</definedName>
    <definedName function="false" hidden="false" name="FDD_163_2" vbProcedure="false">"A31412"</definedName>
    <definedName function="false" hidden="false" name="FDD_163_3" vbProcedure="false">"A31777"</definedName>
    <definedName function="false" hidden="false" name="FDD_163_4" vbProcedure="false">"A32142"</definedName>
    <definedName function="false" hidden="false" name="FDD_163_5" vbProcedure="false">"A32508"</definedName>
    <definedName function="false" hidden="false" name="FDD_163_6" vbProcedure="false">"A32873"</definedName>
    <definedName function="false" hidden="false" name="FDD_163_7" vbProcedure="false">"A33238"</definedName>
    <definedName function="false" hidden="false" name="FDD_163_8" vbProcedure="false">"A33603"</definedName>
    <definedName function="false" hidden="false" name="FDD_163_9" vbProcedure="false">"A33969"</definedName>
    <definedName function="false" hidden="false" name="FDD_164_0" vbProcedure="false">"A25569"</definedName>
    <definedName function="false" hidden="false" name="FDD_165_0" vbProcedure="false">"A30681"</definedName>
    <definedName function="false" hidden="false" name="FDD_165_1" vbProcedure="false">"A31047"</definedName>
    <definedName function="false" hidden="false" name="FDD_165_10" vbProcedure="false">"A34334"</definedName>
    <definedName function="false" hidden="false" name="FDD_165_11" vbProcedure="false">"A34699"</definedName>
    <definedName function="false" hidden="false" name="FDD_165_12" vbProcedure="false">"A35064"</definedName>
    <definedName function="false" hidden="false" name="FDD_165_13" vbProcedure="false">"A35430"</definedName>
    <definedName function="false" hidden="false" name="FDD_165_14" vbProcedure="false">"A35795"</definedName>
    <definedName function="false" hidden="false" name="FDD_165_2" vbProcedure="false">"A31412"</definedName>
    <definedName function="false" hidden="false" name="FDD_165_3" vbProcedure="false">"A31777"</definedName>
    <definedName function="false" hidden="false" name="FDD_165_4" vbProcedure="false">"A32142"</definedName>
    <definedName function="false" hidden="false" name="FDD_165_5" vbProcedure="false">"A32508"</definedName>
    <definedName function="false" hidden="false" name="FDD_165_6" vbProcedure="false">"A32873"</definedName>
    <definedName function="false" hidden="false" name="FDD_165_7" vbProcedure="false">"A33238"</definedName>
    <definedName function="false" hidden="false" name="FDD_165_8" vbProcedure="false">"A33603"</definedName>
    <definedName function="false" hidden="false" name="FDD_165_9" vbProcedure="false">"A33969"</definedName>
    <definedName function="false" hidden="false" name="FDD_166_0" vbProcedure="false">"A30681"</definedName>
    <definedName function="false" hidden="false" name="FDD_166_1" vbProcedure="false">"A31047"</definedName>
    <definedName function="false" hidden="false" name="FDD_166_10" vbProcedure="false">"A34334"</definedName>
    <definedName function="false" hidden="false" name="FDD_166_11" vbProcedure="false">"A34699"</definedName>
    <definedName function="false" hidden="false" name="FDD_166_12" vbProcedure="false">"A35064"</definedName>
    <definedName function="false" hidden="false" name="FDD_166_13" vbProcedure="false">"A35430"</definedName>
    <definedName function="false" hidden="false" name="FDD_166_14" vbProcedure="false">"A35795"</definedName>
    <definedName function="false" hidden="false" name="FDD_166_2" vbProcedure="false">"A31412"</definedName>
    <definedName function="false" hidden="false" name="FDD_166_3" vbProcedure="false">"A31777"</definedName>
    <definedName function="false" hidden="false" name="FDD_166_4" vbProcedure="false">"A32142"</definedName>
    <definedName function="false" hidden="false" name="FDD_166_5" vbProcedure="false">"A32508"</definedName>
    <definedName function="false" hidden="false" name="FDD_166_6" vbProcedure="false">"A32873"</definedName>
    <definedName function="false" hidden="false" name="FDD_166_7" vbProcedure="false">"A33238"</definedName>
    <definedName function="false" hidden="false" name="FDD_166_8" vbProcedure="false">"A33603"</definedName>
    <definedName function="false" hidden="false" name="FDD_166_9" vbProcedure="false">"A33969"</definedName>
    <definedName function="false" hidden="false" name="FDD_167_0" vbProcedure="false">"A30681"</definedName>
    <definedName function="false" hidden="false" name="FDD_167_1" vbProcedure="false">"A31047"</definedName>
    <definedName function="false" hidden="false" name="FDD_167_10" vbProcedure="false">"A34334"</definedName>
    <definedName function="false" hidden="false" name="FDD_167_11" vbProcedure="false">"A34699"</definedName>
    <definedName function="false" hidden="false" name="FDD_167_12" vbProcedure="false">"A35064"</definedName>
    <definedName function="false" hidden="false" name="FDD_167_13" vbProcedure="false">"A35430"</definedName>
    <definedName function="false" hidden="false" name="FDD_167_14" vbProcedure="false">"A35795"</definedName>
    <definedName function="false" hidden="false" name="FDD_167_2" vbProcedure="false">"A31412"</definedName>
    <definedName function="false" hidden="false" name="FDD_167_3" vbProcedure="false">"A31777"</definedName>
    <definedName function="false" hidden="false" name="FDD_167_4" vbProcedure="false">"A32142"</definedName>
    <definedName function="false" hidden="false" name="FDD_167_5" vbProcedure="false">"A32508"</definedName>
    <definedName function="false" hidden="false" name="FDD_167_6" vbProcedure="false">"A32873"</definedName>
    <definedName function="false" hidden="false" name="FDD_167_7" vbProcedure="false">"A33238"</definedName>
    <definedName function="false" hidden="false" name="FDD_167_8" vbProcedure="false">"A33603"</definedName>
    <definedName function="false" hidden="false" name="FDD_167_9" vbProcedure="false">"A33969"</definedName>
    <definedName function="false" hidden="false" name="FDD_168_0" vbProcedure="false">"E36160"</definedName>
    <definedName function="false" hidden="false" name="FDD_168_1" vbProcedure="false">"E36525"</definedName>
    <definedName function="false" hidden="false" name="FDD_168_2" vbProcedure="false">"E36891"</definedName>
    <definedName function="false" hidden="false" name="FDD_169_0" vbProcedure="false">"A30681"</definedName>
    <definedName function="false" hidden="false" name="FDD_169_1" vbProcedure="false">"A31047"</definedName>
    <definedName function="false" hidden="false" name="FDD_169_10" vbProcedure="false">"A34334"</definedName>
    <definedName function="false" hidden="false" name="FDD_169_11" vbProcedure="false">"A34699"</definedName>
    <definedName function="false" hidden="false" name="FDD_169_12" vbProcedure="false">"A35064"</definedName>
    <definedName function="false" hidden="false" name="FDD_169_13" vbProcedure="false">"A35430"</definedName>
    <definedName function="false" hidden="false" name="FDD_169_14" vbProcedure="false">"A35795"</definedName>
    <definedName function="false" hidden="false" name="FDD_169_2" vbProcedure="false">"A31412"</definedName>
    <definedName function="false" hidden="false" name="FDD_169_3" vbProcedure="false">"A31777"</definedName>
    <definedName function="false" hidden="false" name="FDD_169_4" vbProcedure="false">"A32142"</definedName>
    <definedName function="false" hidden="false" name="FDD_169_5" vbProcedure="false">"A32508"</definedName>
    <definedName function="false" hidden="false" name="FDD_169_6" vbProcedure="false">"A32873"</definedName>
    <definedName function="false" hidden="false" name="FDD_169_7" vbProcedure="false">"A33238"</definedName>
    <definedName function="false" hidden="false" name="FDD_169_8" vbProcedure="false">"A33603"</definedName>
    <definedName function="false" hidden="false" name="FDD_169_9" vbProcedure="false">"A33969"</definedName>
    <definedName function="false" hidden="false" name="FDD_16_0" vbProcedure="false">"A25569"</definedName>
    <definedName function="false" hidden="false" name="FDD_170_0" vbProcedure="false">"A30681"</definedName>
    <definedName function="false" hidden="false" name="FDD_170_1" vbProcedure="false">"A31047"</definedName>
    <definedName function="false" hidden="false" name="FDD_170_10" vbProcedure="false">"A34334"</definedName>
    <definedName function="false" hidden="false" name="FDD_170_11" vbProcedure="false">"A34699"</definedName>
    <definedName function="false" hidden="false" name="FDD_170_12" vbProcedure="false">"A35064"</definedName>
    <definedName function="false" hidden="false" name="FDD_170_13" vbProcedure="false">"A35430"</definedName>
    <definedName function="false" hidden="false" name="FDD_170_14" vbProcedure="false">"A35795"</definedName>
    <definedName function="false" hidden="false" name="FDD_170_2" vbProcedure="false">"A31412"</definedName>
    <definedName function="false" hidden="false" name="FDD_170_3" vbProcedure="false">"A31777"</definedName>
    <definedName function="false" hidden="false" name="FDD_170_4" vbProcedure="false">"A32142"</definedName>
    <definedName function="false" hidden="false" name="FDD_170_5" vbProcedure="false">"A32508"</definedName>
    <definedName function="false" hidden="false" name="FDD_170_6" vbProcedure="false">"A32873"</definedName>
    <definedName function="false" hidden="false" name="FDD_170_7" vbProcedure="false">"A33238"</definedName>
    <definedName function="false" hidden="false" name="FDD_170_8" vbProcedure="false">"A33603"</definedName>
    <definedName function="false" hidden="false" name="FDD_170_9" vbProcedure="false">"A33969"</definedName>
    <definedName function="false" hidden="false" name="FDD_171_0" vbProcedure="false">"A30681"</definedName>
    <definedName function="false" hidden="false" name="FDD_171_1" vbProcedure="false">"A31047"</definedName>
    <definedName function="false" hidden="false" name="FDD_171_10" vbProcedure="false">"A34334"</definedName>
    <definedName function="false" hidden="false" name="FDD_171_11" vbProcedure="false">"A34699"</definedName>
    <definedName function="false" hidden="false" name="FDD_171_12" vbProcedure="false">"A35064"</definedName>
    <definedName function="false" hidden="false" name="FDD_171_13" vbProcedure="false">"A35430"</definedName>
    <definedName function="false" hidden="false" name="FDD_171_14" vbProcedure="false">"A35795"</definedName>
    <definedName function="false" hidden="false" name="FDD_171_2" vbProcedure="false">"A31412"</definedName>
    <definedName function="false" hidden="false" name="FDD_171_3" vbProcedure="false">"A31777"</definedName>
    <definedName function="false" hidden="false" name="FDD_171_4" vbProcedure="false">"A32142"</definedName>
    <definedName function="false" hidden="false" name="FDD_171_5" vbProcedure="false">"A32508"</definedName>
    <definedName function="false" hidden="false" name="FDD_171_6" vbProcedure="false">"A32873"</definedName>
    <definedName function="false" hidden="false" name="FDD_171_7" vbProcedure="false">"A33238"</definedName>
    <definedName function="false" hidden="false" name="FDD_171_8" vbProcedure="false">"A33603"</definedName>
    <definedName function="false" hidden="false" name="FDD_171_9" vbProcedure="false">"A33969"</definedName>
    <definedName function="false" hidden="false" name="FDD_172_0" vbProcedure="false">"A30681"</definedName>
    <definedName function="false" hidden="false" name="FDD_172_1" vbProcedure="false">"A31047"</definedName>
    <definedName function="false" hidden="false" name="FDD_172_10" vbProcedure="false">"A34334"</definedName>
    <definedName function="false" hidden="false" name="FDD_172_11" vbProcedure="false">"A34699"</definedName>
    <definedName function="false" hidden="false" name="FDD_172_12" vbProcedure="false">"A35064"</definedName>
    <definedName function="false" hidden="false" name="FDD_172_13" vbProcedure="false">"A35430"</definedName>
    <definedName function="false" hidden="false" name="FDD_172_14" vbProcedure="false">"A35795"</definedName>
    <definedName function="false" hidden="false" name="FDD_172_2" vbProcedure="false">"A31412"</definedName>
    <definedName function="false" hidden="false" name="FDD_172_3" vbProcedure="false">"A31777"</definedName>
    <definedName function="false" hidden="false" name="FDD_172_4" vbProcedure="false">"A32142"</definedName>
    <definedName function="false" hidden="false" name="FDD_172_5" vbProcedure="false">"A32508"</definedName>
    <definedName function="false" hidden="false" name="FDD_172_6" vbProcedure="false">"A32873"</definedName>
    <definedName function="false" hidden="false" name="FDD_172_7" vbProcedure="false">"A33238"</definedName>
    <definedName function="false" hidden="false" name="FDD_172_8" vbProcedure="false">"A33603"</definedName>
    <definedName function="false" hidden="false" name="FDD_172_9" vbProcedure="false">"A33969"</definedName>
    <definedName function="false" hidden="false" name="FDD_173_0" vbProcedure="false">"A30681"</definedName>
    <definedName function="false" hidden="false" name="FDD_173_1" vbProcedure="false">"A31047"</definedName>
    <definedName function="false" hidden="false" name="FDD_173_10" vbProcedure="false">"A34334"</definedName>
    <definedName function="false" hidden="false" name="FDD_173_11" vbProcedure="false">"A34699"</definedName>
    <definedName function="false" hidden="false" name="FDD_173_12" vbProcedure="false">"A35064"</definedName>
    <definedName function="false" hidden="false" name="FDD_173_13" vbProcedure="false">"A35430"</definedName>
    <definedName function="false" hidden="false" name="FDD_173_14" vbProcedure="false">"A35795"</definedName>
    <definedName function="false" hidden="false" name="FDD_173_2" vbProcedure="false">"A31412"</definedName>
    <definedName function="false" hidden="false" name="FDD_173_3" vbProcedure="false">"A31777"</definedName>
    <definedName function="false" hidden="false" name="FDD_173_4" vbProcedure="false">"A32142"</definedName>
    <definedName function="false" hidden="false" name="FDD_173_5" vbProcedure="false">"A32508"</definedName>
    <definedName function="false" hidden="false" name="FDD_173_6" vbProcedure="false">"A32873"</definedName>
    <definedName function="false" hidden="false" name="FDD_173_7" vbProcedure="false">"A33238"</definedName>
    <definedName function="false" hidden="false" name="FDD_173_8" vbProcedure="false">"A33603"</definedName>
    <definedName function="false" hidden="false" name="FDD_173_9" vbProcedure="false">"A33969"</definedName>
    <definedName function="false" hidden="false" name="FDD_174_0" vbProcedure="false">"A30681"</definedName>
    <definedName function="false" hidden="false" name="FDD_174_1" vbProcedure="false">"A31047"</definedName>
    <definedName function="false" hidden="false" name="FDD_174_10" vbProcedure="false">"A34334"</definedName>
    <definedName function="false" hidden="false" name="FDD_174_11" vbProcedure="false">"A34699"</definedName>
    <definedName function="false" hidden="false" name="FDD_174_12" vbProcedure="false">"A35064"</definedName>
    <definedName function="false" hidden="false" name="FDD_174_13" vbProcedure="false">"A35430"</definedName>
    <definedName function="false" hidden="false" name="FDD_174_14" vbProcedure="false">"A35795"</definedName>
    <definedName function="false" hidden="false" name="FDD_174_2" vbProcedure="false">"A31412"</definedName>
    <definedName function="false" hidden="false" name="FDD_174_3" vbProcedure="false">"A31777"</definedName>
    <definedName function="false" hidden="false" name="FDD_174_4" vbProcedure="false">"A32142"</definedName>
    <definedName function="false" hidden="false" name="FDD_174_5" vbProcedure="false">"A32508"</definedName>
    <definedName function="false" hidden="false" name="FDD_174_6" vbProcedure="false">"A32873"</definedName>
    <definedName function="false" hidden="false" name="FDD_174_7" vbProcedure="false">"A33238"</definedName>
    <definedName function="false" hidden="false" name="FDD_174_8" vbProcedure="false">"A33603"</definedName>
    <definedName function="false" hidden="false" name="FDD_174_9" vbProcedure="false">"A33969"</definedName>
    <definedName function="false" hidden="false" name="FDD_175_0" vbProcedure="false">"E36160"</definedName>
    <definedName function="false" hidden="false" name="FDD_175_1" vbProcedure="false">"E36525"</definedName>
    <definedName function="false" hidden="false" name="FDD_175_2" vbProcedure="false">"E36891"</definedName>
    <definedName function="false" hidden="false" name="FDD_176_0" vbProcedure="false">"E36160"</definedName>
    <definedName function="false" hidden="false" name="FDD_176_1" vbProcedure="false">"E36525"</definedName>
    <definedName function="false" hidden="false" name="FDD_176_2" vbProcedure="false">"E36891"</definedName>
    <definedName function="false" hidden="false" name="FDD_177_0" vbProcedure="false">"E36160"</definedName>
    <definedName function="false" hidden="false" name="FDD_177_1" vbProcedure="false">"E36525"</definedName>
    <definedName function="false" hidden="false" name="FDD_177_2" vbProcedure="false">"E36891"</definedName>
    <definedName function="false" hidden="false" name="FDD_178_0" vbProcedure="false">"E36160"</definedName>
    <definedName function="false" hidden="false" name="FDD_178_1" vbProcedure="false">"E36525"</definedName>
    <definedName function="false" hidden="false" name="FDD_178_2" vbProcedure="false">"E36891"</definedName>
    <definedName function="false" hidden="false" name="FDD_179_0" vbProcedure="false">"E36160"</definedName>
    <definedName function="false" hidden="false" name="FDD_179_1" vbProcedure="false">"E36525"</definedName>
    <definedName function="false" hidden="false" name="FDD_179_2" vbProcedure="false">"E36891"</definedName>
    <definedName function="false" hidden="false" name="FDD_17_0" vbProcedure="false">"A25569"</definedName>
    <definedName function="false" hidden="false" name="FDD_180_0" vbProcedure="false">"E36160"</definedName>
    <definedName function="false" hidden="false" name="FDD_180_1" vbProcedure="false">"E36525"</definedName>
    <definedName function="false" hidden="false" name="FDD_180_2" vbProcedure="false">"E36891"</definedName>
    <definedName function="false" hidden="false" name="FDD_181_0" vbProcedure="false">"E36160"</definedName>
    <definedName function="false" hidden="false" name="FDD_181_1" vbProcedure="false">"E36525"</definedName>
    <definedName function="false" hidden="false" name="FDD_181_2" vbProcedure="false">"E36891"</definedName>
    <definedName function="false" hidden="false" name="FDD_182_0" vbProcedure="false">"E36160"</definedName>
    <definedName function="false" hidden="false" name="FDD_182_1" vbProcedure="false">"E36525"</definedName>
    <definedName function="false" hidden="false" name="FDD_182_2" vbProcedure="false">"E36891"</definedName>
    <definedName function="false" hidden="false" name="FDD_183_0" vbProcedure="false">"E36160"</definedName>
    <definedName function="false" hidden="false" name="FDD_183_1" vbProcedure="false">"E36525"</definedName>
    <definedName function="false" hidden="false" name="FDD_183_2" vbProcedure="false">"E36891"</definedName>
    <definedName function="false" hidden="false" name="FDD_184_0" vbProcedure="false">"E36160"</definedName>
    <definedName function="false" hidden="false" name="FDD_184_1" vbProcedure="false">"E36525"</definedName>
    <definedName function="false" hidden="false" name="FDD_184_2" vbProcedure="false">"E36891"</definedName>
    <definedName function="false" hidden="false" name="FDD_185_0" vbProcedure="false">"E36160"</definedName>
    <definedName function="false" hidden="false" name="FDD_185_1" vbProcedure="false">"E36525"</definedName>
    <definedName function="false" hidden="false" name="FDD_185_2" vbProcedure="false">"E36891"</definedName>
    <definedName function="false" hidden="false" name="FDD_186_0" vbProcedure="false">"E36160"</definedName>
    <definedName function="false" hidden="false" name="FDD_186_1" vbProcedure="false">"E36525"</definedName>
    <definedName function="false" hidden="false" name="FDD_186_2" vbProcedure="false">"E36891"</definedName>
    <definedName function="false" hidden="false" name="FDD_187_0" vbProcedure="false">"E36160"</definedName>
    <definedName function="false" hidden="false" name="FDD_187_1" vbProcedure="false">"E36525"</definedName>
    <definedName function="false" hidden="false" name="FDD_187_2" vbProcedure="false">"E36891"</definedName>
    <definedName function="false" hidden="false" name="FDD_188_0" vbProcedure="false">"A30681"</definedName>
    <definedName function="false" hidden="false" name="FDD_188_1" vbProcedure="false">"A31047"</definedName>
    <definedName function="false" hidden="false" name="FDD_188_10" vbProcedure="false">"A34334"</definedName>
    <definedName function="false" hidden="false" name="FDD_188_11" vbProcedure="false">"A34699"</definedName>
    <definedName function="false" hidden="false" name="FDD_188_12" vbProcedure="false">"A35064"</definedName>
    <definedName function="false" hidden="false" name="FDD_188_13" vbProcedure="false">"A35430"</definedName>
    <definedName function="false" hidden="false" name="FDD_188_14" vbProcedure="false">"A35795"</definedName>
    <definedName function="false" hidden="false" name="FDD_188_2" vbProcedure="false">"A31412"</definedName>
    <definedName function="false" hidden="false" name="FDD_188_3" vbProcedure="false">"A31777"</definedName>
    <definedName function="false" hidden="false" name="FDD_188_4" vbProcedure="false">"A32142"</definedName>
    <definedName function="false" hidden="false" name="FDD_188_5" vbProcedure="false">"A32508"</definedName>
    <definedName function="false" hidden="false" name="FDD_188_6" vbProcedure="false">"A32873"</definedName>
    <definedName function="false" hidden="false" name="FDD_188_7" vbProcedure="false">"A33238"</definedName>
    <definedName function="false" hidden="false" name="FDD_188_8" vbProcedure="false">"A33603"</definedName>
    <definedName function="false" hidden="false" name="FDD_188_9" vbProcedure="false">"A33969"</definedName>
    <definedName function="false" hidden="false" name="FDD_189_0" vbProcedure="false">"A30681"</definedName>
    <definedName function="false" hidden="false" name="FDD_189_1" vbProcedure="false">"A31047"</definedName>
    <definedName function="false" hidden="false" name="FDD_189_10" vbProcedure="false">"A34334"</definedName>
    <definedName function="false" hidden="false" name="FDD_189_11" vbProcedure="false">"A34699"</definedName>
    <definedName function="false" hidden="false" name="FDD_189_12" vbProcedure="false">"A35064"</definedName>
    <definedName function="false" hidden="false" name="FDD_189_13" vbProcedure="false">"A35430"</definedName>
    <definedName function="false" hidden="false" name="FDD_189_14" vbProcedure="false">"A35795"</definedName>
    <definedName function="false" hidden="false" name="FDD_189_2" vbProcedure="false">"A31412"</definedName>
    <definedName function="false" hidden="false" name="FDD_189_3" vbProcedure="false">"A31777"</definedName>
    <definedName function="false" hidden="false" name="FDD_189_4" vbProcedure="false">"A32142"</definedName>
    <definedName function="false" hidden="false" name="FDD_189_5" vbProcedure="false">"A32508"</definedName>
    <definedName function="false" hidden="false" name="FDD_189_6" vbProcedure="false">"A32873"</definedName>
    <definedName function="false" hidden="false" name="FDD_189_7" vbProcedure="false">"A33238"</definedName>
    <definedName function="false" hidden="false" name="FDD_189_8" vbProcedure="false">"A33603"</definedName>
    <definedName function="false" hidden="false" name="FDD_189_9" vbProcedure="false">"A33969"</definedName>
    <definedName function="false" hidden="false" name="FDD_18_0" vbProcedure="false">"A25569"</definedName>
    <definedName function="false" hidden="false" name="FDD_190_0" vbProcedure="false">"A30681"</definedName>
    <definedName function="false" hidden="false" name="FDD_190_1" vbProcedure="false">"A31047"</definedName>
    <definedName function="false" hidden="false" name="FDD_190_10" vbProcedure="false">"A34334"</definedName>
    <definedName function="false" hidden="false" name="FDD_190_11" vbProcedure="false">"A34699"</definedName>
    <definedName function="false" hidden="false" name="FDD_190_12" vbProcedure="false">"A35064"</definedName>
    <definedName function="false" hidden="false" name="FDD_190_13" vbProcedure="false">"A35430"</definedName>
    <definedName function="false" hidden="false" name="FDD_190_14" vbProcedure="false">"A35795"</definedName>
    <definedName function="false" hidden="false" name="FDD_190_2" vbProcedure="false">"A31412"</definedName>
    <definedName function="false" hidden="false" name="FDD_190_3" vbProcedure="false">"A31777"</definedName>
    <definedName function="false" hidden="false" name="FDD_190_4" vbProcedure="false">"A32142"</definedName>
    <definedName function="false" hidden="false" name="FDD_190_5" vbProcedure="false">"A32508"</definedName>
    <definedName function="false" hidden="false" name="FDD_190_6" vbProcedure="false">"A32873"</definedName>
    <definedName function="false" hidden="false" name="FDD_190_7" vbProcedure="false">"A33238"</definedName>
    <definedName function="false" hidden="false" name="FDD_190_8" vbProcedure="false">"A33603"</definedName>
    <definedName function="false" hidden="false" name="FDD_190_9" vbProcedure="false">"A33969"</definedName>
    <definedName function="false" hidden="false" name="FDD_191_0" vbProcedure="false">"A30681"</definedName>
    <definedName function="false" hidden="false" name="FDD_191_1" vbProcedure="false">"A31047"</definedName>
    <definedName function="false" hidden="false" name="FDD_191_10" vbProcedure="false">"A34334"</definedName>
    <definedName function="false" hidden="false" name="FDD_191_11" vbProcedure="false">"A34699"</definedName>
    <definedName function="false" hidden="false" name="FDD_191_12" vbProcedure="false">"A35064"</definedName>
    <definedName function="false" hidden="false" name="FDD_191_13" vbProcedure="false">"A35430"</definedName>
    <definedName function="false" hidden="false" name="FDD_191_14" vbProcedure="false">"A35795"</definedName>
    <definedName function="false" hidden="false" name="FDD_191_2" vbProcedure="false">"A31412"</definedName>
    <definedName function="false" hidden="false" name="FDD_191_3" vbProcedure="false">"A31777"</definedName>
    <definedName function="false" hidden="false" name="FDD_191_4" vbProcedure="false">"A32142"</definedName>
    <definedName function="false" hidden="false" name="FDD_191_5" vbProcedure="false">"A32508"</definedName>
    <definedName function="false" hidden="false" name="FDD_191_6" vbProcedure="false">"A32873"</definedName>
    <definedName function="false" hidden="false" name="FDD_191_7" vbProcedure="false">"A33238"</definedName>
    <definedName function="false" hidden="false" name="FDD_191_8" vbProcedure="false">"A33603"</definedName>
    <definedName function="false" hidden="false" name="FDD_191_9" vbProcedure="false">"A33969"</definedName>
    <definedName function="false" hidden="false" name="FDD_192_0" vbProcedure="false">"E36160"</definedName>
    <definedName function="false" hidden="false" name="FDD_192_1" vbProcedure="false">"E36525"</definedName>
    <definedName function="false" hidden="false" name="FDD_192_2" vbProcedure="false">"E36891"</definedName>
    <definedName function="false" hidden="false" name="FDD_193_0" vbProcedure="false">"A30681"</definedName>
    <definedName function="false" hidden="false" name="FDD_193_1" vbProcedure="false">"A31047"</definedName>
    <definedName function="false" hidden="false" name="FDD_193_10" vbProcedure="false">"A34334"</definedName>
    <definedName function="false" hidden="false" name="FDD_193_11" vbProcedure="false">"A34699"</definedName>
    <definedName function="false" hidden="false" name="FDD_193_12" vbProcedure="false">"A35064"</definedName>
    <definedName function="false" hidden="false" name="FDD_193_13" vbProcedure="false">"A35430"</definedName>
    <definedName function="false" hidden="false" name="FDD_193_14" vbProcedure="false">"A35795"</definedName>
    <definedName function="false" hidden="false" name="FDD_193_2" vbProcedure="false">"A31412"</definedName>
    <definedName function="false" hidden="false" name="FDD_193_3" vbProcedure="false">"A31777"</definedName>
    <definedName function="false" hidden="false" name="FDD_193_4" vbProcedure="false">"A32142"</definedName>
    <definedName function="false" hidden="false" name="FDD_193_5" vbProcedure="false">"A32508"</definedName>
    <definedName function="false" hidden="false" name="FDD_193_6" vbProcedure="false">"A32873"</definedName>
    <definedName function="false" hidden="false" name="FDD_193_7" vbProcedure="false">"A33238"</definedName>
    <definedName function="false" hidden="false" name="FDD_193_8" vbProcedure="false">"A33603"</definedName>
    <definedName function="false" hidden="false" name="FDD_193_9" vbProcedure="false">"A33969"</definedName>
    <definedName function="false" hidden="false" name="FDD_194_0" vbProcedure="false">"A30681"</definedName>
    <definedName function="false" hidden="false" name="FDD_194_1" vbProcedure="false">"A31047"</definedName>
    <definedName function="false" hidden="false" name="FDD_194_10" vbProcedure="false">"A34334"</definedName>
    <definedName function="false" hidden="false" name="FDD_194_11" vbProcedure="false">"A34699"</definedName>
    <definedName function="false" hidden="false" name="FDD_194_12" vbProcedure="false">"A35064"</definedName>
    <definedName function="false" hidden="false" name="FDD_194_13" vbProcedure="false">"A35430"</definedName>
    <definedName function="false" hidden="false" name="FDD_194_14" vbProcedure="false">"A35795"</definedName>
    <definedName function="false" hidden="false" name="FDD_194_2" vbProcedure="false">"A31412"</definedName>
    <definedName function="false" hidden="false" name="FDD_194_3" vbProcedure="false">"A31777"</definedName>
    <definedName function="false" hidden="false" name="FDD_194_4" vbProcedure="false">"A32142"</definedName>
    <definedName function="false" hidden="false" name="FDD_194_5" vbProcedure="false">"A32508"</definedName>
    <definedName function="false" hidden="false" name="FDD_194_6" vbProcedure="false">"A32873"</definedName>
    <definedName function="false" hidden="false" name="FDD_194_7" vbProcedure="false">"A33238"</definedName>
    <definedName function="false" hidden="false" name="FDD_194_8" vbProcedure="false">"A33603"</definedName>
    <definedName function="false" hidden="false" name="FDD_194_9" vbProcedure="false">"A33969"</definedName>
    <definedName function="false" hidden="false" name="FDD_195_0" vbProcedure="false">"A30681"</definedName>
    <definedName function="false" hidden="false" name="FDD_195_1" vbProcedure="false">"A31047"</definedName>
    <definedName function="false" hidden="false" name="FDD_195_10" vbProcedure="false">"A34334"</definedName>
    <definedName function="false" hidden="false" name="FDD_195_11" vbProcedure="false">"A34699"</definedName>
    <definedName function="false" hidden="false" name="FDD_195_12" vbProcedure="false">"A35064"</definedName>
    <definedName function="false" hidden="false" name="FDD_195_13" vbProcedure="false">"A35430"</definedName>
    <definedName function="false" hidden="false" name="FDD_195_14" vbProcedure="false">"A35795"</definedName>
    <definedName function="false" hidden="false" name="FDD_195_2" vbProcedure="false">"A31412"</definedName>
    <definedName function="false" hidden="false" name="FDD_195_3" vbProcedure="false">"A31777"</definedName>
    <definedName function="false" hidden="false" name="FDD_195_4" vbProcedure="false">"A32142"</definedName>
    <definedName function="false" hidden="false" name="FDD_195_5" vbProcedure="false">"A32508"</definedName>
    <definedName function="false" hidden="false" name="FDD_195_6" vbProcedure="false">"A32873"</definedName>
    <definedName function="false" hidden="false" name="FDD_195_7" vbProcedure="false">"A33238"</definedName>
    <definedName function="false" hidden="false" name="FDD_195_8" vbProcedure="false">"A33603"</definedName>
    <definedName function="false" hidden="false" name="FDD_195_9" vbProcedure="false">"A33969"</definedName>
    <definedName function="false" hidden="false" name="FDD_196_0" vbProcedure="false">"E36160"</definedName>
    <definedName function="false" hidden="false" name="FDD_196_1" vbProcedure="false">"E36525"</definedName>
    <definedName function="false" hidden="false" name="FDD_196_2" vbProcedure="false">"E36891"</definedName>
    <definedName function="false" hidden="false" name="FDD_197_0" vbProcedure="false">"A30681"</definedName>
    <definedName function="false" hidden="false" name="FDD_197_1" vbProcedure="false">"A31047"</definedName>
    <definedName function="false" hidden="false" name="FDD_197_10" vbProcedure="false">"A34334"</definedName>
    <definedName function="false" hidden="false" name="FDD_197_11" vbProcedure="false">"A34699"</definedName>
    <definedName function="false" hidden="false" name="FDD_197_12" vbProcedure="false">"A35064"</definedName>
    <definedName function="false" hidden="false" name="FDD_197_13" vbProcedure="false">"A35430"</definedName>
    <definedName function="false" hidden="false" name="FDD_197_14" vbProcedure="false">"A35795"</definedName>
    <definedName function="false" hidden="false" name="FDD_197_2" vbProcedure="false">"A31412"</definedName>
    <definedName function="false" hidden="false" name="FDD_197_3" vbProcedure="false">"A31777"</definedName>
    <definedName function="false" hidden="false" name="FDD_197_4" vbProcedure="false">"A32142"</definedName>
    <definedName function="false" hidden="false" name="FDD_197_5" vbProcedure="false">"A32508"</definedName>
    <definedName function="false" hidden="false" name="FDD_197_6" vbProcedure="false">"A32873"</definedName>
    <definedName function="false" hidden="false" name="FDD_197_7" vbProcedure="false">"A33238"</definedName>
    <definedName function="false" hidden="false" name="FDD_197_8" vbProcedure="false">"A33603"</definedName>
    <definedName function="false" hidden="false" name="FDD_197_9" vbProcedure="false">"A33969"</definedName>
    <definedName function="false" hidden="false" name="FDD_198_0" vbProcedure="false">"A30681"</definedName>
    <definedName function="false" hidden="false" name="FDD_198_1" vbProcedure="false">"A31047"</definedName>
    <definedName function="false" hidden="false" name="FDD_198_10" vbProcedure="false">"U34334"</definedName>
    <definedName function="false" hidden="false" name="FDD_198_11" vbProcedure="false">"U34699"</definedName>
    <definedName function="false" hidden="false" name="FDD_198_12" vbProcedure="false">"U35064"</definedName>
    <definedName function="false" hidden="false" name="FDD_198_13" vbProcedure="false">"U35430"</definedName>
    <definedName function="false" hidden="false" name="FDD_198_14" vbProcedure="false">"U35795"</definedName>
    <definedName function="false" hidden="false" name="FDD_198_2" vbProcedure="false">"A31412"</definedName>
    <definedName function="false" hidden="false" name="FDD_198_3" vbProcedure="false">"U31777"</definedName>
    <definedName function="false" hidden="false" name="FDD_198_4" vbProcedure="false">"U32142"</definedName>
    <definedName function="false" hidden="false" name="FDD_198_5" vbProcedure="false">"U32508"</definedName>
    <definedName function="false" hidden="false" name="FDD_198_6" vbProcedure="false">"U32873"</definedName>
    <definedName function="false" hidden="false" name="FDD_198_7" vbProcedure="false">"U33238"</definedName>
    <definedName function="false" hidden="false" name="FDD_198_8" vbProcedure="false">"U33603"</definedName>
    <definedName function="false" hidden="false" name="FDD_198_9" vbProcedure="false">"U33969"</definedName>
    <definedName function="false" hidden="false" name="FDD_199_0" vbProcedure="false">"E36160"</definedName>
    <definedName function="false" hidden="false" name="FDD_199_1" vbProcedure="false">"E36525"</definedName>
    <definedName function="false" hidden="false" name="FDD_199_2" vbProcedure="false">"E36891"</definedName>
    <definedName function="false" hidden="false" name="FDD_19_0" vbProcedure="false">"A25569"</definedName>
    <definedName function="false" hidden="false" name="FDD_1_0" vbProcedure="false">"U25569"</definedName>
    <definedName function="false" hidden="false" name="FDD_200_0" vbProcedure="false">"E36160"</definedName>
    <definedName function="false" hidden="false" name="FDD_200_1" vbProcedure="false">"E36525"</definedName>
    <definedName function="false" hidden="false" name="FDD_200_2" vbProcedure="false">"E36891"</definedName>
    <definedName function="false" hidden="false" name="FDD_201_0" vbProcedure="false">"A30681"</definedName>
    <definedName function="false" hidden="false" name="FDD_201_1" vbProcedure="false">"A31047"</definedName>
    <definedName function="false" hidden="false" name="FDD_201_10" vbProcedure="false">"A34334"</definedName>
    <definedName function="false" hidden="false" name="FDD_201_11" vbProcedure="false">"A34699"</definedName>
    <definedName function="false" hidden="false" name="FDD_201_12" vbProcedure="false">"A35064"</definedName>
    <definedName function="false" hidden="false" name="FDD_201_13" vbProcedure="false">"A35430"</definedName>
    <definedName function="false" hidden="false" name="FDD_201_14" vbProcedure="false">"A35795"</definedName>
    <definedName function="false" hidden="false" name="FDD_201_2" vbProcedure="false">"A31412"</definedName>
    <definedName function="false" hidden="false" name="FDD_201_3" vbProcedure="false">"A31777"</definedName>
    <definedName function="false" hidden="false" name="FDD_201_4" vbProcedure="false">"A32142"</definedName>
    <definedName function="false" hidden="false" name="FDD_201_5" vbProcedure="false">"A32508"</definedName>
    <definedName function="false" hidden="false" name="FDD_201_6" vbProcedure="false">"A32873"</definedName>
    <definedName function="false" hidden="false" name="FDD_201_7" vbProcedure="false">"A33238"</definedName>
    <definedName function="false" hidden="false" name="FDD_201_8" vbProcedure="false">"A33603"</definedName>
    <definedName function="false" hidden="false" name="FDD_201_9" vbProcedure="false">"A33969"</definedName>
    <definedName function="false" hidden="false" name="FDD_202_0" vbProcedure="false">"A30681"</definedName>
    <definedName function="false" hidden="false" name="FDD_202_1" vbProcedure="false">"A31047"</definedName>
    <definedName function="false" hidden="false" name="FDD_202_10" vbProcedure="false">"A34334"</definedName>
    <definedName function="false" hidden="false" name="FDD_202_11" vbProcedure="false">"A34699"</definedName>
    <definedName function="false" hidden="false" name="FDD_202_12" vbProcedure="false">"A35064"</definedName>
    <definedName function="false" hidden="false" name="FDD_202_13" vbProcedure="false">"A35430"</definedName>
    <definedName function="false" hidden="false" name="FDD_202_14" vbProcedure="false">"A35795"</definedName>
    <definedName function="false" hidden="false" name="FDD_202_2" vbProcedure="false">"A31412"</definedName>
    <definedName function="false" hidden="false" name="FDD_202_3" vbProcedure="false">"A31777"</definedName>
    <definedName function="false" hidden="false" name="FDD_202_4" vbProcedure="false">"A32142"</definedName>
    <definedName function="false" hidden="false" name="FDD_202_5" vbProcedure="false">"A32508"</definedName>
    <definedName function="false" hidden="false" name="FDD_202_6" vbProcedure="false">"A32873"</definedName>
    <definedName function="false" hidden="false" name="FDD_202_7" vbProcedure="false">"A33238"</definedName>
    <definedName function="false" hidden="false" name="FDD_202_8" vbProcedure="false">"A33603"</definedName>
    <definedName function="false" hidden="false" name="FDD_202_9" vbProcedure="false">"A33969"</definedName>
    <definedName function="false" hidden="false" name="FDD_203_0" vbProcedure="false">"E36160"</definedName>
    <definedName function="false" hidden="false" name="FDD_203_1" vbProcedure="false">"E36525"</definedName>
    <definedName function="false" hidden="false" name="FDD_203_2" vbProcedure="false">"E36891"</definedName>
    <definedName function="false" hidden="false" name="FDD_204_0" vbProcedure="false">"A25569"</definedName>
    <definedName function="false" hidden="false" name="FDD_205_0" vbProcedure="false">"A25569"</definedName>
    <definedName function="false" hidden="false" name="FDD_206_0" vbProcedure="false">"A25569"</definedName>
    <definedName function="false" hidden="false" name="FDD_207_0" vbProcedure="false">"A25569"</definedName>
    <definedName function="false" hidden="false" name="FDD_208_0" vbProcedure="false">"E36160"</definedName>
    <definedName function="false" hidden="false" name="FDD_208_1" vbProcedure="false">"E36525"</definedName>
    <definedName function="false" hidden="false" name="FDD_208_2" vbProcedure="false">"E36891"</definedName>
    <definedName function="false" hidden="false" name="FDD_209_0" vbProcedure="false">"A25569"</definedName>
    <definedName function="false" hidden="false" name="FDD_20_0" vbProcedure="false">"A25569"</definedName>
    <definedName function="false" hidden="false" name="FDD_210_0" vbProcedure="false">"A25569"</definedName>
    <definedName function="false" hidden="false" name="FDD_211_0" vbProcedure="false">"A25569"</definedName>
    <definedName function="false" hidden="false" name="FDD_212_0" vbProcedure="false">"A25569"</definedName>
    <definedName function="false" hidden="false" name="FDD_213_0" vbProcedure="false">"E36160"</definedName>
    <definedName function="false" hidden="false" name="FDD_213_1" vbProcedure="false">"E36525"</definedName>
    <definedName function="false" hidden="false" name="FDD_213_2" vbProcedure="false">"E36891"</definedName>
    <definedName function="false" hidden="false" name="FDD_214_0" vbProcedure="false">"A25569"</definedName>
    <definedName function="false" hidden="false" name="FDD_215_0" vbProcedure="false">"A25569"</definedName>
    <definedName function="false" hidden="false" name="FDD_216_0" vbProcedure="false">"A25569"</definedName>
    <definedName function="false" hidden="false" name="FDD_217_0" vbProcedure="false">"A25569"</definedName>
    <definedName function="false" hidden="false" name="FDD_218_0" vbProcedure="false">"E36160"</definedName>
    <definedName function="false" hidden="false" name="FDD_218_1" vbProcedure="false">"E36525"</definedName>
    <definedName function="false" hidden="false" name="FDD_218_2" vbProcedure="false">"E36891"</definedName>
    <definedName function="false" hidden="false" name="FDD_219_0" vbProcedure="false">"U25569"</definedName>
    <definedName function="false" hidden="false" name="FDD_21_0" vbProcedure="false">"A25569"</definedName>
    <definedName function="false" hidden="false" name="FDD_220_0" vbProcedure="false">"U25569"</definedName>
    <definedName function="false" hidden="false" name="FDD_221_0" vbProcedure="false">"U25569"</definedName>
    <definedName function="false" hidden="false" name="FDD_222_0" vbProcedure="false">"U25569"</definedName>
    <definedName function="false" hidden="false" name="FDD_223_0" vbProcedure="false">"E36160"</definedName>
    <definedName function="false" hidden="false" name="FDD_223_1" vbProcedure="false">"E36525"</definedName>
    <definedName function="false" hidden="false" name="FDD_223_2" vbProcedure="false">"E36891"</definedName>
    <definedName function="false" hidden="false" name="FDD_224_0" vbProcedure="false">"A25569"</definedName>
    <definedName function="false" hidden="false" name="FDD_225_0" vbProcedure="false">"A25569"</definedName>
    <definedName function="false" hidden="false" name="FDD_226_0" vbProcedure="false">"A25569"</definedName>
    <definedName function="false" hidden="false" name="FDD_227_0" vbProcedure="false">"A25569"</definedName>
    <definedName function="false" hidden="false" name="FDD_228_0" vbProcedure="false">"E36160"</definedName>
    <definedName function="false" hidden="false" name="FDD_228_1" vbProcedure="false">"E36525"</definedName>
    <definedName function="false" hidden="false" name="FDD_228_2" vbProcedure="false">"E36891"</definedName>
    <definedName function="false" hidden="false" name="FDD_229_0" vbProcedure="false">"A25569"</definedName>
    <definedName function="false" hidden="false" name="FDD_22_0" vbProcedure="false">"A25569"</definedName>
    <definedName function="false" hidden="false" name="FDD_230_0" vbProcedure="false">"A25569"</definedName>
    <definedName function="false" hidden="false" name="FDD_231_0" vbProcedure="false">"A25569"</definedName>
    <definedName function="false" hidden="false" name="FDD_232_0" vbProcedure="false">"A25569"</definedName>
    <definedName function="false" hidden="false" name="FDD_233_0" vbProcedure="false">"A25569"</definedName>
    <definedName function="false" hidden="false" name="FDD_234_0" vbProcedure="false">"A25569"</definedName>
    <definedName function="false" hidden="false" name="FDD_235_0" vbProcedure="false">"A25569"</definedName>
    <definedName function="false" hidden="false" name="FDD_236_0" vbProcedure="false">"A25569"</definedName>
    <definedName function="false" hidden="false" name="FDD_237_0" vbProcedure="false">"A25569"</definedName>
    <definedName function="false" hidden="false" name="FDD_238_0" vbProcedure="false">"A30681"</definedName>
    <definedName function="false" hidden="false" name="FDD_238_1" vbProcedure="false">"A31047"</definedName>
    <definedName function="false" hidden="false" name="FDD_238_10" vbProcedure="false">"A34334"</definedName>
    <definedName function="false" hidden="false" name="FDD_238_11" vbProcedure="false">"A34699"</definedName>
    <definedName function="false" hidden="false" name="FDD_238_12" vbProcedure="false">"A35064"</definedName>
    <definedName function="false" hidden="false" name="FDD_238_13" vbProcedure="false">"A35430"</definedName>
    <definedName function="false" hidden="false" name="FDD_238_14" vbProcedure="false">"A35795"</definedName>
    <definedName function="false" hidden="false" name="FDD_238_2" vbProcedure="false">"A31412"</definedName>
    <definedName function="false" hidden="false" name="FDD_238_3" vbProcedure="false">"A31777"</definedName>
    <definedName function="false" hidden="false" name="FDD_238_4" vbProcedure="false">"A32142"</definedName>
    <definedName function="false" hidden="false" name="FDD_238_5" vbProcedure="false">"A32508"</definedName>
    <definedName function="false" hidden="false" name="FDD_238_6" vbProcedure="false">"A32873"</definedName>
    <definedName function="false" hidden="false" name="FDD_238_7" vbProcedure="false">"A33238"</definedName>
    <definedName function="false" hidden="false" name="FDD_238_8" vbProcedure="false">"A33603"</definedName>
    <definedName function="false" hidden="false" name="FDD_238_9" vbProcedure="false">"A33969"</definedName>
    <definedName function="false" hidden="false" name="FDD_23_0" vbProcedure="false">"A25569"</definedName>
    <definedName function="false" hidden="false" name="FDD_243_0" vbProcedure="false">"E36160"</definedName>
    <definedName function="false" hidden="false" name="FDD_243_1" vbProcedure="false">"E36525"</definedName>
    <definedName function="false" hidden="false" name="FDD_243_2" vbProcedure="false">"E36891"</definedName>
    <definedName function="false" hidden="false" name="FDD_244_0" vbProcedure="false">"A25569"</definedName>
    <definedName function="false" hidden="false" name="FDD_245_0" vbProcedure="false">"A25569"</definedName>
    <definedName function="false" hidden="false" name="FDD_246_0" vbProcedure="false">"A25569"</definedName>
    <definedName function="false" hidden="false" name="FDD_247_0" vbProcedure="false">"A25569"</definedName>
    <definedName function="false" hidden="false" name="FDD_248_0" vbProcedure="false">"E36160"</definedName>
    <definedName function="false" hidden="false" name="FDD_248_1" vbProcedure="false">"E36525"</definedName>
    <definedName function="false" hidden="false" name="FDD_248_2" vbProcedure="false">"E36891"</definedName>
    <definedName function="false" hidden="false" name="FDD_249_0" vbProcedure="false">"A25569"</definedName>
    <definedName function="false" hidden="false" name="FDD_24_0" vbProcedure="false">"A25569"</definedName>
    <definedName function="false" hidden="false" name="FDD_250_0" vbProcedure="false">"A25569"</definedName>
    <definedName function="false" hidden="false" name="FDD_251_0" vbProcedure="false">"A25569"</definedName>
    <definedName function="false" hidden="false" name="FDD_252_0" vbProcedure="false">"A25569"</definedName>
    <definedName function="false" hidden="false" name="FDD_253_0" vbProcedure="false">"E36160"</definedName>
    <definedName function="false" hidden="false" name="FDD_253_1" vbProcedure="false">"E36525"</definedName>
    <definedName function="false" hidden="false" name="FDD_253_2" vbProcedure="false">"E36891"</definedName>
    <definedName function="false" hidden="false" name="FDD_254_0" vbProcedure="false">"E36160"</definedName>
    <definedName function="false" hidden="false" name="FDD_254_1" vbProcedure="false">"E36525"</definedName>
    <definedName function="false" hidden="false" name="FDD_254_2" vbProcedure="false">"E36891"</definedName>
    <definedName function="false" hidden="false" name="FDD_255_0" vbProcedure="false">"E36160"</definedName>
    <definedName function="false" hidden="false" name="FDD_255_1" vbProcedure="false">"E36525"</definedName>
    <definedName function="false" hidden="false" name="FDD_255_2" vbProcedure="false">"E36891"</definedName>
    <definedName function="false" hidden="false" name="FDD_256_0" vbProcedure="false">"U36160"</definedName>
    <definedName function="false" hidden="false" name="FDD_256_1" vbProcedure="false">"U36525"</definedName>
    <definedName function="false" hidden="false" name="FDD_256_2" vbProcedure="false">"U36891"</definedName>
    <definedName function="false" hidden="false" name="FDD_257_0" vbProcedure="false">"E36160"</definedName>
    <definedName function="false" hidden="false" name="FDD_257_1" vbProcedure="false">"E36525"</definedName>
    <definedName function="false" hidden="false" name="FDD_257_2" vbProcedure="false">"E36891"</definedName>
    <definedName function="false" hidden="false" name="FDD_258_0" vbProcedure="false">"E36160"</definedName>
    <definedName function="false" hidden="false" name="FDD_258_1" vbProcedure="false">"E36525"</definedName>
    <definedName function="false" hidden="false" name="FDD_258_2" vbProcedure="false">"E36891"</definedName>
    <definedName function="false" hidden="false" name="FDD_259_0" vbProcedure="false">"E36160"</definedName>
    <definedName function="false" hidden="false" name="FDD_259_1" vbProcedure="false">"E36525"</definedName>
    <definedName function="false" hidden="false" name="FDD_259_2" vbProcedure="false">"E36891"</definedName>
    <definedName function="false" hidden="false" name="FDD_25_0" vbProcedure="false">"A25569"</definedName>
    <definedName function="false" hidden="false" name="FDD_260_0" vbProcedure="false">"E36160"</definedName>
    <definedName function="false" hidden="false" name="FDD_260_1" vbProcedure="false">"E36525"</definedName>
    <definedName function="false" hidden="false" name="FDD_260_2" vbProcedure="false">"E36891"</definedName>
    <definedName function="false" hidden="false" name="FDD_261_0" vbProcedure="false">"E36160"</definedName>
    <definedName function="false" hidden="false" name="FDD_261_1" vbProcedure="false">"E36525"</definedName>
    <definedName function="false" hidden="false" name="FDD_261_2" vbProcedure="false">"E36891"</definedName>
    <definedName function="false" hidden="false" name="FDD_264_0" vbProcedure="false">"E36160"</definedName>
    <definedName function="false" hidden="false" name="FDD_264_1" vbProcedure="false">"E36525"</definedName>
    <definedName function="false" hidden="false" name="FDD_264_2" vbProcedure="false">"E36891"</definedName>
    <definedName function="false" hidden="false" name="FDD_265_0" vbProcedure="false">"A25569"</definedName>
    <definedName function="false" hidden="false" name="FDD_266_0" vbProcedure="false">"A25569"</definedName>
    <definedName function="false" hidden="false" name="FDD_267_0" vbProcedure="false">"A25569"</definedName>
    <definedName function="false" hidden="false" name="FDD_268_0" vbProcedure="false">"A25569"</definedName>
    <definedName function="false" hidden="false" name="FDD_269_0" vbProcedure="false">"E36160"</definedName>
    <definedName function="false" hidden="false" name="FDD_269_1" vbProcedure="false">"E36525"</definedName>
    <definedName function="false" hidden="false" name="FDD_269_2" vbProcedure="false">"E36891"</definedName>
    <definedName function="false" hidden="false" name="FDD_26_0" vbProcedure="false">"A25569"</definedName>
    <definedName function="false" hidden="false" name="FDD_270_0" vbProcedure="false">"A25569"</definedName>
    <definedName function="false" hidden="false" name="FDD_271_0" vbProcedure="false">"A25569"</definedName>
    <definedName function="false" hidden="false" name="FDD_272_0" vbProcedure="false">"A25569"</definedName>
    <definedName function="false" hidden="false" name="FDD_273_0" vbProcedure="false">"A25569"</definedName>
    <definedName function="false" hidden="false" name="FDD_274_0" vbProcedure="false">"E36160"</definedName>
    <definedName function="false" hidden="false" name="FDD_274_1" vbProcedure="false">"E36525"</definedName>
    <definedName function="false" hidden="false" name="FDD_274_2" vbProcedure="false">"E36891"</definedName>
    <definedName function="false" hidden="false" name="FDD_275_0" vbProcedure="false">"A25569"</definedName>
    <definedName function="false" hidden="false" name="FDD_276_0" vbProcedure="false">"A25569"</definedName>
    <definedName function="false" hidden="false" name="FDD_277_0" vbProcedure="false">"A25569"</definedName>
    <definedName function="false" hidden="false" name="FDD_278_0" vbProcedure="false">"A25569"</definedName>
    <definedName function="false" hidden="false" name="FDD_279_0" vbProcedure="false">"E36160"</definedName>
    <definedName function="false" hidden="false" name="FDD_279_1" vbProcedure="false">"E36525"</definedName>
    <definedName function="false" hidden="false" name="FDD_279_2" vbProcedure="false">"E36891"</definedName>
    <definedName function="false" hidden="false" name="FDD_27_0" vbProcedure="false">"A25569"</definedName>
    <definedName function="false" hidden="false" name="FDD_280_0" vbProcedure="false">"E36160"</definedName>
    <definedName function="false" hidden="false" name="FDD_280_1" vbProcedure="false">"E36525"</definedName>
    <definedName function="false" hidden="false" name="FDD_280_2" vbProcedure="false">"E36891"</definedName>
    <definedName function="false" hidden="false" name="FDD_281_0" vbProcedure="false">"E36160"</definedName>
    <definedName function="false" hidden="false" name="FDD_281_1" vbProcedure="false">"E36525"</definedName>
    <definedName function="false" hidden="false" name="FDD_281_2" vbProcedure="false">"E36891"</definedName>
    <definedName function="false" hidden="false" name="FDD_282_0" vbProcedure="false">"E36160"</definedName>
    <definedName function="false" hidden="false" name="FDD_282_1" vbProcedure="false">"E36525"</definedName>
    <definedName function="false" hidden="false" name="FDD_282_2" vbProcedure="false">"E36891"</definedName>
    <definedName function="false" hidden="false" name="FDD_283_0" vbProcedure="false">"E36160"</definedName>
    <definedName function="false" hidden="false" name="FDD_283_1" vbProcedure="false">"E36525"</definedName>
    <definedName function="false" hidden="false" name="FDD_283_2" vbProcedure="false">"E36891"</definedName>
    <definedName function="false" hidden="false" name="FDD_284_0" vbProcedure="false">"A30681"</definedName>
    <definedName function="false" hidden="false" name="FDD_284_1" vbProcedure="false">"A31047"</definedName>
    <definedName function="false" hidden="false" name="FDD_284_10" vbProcedure="false">"A34334"</definedName>
    <definedName function="false" hidden="false" name="FDD_284_11" vbProcedure="false">"A34699"</definedName>
    <definedName function="false" hidden="false" name="FDD_284_12" vbProcedure="false">"A35064"</definedName>
    <definedName function="false" hidden="false" name="FDD_284_13" vbProcedure="false">"A35430"</definedName>
    <definedName function="false" hidden="false" name="FDD_284_14" vbProcedure="false">"A35795"</definedName>
    <definedName function="false" hidden="false" name="FDD_284_2" vbProcedure="false">"A31412"</definedName>
    <definedName function="false" hidden="false" name="FDD_284_3" vbProcedure="false">"A31777"</definedName>
    <definedName function="false" hidden="false" name="FDD_284_4" vbProcedure="false">"A32142"</definedName>
    <definedName function="false" hidden="false" name="FDD_284_5" vbProcedure="false">"A32508"</definedName>
    <definedName function="false" hidden="false" name="FDD_284_6" vbProcedure="false">"A32873"</definedName>
    <definedName function="false" hidden="false" name="FDD_284_7" vbProcedure="false">"A33238"</definedName>
    <definedName function="false" hidden="false" name="FDD_284_8" vbProcedure="false">"A33603"</definedName>
    <definedName function="false" hidden="false" name="FDD_284_9" vbProcedure="false">"A33969"</definedName>
    <definedName function="false" hidden="false" name="FDD_285_0" vbProcedure="false">"A35795"</definedName>
    <definedName function="false" hidden="false" name="FDD_285_1" vbProcedure="false">"E36160"</definedName>
    <definedName function="false" hidden="false" name="FDD_285_10" vbProcedure="false">"E39447"</definedName>
    <definedName function="false" hidden="false" name="FDD_285_11" vbProcedure="false">"E39813"</definedName>
    <definedName function="false" hidden="false" name="FDD_285_12" vbProcedure="false">"E40178"</definedName>
    <definedName function="false" hidden="false" name="FDD_285_13" vbProcedure="false">"E40543"</definedName>
    <definedName function="false" hidden="false" name="FDD_285_14" vbProcedure="false">"E40908"</definedName>
    <definedName function="false" hidden="false" name="FDD_285_15" vbProcedure="false">"E41274"</definedName>
    <definedName function="false" hidden="false" name="FDD_285_16" vbProcedure="false">"E41639"</definedName>
    <definedName function="false" hidden="false" name="FDD_285_17" vbProcedure="false">"E42004"</definedName>
    <definedName function="false" hidden="false" name="FDD_285_18" vbProcedure="false">"E42369"</definedName>
    <definedName function="false" hidden="false" name="FDD_285_19" vbProcedure="false">"E42735"</definedName>
    <definedName function="false" hidden="false" name="FDD_285_2" vbProcedure="false">"E36525"</definedName>
    <definedName function="false" hidden="false" name="FDD_285_20" vbProcedure="false">"E43100"</definedName>
    <definedName function="false" hidden="false" name="FDD_285_21" vbProcedure="false">"E43465"</definedName>
    <definedName function="false" hidden="false" name="FDD_285_22" vbProcedure="false">"E43830"</definedName>
    <definedName function="false" hidden="false" name="FDD_285_23" vbProcedure="false">"E44196"</definedName>
    <definedName function="false" hidden="false" name="FDD_285_24" vbProcedure="false">"E44561"</definedName>
    <definedName function="false" hidden="false" name="FDD_285_25" vbProcedure="false">"E44926"</definedName>
    <definedName function="false" hidden="false" name="FDD_285_3" vbProcedure="false">"E36891"</definedName>
    <definedName function="false" hidden="false" name="FDD_285_4" vbProcedure="false">"E37256"</definedName>
    <definedName function="false" hidden="false" name="FDD_285_5" vbProcedure="false">"E37621"</definedName>
    <definedName function="false" hidden="false" name="FDD_285_6" vbProcedure="false">"E37986"</definedName>
    <definedName function="false" hidden="false" name="FDD_285_7" vbProcedure="false">"E38352"</definedName>
    <definedName function="false" hidden="false" name="FDD_285_8" vbProcedure="false">"E38717"</definedName>
    <definedName function="false" hidden="false" name="FDD_285_9" vbProcedure="false">"E39082"</definedName>
    <definedName function="false" hidden="false" name="FDD_286_0" vbProcedure="false">"E36160"</definedName>
    <definedName function="false" hidden="false" name="FDD_286_1" vbProcedure="false">"E36525"</definedName>
    <definedName function="false" hidden="false" name="FDD_286_10" vbProcedure="false">"E39813"</definedName>
    <definedName function="false" hidden="false" name="FDD_286_11" vbProcedure="false">"E40178"</definedName>
    <definedName function="false" hidden="false" name="FDD_286_12" vbProcedure="false">"E40543"</definedName>
    <definedName function="false" hidden="false" name="FDD_286_13" vbProcedure="false">"E40908"</definedName>
    <definedName function="false" hidden="false" name="FDD_286_14" vbProcedure="false">"E41274"</definedName>
    <definedName function="false" hidden="false" name="FDD_286_15" vbProcedure="false">"E41639"</definedName>
    <definedName function="false" hidden="false" name="FDD_286_16" vbProcedure="false">"E42004"</definedName>
    <definedName function="false" hidden="false" name="FDD_286_17" vbProcedure="false">"E42369"</definedName>
    <definedName function="false" hidden="false" name="FDD_286_18" vbProcedure="false">"E42735"</definedName>
    <definedName function="false" hidden="false" name="FDD_286_19" vbProcedure="false">"E43100"</definedName>
    <definedName function="false" hidden="false" name="FDD_286_2" vbProcedure="false">"E36891"</definedName>
    <definedName function="false" hidden="false" name="FDD_286_20" vbProcedure="false">"E43465"</definedName>
    <definedName function="false" hidden="false" name="FDD_286_21" vbProcedure="false">"E43830"</definedName>
    <definedName function="false" hidden="false" name="FDD_286_22" vbProcedure="false">"E44196"</definedName>
    <definedName function="false" hidden="false" name="FDD_286_23" vbProcedure="false">"E44561"</definedName>
    <definedName function="false" hidden="false" name="FDD_286_24" vbProcedure="false">"E44926"</definedName>
    <definedName function="false" hidden="false" name="FDD_286_3" vbProcedure="false">"E37256"</definedName>
    <definedName function="false" hidden="false" name="FDD_286_4" vbProcedure="false">"E37621"</definedName>
    <definedName function="false" hidden="false" name="FDD_286_5" vbProcedure="false">"E37986"</definedName>
    <definedName function="false" hidden="false" name="FDD_286_6" vbProcedure="false">"E38352"</definedName>
    <definedName function="false" hidden="false" name="FDD_286_7" vbProcedure="false">"E38717"</definedName>
    <definedName function="false" hidden="false" name="FDD_286_8" vbProcedure="false">"E39082"</definedName>
    <definedName function="false" hidden="false" name="FDD_286_9" vbProcedure="false">"E39447"</definedName>
    <definedName function="false" hidden="false" name="FDD_287_0" vbProcedure="false">"A25569"</definedName>
    <definedName function="false" hidden="false" name="FDD_288_0" vbProcedure="false">"A25569"</definedName>
    <definedName function="false" hidden="false" name="FDD_289_0" vbProcedure="false">"A36890"</definedName>
    <definedName function="false" hidden="false" name="FDD_28_0" vbProcedure="false">"A25569"</definedName>
    <definedName function="false" hidden="false" name="FDD_290_0" vbProcedure="false">"A36890"</definedName>
    <definedName function="false" hidden="false" name="FDD_291_0" vbProcedure="false">"A25569"</definedName>
    <definedName function="false" hidden="false" name="FDD_295_0" vbProcedure="false">"U25569"</definedName>
    <definedName function="false" hidden="false" name="FDD_296_0" vbProcedure="false">"A25569"</definedName>
    <definedName function="false" hidden="false" name="FDD_297_0" vbProcedure="false">"A25569"</definedName>
    <definedName function="false" hidden="false" name="FDD_298_0" vbProcedure="false">"A25569"</definedName>
    <definedName function="false" hidden="false" name="FDD_299_0" vbProcedure="false">"A25569"</definedName>
    <definedName function="false" hidden="false" name="FDD_29_0" vbProcedure="false">"A25569"</definedName>
    <definedName function="false" hidden="false" name="FDD_2_0" vbProcedure="false">"A25569"</definedName>
    <definedName function="false" hidden="false" name="FDD_300_0" vbProcedure="false">"U25569"</definedName>
    <definedName function="false" hidden="false" name="FDD_301_0" vbProcedure="false">"U35795"</definedName>
    <definedName function="false" hidden="false" name="FDD_301_1" vbProcedure="false">"U36160"</definedName>
    <definedName function="false" hidden="false" name="FDD_301_2" vbProcedure="false">"U36525"</definedName>
    <definedName function="false" hidden="false" name="FDD_302_0" vbProcedure="false">"U35795"</definedName>
    <definedName function="false" hidden="false" name="FDD_302_1" vbProcedure="false">"U36160"</definedName>
    <definedName function="false" hidden="false" name="FDD_302_2" vbProcedure="false">"U36525"</definedName>
    <definedName function="false" hidden="false" name="FDD_303_0" vbProcedure="false">"U35795"</definedName>
    <definedName function="false" hidden="false" name="FDD_303_1" vbProcedure="false">"U36160"</definedName>
    <definedName function="false" hidden="false" name="FDD_303_2" vbProcedure="false">"U36525"</definedName>
    <definedName function="false" hidden="false" name="FDD_304_0" vbProcedure="false">"U35795"</definedName>
    <definedName function="false" hidden="false" name="FDD_304_1" vbProcedure="false">"U36160"</definedName>
    <definedName function="false" hidden="false" name="FDD_304_2" vbProcedure="false">"U36525"</definedName>
    <definedName function="false" hidden="false" name="FDD_305_0" vbProcedure="false">"A30681"</definedName>
    <definedName function="false" hidden="false" name="FDD_305_1" vbProcedure="false">"A31047"</definedName>
    <definedName function="false" hidden="false" name="FDD_305_10" vbProcedure="false">"U34334"</definedName>
    <definedName function="false" hidden="false" name="FDD_305_11" vbProcedure="false">"U34699"</definedName>
    <definedName function="false" hidden="false" name="FDD_305_12" vbProcedure="false">"U35064"</definedName>
    <definedName function="false" hidden="false" name="FDD_305_13" vbProcedure="false">"U35430"</definedName>
    <definedName function="false" hidden="false" name="FDD_305_14" vbProcedure="false">"U35795"</definedName>
    <definedName function="false" hidden="false" name="FDD_305_2" vbProcedure="false">"A31412"</definedName>
    <definedName function="false" hidden="false" name="FDD_305_3" vbProcedure="false">"U31777"</definedName>
    <definedName function="false" hidden="false" name="FDD_305_4" vbProcedure="false">"U32142"</definedName>
    <definedName function="false" hidden="false" name="FDD_305_5" vbProcedure="false">"U32508"</definedName>
    <definedName function="false" hidden="false" name="FDD_305_6" vbProcedure="false">"U32873"</definedName>
    <definedName function="false" hidden="false" name="FDD_305_7" vbProcedure="false">"U33238"</definedName>
    <definedName function="false" hidden="false" name="FDD_305_8" vbProcedure="false">"U33603"</definedName>
    <definedName function="false" hidden="false" name="FDD_305_9" vbProcedure="false">"U33969"</definedName>
    <definedName function="false" hidden="false" name="FDD_306_0" vbProcedure="false">"U35795"</definedName>
    <definedName function="false" hidden="false" name="FDD_306_1" vbProcedure="false">"E36160"</definedName>
    <definedName function="false" hidden="false" name="FDD_306_2" vbProcedure="false">"U36525"</definedName>
    <definedName function="false" hidden="false" name="FDD_307_0" vbProcedure="false">"A35795"</definedName>
    <definedName function="false" hidden="false" name="FDD_307_1" vbProcedure="false">"U36160"</definedName>
    <definedName function="false" hidden="false" name="FDD_307_2" vbProcedure="false">"U36525"</definedName>
    <definedName function="false" hidden="false" name="FDD_30_0" vbProcedure="false">"A25569"</definedName>
    <definedName function="false" hidden="false" name="FDD_31_0" vbProcedure="false">"A25569"</definedName>
    <definedName function="false" hidden="false" name="FDD_32_0" vbProcedure="false">"A25569"</definedName>
    <definedName function="false" hidden="false" name="FDD_33_0" vbProcedure="false">"A25569"</definedName>
    <definedName function="false" hidden="false" name="FDD_34_0" vbProcedure="false">"A25569"</definedName>
    <definedName function="false" hidden="false" name="FDD_35_0" vbProcedure="false">"A25569"</definedName>
    <definedName function="false" hidden="false" name="FDD_36_0" vbProcedure="false">"A25569"</definedName>
    <definedName function="false" hidden="false" name="FDD_37_0" vbProcedure="false">"A25569"</definedName>
    <definedName function="false" hidden="false" name="FDD_38_0" vbProcedure="false">"A25569"</definedName>
    <definedName function="false" hidden="false" name="FDD_39_0" vbProcedure="false">"A25569"</definedName>
    <definedName function="false" hidden="false" name="FDD_3_0" vbProcedure="false">"A25569"</definedName>
    <definedName function="false" hidden="false" name="FDD_40_0" vbProcedure="false">"A25569"</definedName>
    <definedName function="false" hidden="false" name="FDD_41_0" vbProcedure="false">"U25569"</definedName>
    <definedName function="false" hidden="false" name="FDD_42_0" vbProcedure="false">"U25569"</definedName>
    <definedName function="false" hidden="false" name="FDD_43_0" vbProcedure="false">"A25569"</definedName>
    <definedName function="false" hidden="false" name="FDD_44_0" vbProcedure="false">"A30681"</definedName>
    <definedName function="false" hidden="false" name="FDD_44_1" vbProcedure="false">"A31047"</definedName>
    <definedName function="false" hidden="false" name="FDD_44_10" vbProcedure="false">"A34334"</definedName>
    <definedName function="false" hidden="false" name="FDD_44_11" vbProcedure="false">"A34699"</definedName>
    <definedName function="false" hidden="false" name="FDD_44_12" vbProcedure="false">"A35064"</definedName>
    <definedName function="false" hidden="false" name="FDD_44_13" vbProcedure="false">"A35430"</definedName>
    <definedName function="false" hidden="false" name="FDD_44_14" vbProcedure="false">"A35795"</definedName>
    <definedName function="false" hidden="false" name="FDD_44_2" vbProcedure="false">"A31412"</definedName>
    <definedName function="false" hidden="false" name="FDD_44_3" vbProcedure="false">"A31777"</definedName>
    <definedName function="false" hidden="false" name="FDD_44_4" vbProcedure="false">"A32142"</definedName>
    <definedName function="false" hidden="false" name="FDD_44_5" vbProcedure="false">"A32508"</definedName>
    <definedName function="false" hidden="false" name="FDD_44_6" vbProcedure="false">"A32873"</definedName>
    <definedName function="false" hidden="false" name="FDD_44_7" vbProcedure="false">"A33238"</definedName>
    <definedName function="false" hidden="false" name="FDD_44_8" vbProcedure="false">"A33603"</definedName>
    <definedName function="false" hidden="false" name="FDD_44_9" vbProcedure="false">"A33969"</definedName>
    <definedName function="false" hidden="false" name="FDD_45_0" vbProcedure="false">"A30681"</definedName>
    <definedName function="false" hidden="false" name="FDD_45_1" vbProcedure="false">"A31047"</definedName>
    <definedName function="false" hidden="false" name="FDD_45_10" vbProcedure="false">"A34334"</definedName>
    <definedName function="false" hidden="false" name="FDD_45_11" vbProcedure="false">"A34699"</definedName>
    <definedName function="false" hidden="false" name="FDD_45_12" vbProcedure="false">"A35064"</definedName>
    <definedName function="false" hidden="false" name="FDD_45_13" vbProcedure="false">"A35430"</definedName>
    <definedName function="false" hidden="false" name="FDD_45_14" vbProcedure="false">"A35795"</definedName>
    <definedName function="false" hidden="false" name="FDD_45_2" vbProcedure="false">"A31412"</definedName>
    <definedName function="false" hidden="false" name="FDD_45_3" vbProcedure="false">"A31777"</definedName>
    <definedName function="false" hidden="false" name="FDD_45_4" vbProcedure="false">"A32142"</definedName>
    <definedName function="false" hidden="false" name="FDD_45_5" vbProcedure="false">"A32508"</definedName>
    <definedName function="false" hidden="false" name="FDD_45_6" vbProcedure="false">"A32873"</definedName>
    <definedName function="false" hidden="false" name="FDD_45_7" vbProcedure="false">"A33238"</definedName>
    <definedName function="false" hidden="false" name="FDD_45_8" vbProcedure="false">"A33603"</definedName>
    <definedName function="false" hidden="false" name="FDD_45_9" vbProcedure="false">"A33969"</definedName>
    <definedName function="false" hidden="false" name="FDD_46_0" vbProcedure="false">"A30681"</definedName>
    <definedName function="false" hidden="false" name="FDD_46_1" vbProcedure="false">"A31047"</definedName>
    <definedName function="false" hidden="false" name="FDD_46_10" vbProcedure="false">"A34334"</definedName>
    <definedName function="false" hidden="false" name="FDD_46_11" vbProcedure="false">"A34699"</definedName>
    <definedName function="false" hidden="false" name="FDD_46_12" vbProcedure="false">"A35064"</definedName>
    <definedName function="false" hidden="false" name="FDD_46_13" vbProcedure="false">"A35430"</definedName>
    <definedName function="false" hidden="false" name="FDD_46_14" vbProcedure="false">"A35795"</definedName>
    <definedName function="false" hidden="false" name="FDD_46_2" vbProcedure="false">"A31412"</definedName>
    <definedName function="false" hidden="false" name="FDD_46_3" vbProcedure="false">"A31777"</definedName>
    <definedName function="false" hidden="false" name="FDD_46_4" vbProcedure="false">"A32142"</definedName>
    <definedName function="false" hidden="false" name="FDD_46_5" vbProcedure="false">"A32508"</definedName>
    <definedName function="false" hidden="false" name="FDD_46_6" vbProcedure="false">"A32873"</definedName>
    <definedName function="false" hidden="false" name="FDD_46_7" vbProcedure="false">"A33238"</definedName>
    <definedName function="false" hidden="false" name="FDD_46_8" vbProcedure="false">"A33603"</definedName>
    <definedName function="false" hidden="false" name="FDD_46_9" vbProcedure="false">"A33969"</definedName>
    <definedName function="false" hidden="false" name="FDD_47_0" vbProcedure="false">"A30681"</definedName>
    <definedName function="false" hidden="false" name="FDD_47_1" vbProcedure="false">"A31047"</definedName>
    <definedName function="false" hidden="false" name="FDD_47_10" vbProcedure="false">"A34334"</definedName>
    <definedName function="false" hidden="false" name="FDD_47_11" vbProcedure="false">"A34699"</definedName>
    <definedName function="false" hidden="false" name="FDD_47_12" vbProcedure="false">"A35064"</definedName>
    <definedName function="false" hidden="false" name="FDD_47_13" vbProcedure="false">"A35430"</definedName>
    <definedName function="false" hidden="false" name="FDD_47_14" vbProcedure="false">"A35795"</definedName>
    <definedName function="false" hidden="false" name="FDD_47_2" vbProcedure="false">"A31412"</definedName>
    <definedName function="false" hidden="false" name="FDD_47_3" vbProcedure="false">"A31777"</definedName>
    <definedName function="false" hidden="false" name="FDD_47_4" vbProcedure="false">"A32142"</definedName>
    <definedName function="false" hidden="false" name="FDD_47_5" vbProcedure="false">"A32508"</definedName>
    <definedName function="false" hidden="false" name="FDD_47_6" vbProcedure="false">"A32873"</definedName>
    <definedName function="false" hidden="false" name="FDD_47_7" vbProcedure="false">"A33238"</definedName>
    <definedName function="false" hidden="false" name="FDD_47_8" vbProcedure="false">"A33603"</definedName>
    <definedName function="false" hidden="false" name="FDD_47_9" vbProcedure="false">"A33969"</definedName>
    <definedName function="false" hidden="false" name="FDD_48_0" vbProcedure="false">"A30681"</definedName>
    <definedName function="false" hidden="false" name="FDD_48_1" vbProcedure="false">"A31047"</definedName>
    <definedName function="false" hidden="false" name="FDD_48_10" vbProcedure="false">"A34334"</definedName>
    <definedName function="false" hidden="false" name="FDD_48_11" vbProcedure="false">"A34699"</definedName>
    <definedName function="false" hidden="false" name="FDD_48_12" vbProcedure="false">"A35064"</definedName>
    <definedName function="false" hidden="false" name="FDD_48_13" vbProcedure="false">"A35430"</definedName>
    <definedName function="false" hidden="false" name="FDD_48_14" vbProcedure="false">"A35795"</definedName>
    <definedName function="false" hidden="false" name="FDD_48_2" vbProcedure="false">"A31412"</definedName>
    <definedName function="false" hidden="false" name="FDD_48_3" vbProcedure="false">"A31777"</definedName>
    <definedName function="false" hidden="false" name="FDD_48_4" vbProcedure="false">"A32142"</definedName>
    <definedName function="false" hidden="false" name="FDD_48_5" vbProcedure="false">"A32508"</definedName>
    <definedName function="false" hidden="false" name="FDD_48_6" vbProcedure="false">"A32873"</definedName>
    <definedName function="false" hidden="false" name="FDD_48_7" vbProcedure="false">"A33238"</definedName>
    <definedName function="false" hidden="false" name="FDD_48_8" vbProcedure="false">"A33603"</definedName>
    <definedName function="false" hidden="false" name="FDD_48_9" vbProcedure="false">"A33969"</definedName>
    <definedName function="false" hidden="false" name="FDD_49_0" vbProcedure="false">"A30681"</definedName>
    <definedName function="false" hidden="false" name="FDD_49_1" vbProcedure="false">"A31047"</definedName>
    <definedName function="false" hidden="false" name="FDD_49_10" vbProcedure="false">"A34334"</definedName>
    <definedName function="false" hidden="false" name="FDD_49_11" vbProcedure="false">"A34699"</definedName>
    <definedName function="false" hidden="false" name="FDD_49_12" vbProcedure="false">"A35064"</definedName>
    <definedName function="false" hidden="false" name="FDD_49_13" vbProcedure="false">"A35430"</definedName>
    <definedName function="false" hidden="false" name="FDD_49_14" vbProcedure="false">"A35795"</definedName>
    <definedName function="false" hidden="false" name="FDD_49_2" vbProcedure="false">"A31412"</definedName>
    <definedName function="false" hidden="false" name="FDD_49_3" vbProcedure="false">"A31777"</definedName>
    <definedName function="false" hidden="false" name="FDD_49_4" vbProcedure="false">"A32142"</definedName>
    <definedName function="false" hidden="false" name="FDD_49_5" vbProcedure="false">"A32508"</definedName>
    <definedName function="false" hidden="false" name="FDD_49_6" vbProcedure="false">"A32873"</definedName>
    <definedName function="false" hidden="false" name="FDD_49_7" vbProcedure="false">"A33238"</definedName>
    <definedName function="false" hidden="false" name="FDD_49_8" vbProcedure="false">"A33603"</definedName>
    <definedName function="false" hidden="false" name="FDD_49_9" vbProcedure="false">"A33969"</definedName>
    <definedName function="false" hidden="false" name="FDD_4_0" vbProcedure="false">"A25569"</definedName>
    <definedName function="false" hidden="false" name="FDD_50_0" vbProcedure="false">"A30681"</definedName>
    <definedName function="false" hidden="false" name="FDD_50_1" vbProcedure="false">"A31047"</definedName>
    <definedName function="false" hidden="false" name="FDD_50_10" vbProcedure="false">"A34334"</definedName>
    <definedName function="false" hidden="false" name="FDD_50_11" vbProcedure="false">"A34699"</definedName>
    <definedName function="false" hidden="false" name="FDD_50_12" vbProcedure="false">"A35064"</definedName>
    <definedName function="false" hidden="false" name="FDD_50_13" vbProcedure="false">"A35430"</definedName>
    <definedName function="false" hidden="false" name="FDD_50_14" vbProcedure="false">"A35795"</definedName>
    <definedName function="false" hidden="false" name="FDD_50_2" vbProcedure="false">"A31412"</definedName>
    <definedName function="false" hidden="false" name="FDD_50_3" vbProcedure="false">"A31777"</definedName>
    <definedName function="false" hidden="false" name="FDD_50_4" vbProcedure="false">"A32142"</definedName>
    <definedName function="false" hidden="false" name="FDD_50_5" vbProcedure="false">"A32508"</definedName>
    <definedName function="false" hidden="false" name="FDD_50_6" vbProcedure="false">"A32873"</definedName>
    <definedName function="false" hidden="false" name="FDD_50_7" vbProcedure="false">"A33238"</definedName>
    <definedName function="false" hidden="false" name="FDD_50_8" vbProcedure="false">"A33603"</definedName>
    <definedName function="false" hidden="false" name="FDD_50_9" vbProcedure="false">"A33969"</definedName>
    <definedName function="false" hidden="false" name="FDD_51_0" vbProcedure="false">"A30681"</definedName>
    <definedName function="false" hidden="false" name="FDD_51_1" vbProcedure="false">"A31047"</definedName>
    <definedName function="false" hidden="false" name="FDD_51_10" vbProcedure="false">"A34334"</definedName>
    <definedName function="false" hidden="false" name="FDD_51_11" vbProcedure="false">"A34699"</definedName>
    <definedName function="false" hidden="false" name="FDD_51_12" vbProcedure="false">"A35064"</definedName>
    <definedName function="false" hidden="false" name="FDD_51_13" vbProcedure="false">"A35430"</definedName>
    <definedName function="false" hidden="false" name="FDD_51_14" vbProcedure="false">"A35795"</definedName>
    <definedName function="false" hidden="false" name="FDD_51_2" vbProcedure="false">"A31412"</definedName>
    <definedName function="false" hidden="false" name="FDD_51_3" vbProcedure="false">"A31777"</definedName>
    <definedName function="false" hidden="false" name="FDD_51_4" vbProcedure="false">"A32142"</definedName>
    <definedName function="false" hidden="false" name="FDD_51_5" vbProcedure="false">"A32508"</definedName>
    <definedName function="false" hidden="false" name="FDD_51_6" vbProcedure="false">"A32873"</definedName>
    <definedName function="false" hidden="false" name="FDD_51_7" vbProcedure="false">"A33238"</definedName>
    <definedName function="false" hidden="false" name="FDD_51_8" vbProcedure="false">"A33603"</definedName>
    <definedName function="false" hidden="false" name="FDD_51_9" vbProcedure="false">"A33969"</definedName>
    <definedName function="false" hidden="false" name="FDD_52_0" vbProcedure="false">"A30681"</definedName>
    <definedName function="false" hidden="false" name="FDD_52_1" vbProcedure="false">"A31047"</definedName>
    <definedName function="false" hidden="false" name="FDD_52_10" vbProcedure="false">"A34334"</definedName>
    <definedName function="false" hidden="false" name="FDD_52_11" vbProcedure="false">"A34699"</definedName>
    <definedName function="false" hidden="false" name="FDD_52_12" vbProcedure="false">"A35064"</definedName>
    <definedName function="false" hidden="false" name="FDD_52_13" vbProcedure="false">"A35430"</definedName>
    <definedName function="false" hidden="false" name="FDD_52_14" vbProcedure="false">"A35795"</definedName>
    <definedName function="false" hidden="false" name="FDD_52_2" vbProcedure="false">"A31412"</definedName>
    <definedName function="false" hidden="false" name="FDD_52_3" vbProcedure="false">"A31777"</definedName>
    <definedName function="false" hidden="false" name="FDD_52_4" vbProcedure="false">"A32142"</definedName>
    <definedName function="false" hidden="false" name="FDD_52_5" vbProcedure="false">"A32508"</definedName>
    <definedName function="false" hidden="false" name="FDD_52_6" vbProcedure="false">"A32873"</definedName>
    <definedName function="false" hidden="false" name="FDD_52_7" vbProcedure="false">"A33238"</definedName>
    <definedName function="false" hidden="false" name="FDD_52_8" vbProcedure="false">"A33603"</definedName>
    <definedName function="false" hidden="false" name="FDD_52_9" vbProcedure="false">"A33969"</definedName>
    <definedName function="false" hidden="false" name="FDD_53_0" vbProcedure="false">"U30681"</definedName>
    <definedName function="false" hidden="false" name="FDD_53_1" vbProcedure="false">"A31047"</definedName>
    <definedName function="false" hidden="false" name="FDD_53_10" vbProcedure="false">"A34334"</definedName>
    <definedName function="false" hidden="false" name="FDD_53_11" vbProcedure="false">"A34699"</definedName>
    <definedName function="false" hidden="false" name="FDD_53_12" vbProcedure="false">"A35064"</definedName>
    <definedName function="false" hidden="false" name="FDD_53_13" vbProcedure="false">"A35430"</definedName>
    <definedName function="false" hidden="false" name="FDD_53_14" vbProcedure="false">"A35795"</definedName>
    <definedName function="false" hidden="false" name="FDD_53_2" vbProcedure="false">"A31412"</definedName>
    <definedName function="false" hidden="false" name="FDD_53_3" vbProcedure="false">"A31777"</definedName>
    <definedName function="false" hidden="false" name="FDD_53_4" vbProcedure="false">"A32142"</definedName>
    <definedName function="false" hidden="false" name="FDD_53_5" vbProcedure="false">"A32508"</definedName>
    <definedName function="false" hidden="false" name="FDD_53_6" vbProcedure="false">"A32873"</definedName>
    <definedName function="false" hidden="false" name="FDD_53_7" vbProcedure="false">"A33238"</definedName>
    <definedName function="false" hidden="false" name="FDD_53_8" vbProcedure="false">"A33603"</definedName>
    <definedName function="false" hidden="false" name="FDD_53_9" vbProcedure="false">"A33969"</definedName>
    <definedName function="false" hidden="false" name="FDD_54_0" vbProcedure="false">"A30681"</definedName>
    <definedName function="false" hidden="false" name="FDD_54_1" vbProcedure="false">"A31047"</definedName>
    <definedName function="false" hidden="false" name="FDD_54_10" vbProcedure="false">"A34334"</definedName>
    <definedName function="false" hidden="false" name="FDD_54_11" vbProcedure="false">"A34699"</definedName>
    <definedName function="false" hidden="false" name="FDD_54_12" vbProcedure="false">"A35064"</definedName>
    <definedName function="false" hidden="false" name="FDD_54_13" vbProcedure="false">"A35430"</definedName>
    <definedName function="false" hidden="false" name="FDD_54_14" vbProcedure="false">"A35795"</definedName>
    <definedName function="false" hidden="false" name="FDD_54_2" vbProcedure="false">"A31412"</definedName>
    <definedName function="false" hidden="false" name="FDD_54_3" vbProcedure="false">"A31777"</definedName>
    <definedName function="false" hidden="false" name="FDD_54_4" vbProcedure="false">"A32142"</definedName>
    <definedName function="false" hidden="false" name="FDD_54_5" vbProcedure="false">"A32508"</definedName>
    <definedName function="false" hidden="false" name="FDD_54_6" vbProcedure="false">"A32873"</definedName>
    <definedName function="false" hidden="false" name="FDD_54_7" vbProcedure="false">"A33238"</definedName>
    <definedName function="false" hidden="false" name="FDD_54_8" vbProcedure="false">"A33603"</definedName>
    <definedName function="false" hidden="false" name="FDD_54_9" vbProcedure="false">"A33969"</definedName>
    <definedName function="false" hidden="false" name="FDD_55_0" vbProcedure="false">"A30681"</definedName>
    <definedName function="false" hidden="false" name="FDD_55_1" vbProcedure="false">"A31047"</definedName>
    <definedName function="false" hidden="false" name="FDD_55_10" vbProcedure="false">"A34334"</definedName>
    <definedName function="false" hidden="false" name="FDD_55_11" vbProcedure="false">"A34699"</definedName>
    <definedName function="false" hidden="false" name="FDD_55_12" vbProcedure="false">"A35064"</definedName>
    <definedName function="false" hidden="false" name="FDD_55_13" vbProcedure="false">"A35430"</definedName>
    <definedName function="false" hidden="false" name="FDD_55_14" vbProcedure="false">"A35795"</definedName>
    <definedName function="false" hidden="false" name="FDD_55_2" vbProcedure="false">"A31412"</definedName>
    <definedName function="false" hidden="false" name="FDD_55_3" vbProcedure="false">"A31777"</definedName>
    <definedName function="false" hidden="false" name="FDD_55_4" vbProcedure="false">"A32142"</definedName>
    <definedName function="false" hidden="false" name="FDD_55_5" vbProcedure="false">"A32508"</definedName>
    <definedName function="false" hidden="false" name="FDD_55_6" vbProcedure="false">"A32873"</definedName>
    <definedName function="false" hidden="false" name="FDD_55_7" vbProcedure="false">"A33238"</definedName>
    <definedName function="false" hidden="false" name="FDD_55_8" vbProcedure="false">"A33603"</definedName>
    <definedName function="false" hidden="false" name="FDD_55_9" vbProcedure="false">"A33969"</definedName>
    <definedName function="false" hidden="false" name="FDD_56_0" vbProcedure="false">"A30681"</definedName>
    <definedName function="false" hidden="false" name="FDD_56_1" vbProcedure="false">"A31047"</definedName>
    <definedName function="false" hidden="false" name="FDD_56_10" vbProcedure="false">"A34334"</definedName>
    <definedName function="false" hidden="false" name="FDD_56_11" vbProcedure="false">"A34699"</definedName>
    <definedName function="false" hidden="false" name="FDD_56_12" vbProcedure="false">"A35064"</definedName>
    <definedName function="false" hidden="false" name="FDD_56_13" vbProcedure="false">"A35430"</definedName>
    <definedName function="false" hidden="false" name="FDD_56_14" vbProcedure="false">"A35795"</definedName>
    <definedName function="false" hidden="false" name="FDD_56_2" vbProcedure="false">"A31412"</definedName>
    <definedName function="false" hidden="false" name="FDD_56_3" vbProcedure="false">"A31777"</definedName>
    <definedName function="false" hidden="false" name="FDD_56_4" vbProcedure="false">"A32142"</definedName>
    <definedName function="false" hidden="false" name="FDD_56_5" vbProcedure="false">"A32508"</definedName>
    <definedName function="false" hidden="false" name="FDD_56_6" vbProcedure="false">"A32873"</definedName>
    <definedName function="false" hidden="false" name="FDD_56_7" vbProcedure="false">"A33238"</definedName>
    <definedName function="false" hidden="false" name="FDD_56_8" vbProcedure="false">"A33603"</definedName>
    <definedName function="false" hidden="false" name="FDD_56_9" vbProcedure="false">"A33969"</definedName>
    <definedName function="false" hidden="false" name="FDD_57_0" vbProcedure="false">"A30681"</definedName>
    <definedName function="false" hidden="false" name="FDD_57_1" vbProcedure="false">"A31047"</definedName>
    <definedName function="false" hidden="false" name="FDD_57_10" vbProcedure="false">"A34334"</definedName>
    <definedName function="false" hidden="false" name="FDD_57_11" vbProcedure="false">"A34699"</definedName>
    <definedName function="false" hidden="false" name="FDD_57_12" vbProcedure="false">"A35064"</definedName>
    <definedName function="false" hidden="false" name="FDD_57_13" vbProcedure="false">"A35430"</definedName>
    <definedName function="false" hidden="false" name="FDD_57_14" vbProcedure="false">"A35795"</definedName>
    <definedName function="false" hidden="false" name="FDD_57_2" vbProcedure="false">"A31412"</definedName>
    <definedName function="false" hidden="false" name="FDD_57_3" vbProcedure="false">"A31777"</definedName>
    <definedName function="false" hidden="false" name="FDD_57_4" vbProcedure="false">"A32142"</definedName>
    <definedName function="false" hidden="false" name="FDD_57_5" vbProcedure="false">"A32508"</definedName>
    <definedName function="false" hidden="false" name="FDD_57_6" vbProcedure="false">"A32873"</definedName>
    <definedName function="false" hidden="false" name="FDD_57_7" vbProcedure="false">"A33238"</definedName>
    <definedName function="false" hidden="false" name="FDD_57_8" vbProcedure="false">"A33603"</definedName>
    <definedName function="false" hidden="false" name="FDD_57_9" vbProcedure="false">"A33969"</definedName>
    <definedName function="false" hidden="false" name="FDD_58_0" vbProcedure="false">"A30681"</definedName>
    <definedName function="false" hidden="false" name="FDD_58_1" vbProcedure="false">"A31047"</definedName>
    <definedName function="false" hidden="false" name="FDD_58_10" vbProcedure="false">"A34334"</definedName>
    <definedName function="false" hidden="false" name="FDD_58_11" vbProcedure="false">"A34699"</definedName>
    <definedName function="false" hidden="false" name="FDD_58_12" vbProcedure="false">"A35064"</definedName>
    <definedName function="false" hidden="false" name="FDD_58_13" vbProcedure="false">"A35430"</definedName>
    <definedName function="false" hidden="false" name="FDD_58_14" vbProcedure="false">"A35795"</definedName>
    <definedName function="false" hidden="false" name="FDD_58_2" vbProcedure="false">"A31412"</definedName>
    <definedName function="false" hidden="false" name="FDD_58_3" vbProcedure="false">"A31777"</definedName>
    <definedName function="false" hidden="false" name="FDD_58_4" vbProcedure="false">"A32142"</definedName>
    <definedName function="false" hidden="false" name="FDD_58_5" vbProcedure="false">"A32508"</definedName>
    <definedName function="false" hidden="false" name="FDD_58_6" vbProcedure="false">"A32873"</definedName>
    <definedName function="false" hidden="false" name="FDD_58_7" vbProcedure="false">"A33238"</definedName>
    <definedName function="false" hidden="false" name="FDD_58_8" vbProcedure="false">"A33603"</definedName>
    <definedName function="false" hidden="false" name="FDD_58_9" vbProcedure="false">"A33969"</definedName>
    <definedName function="false" hidden="false" name="FDD_59_0" vbProcedure="false">"A30681"</definedName>
    <definedName function="false" hidden="false" name="FDD_59_1" vbProcedure="false">"A31047"</definedName>
    <definedName function="false" hidden="false" name="FDD_59_10" vbProcedure="false">"A34334"</definedName>
    <definedName function="false" hidden="false" name="FDD_59_11" vbProcedure="false">"A34699"</definedName>
    <definedName function="false" hidden="false" name="FDD_59_12" vbProcedure="false">"A35064"</definedName>
    <definedName function="false" hidden="false" name="FDD_59_13" vbProcedure="false">"A35430"</definedName>
    <definedName function="false" hidden="false" name="FDD_59_14" vbProcedure="false">"A35795"</definedName>
    <definedName function="false" hidden="false" name="FDD_59_2" vbProcedure="false">"A31412"</definedName>
    <definedName function="false" hidden="false" name="FDD_59_3" vbProcedure="false">"A31777"</definedName>
    <definedName function="false" hidden="false" name="FDD_59_4" vbProcedure="false">"A32142"</definedName>
    <definedName function="false" hidden="false" name="FDD_59_5" vbProcedure="false">"A32508"</definedName>
    <definedName function="false" hidden="false" name="FDD_59_6" vbProcedure="false">"A32873"</definedName>
    <definedName function="false" hidden="false" name="FDD_59_7" vbProcedure="false">"A33238"</definedName>
    <definedName function="false" hidden="false" name="FDD_59_8" vbProcedure="false">"A33603"</definedName>
    <definedName function="false" hidden="false" name="FDD_59_9" vbProcedure="false">"A33969"</definedName>
    <definedName function="false" hidden="false" name="FDD_5_0" vbProcedure="false">"A25569"</definedName>
    <definedName function="false" hidden="false" name="FDD_60_0" vbProcedure="false">"A30681"</definedName>
    <definedName function="false" hidden="false" name="FDD_60_1" vbProcedure="false">"A31047"</definedName>
    <definedName function="false" hidden="false" name="FDD_60_10" vbProcedure="false">"A34334"</definedName>
    <definedName function="false" hidden="false" name="FDD_60_11" vbProcedure="false">"A34699"</definedName>
    <definedName function="false" hidden="false" name="FDD_60_12" vbProcedure="false">"A35064"</definedName>
    <definedName function="false" hidden="false" name="FDD_60_13" vbProcedure="false">"A35430"</definedName>
    <definedName function="false" hidden="false" name="FDD_60_14" vbProcedure="false">"A35795"</definedName>
    <definedName function="false" hidden="false" name="FDD_60_2" vbProcedure="false">"A31412"</definedName>
    <definedName function="false" hidden="false" name="FDD_60_3" vbProcedure="false">"A31777"</definedName>
    <definedName function="false" hidden="false" name="FDD_60_4" vbProcedure="false">"A32142"</definedName>
    <definedName function="false" hidden="false" name="FDD_60_5" vbProcedure="false">"A32508"</definedName>
    <definedName function="false" hidden="false" name="FDD_60_6" vbProcedure="false">"A32873"</definedName>
    <definedName function="false" hidden="false" name="FDD_60_7" vbProcedure="false">"A33238"</definedName>
    <definedName function="false" hidden="false" name="FDD_60_8" vbProcedure="false">"A33603"</definedName>
    <definedName function="false" hidden="false" name="FDD_60_9" vbProcedure="false">"A33969"</definedName>
    <definedName function="false" hidden="false" name="FDD_61_0" vbProcedure="false">"A30681"</definedName>
    <definedName function="false" hidden="false" name="FDD_61_1" vbProcedure="false">"A31047"</definedName>
    <definedName function="false" hidden="false" name="FDD_61_10" vbProcedure="false">"A34334"</definedName>
    <definedName function="false" hidden="false" name="FDD_61_11" vbProcedure="false">"A34699"</definedName>
    <definedName function="false" hidden="false" name="FDD_61_12" vbProcedure="false">"A35064"</definedName>
    <definedName function="false" hidden="false" name="FDD_61_13" vbProcedure="false">"A35430"</definedName>
    <definedName function="false" hidden="false" name="FDD_61_14" vbProcedure="false">"A35795"</definedName>
    <definedName function="false" hidden="false" name="FDD_61_2" vbProcedure="false">"A31412"</definedName>
    <definedName function="false" hidden="false" name="FDD_61_3" vbProcedure="false">"A31777"</definedName>
    <definedName function="false" hidden="false" name="FDD_61_4" vbProcedure="false">"A32142"</definedName>
    <definedName function="false" hidden="false" name="FDD_61_5" vbProcedure="false">"A32508"</definedName>
    <definedName function="false" hidden="false" name="FDD_61_6" vbProcedure="false">"A32873"</definedName>
    <definedName function="false" hidden="false" name="FDD_61_7" vbProcedure="false">"A33238"</definedName>
    <definedName function="false" hidden="false" name="FDD_61_8" vbProcedure="false">"A33603"</definedName>
    <definedName function="false" hidden="false" name="FDD_61_9" vbProcedure="false">"A33969"</definedName>
    <definedName function="false" hidden="false" name="FDD_62_0" vbProcedure="false">"A30681"</definedName>
    <definedName function="false" hidden="false" name="FDD_62_1" vbProcedure="false">"A31047"</definedName>
    <definedName function="false" hidden="false" name="FDD_62_10" vbProcedure="false">"A34334"</definedName>
    <definedName function="false" hidden="false" name="FDD_62_11" vbProcedure="false">"A34699"</definedName>
    <definedName function="false" hidden="false" name="FDD_62_12" vbProcedure="false">"A35064"</definedName>
    <definedName function="false" hidden="false" name="FDD_62_13" vbProcedure="false">"A35430"</definedName>
    <definedName function="false" hidden="false" name="FDD_62_14" vbProcedure="false">"A35795"</definedName>
    <definedName function="false" hidden="false" name="FDD_62_2" vbProcedure="false">"A31412"</definedName>
    <definedName function="false" hidden="false" name="FDD_62_3" vbProcedure="false">"A31777"</definedName>
    <definedName function="false" hidden="false" name="FDD_62_4" vbProcedure="false">"A32142"</definedName>
    <definedName function="false" hidden="false" name="FDD_62_5" vbProcedure="false">"A32508"</definedName>
    <definedName function="false" hidden="false" name="FDD_62_6" vbProcedure="false">"A32873"</definedName>
    <definedName function="false" hidden="false" name="FDD_62_7" vbProcedure="false">"A33238"</definedName>
    <definedName function="false" hidden="false" name="FDD_62_8" vbProcedure="false">"A33603"</definedName>
    <definedName function="false" hidden="false" name="FDD_62_9" vbProcedure="false">"A33969"</definedName>
    <definedName function="false" hidden="false" name="FDD_63_0" vbProcedure="false">"A30681"</definedName>
    <definedName function="false" hidden="false" name="FDD_63_1" vbProcedure="false">"A31047"</definedName>
    <definedName function="false" hidden="false" name="FDD_63_10" vbProcedure="false">"A34334"</definedName>
    <definedName function="false" hidden="false" name="FDD_63_11" vbProcedure="false">"A34699"</definedName>
    <definedName function="false" hidden="false" name="FDD_63_12" vbProcedure="false">"A35064"</definedName>
    <definedName function="false" hidden="false" name="FDD_63_13" vbProcedure="false">"A35430"</definedName>
    <definedName function="false" hidden="false" name="FDD_63_14" vbProcedure="false">"A35795"</definedName>
    <definedName function="false" hidden="false" name="FDD_63_2" vbProcedure="false">"A31412"</definedName>
    <definedName function="false" hidden="false" name="FDD_63_3" vbProcedure="false">"A31777"</definedName>
    <definedName function="false" hidden="false" name="FDD_63_4" vbProcedure="false">"A32142"</definedName>
    <definedName function="false" hidden="false" name="FDD_63_5" vbProcedure="false">"A32508"</definedName>
    <definedName function="false" hidden="false" name="FDD_63_6" vbProcedure="false">"A32873"</definedName>
    <definedName function="false" hidden="false" name="FDD_63_7" vbProcedure="false">"A33238"</definedName>
    <definedName function="false" hidden="false" name="FDD_63_8" vbProcedure="false">"A33603"</definedName>
    <definedName function="false" hidden="false" name="FDD_63_9" vbProcedure="false">"A33969"</definedName>
    <definedName function="false" hidden="false" name="FDD_64_0" vbProcedure="false">"A30681"</definedName>
    <definedName function="false" hidden="false" name="FDD_64_1" vbProcedure="false">"A31047"</definedName>
    <definedName function="false" hidden="false" name="FDD_64_10" vbProcedure="false">"A34334"</definedName>
    <definedName function="false" hidden="false" name="FDD_64_11" vbProcedure="false">"A34699"</definedName>
    <definedName function="false" hidden="false" name="FDD_64_12" vbProcedure="false">"A35064"</definedName>
    <definedName function="false" hidden="false" name="FDD_64_13" vbProcedure="false">"A35430"</definedName>
    <definedName function="false" hidden="false" name="FDD_64_14" vbProcedure="false">"A35795"</definedName>
    <definedName function="false" hidden="false" name="FDD_64_2" vbProcedure="false">"A31412"</definedName>
    <definedName function="false" hidden="false" name="FDD_64_3" vbProcedure="false">"A31777"</definedName>
    <definedName function="false" hidden="false" name="FDD_64_4" vbProcedure="false">"A32142"</definedName>
    <definedName function="false" hidden="false" name="FDD_64_5" vbProcedure="false">"A32508"</definedName>
    <definedName function="false" hidden="false" name="FDD_64_6" vbProcedure="false">"A32873"</definedName>
    <definedName function="false" hidden="false" name="FDD_64_7" vbProcedure="false">"A33238"</definedName>
    <definedName function="false" hidden="false" name="FDD_64_8" vbProcedure="false">"A33603"</definedName>
    <definedName function="false" hidden="false" name="FDD_64_9" vbProcedure="false">"A33969"</definedName>
    <definedName function="false" hidden="false" name="FDD_65_0" vbProcedure="false">"A30681"</definedName>
    <definedName function="false" hidden="false" name="FDD_65_1" vbProcedure="false">"A31047"</definedName>
    <definedName function="false" hidden="false" name="FDD_65_10" vbProcedure="false">"A34334"</definedName>
    <definedName function="false" hidden="false" name="FDD_65_11" vbProcedure="false">"A34699"</definedName>
    <definedName function="false" hidden="false" name="FDD_65_12" vbProcedure="false">"A35064"</definedName>
    <definedName function="false" hidden="false" name="FDD_65_13" vbProcedure="false">"A35430"</definedName>
    <definedName function="false" hidden="false" name="FDD_65_14" vbProcedure="false">"A35795"</definedName>
    <definedName function="false" hidden="false" name="FDD_65_2" vbProcedure="false">"A31412"</definedName>
    <definedName function="false" hidden="false" name="FDD_65_3" vbProcedure="false">"A31777"</definedName>
    <definedName function="false" hidden="false" name="FDD_65_4" vbProcedure="false">"A32142"</definedName>
    <definedName function="false" hidden="false" name="FDD_65_5" vbProcedure="false">"A32508"</definedName>
    <definedName function="false" hidden="false" name="FDD_65_6" vbProcedure="false">"A32873"</definedName>
    <definedName function="false" hidden="false" name="FDD_65_7" vbProcedure="false">"A33238"</definedName>
    <definedName function="false" hidden="false" name="FDD_65_8" vbProcedure="false">"A33603"</definedName>
    <definedName function="false" hidden="false" name="FDD_65_9" vbProcedure="false">"A33969"</definedName>
    <definedName function="false" hidden="false" name="FDD_66_0" vbProcedure="false">"A30681"</definedName>
    <definedName function="false" hidden="false" name="FDD_66_1" vbProcedure="false">"A31047"</definedName>
    <definedName function="false" hidden="false" name="FDD_66_10" vbProcedure="false">"A34334"</definedName>
    <definedName function="false" hidden="false" name="FDD_66_11" vbProcedure="false">"A34699"</definedName>
    <definedName function="false" hidden="false" name="FDD_66_12" vbProcedure="false">"A35064"</definedName>
    <definedName function="false" hidden="false" name="FDD_66_13" vbProcedure="false">"A35430"</definedName>
    <definedName function="false" hidden="false" name="FDD_66_14" vbProcedure="false">"A35795"</definedName>
    <definedName function="false" hidden="false" name="FDD_66_2" vbProcedure="false">"A31412"</definedName>
    <definedName function="false" hidden="false" name="FDD_66_3" vbProcedure="false">"A31777"</definedName>
    <definedName function="false" hidden="false" name="FDD_66_4" vbProcedure="false">"A32142"</definedName>
    <definedName function="false" hidden="false" name="FDD_66_5" vbProcedure="false">"A32508"</definedName>
    <definedName function="false" hidden="false" name="FDD_66_6" vbProcedure="false">"A32873"</definedName>
    <definedName function="false" hidden="false" name="FDD_66_7" vbProcedure="false">"A33238"</definedName>
    <definedName function="false" hidden="false" name="FDD_66_8" vbProcedure="false">"A33603"</definedName>
    <definedName function="false" hidden="false" name="FDD_66_9" vbProcedure="false">"A33969"</definedName>
    <definedName function="false" hidden="false" name="FDD_67_0" vbProcedure="false">"A30681"</definedName>
    <definedName function="false" hidden="false" name="FDD_67_1" vbProcedure="false">"A31047"</definedName>
    <definedName function="false" hidden="false" name="FDD_67_10" vbProcedure="false">"A34334"</definedName>
    <definedName function="false" hidden="false" name="FDD_67_11" vbProcedure="false">"A34699"</definedName>
    <definedName function="false" hidden="false" name="FDD_67_12" vbProcedure="false">"A35064"</definedName>
    <definedName function="false" hidden="false" name="FDD_67_13" vbProcedure="false">"A35430"</definedName>
    <definedName function="false" hidden="false" name="FDD_67_14" vbProcedure="false">"A35795"</definedName>
    <definedName function="false" hidden="false" name="FDD_67_2" vbProcedure="false">"A31412"</definedName>
    <definedName function="false" hidden="false" name="FDD_67_3" vbProcedure="false">"A31777"</definedName>
    <definedName function="false" hidden="false" name="FDD_67_4" vbProcedure="false">"A32142"</definedName>
    <definedName function="false" hidden="false" name="FDD_67_5" vbProcedure="false">"A32508"</definedName>
    <definedName function="false" hidden="false" name="FDD_67_6" vbProcedure="false">"A32873"</definedName>
    <definedName function="false" hidden="false" name="FDD_67_7" vbProcedure="false">"A33238"</definedName>
    <definedName function="false" hidden="false" name="FDD_67_8" vbProcedure="false">"A33603"</definedName>
    <definedName function="false" hidden="false" name="FDD_67_9" vbProcedure="false">"A33969"</definedName>
    <definedName function="false" hidden="false" name="FDD_68_0" vbProcedure="false">"A30681"</definedName>
    <definedName function="false" hidden="false" name="FDD_68_1" vbProcedure="false">"A31047"</definedName>
    <definedName function="false" hidden="false" name="FDD_68_10" vbProcedure="false">"A34334"</definedName>
    <definedName function="false" hidden="false" name="FDD_68_11" vbProcedure="false">"A34699"</definedName>
    <definedName function="false" hidden="false" name="FDD_68_12" vbProcedure="false">"A35064"</definedName>
    <definedName function="false" hidden="false" name="FDD_68_13" vbProcedure="false">"A35430"</definedName>
    <definedName function="false" hidden="false" name="FDD_68_14" vbProcedure="false">"A35795"</definedName>
    <definedName function="false" hidden="false" name="FDD_68_2" vbProcedure="false">"A31412"</definedName>
    <definedName function="false" hidden="false" name="FDD_68_3" vbProcedure="false">"A31777"</definedName>
    <definedName function="false" hidden="false" name="FDD_68_4" vbProcedure="false">"A32142"</definedName>
    <definedName function="false" hidden="false" name="FDD_68_5" vbProcedure="false">"A32508"</definedName>
    <definedName function="false" hidden="false" name="FDD_68_6" vbProcedure="false">"A32873"</definedName>
    <definedName function="false" hidden="false" name="FDD_68_7" vbProcedure="false">"A33238"</definedName>
    <definedName function="false" hidden="false" name="FDD_68_8" vbProcedure="false">"A33603"</definedName>
    <definedName function="false" hidden="false" name="FDD_68_9" vbProcedure="false">"A33969"</definedName>
    <definedName function="false" hidden="false" name="FDD_69_0" vbProcedure="false">"U30681"</definedName>
    <definedName function="false" hidden="false" name="FDD_69_1" vbProcedure="false">"A31047"</definedName>
    <definedName function="false" hidden="false" name="FDD_69_10" vbProcedure="false">"A34334"</definedName>
    <definedName function="false" hidden="false" name="FDD_69_11" vbProcedure="false">"A34699"</definedName>
    <definedName function="false" hidden="false" name="FDD_69_12" vbProcedure="false">"A35064"</definedName>
    <definedName function="false" hidden="false" name="FDD_69_13" vbProcedure="false">"A35430"</definedName>
    <definedName function="false" hidden="false" name="FDD_69_14" vbProcedure="false">"A35795"</definedName>
    <definedName function="false" hidden="false" name="FDD_69_2" vbProcedure="false">"A31412"</definedName>
    <definedName function="false" hidden="false" name="FDD_69_3" vbProcedure="false">"A31777"</definedName>
    <definedName function="false" hidden="false" name="FDD_69_4" vbProcedure="false">"A32142"</definedName>
    <definedName function="false" hidden="false" name="FDD_69_5" vbProcedure="false">"A32508"</definedName>
    <definedName function="false" hidden="false" name="FDD_69_6" vbProcedure="false">"A32873"</definedName>
    <definedName function="false" hidden="false" name="FDD_69_7" vbProcedure="false">"A33238"</definedName>
    <definedName function="false" hidden="false" name="FDD_69_8" vbProcedure="false">"A33603"</definedName>
    <definedName function="false" hidden="false" name="FDD_69_9" vbProcedure="false">"A33969"</definedName>
    <definedName function="false" hidden="false" name="FDD_6_0" vbProcedure="false">"A25569"</definedName>
    <definedName function="false" hidden="false" name="FDD_70_0" vbProcedure="false">"A30681"</definedName>
    <definedName function="false" hidden="false" name="FDD_70_1" vbProcedure="false">"A31047"</definedName>
    <definedName function="false" hidden="false" name="FDD_70_10" vbProcedure="false">"A34334"</definedName>
    <definedName function="false" hidden="false" name="FDD_70_11" vbProcedure="false">"A34699"</definedName>
    <definedName function="false" hidden="false" name="FDD_70_12" vbProcedure="false">"A35064"</definedName>
    <definedName function="false" hidden="false" name="FDD_70_13" vbProcedure="false">"A35430"</definedName>
    <definedName function="false" hidden="false" name="FDD_70_14" vbProcedure="false">"A35795"</definedName>
    <definedName function="false" hidden="false" name="FDD_70_2" vbProcedure="false">"A31412"</definedName>
    <definedName function="false" hidden="false" name="FDD_70_3" vbProcedure="false">"A31777"</definedName>
    <definedName function="false" hidden="false" name="FDD_70_4" vbProcedure="false">"A32142"</definedName>
    <definedName function="false" hidden="false" name="FDD_70_5" vbProcedure="false">"A32508"</definedName>
    <definedName function="false" hidden="false" name="FDD_70_6" vbProcedure="false">"A32873"</definedName>
    <definedName function="false" hidden="false" name="FDD_70_7" vbProcedure="false">"A33238"</definedName>
    <definedName function="false" hidden="false" name="FDD_70_8" vbProcedure="false">"A33603"</definedName>
    <definedName function="false" hidden="false" name="FDD_70_9" vbProcedure="false">"A33969"</definedName>
    <definedName function="false" hidden="false" name="FDD_71_0" vbProcedure="false">"A30681"</definedName>
    <definedName function="false" hidden="false" name="FDD_71_1" vbProcedure="false">"A31047"</definedName>
    <definedName function="false" hidden="false" name="FDD_71_10" vbProcedure="false">"A34334"</definedName>
    <definedName function="false" hidden="false" name="FDD_71_11" vbProcedure="false">"A34699"</definedName>
    <definedName function="false" hidden="false" name="FDD_71_12" vbProcedure="false">"A35064"</definedName>
    <definedName function="false" hidden="false" name="FDD_71_13" vbProcedure="false">"A35430"</definedName>
    <definedName function="false" hidden="false" name="FDD_71_14" vbProcedure="false">"A35795"</definedName>
    <definedName function="false" hidden="false" name="FDD_71_2" vbProcedure="false">"A31412"</definedName>
    <definedName function="false" hidden="false" name="FDD_71_3" vbProcedure="false">"A31777"</definedName>
    <definedName function="false" hidden="false" name="FDD_71_4" vbProcedure="false">"A32142"</definedName>
    <definedName function="false" hidden="false" name="FDD_71_5" vbProcedure="false">"A32508"</definedName>
    <definedName function="false" hidden="false" name="FDD_71_6" vbProcedure="false">"A32873"</definedName>
    <definedName function="false" hidden="false" name="FDD_71_7" vbProcedure="false">"A33238"</definedName>
    <definedName function="false" hidden="false" name="FDD_71_8" vbProcedure="false">"A33603"</definedName>
    <definedName function="false" hidden="false" name="FDD_71_9" vbProcedure="false">"A33969"</definedName>
    <definedName function="false" hidden="false" name="FDD_72_0" vbProcedure="false">"A30681"</definedName>
    <definedName function="false" hidden="false" name="FDD_72_1" vbProcedure="false">"A31047"</definedName>
    <definedName function="false" hidden="false" name="FDD_72_10" vbProcedure="false">"A34334"</definedName>
    <definedName function="false" hidden="false" name="FDD_72_11" vbProcedure="false">"A34699"</definedName>
    <definedName function="false" hidden="false" name="FDD_72_12" vbProcedure="false">"A35064"</definedName>
    <definedName function="false" hidden="false" name="FDD_72_13" vbProcedure="false">"A35430"</definedName>
    <definedName function="false" hidden="false" name="FDD_72_14" vbProcedure="false">"A35795"</definedName>
    <definedName function="false" hidden="false" name="FDD_72_2" vbProcedure="false">"A31412"</definedName>
    <definedName function="false" hidden="false" name="FDD_72_3" vbProcedure="false">"A31777"</definedName>
    <definedName function="false" hidden="false" name="FDD_72_4" vbProcedure="false">"A32142"</definedName>
    <definedName function="false" hidden="false" name="FDD_72_5" vbProcedure="false">"A32508"</definedName>
    <definedName function="false" hidden="false" name="FDD_72_6" vbProcedure="false">"A32873"</definedName>
    <definedName function="false" hidden="false" name="FDD_72_7" vbProcedure="false">"A33238"</definedName>
    <definedName function="false" hidden="false" name="FDD_72_8" vbProcedure="false">"A33603"</definedName>
    <definedName function="false" hidden="false" name="FDD_72_9" vbProcedure="false">"A33969"</definedName>
    <definedName function="false" hidden="false" name="FDD_73_0" vbProcedure="false">"A30681"</definedName>
    <definedName function="false" hidden="false" name="FDD_73_1" vbProcedure="false">"A31047"</definedName>
    <definedName function="false" hidden="false" name="FDD_73_10" vbProcedure="false">"A34334"</definedName>
    <definedName function="false" hidden="false" name="FDD_73_11" vbProcedure="false">"A34699"</definedName>
    <definedName function="false" hidden="false" name="FDD_73_12" vbProcedure="false">"A35064"</definedName>
    <definedName function="false" hidden="false" name="FDD_73_13" vbProcedure="false">"A35430"</definedName>
    <definedName function="false" hidden="false" name="FDD_73_14" vbProcedure="false">"A35795"</definedName>
    <definedName function="false" hidden="false" name="FDD_73_2" vbProcedure="false">"A31412"</definedName>
    <definedName function="false" hidden="false" name="FDD_73_3" vbProcedure="false">"A31777"</definedName>
    <definedName function="false" hidden="false" name="FDD_73_4" vbProcedure="false">"A32142"</definedName>
    <definedName function="false" hidden="false" name="FDD_73_5" vbProcedure="false">"A32508"</definedName>
    <definedName function="false" hidden="false" name="FDD_73_6" vbProcedure="false">"A32873"</definedName>
    <definedName function="false" hidden="false" name="FDD_73_7" vbProcedure="false">"A33238"</definedName>
    <definedName function="false" hidden="false" name="FDD_73_8" vbProcedure="false">"A33603"</definedName>
    <definedName function="false" hidden="false" name="FDD_73_9" vbProcedure="false">"A33969"</definedName>
    <definedName function="false" hidden="false" name="FDD_74_0" vbProcedure="false">"A30681"</definedName>
    <definedName function="false" hidden="false" name="FDD_74_1" vbProcedure="false">"A31047"</definedName>
    <definedName function="false" hidden="false" name="FDD_74_10" vbProcedure="false">"A34334"</definedName>
    <definedName function="false" hidden="false" name="FDD_74_11" vbProcedure="false">"A34699"</definedName>
    <definedName function="false" hidden="false" name="FDD_74_12" vbProcedure="false">"A35064"</definedName>
    <definedName function="false" hidden="false" name="FDD_74_13" vbProcedure="false">"A35430"</definedName>
    <definedName function="false" hidden="false" name="FDD_74_14" vbProcedure="false">"A35795"</definedName>
    <definedName function="false" hidden="false" name="FDD_74_2" vbProcedure="false">"A31412"</definedName>
    <definedName function="false" hidden="false" name="FDD_74_3" vbProcedure="false">"A31777"</definedName>
    <definedName function="false" hidden="false" name="FDD_74_4" vbProcedure="false">"A32142"</definedName>
    <definedName function="false" hidden="false" name="FDD_74_5" vbProcedure="false">"A32508"</definedName>
    <definedName function="false" hidden="false" name="FDD_74_6" vbProcedure="false">"A32873"</definedName>
    <definedName function="false" hidden="false" name="FDD_74_7" vbProcedure="false">"A33238"</definedName>
    <definedName function="false" hidden="false" name="FDD_74_8" vbProcedure="false">"A33603"</definedName>
    <definedName function="false" hidden="false" name="FDD_74_9" vbProcedure="false">"A33969"</definedName>
    <definedName function="false" hidden="false" name="FDD_75_0" vbProcedure="false">"A30681"</definedName>
    <definedName function="false" hidden="false" name="FDD_75_1" vbProcedure="false">"A31047"</definedName>
    <definedName function="false" hidden="false" name="FDD_75_10" vbProcedure="false">"A34334"</definedName>
    <definedName function="false" hidden="false" name="FDD_75_11" vbProcedure="false">"A34699"</definedName>
    <definedName function="false" hidden="false" name="FDD_75_12" vbProcedure="false">"A35064"</definedName>
    <definedName function="false" hidden="false" name="FDD_75_13" vbProcedure="false">"A35430"</definedName>
    <definedName function="false" hidden="false" name="FDD_75_14" vbProcedure="false">"A35795"</definedName>
    <definedName function="false" hidden="false" name="FDD_75_2" vbProcedure="false">"A31412"</definedName>
    <definedName function="false" hidden="false" name="FDD_75_3" vbProcedure="false">"A31777"</definedName>
    <definedName function="false" hidden="false" name="FDD_75_4" vbProcedure="false">"A32142"</definedName>
    <definedName function="false" hidden="false" name="FDD_75_5" vbProcedure="false">"A32508"</definedName>
    <definedName function="false" hidden="false" name="FDD_75_6" vbProcedure="false">"A32873"</definedName>
    <definedName function="false" hidden="false" name="FDD_75_7" vbProcedure="false">"A33238"</definedName>
    <definedName function="false" hidden="false" name="FDD_75_8" vbProcedure="false">"A33603"</definedName>
    <definedName function="false" hidden="false" name="FDD_75_9" vbProcedure="false">"A33969"</definedName>
    <definedName function="false" hidden="false" name="FDD_76_0" vbProcedure="false">"A30681"</definedName>
    <definedName function="false" hidden="false" name="FDD_76_1" vbProcedure="false">"A31047"</definedName>
    <definedName function="false" hidden="false" name="FDD_76_10" vbProcedure="false">"A34334"</definedName>
    <definedName function="false" hidden="false" name="FDD_76_11" vbProcedure="false">"A34699"</definedName>
    <definedName function="false" hidden="false" name="FDD_76_12" vbProcedure="false">"A35064"</definedName>
    <definedName function="false" hidden="false" name="FDD_76_13" vbProcedure="false">"A35430"</definedName>
    <definedName function="false" hidden="false" name="FDD_76_14" vbProcedure="false">"A35795"</definedName>
    <definedName function="false" hidden="false" name="FDD_76_2" vbProcedure="false">"A31412"</definedName>
    <definedName function="false" hidden="false" name="FDD_76_3" vbProcedure="false">"A31777"</definedName>
    <definedName function="false" hidden="false" name="FDD_76_4" vbProcedure="false">"A32142"</definedName>
    <definedName function="false" hidden="false" name="FDD_76_5" vbProcedure="false">"A32508"</definedName>
    <definedName function="false" hidden="false" name="FDD_76_6" vbProcedure="false">"A32873"</definedName>
    <definedName function="false" hidden="false" name="FDD_76_7" vbProcedure="false">"A33238"</definedName>
    <definedName function="false" hidden="false" name="FDD_76_8" vbProcedure="false">"A33603"</definedName>
    <definedName function="false" hidden="false" name="FDD_76_9" vbProcedure="false">"A33969"</definedName>
    <definedName function="false" hidden="false" name="FDD_77_0" vbProcedure="false">"A30681"</definedName>
    <definedName function="false" hidden="false" name="FDD_77_1" vbProcedure="false">"A31047"</definedName>
    <definedName function="false" hidden="false" name="FDD_77_10" vbProcedure="false">"A34334"</definedName>
    <definedName function="false" hidden="false" name="FDD_77_11" vbProcedure="false">"A34699"</definedName>
    <definedName function="false" hidden="false" name="FDD_77_12" vbProcedure="false">"A35064"</definedName>
    <definedName function="false" hidden="false" name="FDD_77_13" vbProcedure="false">"A35430"</definedName>
    <definedName function="false" hidden="false" name="FDD_77_14" vbProcedure="false">"A35795"</definedName>
    <definedName function="false" hidden="false" name="FDD_77_2" vbProcedure="false">"A31412"</definedName>
    <definedName function="false" hidden="false" name="FDD_77_3" vbProcedure="false">"A31777"</definedName>
    <definedName function="false" hidden="false" name="FDD_77_4" vbProcedure="false">"A32142"</definedName>
    <definedName function="false" hidden="false" name="FDD_77_5" vbProcedure="false">"A32508"</definedName>
    <definedName function="false" hidden="false" name="FDD_77_6" vbProcedure="false">"A32873"</definedName>
    <definedName function="false" hidden="false" name="FDD_77_7" vbProcedure="false">"A33238"</definedName>
    <definedName function="false" hidden="false" name="FDD_77_8" vbProcedure="false">"A33603"</definedName>
    <definedName function="false" hidden="false" name="FDD_77_9" vbProcedure="false">"A33969"</definedName>
    <definedName function="false" hidden="false" name="FDD_78_0" vbProcedure="false">"A30681"</definedName>
    <definedName function="false" hidden="false" name="FDD_78_1" vbProcedure="false">"A31047"</definedName>
    <definedName function="false" hidden="false" name="FDD_78_10" vbProcedure="false">"A34334"</definedName>
    <definedName function="false" hidden="false" name="FDD_78_11" vbProcedure="false">"A34699"</definedName>
    <definedName function="false" hidden="false" name="FDD_78_12" vbProcedure="false">"A35064"</definedName>
    <definedName function="false" hidden="false" name="FDD_78_13" vbProcedure="false">"A35430"</definedName>
    <definedName function="false" hidden="false" name="FDD_78_14" vbProcedure="false">"A35795"</definedName>
    <definedName function="false" hidden="false" name="FDD_78_2" vbProcedure="false">"A31412"</definedName>
    <definedName function="false" hidden="false" name="FDD_78_3" vbProcedure="false">"A31777"</definedName>
    <definedName function="false" hidden="false" name="FDD_78_4" vbProcedure="false">"A32142"</definedName>
    <definedName function="false" hidden="false" name="FDD_78_5" vbProcedure="false">"A32508"</definedName>
    <definedName function="false" hidden="false" name="FDD_78_6" vbProcedure="false">"A32873"</definedName>
    <definedName function="false" hidden="false" name="FDD_78_7" vbProcedure="false">"A33238"</definedName>
    <definedName function="false" hidden="false" name="FDD_78_8" vbProcedure="false">"A33603"</definedName>
    <definedName function="false" hidden="false" name="FDD_78_9" vbProcedure="false">"A33969"</definedName>
    <definedName function="false" hidden="false" name="FDD_79_0" vbProcedure="false">"A30681"</definedName>
    <definedName function="false" hidden="false" name="FDD_79_1" vbProcedure="false">"A31047"</definedName>
    <definedName function="false" hidden="false" name="FDD_79_10" vbProcedure="false">"A34334"</definedName>
    <definedName function="false" hidden="false" name="FDD_79_11" vbProcedure="false">"A34699"</definedName>
    <definedName function="false" hidden="false" name="FDD_79_12" vbProcedure="false">"A35064"</definedName>
    <definedName function="false" hidden="false" name="FDD_79_13" vbProcedure="false">"A35430"</definedName>
    <definedName function="false" hidden="false" name="FDD_79_14" vbProcedure="false">"A35795"</definedName>
    <definedName function="false" hidden="false" name="FDD_79_2" vbProcedure="false">"A31412"</definedName>
    <definedName function="false" hidden="false" name="FDD_79_3" vbProcedure="false">"A31777"</definedName>
    <definedName function="false" hidden="false" name="FDD_79_4" vbProcedure="false">"A32142"</definedName>
    <definedName function="false" hidden="false" name="FDD_79_5" vbProcedure="false">"A32508"</definedName>
    <definedName function="false" hidden="false" name="FDD_79_6" vbProcedure="false">"A32873"</definedName>
    <definedName function="false" hidden="false" name="FDD_79_7" vbProcedure="false">"A33238"</definedName>
    <definedName function="false" hidden="false" name="FDD_79_8" vbProcedure="false">"A33603"</definedName>
    <definedName function="false" hidden="false" name="FDD_79_9" vbProcedure="false">"A33969"</definedName>
    <definedName function="false" hidden="false" name="FDD_7_0" vbProcedure="false">"A25569"</definedName>
    <definedName function="false" hidden="false" name="FDD_80_0" vbProcedure="false">"A30681"</definedName>
    <definedName function="false" hidden="false" name="FDD_80_1" vbProcedure="false">"A31047"</definedName>
    <definedName function="false" hidden="false" name="FDD_80_10" vbProcedure="false">"A34334"</definedName>
    <definedName function="false" hidden="false" name="FDD_80_11" vbProcedure="false">"A34699"</definedName>
    <definedName function="false" hidden="false" name="FDD_80_12" vbProcedure="false">"A35064"</definedName>
    <definedName function="false" hidden="false" name="FDD_80_13" vbProcedure="false">"A35430"</definedName>
    <definedName function="false" hidden="false" name="FDD_80_14" vbProcedure="false">"A35795"</definedName>
    <definedName function="false" hidden="false" name="FDD_80_2" vbProcedure="false">"A31412"</definedName>
    <definedName function="false" hidden="false" name="FDD_80_3" vbProcedure="false">"A31777"</definedName>
    <definedName function="false" hidden="false" name="FDD_80_4" vbProcedure="false">"A32142"</definedName>
    <definedName function="false" hidden="false" name="FDD_80_5" vbProcedure="false">"A32508"</definedName>
    <definedName function="false" hidden="false" name="FDD_80_6" vbProcedure="false">"A32873"</definedName>
    <definedName function="false" hidden="false" name="FDD_80_7" vbProcedure="false">"A33238"</definedName>
    <definedName function="false" hidden="false" name="FDD_80_8" vbProcedure="false">"A33603"</definedName>
    <definedName function="false" hidden="false" name="FDD_80_9" vbProcedure="false">"A33969"</definedName>
    <definedName function="false" hidden="false" name="FDD_81_0" vbProcedure="false">"A30681"</definedName>
    <definedName function="false" hidden="false" name="FDD_81_1" vbProcedure="false">"A31047"</definedName>
    <definedName function="false" hidden="false" name="FDD_81_10" vbProcedure="false">"A34334"</definedName>
    <definedName function="false" hidden="false" name="FDD_81_11" vbProcedure="false">"A34699"</definedName>
    <definedName function="false" hidden="false" name="FDD_81_12" vbProcedure="false">"A35064"</definedName>
    <definedName function="false" hidden="false" name="FDD_81_13" vbProcedure="false">"A35430"</definedName>
    <definedName function="false" hidden="false" name="FDD_81_14" vbProcedure="false">"A35795"</definedName>
    <definedName function="false" hidden="false" name="FDD_81_2" vbProcedure="false">"A31412"</definedName>
    <definedName function="false" hidden="false" name="FDD_81_3" vbProcedure="false">"A31777"</definedName>
    <definedName function="false" hidden="false" name="FDD_81_4" vbProcedure="false">"A32142"</definedName>
    <definedName function="false" hidden="false" name="FDD_81_5" vbProcedure="false">"A32508"</definedName>
    <definedName function="false" hidden="false" name="FDD_81_6" vbProcedure="false">"A32873"</definedName>
    <definedName function="false" hidden="false" name="FDD_81_7" vbProcedure="false">"A33238"</definedName>
    <definedName function="false" hidden="false" name="FDD_81_8" vbProcedure="false">"A33603"</definedName>
    <definedName function="false" hidden="false" name="FDD_81_9" vbProcedure="false">"A33969"</definedName>
    <definedName function="false" hidden="false" name="FDD_82_0" vbProcedure="false">"A30681"</definedName>
    <definedName function="false" hidden="false" name="FDD_82_1" vbProcedure="false">"A31047"</definedName>
    <definedName function="false" hidden="false" name="FDD_82_10" vbProcedure="false">"A34334"</definedName>
    <definedName function="false" hidden="false" name="FDD_82_11" vbProcedure="false">"A34699"</definedName>
    <definedName function="false" hidden="false" name="FDD_82_12" vbProcedure="false">"A35064"</definedName>
    <definedName function="false" hidden="false" name="FDD_82_13" vbProcedure="false">"A35430"</definedName>
    <definedName function="false" hidden="false" name="FDD_82_14" vbProcedure="false">"A35795"</definedName>
    <definedName function="false" hidden="false" name="FDD_82_2" vbProcedure="false">"A31412"</definedName>
    <definedName function="false" hidden="false" name="FDD_82_3" vbProcedure="false">"A31777"</definedName>
    <definedName function="false" hidden="false" name="FDD_82_4" vbProcedure="false">"A32142"</definedName>
    <definedName function="false" hidden="false" name="FDD_82_5" vbProcedure="false">"A32508"</definedName>
    <definedName function="false" hidden="false" name="FDD_82_6" vbProcedure="false">"A32873"</definedName>
    <definedName function="false" hidden="false" name="FDD_82_7" vbProcedure="false">"A33238"</definedName>
    <definedName function="false" hidden="false" name="FDD_82_8" vbProcedure="false">"A33603"</definedName>
    <definedName function="false" hidden="false" name="FDD_82_9" vbProcedure="false">"A33969"</definedName>
    <definedName function="false" hidden="false" name="FDD_83_0" vbProcedure="false">"A30681"</definedName>
    <definedName function="false" hidden="false" name="FDD_83_1" vbProcedure="false">"A31047"</definedName>
    <definedName function="false" hidden="false" name="FDD_83_10" vbProcedure="false">"A34334"</definedName>
    <definedName function="false" hidden="false" name="FDD_83_11" vbProcedure="false">"A34699"</definedName>
    <definedName function="false" hidden="false" name="FDD_83_12" vbProcedure="false">"A35064"</definedName>
    <definedName function="false" hidden="false" name="FDD_83_13" vbProcedure="false">"A35430"</definedName>
    <definedName function="false" hidden="false" name="FDD_83_14" vbProcedure="false">"A35795"</definedName>
    <definedName function="false" hidden="false" name="FDD_83_2" vbProcedure="false">"A31412"</definedName>
    <definedName function="false" hidden="false" name="FDD_83_3" vbProcedure="false">"A31777"</definedName>
    <definedName function="false" hidden="false" name="FDD_83_4" vbProcedure="false">"A32142"</definedName>
    <definedName function="false" hidden="false" name="FDD_83_5" vbProcedure="false">"A32508"</definedName>
    <definedName function="false" hidden="false" name="FDD_83_6" vbProcedure="false">"A32873"</definedName>
    <definedName function="false" hidden="false" name="FDD_83_7" vbProcedure="false">"A33238"</definedName>
    <definedName function="false" hidden="false" name="FDD_83_8" vbProcedure="false">"A33603"</definedName>
    <definedName function="false" hidden="false" name="FDD_83_9" vbProcedure="false">"A33969"</definedName>
    <definedName function="false" hidden="false" name="FDD_84_0" vbProcedure="false">"A30681"</definedName>
    <definedName function="false" hidden="false" name="FDD_84_1" vbProcedure="false">"A31047"</definedName>
    <definedName function="false" hidden="false" name="FDD_84_10" vbProcedure="false">"A34334"</definedName>
    <definedName function="false" hidden="false" name="FDD_84_11" vbProcedure="false">"A34699"</definedName>
    <definedName function="false" hidden="false" name="FDD_84_12" vbProcedure="false">"A35064"</definedName>
    <definedName function="false" hidden="false" name="FDD_84_13" vbProcedure="false">"A35430"</definedName>
    <definedName function="false" hidden="false" name="FDD_84_14" vbProcedure="false">"A35795"</definedName>
    <definedName function="false" hidden="false" name="FDD_84_2" vbProcedure="false">"A31412"</definedName>
    <definedName function="false" hidden="false" name="FDD_84_3" vbProcedure="false">"A31777"</definedName>
    <definedName function="false" hidden="false" name="FDD_84_4" vbProcedure="false">"A32142"</definedName>
    <definedName function="false" hidden="false" name="FDD_84_5" vbProcedure="false">"A32508"</definedName>
    <definedName function="false" hidden="false" name="FDD_84_6" vbProcedure="false">"A32873"</definedName>
    <definedName function="false" hidden="false" name="FDD_84_7" vbProcedure="false">"A33238"</definedName>
    <definedName function="false" hidden="false" name="FDD_84_8" vbProcedure="false">"A33603"</definedName>
    <definedName function="false" hidden="false" name="FDD_84_9" vbProcedure="false">"A33969"</definedName>
    <definedName function="false" hidden="false" name="FDD_85_0" vbProcedure="false">"A30681"</definedName>
    <definedName function="false" hidden="false" name="FDD_85_1" vbProcedure="false">"A31047"</definedName>
    <definedName function="false" hidden="false" name="FDD_85_10" vbProcedure="false">"A34334"</definedName>
    <definedName function="false" hidden="false" name="FDD_85_11" vbProcedure="false">"A34699"</definedName>
    <definedName function="false" hidden="false" name="FDD_85_12" vbProcedure="false">"A35064"</definedName>
    <definedName function="false" hidden="false" name="FDD_85_13" vbProcedure="false">"A35430"</definedName>
    <definedName function="false" hidden="false" name="FDD_85_14" vbProcedure="false">"A35795"</definedName>
    <definedName function="false" hidden="false" name="FDD_85_2" vbProcedure="false">"A31412"</definedName>
    <definedName function="false" hidden="false" name="FDD_85_3" vbProcedure="false">"A31777"</definedName>
    <definedName function="false" hidden="false" name="FDD_85_4" vbProcedure="false">"A32142"</definedName>
    <definedName function="false" hidden="false" name="FDD_85_5" vbProcedure="false">"A32508"</definedName>
    <definedName function="false" hidden="false" name="FDD_85_6" vbProcedure="false">"A32873"</definedName>
    <definedName function="false" hidden="false" name="FDD_85_7" vbProcedure="false">"A33238"</definedName>
    <definedName function="false" hidden="false" name="FDD_85_8" vbProcedure="false">"A33603"</definedName>
    <definedName function="false" hidden="false" name="FDD_85_9" vbProcedure="false">"A33969"</definedName>
    <definedName function="false" hidden="false" name="FDD_86_0" vbProcedure="false">"A30681"</definedName>
    <definedName function="false" hidden="false" name="FDD_86_1" vbProcedure="false">"A31047"</definedName>
    <definedName function="false" hidden="false" name="FDD_86_10" vbProcedure="false">"A34334"</definedName>
    <definedName function="false" hidden="false" name="FDD_86_11" vbProcedure="false">"A34699"</definedName>
    <definedName function="false" hidden="false" name="FDD_86_12" vbProcedure="false">"A35064"</definedName>
    <definedName function="false" hidden="false" name="FDD_86_13" vbProcedure="false">"A35430"</definedName>
    <definedName function="false" hidden="false" name="FDD_86_14" vbProcedure="false">"A35795"</definedName>
    <definedName function="false" hidden="false" name="FDD_86_2" vbProcedure="false">"A31412"</definedName>
    <definedName function="false" hidden="false" name="FDD_86_3" vbProcedure="false">"A31777"</definedName>
    <definedName function="false" hidden="false" name="FDD_86_4" vbProcedure="false">"A32142"</definedName>
    <definedName function="false" hidden="false" name="FDD_86_5" vbProcedure="false">"A32508"</definedName>
    <definedName function="false" hidden="false" name="FDD_86_6" vbProcedure="false">"A32873"</definedName>
    <definedName function="false" hidden="false" name="FDD_86_7" vbProcedure="false">"A33238"</definedName>
    <definedName function="false" hidden="false" name="FDD_86_8" vbProcedure="false">"A33603"</definedName>
    <definedName function="false" hidden="false" name="FDD_86_9" vbProcedure="false">"A33969"</definedName>
    <definedName function="false" hidden="false" name="FDD_87_0" vbProcedure="false">"A30681"</definedName>
    <definedName function="false" hidden="false" name="FDD_87_1" vbProcedure="false">"A31047"</definedName>
    <definedName function="false" hidden="false" name="FDD_87_10" vbProcedure="false">"A34334"</definedName>
    <definedName function="false" hidden="false" name="FDD_87_11" vbProcedure="false">"A34699"</definedName>
    <definedName function="false" hidden="false" name="FDD_87_12" vbProcedure="false">"A35064"</definedName>
    <definedName function="false" hidden="false" name="FDD_87_13" vbProcedure="false">"A35430"</definedName>
    <definedName function="false" hidden="false" name="FDD_87_14" vbProcedure="false">"A35795"</definedName>
    <definedName function="false" hidden="false" name="FDD_87_2" vbProcedure="false">"A31412"</definedName>
    <definedName function="false" hidden="false" name="FDD_87_3" vbProcedure="false">"A31777"</definedName>
    <definedName function="false" hidden="false" name="FDD_87_4" vbProcedure="false">"A32142"</definedName>
    <definedName function="false" hidden="false" name="FDD_87_5" vbProcedure="false">"A32508"</definedName>
    <definedName function="false" hidden="false" name="FDD_87_6" vbProcedure="false">"A32873"</definedName>
    <definedName function="false" hidden="false" name="FDD_87_7" vbProcedure="false">"A33238"</definedName>
    <definedName function="false" hidden="false" name="FDD_87_8" vbProcedure="false">"A33603"</definedName>
    <definedName function="false" hidden="false" name="FDD_87_9" vbProcedure="false">"A33969"</definedName>
    <definedName function="false" hidden="false" name="FDD_88_0" vbProcedure="false">"A30681"</definedName>
    <definedName function="false" hidden="false" name="FDD_88_1" vbProcedure="false">"A31047"</definedName>
    <definedName function="false" hidden="false" name="FDD_88_10" vbProcedure="false">"A34334"</definedName>
    <definedName function="false" hidden="false" name="FDD_88_11" vbProcedure="false">"A34699"</definedName>
    <definedName function="false" hidden="false" name="FDD_88_12" vbProcedure="false">"A35064"</definedName>
    <definedName function="false" hidden="false" name="FDD_88_13" vbProcedure="false">"A35430"</definedName>
    <definedName function="false" hidden="false" name="FDD_88_14" vbProcedure="false">"A35795"</definedName>
    <definedName function="false" hidden="false" name="FDD_88_2" vbProcedure="false">"A31412"</definedName>
    <definedName function="false" hidden="false" name="FDD_88_3" vbProcedure="false">"A31777"</definedName>
    <definedName function="false" hidden="false" name="FDD_88_4" vbProcedure="false">"A32142"</definedName>
    <definedName function="false" hidden="false" name="FDD_88_5" vbProcedure="false">"A32508"</definedName>
    <definedName function="false" hidden="false" name="FDD_88_6" vbProcedure="false">"A32873"</definedName>
    <definedName function="false" hidden="false" name="FDD_88_7" vbProcedure="false">"A33238"</definedName>
    <definedName function="false" hidden="false" name="FDD_88_8" vbProcedure="false">"A33603"</definedName>
    <definedName function="false" hidden="false" name="FDD_88_9" vbProcedure="false">"A33969"</definedName>
    <definedName function="false" hidden="false" name="FDD_89_0" vbProcedure="false">"A30681"</definedName>
    <definedName function="false" hidden="false" name="FDD_89_1" vbProcedure="false">"A31047"</definedName>
    <definedName function="false" hidden="false" name="FDD_89_10" vbProcedure="false">"A34334"</definedName>
    <definedName function="false" hidden="false" name="FDD_89_11" vbProcedure="false">"A34699"</definedName>
    <definedName function="false" hidden="false" name="FDD_89_12" vbProcedure="false">"A35064"</definedName>
    <definedName function="false" hidden="false" name="FDD_89_13" vbProcedure="false">"A35430"</definedName>
    <definedName function="false" hidden="false" name="FDD_89_14" vbProcedure="false">"A35795"</definedName>
    <definedName function="false" hidden="false" name="FDD_89_2" vbProcedure="false">"A31412"</definedName>
    <definedName function="false" hidden="false" name="FDD_89_3" vbProcedure="false">"A31777"</definedName>
    <definedName function="false" hidden="false" name="FDD_89_4" vbProcedure="false">"A32142"</definedName>
    <definedName function="false" hidden="false" name="FDD_89_5" vbProcedure="false">"A32508"</definedName>
    <definedName function="false" hidden="false" name="FDD_89_6" vbProcedure="false">"A32873"</definedName>
    <definedName function="false" hidden="false" name="FDD_89_7" vbProcedure="false">"A33238"</definedName>
    <definedName function="false" hidden="false" name="FDD_89_8" vbProcedure="false">"A33603"</definedName>
    <definedName function="false" hidden="false" name="FDD_89_9" vbProcedure="false">"A33969"</definedName>
    <definedName function="false" hidden="false" name="FDD_8_0" vbProcedure="false">"A25569"</definedName>
    <definedName function="false" hidden="false" name="FDD_90_0" vbProcedure="false">"A30681"</definedName>
    <definedName function="false" hidden="false" name="FDD_90_1" vbProcedure="false">"A31047"</definedName>
    <definedName function="false" hidden="false" name="FDD_90_10" vbProcedure="false">"A34334"</definedName>
    <definedName function="false" hidden="false" name="FDD_90_11" vbProcedure="false">"A34699"</definedName>
    <definedName function="false" hidden="false" name="FDD_90_12" vbProcedure="false">"A35064"</definedName>
    <definedName function="false" hidden="false" name="FDD_90_13" vbProcedure="false">"A35430"</definedName>
    <definedName function="false" hidden="false" name="FDD_90_14" vbProcedure="false">"A35795"</definedName>
    <definedName function="false" hidden="false" name="FDD_90_2" vbProcedure="false">"A31412"</definedName>
    <definedName function="false" hidden="false" name="FDD_90_3" vbProcedure="false">"A31777"</definedName>
    <definedName function="false" hidden="false" name="FDD_90_4" vbProcedure="false">"A32142"</definedName>
    <definedName function="false" hidden="false" name="FDD_90_5" vbProcedure="false">"A32508"</definedName>
    <definedName function="false" hidden="false" name="FDD_90_6" vbProcedure="false">"A32873"</definedName>
    <definedName function="false" hidden="false" name="FDD_90_7" vbProcedure="false">"A33238"</definedName>
    <definedName function="false" hidden="false" name="FDD_90_8" vbProcedure="false">"A33603"</definedName>
    <definedName function="false" hidden="false" name="FDD_90_9" vbProcedure="false">"A33969"</definedName>
    <definedName function="false" hidden="false" name="FDD_91_0" vbProcedure="false">"A30681"</definedName>
    <definedName function="false" hidden="false" name="FDD_91_1" vbProcedure="false">"A31047"</definedName>
    <definedName function="false" hidden="false" name="FDD_91_10" vbProcedure="false">"A34334"</definedName>
    <definedName function="false" hidden="false" name="FDD_91_11" vbProcedure="false">"A34699"</definedName>
    <definedName function="false" hidden="false" name="FDD_91_12" vbProcedure="false">"A35064"</definedName>
    <definedName function="false" hidden="false" name="FDD_91_13" vbProcedure="false">"A35430"</definedName>
    <definedName function="false" hidden="false" name="FDD_91_14" vbProcedure="false">"A35795"</definedName>
    <definedName function="false" hidden="false" name="FDD_91_2" vbProcedure="false">"A31412"</definedName>
    <definedName function="false" hidden="false" name="FDD_91_3" vbProcedure="false">"A31777"</definedName>
    <definedName function="false" hidden="false" name="FDD_91_4" vbProcedure="false">"A32142"</definedName>
    <definedName function="false" hidden="false" name="FDD_91_5" vbProcedure="false">"A32508"</definedName>
    <definedName function="false" hidden="false" name="FDD_91_6" vbProcedure="false">"A32873"</definedName>
    <definedName function="false" hidden="false" name="FDD_91_7" vbProcedure="false">"A33238"</definedName>
    <definedName function="false" hidden="false" name="FDD_91_8" vbProcedure="false">"A33603"</definedName>
    <definedName function="false" hidden="false" name="FDD_91_9" vbProcedure="false">"A33969"</definedName>
    <definedName function="false" hidden="false" name="FDD_92_0" vbProcedure="false">"A30681"</definedName>
    <definedName function="false" hidden="false" name="FDD_92_1" vbProcedure="false">"A31047"</definedName>
    <definedName function="false" hidden="false" name="FDD_92_10" vbProcedure="false">"A34334"</definedName>
    <definedName function="false" hidden="false" name="FDD_92_11" vbProcedure="false">"A34699"</definedName>
    <definedName function="false" hidden="false" name="FDD_92_12" vbProcedure="false">"A35064"</definedName>
    <definedName function="false" hidden="false" name="FDD_92_13" vbProcedure="false">"A35430"</definedName>
    <definedName function="false" hidden="false" name="FDD_92_14" vbProcedure="false">"A35795"</definedName>
    <definedName function="false" hidden="false" name="FDD_92_2" vbProcedure="false">"A31412"</definedName>
    <definedName function="false" hidden="false" name="FDD_92_3" vbProcedure="false">"A31777"</definedName>
    <definedName function="false" hidden="false" name="FDD_92_4" vbProcedure="false">"A32142"</definedName>
    <definedName function="false" hidden="false" name="FDD_92_5" vbProcedure="false">"A32508"</definedName>
    <definedName function="false" hidden="false" name="FDD_92_6" vbProcedure="false">"A32873"</definedName>
    <definedName function="false" hidden="false" name="FDD_92_7" vbProcedure="false">"A33238"</definedName>
    <definedName function="false" hidden="false" name="FDD_92_8" vbProcedure="false">"A33603"</definedName>
    <definedName function="false" hidden="false" name="FDD_92_9" vbProcedure="false">"A33969"</definedName>
    <definedName function="false" hidden="false" name="FDD_93_0" vbProcedure="false">"A30681"</definedName>
    <definedName function="false" hidden="false" name="FDD_93_1" vbProcedure="false">"A31047"</definedName>
    <definedName function="false" hidden="false" name="FDD_93_10" vbProcedure="false">"A34334"</definedName>
    <definedName function="false" hidden="false" name="FDD_93_11" vbProcedure="false">"A34699"</definedName>
    <definedName function="false" hidden="false" name="FDD_93_12" vbProcedure="false">"A35064"</definedName>
    <definedName function="false" hidden="false" name="FDD_93_13" vbProcedure="false">"A35430"</definedName>
    <definedName function="false" hidden="false" name="FDD_93_14" vbProcedure="false">"A35795"</definedName>
    <definedName function="false" hidden="false" name="FDD_93_2" vbProcedure="false">"A31412"</definedName>
    <definedName function="false" hidden="false" name="FDD_93_3" vbProcedure="false">"A31777"</definedName>
    <definedName function="false" hidden="false" name="FDD_93_4" vbProcedure="false">"A32142"</definedName>
    <definedName function="false" hidden="false" name="FDD_93_5" vbProcedure="false">"A32508"</definedName>
    <definedName function="false" hidden="false" name="FDD_93_6" vbProcedure="false">"A32873"</definedName>
    <definedName function="false" hidden="false" name="FDD_93_7" vbProcedure="false">"A33238"</definedName>
    <definedName function="false" hidden="false" name="FDD_93_8" vbProcedure="false">"A33603"</definedName>
    <definedName function="false" hidden="false" name="FDD_93_9" vbProcedure="false">"A33969"</definedName>
    <definedName function="false" hidden="false" name="FDD_94_0" vbProcedure="false">"A30681"</definedName>
    <definedName function="false" hidden="false" name="FDD_94_1" vbProcedure="false">"A31047"</definedName>
    <definedName function="false" hidden="false" name="FDD_94_10" vbProcedure="false">"A34334"</definedName>
    <definedName function="false" hidden="false" name="FDD_94_11" vbProcedure="false">"A34699"</definedName>
    <definedName function="false" hidden="false" name="FDD_94_12" vbProcedure="false">"A35064"</definedName>
    <definedName function="false" hidden="false" name="FDD_94_13" vbProcedure="false">"A35430"</definedName>
    <definedName function="false" hidden="false" name="FDD_94_14" vbProcedure="false">"A35795"</definedName>
    <definedName function="false" hidden="false" name="FDD_94_2" vbProcedure="false">"A31412"</definedName>
    <definedName function="false" hidden="false" name="FDD_94_3" vbProcedure="false">"A31777"</definedName>
    <definedName function="false" hidden="false" name="FDD_94_4" vbProcedure="false">"A32142"</definedName>
    <definedName function="false" hidden="false" name="FDD_94_5" vbProcedure="false">"A32508"</definedName>
    <definedName function="false" hidden="false" name="FDD_94_6" vbProcedure="false">"A32873"</definedName>
    <definedName function="false" hidden="false" name="FDD_94_7" vbProcedure="false">"A33238"</definedName>
    <definedName function="false" hidden="false" name="FDD_94_8" vbProcedure="false">"A33603"</definedName>
    <definedName function="false" hidden="false" name="FDD_94_9" vbProcedure="false">"A33969"</definedName>
    <definedName function="false" hidden="false" name="FDD_95_0" vbProcedure="false">"A30681"</definedName>
    <definedName function="false" hidden="false" name="FDD_95_1" vbProcedure="false">"A31047"</definedName>
    <definedName function="false" hidden="false" name="FDD_95_10" vbProcedure="false">"A34334"</definedName>
    <definedName function="false" hidden="false" name="FDD_95_11" vbProcedure="false">"A34699"</definedName>
    <definedName function="false" hidden="false" name="FDD_95_12" vbProcedure="false">"A35064"</definedName>
    <definedName function="false" hidden="false" name="FDD_95_13" vbProcedure="false">"A35430"</definedName>
    <definedName function="false" hidden="false" name="FDD_95_14" vbProcedure="false">"A35795"</definedName>
    <definedName function="false" hidden="false" name="FDD_95_2" vbProcedure="false">"A31412"</definedName>
    <definedName function="false" hidden="false" name="FDD_95_3" vbProcedure="false">"A31777"</definedName>
    <definedName function="false" hidden="false" name="FDD_95_4" vbProcedure="false">"A32142"</definedName>
    <definedName function="false" hidden="false" name="FDD_95_5" vbProcedure="false">"A32508"</definedName>
    <definedName function="false" hidden="false" name="FDD_95_6" vbProcedure="false">"A32873"</definedName>
    <definedName function="false" hidden="false" name="FDD_95_7" vbProcedure="false">"A33238"</definedName>
    <definedName function="false" hidden="false" name="FDD_95_8" vbProcedure="false">"A33603"</definedName>
    <definedName function="false" hidden="false" name="FDD_95_9" vbProcedure="false">"A33969"</definedName>
    <definedName function="false" hidden="false" name="FDD_96_0" vbProcedure="false">"U30681"</definedName>
    <definedName function="false" hidden="false" name="FDD_96_1" vbProcedure="false">"A31047"</definedName>
    <definedName function="false" hidden="false" name="FDD_96_10" vbProcedure="false">"A34334"</definedName>
    <definedName function="false" hidden="false" name="FDD_96_11" vbProcedure="false">"A34699"</definedName>
    <definedName function="false" hidden="false" name="FDD_96_12" vbProcedure="false">"A35064"</definedName>
    <definedName function="false" hidden="false" name="FDD_96_13" vbProcedure="false">"A35430"</definedName>
    <definedName function="false" hidden="false" name="FDD_96_14" vbProcedure="false">"A35795"</definedName>
    <definedName function="false" hidden="false" name="FDD_96_2" vbProcedure="false">"A31412"</definedName>
    <definedName function="false" hidden="false" name="FDD_96_3" vbProcedure="false">"A31777"</definedName>
    <definedName function="false" hidden="false" name="FDD_96_4" vbProcedure="false">"A32142"</definedName>
    <definedName function="false" hidden="false" name="FDD_96_5" vbProcedure="false">"A32508"</definedName>
    <definedName function="false" hidden="false" name="FDD_96_6" vbProcedure="false">"A32873"</definedName>
    <definedName function="false" hidden="false" name="FDD_96_7" vbProcedure="false">"A33238"</definedName>
    <definedName function="false" hidden="false" name="FDD_96_8" vbProcedure="false">"A33603"</definedName>
    <definedName function="false" hidden="false" name="FDD_96_9" vbProcedure="false">"A33969"</definedName>
    <definedName function="false" hidden="false" name="FDD_97_0" vbProcedure="false">"U30681"</definedName>
    <definedName function="false" hidden="false" name="FDD_97_1" vbProcedure="false">"A31047"</definedName>
    <definedName function="false" hidden="false" name="FDD_97_10" vbProcedure="false">"A34334"</definedName>
    <definedName function="false" hidden="false" name="FDD_97_11" vbProcedure="false">"A34699"</definedName>
    <definedName function="false" hidden="false" name="FDD_97_12" vbProcedure="false">"A35064"</definedName>
    <definedName function="false" hidden="false" name="FDD_97_13" vbProcedure="false">"A35430"</definedName>
    <definedName function="false" hidden="false" name="FDD_97_14" vbProcedure="false">"A35795"</definedName>
    <definedName function="false" hidden="false" name="FDD_97_2" vbProcedure="false">"A31412"</definedName>
    <definedName function="false" hidden="false" name="FDD_97_3" vbProcedure="false">"A31777"</definedName>
    <definedName function="false" hidden="false" name="FDD_97_4" vbProcedure="false">"A32142"</definedName>
    <definedName function="false" hidden="false" name="FDD_97_5" vbProcedure="false">"A32508"</definedName>
    <definedName function="false" hidden="false" name="FDD_97_6" vbProcedure="false">"A32873"</definedName>
    <definedName function="false" hidden="false" name="FDD_97_7" vbProcedure="false">"A33238"</definedName>
    <definedName function="false" hidden="false" name="FDD_97_8" vbProcedure="false">"A33603"</definedName>
    <definedName function="false" hidden="false" name="FDD_97_9" vbProcedure="false">"A33969"</definedName>
    <definedName function="false" hidden="false" name="FDD_98_0" vbProcedure="false">"U30681"</definedName>
    <definedName function="false" hidden="false" name="FDD_98_1" vbProcedure="false">"A31047"</definedName>
    <definedName function="false" hidden="false" name="FDD_98_10" vbProcedure="false">"A34334"</definedName>
    <definedName function="false" hidden="false" name="FDD_98_11" vbProcedure="false">"A34699"</definedName>
    <definedName function="false" hidden="false" name="FDD_98_12" vbProcedure="false">"A35064"</definedName>
    <definedName function="false" hidden="false" name="FDD_98_13" vbProcedure="false">"A35430"</definedName>
    <definedName function="false" hidden="false" name="FDD_98_14" vbProcedure="false">"A35795"</definedName>
    <definedName function="false" hidden="false" name="FDD_98_2" vbProcedure="false">"A31412"</definedName>
    <definedName function="false" hidden="false" name="FDD_98_3" vbProcedure="false">"A31777"</definedName>
    <definedName function="false" hidden="false" name="FDD_98_4" vbProcedure="false">"A32142"</definedName>
    <definedName function="false" hidden="false" name="FDD_98_5" vbProcedure="false">"A32508"</definedName>
    <definedName function="false" hidden="false" name="FDD_98_6" vbProcedure="false">"A32873"</definedName>
    <definedName function="false" hidden="false" name="FDD_98_7" vbProcedure="false">"A33238"</definedName>
    <definedName function="false" hidden="false" name="FDD_98_8" vbProcedure="false">"A33603"</definedName>
    <definedName function="false" hidden="false" name="FDD_98_9" vbProcedure="false">"A33969"</definedName>
    <definedName function="false" hidden="false" name="FDD_99_0" vbProcedure="false">"U30681"</definedName>
    <definedName function="false" hidden="false" name="FDD_99_1" vbProcedure="false">"A31047"</definedName>
    <definedName function="false" hidden="false" name="FDD_99_10" vbProcedure="false">"A34334"</definedName>
    <definedName function="false" hidden="false" name="FDD_99_11" vbProcedure="false">"A34699"</definedName>
    <definedName function="false" hidden="false" name="FDD_99_12" vbProcedure="false">"A35064"</definedName>
    <definedName function="false" hidden="false" name="FDD_99_13" vbProcedure="false">"A35430"</definedName>
    <definedName function="false" hidden="false" name="FDD_99_14" vbProcedure="false">"A35795"</definedName>
    <definedName function="false" hidden="false" name="FDD_99_2" vbProcedure="false">"A31412"</definedName>
    <definedName function="false" hidden="false" name="FDD_99_3" vbProcedure="false">"A31777"</definedName>
    <definedName function="false" hidden="false" name="FDD_99_4" vbProcedure="false">"A32142"</definedName>
    <definedName function="false" hidden="false" name="FDD_99_5" vbProcedure="false">"A32508"</definedName>
    <definedName function="false" hidden="false" name="FDD_99_6" vbProcedure="false">"A32873"</definedName>
    <definedName function="false" hidden="false" name="FDD_99_7" vbProcedure="false">"A33238"</definedName>
    <definedName function="false" hidden="false" name="FDD_99_8" vbProcedure="false">"A33603"</definedName>
    <definedName function="false" hidden="false" name="FDD_99_9" vbProcedure="false">"A33969"</definedName>
    <definedName function="false" hidden="false" name="FDD_9_0" vbProcedure="false">"A25569"</definedName>
    <definedName function="false" hidden="false" name="F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fds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ds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fs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dg" vbProcedure="false">{"Assumptions",#N/A,TRUE,"Assumptions";"Income",#N/A,TRUE,"Income";"Balance",#N/A,TRUE,"Balance"}</definedName>
    <definedName function="false" hidden="false" name="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dsa"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fds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e"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fe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 vbProcedure="false">{#N/A,#N/A,TRUE,"Summary";"AnnualRentRoll",#N/A,TRUE,"RentRoll";#N/A,#N/A,TRUE,"ExitStratigy";#N/A,#N/A,TRUE,"OperatingAssumptions"}</definedName>
    <definedName function="false" hidden="false" name="FFDF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fdsds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fff" vbProcedure="false">{#N/A,#N/A,TRUE,"Summary";"AnnualRentRoll",#N/A,TRUE,"RentRoll";#N/A,#N/A,TRUE,"ExitStratigy";#N/A,#N/A,TRUE,"OperatingAssumptions"}</definedName>
    <definedName function="false" hidden="false" name="ff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ootnoteDefaults" vbProcedure="false">{1;TRUE;5;"Times New Roman";FALSE;FALSE;TRUE;18;8;-4.5;-4;1;2;2;1;TRUE;5}</definedName>
    <definedName function="false" hidden="false" name="forgeti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r"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fresfg"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fsssa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fuck" vbProcedure="false">{"by departments",#N/A,TRUE,"FORECAST";"cap_headcount",#N/A,TRUE,"FORECAST";"summary",#N/A,TRUE,"FORECAST"}</definedName>
    <definedName function="false" hidden="false" name="fuckme" vbProcedure="false">{"SUMMARY",#N/A,TRUE,"SUMMARY";"compare",#N/A,TRUE,"Vs. Bus Plan";"ratios",#N/A,TRUE,"Ratios";"REVENUE",#N/A,TRUE,"Revenue";"expenses",#N/A,TRUE,"1996 budget";"payroll",#N/A,TRUE,"Payroll"}</definedName>
    <definedName function="false" hidden="false" name="fundIV"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fundiv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gb" vbProcedure="false">{#N/A,#N/A,FALSE,"Summary";#N/A,#N/A,FALSE,"Signatures";#N/A,#N/A,FALSE,"FL Current";#N/A,#N/A,FALSE,"Assumptions";#N/A,#N/A,FALSE,"Assumptions";#N/A,#N/A,FALSE,"Assumptions";#N/A,#N/A,FALSE,"FL Last";#N/A,#N/A,FALSE,"FL Orig";#N/A,#N/A,FALSE,"C to G Explain"}</definedName>
    <definedName function="false" hidden="false" name="gdfs" vbProcedure="false">{#N/A,#N/A,FALSE,"Projections";#N/A,#N/A,FALSE,"Multiples Valuation";#N/A,#N/A,FALSE,"LBO";#N/A,#N/A,FALSE,"Multiples_Sensitivity";#N/A,#N/A,FALSE,"Summary"}</definedName>
    <definedName function="false" hidden="false" name="gf"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ggg" vbProcedure="false">{#N/A,#N/A,FALSE,"PropertyInfo"}</definedName>
    <definedName function="false" hidden="false" name="gooch" vbProcedure="false">{#N/A,#N/A,FALSE,"Projections";#N/A,#N/A,FALSE,"Multiples Valuation";#N/A,#N/A,FALSE,"LBO";#N/A,#N/A,FALSE,"Multiples_Sensitivity";#N/A,#N/A,FALSE,"Summary"}</definedName>
    <definedName function="false" hidden="false" name="got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h" vbProcedure="false">{#N/A,#N/A,FALSE,"PropertyInfo"}</definedName>
    <definedName function="false" hidden="false" name="HEI" vbProcedure="false">{"AQUIRORDCF",#N/A,FALSE,"Merger consequences";"Acquirorassns",#N/A,FALSE,"Merger consequences"}</definedName>
    <definedName function="false" hidden="false" name="Hello" vbProcedure="false">{"rtn",#N/A,FALSE,"RTN";"tables",#N/A,FALSE,"RTN";"cf",#N/A,FALSE,"CF";"stats",#N/A,FALSE,"Stats";"prop",#N/A,FALSE,"Prop"}</definedName>
    <definedName function="false" hidden="false" name="hg" vbProcedure="false">{#N/A,#N/A,FALSE,"HuscoCombined-Summ";#N/A,#N/A,FALSE,"HuscoCombined-Income";#N/A,#N/A,FALSE,"HuscoCombined-Offering";#N/A,#N/A,FALSE,"Husco-Income";#N/A,#N/A,FALSE,"TargetEngineer";#N/A,#N/A,FALSE,"TargetAcqCalc";#N/A,#N/A,FALSE,"Husco-Acq"}</definedName>
    <definedName function="false" hidden="false" name="hh" vbProcedure="false">{#N/A,#N/A,FALSE,"Summary"}</definedName>
    <definedName function="false" hidden="false" name="hhh" vbProcedure="false">{#N/A,#N/A,FALSE,"Summary"}</definedName>
    <definedName function="false" hidden="false" name="hjyny" vbProcedure="false">{#N/A,#N/A,FALSE,"TSUM";#N/A,#N/A,FALSE,"shares";#N/A,#N/A,FALSE,"earnout";#N/A,#N/A,FALSE,"Heaty";#N/A,#N/A,FALSE,"self-tend";#N/A,#N/A,FALSE,"self-sum"}</definedName>
    <definedName function="false" hidden="false" name="HMO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MO_Rate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hn.ExtDb" vbProcedure="false">FALSE()</definedName>
    <definedName function="false" hidden="false" name="hn.ModelType" vbProcedure="false">"DEAL"</definedName>
    <definedName function="false" hidden="false" name="hn.ModelVersion" vbProcedure="false">1</definedName>
    <definedName function="false" hidden="false" name="hn.NoUpload" vbProcedure="false">0</definedName>
    <definedName function="false" hidden="false" name="hnu"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hod" vbProcedure="false">{#N/A,#N/A,FALSE,"TS";#N/A,#N/A,FALSE,"Combo";#N/A,#N/A,FALSE,"FAIR";#N/A,#N/A,FALSE,"RBC";#N/A,#N/A,FALSE,"xxxx";#N/A,#N/A,FALSE,"A_D";#N/A,#N/A,FALSE,"WACC";#N/A,#N/A,FALSE,"DCF";#N/A,#N/A,FALSE,"LBO";#N/A,#N/A,FALSE,"AcqMults";#N/A,#N/A,FALSE,"CompMults"}</definedName>
    <definedName function="false" hidden="false" name="HOMFE" vbProcedure="false">{#N/A,#N/A,FALSE,"Assessment";#N/A,#N/A,FALSE,"Staffing";#N/A,#N/A,FALSE,"Hires";#N/A,#N/A,FALSE,"Assumptions"}</definedName>
    <definedName function="false" hidden="false" name="houy" vbProcedure="false">{#N/A,#N/A,FALSE,"AD_Purchase";#N/A,#N/A,FALSE,"Credit";#N/A,#N/A,FALSE,"PF Acquisition";#N/A,#N/A,FALSE,"PF Offering"}</definedName>
    <definedName function="false" hidden="false" name="houy2" vbProcedure="false">{#N/A,#N/A,FALSE,"AD_Purchase";#N/A,#N/A,FALSE,"Credit";#N/A,#N/A,FALSE,"PF Acquisition";#N/A,#N/A,FALSE,"PF Offering"}</definedName>
    <definedName function="false" hidden="false" name="HTML10_10" vbProcedure="false">"Howard_Haughton@prenhall.com"</definedName>
    <definedName function="false" hidden="false" name="HTML10_11" vbProcedure="false">1</definedName>
    <definedName function="false" hidden="false" name="HTML10_12" vbProcedure="false">"\\Consfin2\InetPub\wwwroot\DailySales.htm"</definedName>
    <definedName function="false" hidden="false" name="HTML10_2" vbProcedure="false">1</definedName>
    <definedName function="false" hidden="false" name="HTML10_3" vbProcedure="false">"Consumer Group Daily Sales"</definedName>
    <definedName function="false" hidden="false" name="HTML10_4" vbProcedure="false">"for the month of March"</definedName>
    <definedName function="false" hidden="false" name="HTML10_5" vbProcedure="false">""</definedName>
    <definedName function="false" hidden="false" name="HTML10_6" vbProcedure="false">-4146</definedName>
    <definedName function="false" hidden="false" name="HTML10_7" vbProcedure="false">-4146</definedName>
    <definedName function="false" hidden="false" name="HTML10_8" vbProcedure="false">"3/24/97"</definedName>
    <definedName function="false" hidden="false" name="HTML10_9" vbProcedure="false">"Howard Haughton"</definedName>
    <definedName function="false" hidden="false" name="HTML1_10" vbProcedure="false">""</definedName>
    <definedName function="false" hidden="false" name="HTML1_11" vbProcedure="false">1</definedName>
    <definedName function="false" hidden="false" name="HTML1_12" vbProcedure="false">"Aswath:Adobe SiteMill™ 1.0.2:MyHomePage:FCFF3.html"</definedName>
    <definedName function="false" hidden="false" name="HTML1_2" vbProcedure="false">1</definedName>
    <definedName function="false" hidden="false" name="HTML1_3" vbProcedure="false">"FCFF3"</definedName>
    <definedName function="false" hidden="false" name="HTML1_4" vbProcedure="false">"Three-Stage FCFF Model"</definedName>
    <definedName function="false" hidden="false" name="HTML1_5" vbProcedure="false">""</definedName>
    <definedName function="false" hidden="false" name="HTML1_6" vbProcedure="false">-4146</definedName>
    <definedName function="false" hidden="false" name="HTML1_7" vbProcedure="false">-4146</definedName>
    <definedName function="false" hidden="false" name="HTML1_8" vbProcedure="false">"10/22/96"</definedName>
    <definedName function="false" hidden="false" name="HTML1_9" vbProcedure="false">"Aswath Damodaran"</definedName>
    <definedName function="false" hidden="false" name="HTML2_10" vbProcedure="false">"Howard_Haughton@prenhall.com"</definedName>
    <definedName function="false" hidden="false" name="HTML2_11" vbProcedure="false">1</definedName>
    <definedName function="false" hidden="false" name="HTML2_12" vbProcedure="false">"C:\InetPub\wwwroot\DailySales.htm"</definedName>
    <definedName function="false" hidden="false" name="HTML2_2" vbProcedure="false">1</definedName>
    <definedName function="false" hidden="false" name="HTML2_3" vbProcedure="false">"WebDaily"</definedName>
    <definedName function="false" hidden="false" name="HTML2_4" vbProcedure="false">"Consumer Group Daily Sales"</definedName>
    <definedName function="false" hidden="false" name="HTML2_5" vbProcedure="false">""</definedName>
    <definedName function="false" hidden="false" name="HTML2_6" vbProcedure="false">1</definedName>
    <definedName function="false" hidden="false" name="HTML2_7" vbProcedure="false">1</definedName>
    <definedName function="false" hidden="false" name="HTML2_8" vbProcedure="false">"9/6/96"</definedName>
    <definedName function="false" hidden="false" name="HTML2_9" vbProcedure="false">"Howard L. Haughton"</definedName>
    <definedName function="false" hidden="false" name="HTML3_10" vbProcedure="false">"Howard_Haughton@prenhall.com"</definedName>
    <definedName function="false" hidden="false" name="HTML3_11" vbProcedure="false">1</definedName>
    <definedName function="false" hidden="false" name="HTML3_12" vbProcedure="false">"C:\InetPub\wwwroot\DailySales.htm"</definedName>
    <definedName function="false" hidden="false" name="HTML3_2" vbProcedure="false">1</definedName>
    <definedName function="false" hidden="false" name="HTML3_3" vbProcedure="false">"WebDaily"</definedName>
    <definedName function="false" hidden="false" name="HTML3_4" vbProcedure="false">"Consumer Group Daily Sales"</definedName>
    <definedName function="false" hidden="false" name="HTML3_5" vbProcedure="false">""</definedName>
    <definedName function="false" hidden="false" name="HTML3_6" vbProcedure="false">1</definedName>
    <definedName function="false" hidden="false" name="HTML3_7" vbProcedure="false">1</definedName>
    <definedName function="false" hidden="false" name="HTML3_8" vbProcedure="false">"9/6/96"</definedName>
    <definedName function="false" hidden="false" name="HTML3_9" vbProcedure="false">"Howard L. Haughton"</definedName>
    <definedName function="false" hidden="false" name="HTML4_10" vbProcedure="false">"Howard_Haughton@prenhall.com"</definedName>
    <definedName function="false" hidden="false" name="HTML4_11" vbProcedure="false">1</definedName>
    <definedName function="false" hidden="false" name="HTML4_12" vbProcedure="false">"C:\InetPub\wwwroot\DailySales.htm"</definedName>
    <definedName function="false" hidden="false" name="HTML4_2" vbProcedure="false">1</definedName>
    <definedName function="false" hidden="false" name="HTML4_3" vbProcedure="false">"WebDaily"</definedName>
    <definedName function="false" hidden="false" name="HTML4_4" vbProcedure="false">"Consumer Group Daily Sales - September 1996"</definedName>
    <definedName function="false" hidden="false" name="HTML4_5" vbProcedure="false">""</definedName>
    <definedName function="false" hidden="false" name="HTML4_6" vbProcedure="false">1</definedName>
    <definedName function="false" hidden="false" name="HTML4_7" vbProcedure="false">1</definedName>
    <definedName function="false" hidden="false" name="HTML4_8" vbProcedure="false">"9/27/96"</definedName>
    <definedName function="false" hidden="false" name="HTML4_9" vbProcedure="false">"Howard L. Haughton"</definedName>
    <definedName function="false" hidden="false" name="HTML5_10" vbProcedure="false">""</definedName>
    <definedName function="false" hidden="false" name="HTML5_11" vbProcedure="false">1</definedName>
    <definedName function="false" hidden="false" name="HTML5_12" vbProcedure="false">"C:\InetPub\wwwroot\DailySales.htm"</definedName>
    <definedName function="false" hidden="false" name="HTML5_2" vbProcedure="false">1</definedName>
    <definedName function="false" hidden="false" name="HTML5_3" vbProcedure="false">"Daily Sales - November"</definedName>
    <definedName function="false" hidden="false" name="HTML5_4" vbProcedure="false">"Consumer Group Daily Sales"</definedName>
    <definedName function="false" hidden="false" name="HTML5_5" vbProcedure="false">""</definedName>
    <definedName function="false" hidden="false" name="HTML5_6" vbProcedure="false">-4146</definedName>
    <definedName function="false" hidden="false" name="HTML5_7" vbProcedure="false">-4146</definedName>
    <definedName function="false" hidden="false" name="HTML5_8" vbProcedure="false">"11/20/96"</definedName>
    <definedName function="false" hidden="false" name="HTML5_9" vbProcedure="false">"Howard L. Haughton"</definedName>
    <definedName function="false" hidden="false" name="HTML6_10" vbProcedure="false">"Howard_Haughton@prenhall.com"</definedName>
    <definedName function="false" hidden="false" name="HTML6_11" vbProcedure="false">1</definedName>
    <definedName function="false" hidden="false" name="HTML6_12" vbProcedure="false">"C:\InetPub\wwwroot\DailySales.htm"</definedName>
    <definedName function="false" hidden="false" name="HTML6_2" vbProcedure="false">1</definedName>
    <definedName function="false" hidden="false" name="HTML6_3" vbProcedure="false">"WebDaily"</definedName>
    <definedName function="false" hidden="false" name="HTML6_4" vbProcedure="false">"Consumer Group Daily sales"</definedName>
    <definedName function="false" hidden="false" name="HTML6_5" vbProcedure="false">""</definedName>
    <definedName function="false" hidden="false" name="HTML6_6" vbProcedure="false">-4146</definedName>
    <definedName function="false" hidden="false" name="HTML6_7" vbProcedure="false">-4146</definedName>
    <definedName function="false" hidden="false" name="HTML6_8" vbProcedure="false">"12/19/96"</definedName>
    <definedName function="false" hidden="false" name="HTML6_9" vbProcedure="false">"Howard L. Haughton"</definedName>
    <definedName function="false" hidden="false" name="HTML7_10" vbProcedure="false">"Howard_Haughton@prenhall.com"</definedName>
    <definedName function="false" hidden="false" name="HTML7_11" vbProcedure="false">1</definedName>
    <definedName function="false" hidden="false" name="HTML7_12" vbProcedure="false">"C:\InetPub\wwwroot\DailySales.htm"</definedName>
    <definedName function="false" hidden="false" name="HTML7_2" vbProcedure="false">1</definedName>
    <definedName function="false" hidden="false" name="HTML7_3" vbProcedure="false">"DAILY SALES - JANUARY"</definedName>
    <definedName function="false" hidden="false" name="HTML7_4" vbProcedure="false">"CONSUMER GROUP DAILY SALES"</definedName>
    <definedName function="false" hidden="false" name="HTML7_5" vbProcedure="false">""</definedName>
    <definedName function="false" hidden="false" name="HTML7_6" vbProcedure="false">-4146</definedName>
    <definedName function="false" hidden="false" name="HTML7_7" vbProcedure="false">-4146</definedName>
    <definedName function="false" hidden="false" name="HTML7_8" vbProcedure="false">"1/6/97"</definedName>
    <definedName function="false" hidden="false" name="HTML7_9" vbProcedure="false">"Howard L. Haughton"</definedName>
    <definedName function="false" hidden="false" name="HTML8_10" vbProcedure="false">"Howard_Haughton@prenhall.com"</definedName>
    <definedName function="false" hidden="false" name="HTML8_11" vbProcedure="false">1</definedName>
    <definedName function="false" hidden="false" name="HTML8_12" vbProcedure="false">"C:\InetPub\wwwroot\DailySales.htm"</definedName>
    <definedName function="false" hidden="false" name="HTML8_2" vbProcedure="false">1</definedName>
    <definedName function="false" hidden="false" name="HTML8_3" vbProcedure="false">"Consumer Group"</definedName>
    <definedName function="false" hidden="false" name="HTML8_4" vbProcedure="false">"February Daliy Sales"</definedName>
    <definedName function="false" hidden="false" name="HTML8_5" vbProcedure="false">""</definedName>
    <definedName function="false" hidden="false" name="HTML8_6" vbProcedure="false">-4146</definedName>
    <definedName function="false" hidden="false" name="HTML8_7" vbProcedure="false">-4146</definedName>
    <definedName function="false" hidden="false" name="HTML8_8" vbProcedure="false">"2/10/97"</definedName>
    <definedName function="false" hidden="false" name="HTML8_9" vbProcedure="false">"Howard L. Haughton"</definedName>
    <definedName function="false" hidden="false" name="HTML9_10" vbProcedure="false">"Howard_Haughton @prenhall.com"</definedName>
    <definedName function="false" hidden="false" name="HTML9_11" vbProcedure="false">1</definedName>
    <definedName function="false" hidden="false" name="HTML9_12" vbProcedure="false">"\\Consfin2\InetPub\wwwroot\DailySales.htm"</definedName>
    <definedName function="false" hidden="false" name="HTML9_2" vbProcedure="false">1</definedName>
    <definedName function="false" hidden="false" name="HTML9_3" vbProcedure="false">"Consumer Group"</definedName>
    <definedName function="false" hidden="false" name="HTML9_4" vbProcedure="false">"April Daily Sales"</definedName>
    <definedName function="false" hidden="false" name="HTML9_5" vbProcedure="false">""</definedName>
    <definedName function="false" hidden="false" name="HTML9_6" vbProcedure="false">-4146</definedName>
    <definedName function="false" hidden="false" name="HTML9_7" vbProcedure="false">-4146</definedName>
    <definedName function="false" hidden="false" name="HTML9_8" vbProcedure="false">"4/18/97"</definedName>
    <definedName function="false" hidden="false" name="HTML9_9" vbProcedure="false">"Howard L. Haughton"</definedName>
    <definedName function="false" hidden="false" name="HTMLCount" vbProcedure="false">1</definedName>
    <definedName function="false" hidden="false" name="HTML_CodePage" vbProcedure="false">1252</definedName>
    <definedName function="false" hidden="false" name="HTML_Control" vbProcedure="false">{"'Sheet1'!$A$1:$J$121"}</definedName>
    <definedName function="false" hidden="false" name="HTML_Control2" vbProcedure="false">{"'Web'!$A$4:$Q$25"}</definedName>
    <definedName function="false" hidden="false" name="HTML_Description" vbProcedure="false">""</definedName>
    <definedName function="false" hidden="false" name="HTML_Email" vbProcedure="false">""</definedName>
    <definedName function="false" hidden="false" name="HTML_Header" vbProcedure="false">"Sheet1"</definedName>
    <definedName function="false" hidden="false" name="HTML_LastUpdate" vbProcedure="false">"10/21/99"</definedName>
    <definedName function="false" hidden="false" name="HTML_LineAfter" vbProcedure="false">FALSE()</definedName>
    <definedName function="false" hidden="false" name="HTML_LineBefore" vbProcedure="false">FALSE()</definedName>
    <definedName function="false" hidden="false" name="HTML_Name" vbProcedure="false">"Paulette Peoples"</definedName>
    <definedName function="false" hidden="false" name="HTML_OBDlg2" vbProcedure="false">TRUE()</definedName>
    <definedName function="false" hidden="false" name="HTML_OBDlg4" vbProcedure="false">TRUE()</definedName>
    <definedName function="false" hidden="false" name="HTML_OS" vbProcedure="false">0</definedName>
    <definedName function="false" hidden="false" name="HTML_PathFile" vbProcedure="false">"\\Bhincres01\groups\Mkt_Dev\EXECMKTR\RIGS\RigBible\Web NA.htm"</definedName>
    <definedName function="false" hidden="false" name="HTML_Title" vbProcedure="false">"Total North America"</definedName>
    <definedName function="false" hidden="false" name="hui" vbProcedure="false">{#N/A,#N/A,FALSE,"Assump2";#N/A,#N/A,FALSE,"Income2";#N/A,#N/A,FALSE,"Balance2";#N/A,#N/A,FALSE,"DCF Filter";#N/A,#N/A,FALSE,"Trans Assump2";#N/A,#N/A,FALSE,"Combined Income2";#N/A,#N/A,FALSE,"Combined Balance2"}</definedName>
    <definedName function="false" hidden="false" name="iffx"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ffy"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iioo" vbProcedure="false">{#N/A,#N/A,FALSE,"TSUM";#N/A,#N/A,FALSE,"shares";#N/A,#N/A,FALSE,"earnout";#N/A,#N/A,FALSE,"Heaty";#N/A,#N/A,FALSE,"self-tend";#N/A,#N/A,FALSE,"self-sum"}</definedName>
    <definedName function="false" hidden="false" name="ijn" vbProcedure="false">{#N/A,#N/A,FALSE,"AD_Purchase";#N/A,#N/A,FALSE,"Credit";#N/A,#N/A,FALSE,"PF Acquisition";#N/A,#N/A,FALSE,"PF Offering"}</definedName>
    <definedName function="false" hidden="false" name="infinity2" vbProcedure="false">{"CashFlow","Nil",FALSE,"Yearly Reports-Y";"Revenue_OI","Nil",FALSE,"Yearly Reports-Y";"MTVNChannelComp","Nil",FALSE,"Yearly Reports-Y"}</definedName>
    <definedName function="false" hidden="false" name="inflList" vbProcedure="false">"00000000000000000000000000000000000000000000000000000000000000000000000000000000000000000000000000000000000000000000000000000000000000000000000000000000000000000000000000000000000000000000000000000000"</definedName>
    <definedName function="false" hidden="false" name="IQB_BOOKMARK_COUNT" vbProcedure="false">1</definedName>
    <definedName function="false" hidden="false" name="IQRA5" vbProcedure="false">"$A$6:$A$131"</definedName>
    <definedName function="false" hidden="false" name="IQRA8" vbProcedure="false">"$A$9:$A$260"</definedName>
    <definedName function="false" hidden="false" name="IQRAF17" vbProcedure="false">"$AF$18:$AF$259"</definedName>
    <definedName function="false" hidden="false" name="IQRAP17" vbProcedure="false">"$AP$18"</definedName>
    <definedName function="false" hidden="false" name="IQRAP89" vbProcedure="false">"$AP$90:$AP$97"</definedName>
    <definedName function="false" hidden="false" name="IQRAQ17" vbProcedure="false">"$AQ$18"</definedName>
    <definedName function="false" hidden="false" name="IQRAQ89" vbProcedure="false">"$AQ$90"</definedName>
    <definedName function="false" hidden="false" name="IQRAR89" vbProcedure="false">"$AR$90:$AR$97"</definedName>
    <definedName function="false" hidden="false" name="IQRAS17" vbProcedure="false">"$AS$18:$AS$25"</definedName>
    <definedName function="false" hidden="false" name="IQRAS89" vbProcedure="false">"$AS$90:$AS$93"</definedName>
    <definedName function="false" hidden="false" name="IQRAT17" vbProcedure="false">"$AT$18:$AT$25"</definedName>
    <definedName function="false" hidden="false" name="IQRAT89" vbProcedure="false">"$AT$90:$AT$97"</definedName>
    <definedName function="false" hidden="false" name="IQRAU17" vbProcedure="false">"$AU$18"</definedName>
    <definedName function="false" hidden="false" name="IQRAV89" vbProcedure="false">"$AV$90:$AV$97"</definedName>
    <definedName function="false" hidden="false" name="IQRAX89" vbProcedure="false">"$AX$90:$AX$97"</definedName>
    <definedName function="false" hidden="false" name="IQRAZ17" vbProcedure="false">"$AZ$18:$AZ$19"</definedName>
    <definedName function="false" hidden="false" name="IQRB5" vbProcedure="false">"$B$6:$B$131"</definedName>
    <definedName function="false" hidden="false" name="IQRB8" vbProcedure="false">"$B$9:$B$260"</definedName>
    <definedName function="false" hidden="false" name="IQRC8" vbProcedure="false">"$C$9:$C$260"</definedName>
    <definedName function="false" hidden="false" name="IQRX10" vbProcedure="false">"$X$11:$X$114"</definedName>
    <definedName function="false" hidden="false" name="IQ_1_4_FAMILY_JUNIOR_LIENS_CHARGE_OFFS_FDIC" vbProcedure="false">"c6605"</definedName>
    <definedName function="false" hidden="false" name="IQ_1_4_FAMILY_JUNIOR_LIENS_NET_CHARGE_OFFS_FDIC" vbProcedure="false">"c6643"</definedName>
    <definedName function="false" hidden="false" name="IQ_1_4_FAMILY_JUNIOR_LIENS_RECOVERIES_FDIC" vbProcedure="false">"c6624"</definedName>
    <definedName function="false" hidden="false" name="IQ_1_4_FAMILY_SENIOR_LIENS_CHARGE_OFFS_FDIC" vbProcedure="false">"c6604"</definedName>
    <definedName function="false" hidden="false" name="IQ_1_4_FAMILY_SENIOR_LIENS_NET_CHARGE_OFFS_FDIC" vbProcedure="false">"c6642"</definedName>
    <definedName function="false" hidden="false" name="IQ_1_4_FAMILY_SENIOR_LIENS_RECOVERIES_FDIC" vbProcedure="false">"c6623"</definedName>
    <definedName function="false" hidden="false" name="IQ_1_4_HOME_EQUITY_NET_LOANS_FDIC" vbProcedure="false">"c6441"</definedName>
    <definedName function="false" hidden="false" name="IQ_1_4_RESIDENTIAL_FIRST_LIENS_NET_LOANS_FDIC" vbProcedure="false">"c6439"</definedName>
    <definedName function="false" hidden="false" name="IQ_1_4_RESIDENTIAL_JUNIOR_LIENS_NET_LOANS_FDIC" vbProcedure="false">"c6440"</definedName>
    <definedName function="false" hidden="false" name="IQ_1_4_RESIDENTIAL_LOANS_FDIC" vbProcedure="false">"c6310"</definedName>
    <definedName function="false" hidden="false" name="IQ_ACCOUNTS_PAY" vbProcedure="false">"c1343"</definedName>
    <definedName function="false" hidden="false" name="IQ_ACCOUNT_CHANGE" vbProcedure="false">"c1449"</definedName>
    <definedName function="false" hidden="false" name="IQ_ACCRUED_EXP" vbProcedure="false">"c1341"</definedName>
    <definedName function="false" hidden="false" name="IQ_ACCR_INT_PAY" vbProcedure="false">"c1"</definedName>
    <definedName function="false" hidden="false" name="IQ_ACCR_INT_PAY_CF" vbProcedure="false">"c2"</definedName>
    <definedName function="false" hidden="false" name="IQ_ACCR_INT_RECEIV" vbProcedure="false">"c3"</definedName>
    <definedName function="false" hidden="false" name="IQ_ACCR_INT_RECEIV_CF" vbProcedure="false">"c4"</definedName>
    <definedName function="false" hidden="false" name="IQ_ACCT_RECV_10YR_ANN_GROWTH" vbProcedure="false">"c1924"</definedName>
    <definedName function="false" hidden="false" name="IQ_ACCT_RECV_1YR_ANN_GROWTH" vbProcedure="false">"c1919"</definedName>
    <definedName function="false" hidden="false" name="IQ_ACCT_RECV_2YR_ANN_GROWTH" vbProcedure="false">"c1920"</definedName>
    <definedName function="false" hidden="false" name="IQ_ACCT_RECV_3YR_ANN_GROWTH" vbProcedure="false">"c1921"</definedName>
    <definedName function="false" hidden="false" name="IQ_ACCT_RECV_5YR_ANN_GROWTH" vbProcedure="false">"c1922"</definedName>
    <definedName function="false" hidden="false" name="IQ_ACCT_RECV_7YR_ANN_GROWTH" vbProcedure="false">"c1923"</definedName>
    <definedName function="false" hidden="false" name="IQ_ACCUMULATED_PENSION_OBLIGATION" vbProcedure="false">"c2244"</definedName>
    <definedName function="false" hidden="false" name="IQ_ACCUMULATED_PENSION_OBLIGATION_DOMESTIC" vbProcedure="false">"c2657"</definedName>
    <definedName function="false" hidden="false" name="IQ_ACCUMULATED_PENSION_OBLIGATION_FOREIGN" vbProcedure="false">"c2665"</definedName>
    <definedName function="false" hidden="false" name="IQ_ACCUM_DEP" vbProcedure="false">"c1340"</definedName>
    <definedName function="false" hidden="false" name="IQ_ACQUIRED_BY_REPORTING_BANK_FDIC" vbProcedure="false">"c6535"</definedName>
    <definedName function="false" hidden="false" name="IQ_ACQUIRE_REAL_ESTATE_CF" vbProcedure="false">"c6"</definedName>
    <definedName function="false" hidden="false" name="IQ_ACQUISITION_RE_ASSETS" vbProcedure="false">"c1628"</definedName>
    <definedName function="false" hidden="false" name="IQ_ACQ_COSTS_CAPITALIZED" vbProcedure="false">"c5"</definedName>
    <definedName function="false" hidden="false" name="IQ_ACQ_COST_SUB" vbProcedure="false">"c2125"</definedName>
    <definedName function="false" hidden="false" name="IQ_AD" vbProcedure="false">"c7"</definedName>
    <definedName function="false" hidden="false" name="IQ_ADDIN" vbProcedure="false">"AUTO"</definedName>
    <definedName function="false" hidden="false" name="IQ_ADDITIONAL_NON_INT_INC_FDIC" vbProcedure="false">"c6574"</definedName>
    <definedName function="false" hidden="false" name="IQ_ADD_PAID_IN" vbProcedure="false">"c1344"</definedName>
    <definedName function="false" hidden="false" name="IQ_ADJUSTABLE_RATE_LOANS_FDIC" vbProcedure="false">"c6375"</definedName>
    <definedName function="false" hidden="false" name="IQ_ADJ_AVG_BANK_ASSETS" vbProcedure="false">"c2671"</definedName>
    <definedName function="false" hidden="false" name="IQ_ADMIN_RATIO" vbProcedure="false">"c2784"</definedName>
    <definedName function="false" hidden="false" name="IQ_ADVERTISING" vbProcedure="false">"c2246"</definedName>
    <definedName function="false" hidden="false" name="IQ_ADVERTISING_MARKETING" vbProcedure="false">"c1566"</definedName>
    <definedName function="false" hidden="false" name="IQ_AE" vbProcedure="false">"c8"</definedName>
    <definedName function="false" hidden="false" name="IQ_AE_BNK" vbProcedure="false">"c9"</definedName>
    <definedName function="false" hidden="false" name="IQ_AE_BR" vbProcedure="false">"c10"</definedName>
    <definedName function="false" hidden="false" name="IQ_AE_FIN" vbProcedure="false">"c11"</definedName>
    <definedName function="false" hidden="false" name="IQ_AE_INS" vbProcedure="false">"c12"</definedName>
    <definedName function="false" hidden="false" name="IQ_AE_REIT" vbProcedure="false">"c13"</definedName>
    <definedName function="false" hidden="false" name="IQ_AE_UTI" vbProcedure="false">"c14"</definedName>
    <definedName function="false" hidden="false" name="IQ_AFTER_TAX_INCOME_FDIC" vbProcedure="false">"c6583"</definedName>
    <definedName function="false" hidden="false" name="IQ_AGRICULTURAL_PRODUCTION_CHARGE_OFFS_FDIC" vbProcedure="false">"c6597"</definedName>
    <definedName function="false" hidden="false" name="IQ_AGRICULTURAL_PRODUCTION_CHARGE_OFFS_LESS_THAN_300M_FDIC" vbProcedure="false">"c6655"</definedName>
    <definedName function="false" hidden="false" name="IQ_AGRICULTURAL_PRODUCTION_NET_CHARGE_OFFS_FDIC" vbProcedure="false">"c6635"</definedName>
    <definedName function="false" hidden="false" name="IQ_AGRICULTURAL_PRODUCTION_NET_CHARGE_OFFS_LESS_THAN_300M_FDIC" vbProcedure="false">"c6657"</definedName>
    <definedName function="false" hidden="false" name="IQ_AGRICULTURAL_PRODUCTION_RECOVERIES_FDIC" vbProcedure="false">"c6616"</definedName>
    <definedName function="false" hidden="false" name="IQ_AGRICULTURAL_PRODUCTION_RECOVERIES_LESS_THAN_300M_FDIC" vbProcedure="false">"c6656"</definedName>
    <definedName function="false" hidden="false" name="IQ_AH_EARNED" vbProcedure="false">"c2744"</definedName>
    <definedName function="false" hidden="false" name="IQ_AH_POLICY_BENEFITS_EXP" vbProcedure="false">"c2789"</definedName>
    <definedName function="false" hidden="false" name="IQ_AIR_AIRPLANES_NOT_IN_SERVICE" vbProcedure="false">"c2842"</definedName>
    <definedName function="false" hidden="false" name="IQ_AIR_AIRPLANES_SUBLEASED" vbProcedure="false">"c2841"</definedName>
    <definedName function="false" hidden="false" name="IQ_AIR_ASK" vbProcedure="false">"c2813"</definedName>
    <definedName function="false" hidden="false" name="IQ_AIR_ASK_INCREASE" vbProcedure="false">"c2826"</definedName>
    <definedName function="false" hidden="false" name="IQ_AIR_ASM" vbProcedure="false">"c2812"</definedName>
    <definedName function="false" hidden="false" name="IQ_AIR_ASM_INCREASE" vbProcedure="false">"c2825"</definedName>
    <definedName function="false" hidden="false" name="IQ_AIR_AVG_AGE" vbProcedure="false">"c2843"</definedName>
    <definedName function="false" hidden="false" name="IQ_AIR_BREAK_EVEN_FACTOR" vbProcedure="false">"c2822"</definedName>
    <definedName function="false" hidden="false" name="IQ_AIR_CAPITAL_LEASE" vbProcedure="false">"c2833"</definedName>
    <definedName function="false" hidden="false" name="IQ_AIR_COMPLETION_FACTOR" vbProcedure="false">"c2824"</definedName>
    <definedName function="false" hidden="false" name="IQ_AIR_ENPLANED_PSGRS" vbProcedure="false">"c2809"</definedName>
    <definedName function="false" hidden="false" name="IQ_AIR_FUEL_CONSUMED" vbProcedure="false">"c2806"</definedName>
    <definedName function="false" hidden="false" name="IQ_AIR_FUEL_CONSUMED_L" vbProcedure="false">"c2807"</definedName>
    <definedName function="false" hidden="false" name="IQ_AIR_FUEL_COST" vbProcedure="false">"c2803"</definedName>
    <definedName function="false" hidden="false" name="IQ_AIR_FUEL_COST_L" vbProcedure="false">"c2804"</definedName>
    <definedName function="false" hidden="false" name="IQ_AIR_FUEL_EXP" vbProcedure="false">"c2802"</definedName>
    <definedName function="false" hidden="false" name="IQ_AIR_FUEL_EXP_PERCENT" vbProcedure="false">"c2805"</definedName>
    <definedName function="false" hidden="false" name="IQ_AIR_LEASED" vbProcedure="false">"c2835"</definedName>
    <definedName function="false" hidden="false" name="IQ_AIR_LOAD_FACTOR" vbProcedure="false">"c2823"</definedName>
    <definedName function="false" hidden="false" name="IQ_AIR_NEW_AIRPLANES" vbProcedure="false">"c2839"</definedName>
    <definedName function="false" hidden="false" name="IQ_AIR_OPER_EXP_ASK" vbProcedure="false">"c2821"</definedName>
    <definedName function="false" hidden="false" name="IQ_AIR_OPER_EXP_ASM" vbProcedure="false">"c2820"</definedName>
    <definedName function="false" hidden="false" name="IQ_AIR_OPER_LEASE" vbProcedure="false">"c2834"</definedName>
    <definedName function="false" hidden="false" name="IQ_AIR_OPER_REV_YIELD_ASK" vbProcedure="false">"c2819"</definedName>
    <definedName function="false" hidden="false" name="IQ_AIR_OPER_REV_YIELD_ASM" vbProcedure="false">"c2818"</definedName>
    <definedName function="false" hidden="false" name="IQ_AIR_OPTIONS" vbProcedure="false">"c2837"</definedName>
    <definedName function="false" hidden="false" name="IQ_AIR_ORDERS" vbProcedure="false">"c2836"</definedName>
    <definedName function="false" hidden="false" name="IQ_AIR_OWNED" vbProcedure="false">"c2832"</definedName>
    <definedName function="false" hidden="false" name="IQ_AIR_PSGR_REV_YIELD_ASK" vbProcedure="false">"c2817"</definedName>
    <definedName function="false" hidden="false" name="IQ_AIR_PSGR_REV_YIELD_ASM" vbProcedure="false">"c2816"</definedName>
    <definedName function="false" hidden="false" name="IQ_AIR_PSGR_REV_YIELD_RPK" vbProcedure="false">"c2815"</definedName>
    <definedName function="false" hidden="false" name="IQ_AIR_PSGR_REV_YIELD_RPM" vbProcedure="false">"c2814"</definedName>
    <definedName function="false" hidden="false" name="IQ_AIR_PURCHASE_RIGHTS" vbProcedure="false">"c2838"</definedName>
    <definedName function="false" hidden="false" name="IQ_AIR_RETIRED_AIRPLANES" vbProcedure="false">"c2840"</definedName>
    <definedName function="false" hidden="false" name="IQ_AIR_REV_PSGRS_CARRIED" vbProcedure="false">"c2808"</definedName>
    <definedName function="false" hidden="false" name="IQ_AIR_REV_SCHEDULED_SERVICE" vbProcedure="false">"c2830"</definedName>
    <definedName function="false" hidden="false" name="IQ_AIR_RPK" vbProcedure="false">"c2811"</definedName>
    <definedName function="false" hidden="false" name="IQ_AIR_RPM" vbProcedure="false">"c2810"</definedName>
    <definedName function="false" hidden="false" name="IQ_AIR_STAGE_LENGTH" vbProcedure="false">"c2828"</definedName>
    <definedName function="false" hidden="false" name="IQ_AIR_STAGE_LENGTH_KM" vbProcedure="false">"c2829"</definedName>
    <definedName function="false" hidden="false" name="IQ_AIR_TOTAL" vbProcedure="false">"c2831"</definedName>
    <definedName function="false" hidden="false" name="IQ_AIR_UTILIZATION" vbProcedure="false">"c2827"</definedName>
    <definedName function="false" hidden="false" name="IQ_ALLOWANCE_10YR_ANN_GROWTH" vbProcedure="false">"c18"</definedName>
    <definedName function="false" hidden="false" name="IQ_ALLOWANCE_1YR_ANN_GROWTH" vbProcedure="false">"c19"</definedName>
    <definedName function="false" hidden="false" name="IQ_ALLOWANCE_2YR_ANN_GROWTH" vbProcedure="false">"c20"</definedName>
    <definedName function="false" hidden="false" name="IQ_ALLOWANCE_3YR_ANN_GROWTH" vbProcedure="false">"c21"</definedName>
    <definedName function="false" hidden="false" name="IQ_ALLOWANCE_5YR_ANN_GROWTH" vbProcedure="false">"c22"</definedName>
    <definedName function="false" hidden="false" name="IQ_ALLOWANCE_7YR_ANN_GROWTH" vbProcedure="false">"c23"</definedName>
    <definedName function="false" hidden="false" name="IQ_ALLOWANCE_CHARGE_OFFS" vbProcedure="false">"c24"</definedName>
    <definedName function="false" hidden="false" name="IQ_ALLOWANCE_NON_PERF_LOANS" vbProcedure="false">"c25"</definedName>
    <definedName function="false" hidden="false" name="IQ_ALLOWANCE_TOTAL_LOANS" vbProcedure="false">"c26"</definedName>
    <definedName function="false" hidden="false" name="IQ_ALLOW_BORROW_CONST" vbProcedure="false">"c15"</definedName>
    <definedName function="false" hidden="false" name="IQ_ALLOW_CONST" vbProcedure="false">"c1342"</definedName>
    <definedName function="false" hidden="false" name="IQ_ALLOW_DOUBT_ACCT" vbProcedure="false">"c2092"</definedName>
    <definedName function="false" hidden="false" name="IQ_ALLOW_EQUITY_CONST" vbProcedure="false">"c16"</definedName>
    <definedName function="false" hidden="false" name="IQ_ALLOW_LL" vbProcedure="false">"c17"</definedName>
    <definedName function="false" hidden="false" name="IQ_AMENDED_BALANCE_PREVIOUS_YR_FDIC" vbProcedure="false">"c6499"</definedName>
    <definedName function="false" hidden="false" name="IQ_AMORTIZATION" vbProcedure="false">"c1591"</definedName>
    <definedName function="false" hidden="false" name="IQ_AMORTIZED_COST_FDIC" vbProcedure="false">"c6426"</definedName>
    <definedName function="false" hidden="false" name="IQ_AMORT_EXPENSE_FDIC" vbProcedure="false">"c6677"</definedName>
    <definedName function="false" hidden="false" name="IQ_ANNUALIZED_DIVIDEND" vbProcedure="false">"c1579"</definedName>
    <definedName function="false" hidden="false" name="IQ_ANNUITY_LIAB" vbProcedure="false">"c27"</definedName>
    <definedName function="false" hidden="false" name="IQ_ANNUITY_PAY" vbProcedure="false">"c28"</definedName>
    <definedName function="false" hidden="false" name="IQ_ANNUITY_POLICY_EXP" vbProcedure="false">"c29"</definedName>
    <definedName function="false" hidden="false" name="IQ_ANNUITY_REC" vbProcedure="false">"c30"</definedName>
    <definedName function="false" hidden="false" name="IQ_ANNUITY_REV" vbProcedure="false">"c31"</definedName>
    <definedName function="false" hidden="false" name="IQ_ANNU_DISTRIBUTION_UNIT" vbProcedure="false">"c3004"</definedName>
    <definedName function="false" hidden="false" name="IQ_AP" vbProcedure="false">"c32"</definedName>
    <definedName function="false" hidden="false" name="IQ_APIC" vbProcedure="false">"c39"</definedName>
    <definedName function="false" hidden="false" name="IQ_AP_BNK" vbProcedure="false">"c33"</definedName>
    <definedName function="false" hidden="false" name="IQ_AP_BR" vbProcedure="false">"c34"</definedName>
    <definedName function="false" hidden="false" name="IQ_AP_FIN" vbProcedure="false">"c35"</definedName>
    <definedName function="false" hidden="false" name="IQ_AP_INS" vbProcedure="false">"c36"</definedName>
    <definedName function="false" hidden="false" name="IQ_AP_REIT" vbProcedure="false">"c37"</definedName>
    <definedName function="false" hidden="false" name="IQ_AP_UTI" vbProcedure="false">"c38"</definedName>
    <definedName function="false" hidden="false" name="IQ_AR" vbProcedure="false">"c40"</definedName>
    <definedName function="false" hidden="false" name="IQ_ARPU" vbProcedure="false">"c2126"</definedName>
    <definedName function="false" hidden="false" name="IQ_AR_BR" vbProcedure="false">"c41"</definedName>
    <definedName function="false" hidden="false" name="IQ_AR_LT" vbProcedure="false">"c42"</definedName>
    <definedName function="false" hidden="false" name="IQ_AR_REIT" vbProcedure="false">"c43"</definedName>
    <definedName function="false" hidden="false" name="IQ_AR_TURNS" vbProcedure="false">"c44"</definedName>
    <definedName function="false" hidden="false" name="IQ_AR_UTI" vbProcedure="false">"c45"</definedName>
    <definedName function="false" hidden="false" name="IQ_ASSETS_CAP_LEASE_DEPR" vbProcedure="false">"c2068"</definedName>
    <definedName function="false" hidden="false" name="IQ_ASSETS_CAP_LEASE_GROSS" vbProcedure="false">"c2069"</definedName>
    <definedName function="false" hidden="false" name="IQ_ASSETS_HELD_FDIC" vbProcedure="false">"c6305"</definedName>
    <definedName function="false" hidden="false" name="IQ_ASSETS_OPER_LEASE_DEPR" vbProcedure="false">"c2070"</definedName>
    <definedName function="false" hidden="false" name="IQ_ASSETS_OPER_LEASE_GROSS" vbProcedure="false">"c2071"</definedName>
    <definedName function="false" hidden="false" name="IQ_ASSETS_PER_EMPLOYEE_FDIC" vbProcedure="false">"c6737"</definedName>
    <definedName function="false" hidden="false" name="IQ_ASSETS_SOLD_1_4_FAMILY_LOANS_FDIC" vbProcedure="false">"c6686"</definedName>
    <definedName function="false" hidden="false" name="IQ_ASSETS_SOLD_AUTO_LOANS_FDIC" vbProcedure="false">"c6680"</definedName>
    <definedName function="false" hidden="false" name="IQ_ASSETS_SOLD_CL_LOANS_FDIC" vbProcedure="false">"c6681"</definedName>
    <definedName function="false" hidden="false" name="IQ_ASSETS_SOLD_CREDIT_CARDS_RECEIVABLES_FDIC" vbProcedure="false">"c6683"</definedName>
    <definedName function="false" hidden="false" name="IQ_ASSETS_SOLD_HOME_EQUITY_LINES_FDIC" vbProcedure="false">"c6684"</definedName>
    <definedName function="false" hidden="false" name="IQ_ASSETS_SOLD_OTHER_CONSUMER_LOANS_FDIC" vbProcedure="false">"c6682"</definedName>
    <definedName function="false" hidden="false" name="IQ_ASSETS_SOLD_OTHER_LOANS_FDIC" vbProcedure="false">"c6685"</definedName>
    <definedName function="false" hidden="false" name="IQ_ASSET_BACKED_FDIC" vbProcedure="false">"c6301"</definedName>
    <definedName function="false" hidden="false" name="IQ_ASSET_MGMT_FEE" vbProcedure="false">"c46"</definedName>
    <definedName function="false" hidden="false" name="IQ_ASSET_TURNS" vbProcedure="false">"c47"</definedName>
    <definedName function="false" hidden="false" name="IQ_ASSET_WRITEDOWN" vbProcedure="false">"c48"</definedName>
    <definedName function="false" hidden="false" name="IQ_ASSET_WRITEDOWN_BNK" vbProcedure="false">"c49"</definedName>
    <definedName function="false" hidden="false" name="IQ_ASSET_WRITEDOWN_BR" vbProcedure="false">"c50"</definedName>
    <definedName function="false" hidden="false" name="IQ_ASSET_WRITEDOWN_CF" vbProcedure="false">"c51"</definedName>
    <definedName function="false" hidden="false" name="IQ_ASSET_WRITEDOWN_CF_BNK" vbProcedure="false">"c52"</definedName>
    <definedName function="false" hidden="false" name="IQ_ASSET_WRITEDOWN_CF_BR" vbProcedure="false">"c53"</definedName>
    <definedName function="false" hidden="false" name="IQ_ASSET_WRITEDOWN_CF_FIN" vbProcedure="false">"c54"</definedName>
    <definedName function="false" hidden="false" name="IQ_ASSET_WRITEDOWN_CF_INS" vbProcedure="false">"c55"</definedName>
    <definedName function="false" hidden="false" name="IQ_ASSET_WRITEDOWN_CF_REIT" vbProcedure="false">"c56"</definedName>
    <definedName function="false" hidden="false" name="IQ_ASSET_WRITEDOWN_CF_UTI" vbProcedure="false">"c57"</definedName>
    <definedName function="false" hidden="false" name="IQ_ASSET_WRITEDOWN_FIN" vbProcedure="false">"c58"</definedName>
    <definedName function="false" hidden="false" name="IQ_ASSET_WRITEDOWN_INS" vbProcedure="false">"c59"</definedName>
    <definedName function="false" hidden="false" name="IQ_ASSET_WRITEDOWN_REIT" vbProcedure="false">"c60"</definedName>
    <definedName function="false" hidden="false" name="IQ_ASSET_WRITEDOWN_UTI" vbProcedure="false">"c61"</definedName>
    <definedName function="false" hidden="false" name="IQ_ASSUMED_AH_EARNED" vbProcedure="false">"c2741"</definedName>
    <definedName function="false" hidden="false" name="IQ_ASSUMED_EARNED" vbProcedure="false">"c2731"</definedName>
    <definedName function="false" hidden="false" name="IQ_ASSUMED_LIFE_EARNED" vbProcedure="false">"c2736"</definedName>
    <definedName function="false" hidden="false" name="IQ_ASSUMED_LIFE_IN_FORCE" vbProcedure="false">"c2766"</definedName>
    <definedName function="false" hidden="false" name="IQ_ASSUMED_PC_EARNED" vbProcedure="false">"c2746"</definedName>
    <definedName function="false" hidden="false" name="IQ_ASSUMED_WRITTEN" vbProcedure="false">"c2725"</definedName>
    <definedName function="false" hidden="false" name="IQ_AUDITOR_NAME" vbProcedure="false">"c1539"</definedName>
    <definedName function="false" hidden="false" name="IQ_AUDITOR_OPINION" vbProcedure="false">"c1540"</definedName>
    <definedName function="false" hidden="false" name="IQ_AUTO_WRITTEN" vbProcedure="false">"c62"</definedName>
    <definedName function="false" hidden="false" name="IQ_AVAILABLE_FOR_SALE_FDIC" vbProcedure="false">"c6409"</definedName>
    <definedName function="false" hidden="false" name="IQ_AVERAGE_ASSETS_FDIC" vbProcedure="false">"c6362"</definedName>
    <definedName function="false" hidden="false" name="IQ_AVERAGE_ASSETS_QUART_FDIC" vbProcedure="false">"c6363"</definedName>
    <definedName function="false" hidden="false" name="IQ_AVERAGE_EARNING_ASSETS_FDIC" vbProcedure="false">"c6748"</definedName>
    <definedName function="false" hidden="false" name="IQ_AVERAGE_EQUITY_FDIC" vbProcedure="false">"c6749"</definedName>
    <definedName function="false" hidden="false" name="IQ_AVERAGE_LOANS_FDIC" vbProcedure="false">"c6750"</definedName>
    <definedName function="false" hidden="false" name="IQ_AVG_BANK_ASSETS" vbProcedure="false">"c2072"</definedName>
    <definedName function="false" hidden="false" name="IQ_AVG_BANK_LOANS" vbProcedure="false">"c2073"</definedName>
    <definedName function="false" hidden="false" name="IQ_AVG_BROKER_REC" vbProcedure="false">"c63"</definedName>
    <definedName function="false" hidden="false" name="IQ_AVG_BROKER_REC_NO" vbProcedure="false">"c64"</definedName>
    <definedName function="false" hidden="false" name="IQ_AVG_BROKER_REC_NO_REUT" vbProcedure="false">"c5315"</definedName>
    <definedName function="false" hidden="false" name="IQ_AVG_BROKER_REC_REUT" vbProcedure="false">"c3630"</definedName>
    <definedName function="false" hidden="false" name="IQ_AVG_DAILY_VOL" vbProcedure="false">"c65"</definedName>
    <definedName function="false" hidden="false" name="IQ_AVG_INT_BEAR_LIAB" vbProcedure="false">"c66"</definedName>
    <definedName function="false" hidden="false" name="IQ_AVG_INT_BEAR_LIAB_10YR_ANN_GROWTH" vbProcedure="false">"c67"</definedName>
    <definedName function="false" hidden="false" name="IQ_AVG_INT_BEAR_LIAB_1YR_ANN_GROWTH" vbProcedure="false">"c68"</definedName>
    <definedName function="false" hidden="false" name="IQ_AVG_INT_BEAR_LIAB_2YR_ANN_GROWTH" vbProcedure="false">"c69"</definedName>
    <definedName function="false" hidden="false" name="IQ_AVG_INT_BEAR_LIAB_3YR_ANN_GROWTH" vbProcedure="false">"c70"</definedName>
    <definedName function="false" hidden="false" name="IQ_AVG_INT_BEAR_LIAB_5YR_ANN_GROWTH" vbProcedure="false">"c71"</definedName>
    <definedName function="false" hidden="false" name="IQ_AVG_INT_BEAR_LIAB_7YR_ANN_GROWTH" vbProcedure="false">"c72"</definedName>
    <definedName function="false" hidden="false" name="IQ_AVG_INT_EARN_ASSETS" vbProcedure="false">"c73"</definedName>
    <definedName function="false" hidden="false" name="IQ_AVG_INT_EARN_ASSETS_10YR_ANN_GROWTH" vbProcedure="false">"c74"</definedName>
    <definedName function="false" hidden="false" name="IQ_AVG_INT_EARN_ASSETS_1YR_ANN_GROWTH" vbProcedure="false">"c75"</definedName>
    <definedName function="false" hidden="false" name="IQ_AVG_INT_EARN_ASSETS_2YR_ANN_GROWTH" vbProcedure="false">"c76"</definedName>
    <definedName function="false" hidden="false" name="IQ_AVG_INT_EARN_ASSETS_3YR_ANN_GROWTH" vbProcedure="false">"c77"</definedName>
    <definedName function="false" hidden="false" name="IQ_AVG_INT_EARN_ASSETS_5YR_ANN_GROWTH" vbProcedure="false">"c78"</definedName>
    <definedName function="false" hidden="false" name="IQ_AVG_INT_EARN_ASSETS_7YR_ANN_GROWTH" vbProcedure="false">"c79"</definedName>
    <definedName function="false" hidden="false" name="IQ_AVG_MKTCAP" vbProcedure="false">"c80"</definedName>
    <definedName function="false" hidden="false" name="IQ_AVG_PRICE" vbProcedure="false">"c81"</definedName>
    <definedName function="false" hidden="false" name="IQ_AVG_PRICE_TARGET" vbProcedure="false">"c82"</definedName>
    <definedName function="false" hidden="false" name="IQ_AVG_SHAREOUTSTANDING" vbProcedure="false">"c83"</definedName>
    <definedName function="false" hidden="false" name="IQ_AVG_TEV" vbProcedure="false">"c84"</definedName>
    <definedName function="false" hidden="false" name="IQ_AVG_VOLUME" vbProcedure="false">"c1346"</definedName>
    <definedName function="false" hidden="false" name="IQ_BALANCES_DUE_DEPOSITORY_INSTITUTIONS_FDIC" vbProcedure="false">"c6389"</definedName>
    <definedName function="false" hidden="false" name="IQ_BALANCES_DUE_FOREIGN_FDIC" vbProcedure="false">"c6391"</definedName>
    <definedName function="false" hidden="false" name="IQ_BALANCES_DUE_FRB_FDIC" vbProcedure="false">"c6393"</definedName>
    <definedName function="false" hidden="false" name="IQ_BALANCE_GOODS_APR_FC_UNUSED_UNUSED_UNUSED" vbProcedure="false">"c8353"</definedName>
    <definedName function="false" hidden="false" name="IQ_BALANCE_GOODS_APR_UNUSED_UNUSED_UNUSED" vbProcedure="false">"c7473"</definedName>
    <definedName function="false" hidden="false" name="IQ_BALANCE_GOODS_FC_UNUSED_UNUSED_UNUSED" vbProcedure="false">"c7693"</definedName>
    <definedName function="false" hidden="false" name="IQ_BALANCE_GOODS_POP_FC_UNUSED_UNUSED_UNUSED" vbProcedure="false">"c7913"</definedName>
    <definedName function="false" hidden="false" name="IQ_BALANCE_GOODS_POP_UNUSED_UNUSED_UNUSED" vbProcedure="false">"c7033"</definedName>
    <definedName function="false" hidden="false" name="IQ_BALANCE_GOODS_UNUSED_UNUSED_UNUSED" vbProcedure="false">"c6813"</definedName>
    <definedName function="false" hidden="false" name="IQ_BALANCE_GOODS_YOY_FC_UNUSED_UNUSED_UNUSED" vbProcedure="false">"c8133"</definedName>
    <definedName function="false" hidden="false" name="IQ_BALANCE_GOODS_YOY_UNUSED_UNUSED_UNUSED" vbProcedure="false">"c7253"</definedName>
    <definedName function="false" hidden="false" name="IQ_BALANCE_SERV_APR_FC_UNUSED_UNUSED_UNUSED" vbProcedure="false">"c8355"</definedName>
    <definedName function="false" hidden="false" name="IQ_BALANCE_SERV_APR_UNUSED_UNUSED_UNUSED" vbProcedure="false">"c7475"</definedName>
    <definedName function="false" hidden="false" name="IQ_BALANCE_SERV_FC_UNUSED_UNUSED_UNUSED" vbProcedure="false">"c7695"</definedName>
    <definedName function="false" hidden="false" name="IQ_BALANCE_SERV_POP_FC_UNUSED_UNUSED_UNUSED" vbProcedure="false">"c7915"</definedName>
    <definedName function="false" hidden="false" name="IQ_BALANCE_SERV_POP_UNUSED_UNUSED_UNUSED" vbProcedure="false">"c7035"</definedName>
    <definedName function="false" hidden="false" name="IQ_BALANCE_SERV_UNUSED_UNUSED_UNUSED" vbProcedure="false">"c6815"</definedName>
    <definedName function="false" hidden="false" name="IQ_BALANCE_SERV_YOY_FC_UNUSED_UNUSED_UNUSED" vbProcedure="false">"c8135"</definedName>
    <definedName function="false" hidden="false" name="IQ_BALANCE_SERV_YOY_UNUSED_UNUSED_UNUSED" vbProcedure="false">"c7255"</definedName>
    <definedName function="false" hidden="false" name="IQ_BALANCE_TRADE_APR_FC_UNUSED_UNUSED_UNUSED" vbProcedure="false">"c8357"</definedName>
    <definedName function="false" hidden="false" name="IQ_BALANCE_TRADE_APR_UNUSED_UNUSED_UNUSED" vbProcedure="false">"c7477"</definedName>
    <definedName function="false" hidden="false" name="IQ_BALANCE_TRADE_FC_UNUSED_UNUSED_UNUSED" vbProcedure="false">"c7697"</definedName>
    <definedName function="false" hidden="false" name="IQ_BALANCE_TRADE_POP_FC_UNUSED_UNUSED_UNUSED" vbProcedure="false">"c7917"</definedName>
    <definedName function="false" hidden="false" name="IQ_BALANCE_TRADE_POP_UNUSED_UNUSED_UNUSED" vbProcedure="false">"c7037"</definedName>
    <definedName function="false" hidden="false" name="IQ_BALANCE_TRADE_UNUSED_UNUSED_UNUSED" vbProcedure="false">"c6817"</definedName>
    <definedName function="false" hidden="false" name="IQ_BALANCE_TRADE_YOY_FC_UNUSED_UNUSED_UNUSED" vbProcedure="false">"c8137"</definedName>
    <definedName function="false" hidden="false" name="IQ_BALANCE_TRADE_YOY_UNUSED_UNUSED_UNUSED" vbProcedure="false">"c7257"</definedName>
    <definedName function="false" hidden="false" name="IQ_BANKS_FOREIGN_COUNTRIES_TOTAL_DEPOSITS_FDIC" vbProcedure="false">"c6475"</definedName>
    <definedName function="false" hidden="false" name="IQ_BANK_BENEFICIARY_FDIC" vbProcedure="false">"c6505"</definedName>
    <definedName function="false" hidden="false" name="IQ_BANK_DEBT" vbProcedure="false">"c2544"</definedName>
    <definedName function="false" hidden="false" name="IQ_BANK_DEBT_PCT" vbProcedure="false">"c2545"</definedName>
    <definedName function="false" hidden="false" name="IQ_BANK_GUARANTOR_FDIC" vbProcedure="false">"c6506"</definedName>
    <definedName function="false" hidden="false" name="IQ_BANK_PREMISES_FDIC" vbProcedure="false">"c6329"</definedName>
    <definedName function="false" hidden="false" name="IQ_BANK_SECURITIZATION_1_4_FAMILY_LOANS_FDIC" vbProcedure="false">"c6721"</definedName>
    <definedName function="false" hidden="false" name="IQ_BANK_SECURITIZATION_AUTO_LOANS_FDIC" vbProcedure="false">"c6715"</definedName>
    <definedName function="false" hidden="false" name="IQ_BANK_SECURITIZATION_CL_LOANS_FDIC" vbProcedure="false">"c6716"</definedName>
    <definedName function="false" hidden="false" name="IQ_BANK_SECURITIZATION_CREDIT_CARDS_RECEIVABLES_FDIC" vbProcedure="false">"c6718"</definedName>
    <definedName function="false" hidden="false" name="IQ_BANK_SECURITIZATION_HOME_EQUITY_LINES_FDIC" vbProcedure="false">"c6719"</definedName>
    <definedName function="false" hidden="false" name="IQ_BANK_SECURITIZATION_OTHER_CONSUMER_LOANS_FDIC" vbProcedure="false">"c6717"</definedName>
    <definedName function="false" hidden="false" name="IQ_BANK_SECURITIZATION_OTHER_LOANS_FDIC" vbProcedure="false">"c6720"</definedName>
    <definedName function="false" hidden="false" name="IQ_BASIC_EPS_EXCL" vbProcedure="false">"c85"</definedName>
    <definedName function="false" hidden="false" name="IQ_BASIC_EPS_INCL" vbProcedure="false">"c86"</definedName>
    <definedName function="false" hidden="false" name="IQ_BASIC_NORMAL_EPS" vbProcedure="false">"c1592"</definedName>
    <definedName function="false" hidden="false" name="IQ_BASIC_WEIGHT" vbProcedure="false">"c87"</definedName>
    <definedName function="false" hidden="false" name="IQ_BETA" vbProcedure="false">"c2133"</definedName>
    <definedName function="false" hidden="false" name="IQ_BETA_1YR" vbProcedure="false">"c1966"</definedName>
    <definedName function="false" hidden="false" name="IQ_BETA_1YR_RSQ" vbProcedure="false">"c2132"</definedName>
    <definedName function="false" hidden="false" name="IQ_BETA_2YR" vbProcedure="false">"c1965"</definedName>
    <definedName function="false" hidden="false" name="IQ_BETA_2YR_RSQ" vbProcedure="false">"c2131"</definedName>
    <definedName function="false" hidden="false" name="IQ_BETA_5YR" vbProcedure="false">"c88"</definedName>
    <definedName function="false" hidden="false" name="IQ_BETA_5YR_RSQ" vbProcedure="false">"c2130"</definedName>
    <definedName function="false" hidden="false" name="IQ_BIG_INT_BEAR_CD" vbProcedure="false">"c89"</definedName>
    <definedName function="false" hidden="false" name="IQ_BOARD_MEMBER" vbProcedure="false">"c96"</definedName>
    <definedName function="false" hidden="false" name="IQ_BOARD_MEMBER_BACKGROUND" vbProcedure="false">"c2101"</definedName>
    <definedName function="false" hidden="false" name="IQ_BOARD_MEMBER_FAX" vbProcedure="false">"c2100"</definedName>
    <definedName function="false" hidden="false" name="IQ_BOARD_MEMBER_OFFICE" vbProcedure="false">"c2098"</definedName>
    <definedName function="false" hidden="false" name="IQ_BOARD_MEMBER_PHONE" vbProcedure="false">"c2099"</definedName>
    <definedName function="false" hidden="false" name="IQ_BOARD_MEMBER_TITLE" vbProcedure="false">"c97"</definedName>
    <definedName function="false" hidden="false" name="IQ_BONDRATING_FITCH" vbProcedure="false">"IQ_BONDRATING_FITCH"</definedName>
    <definedName function="false" hidden="false" name="IQ_BONDRATING_FITCH_DATE" vbProcedure="false">"c241"</definedName>
    <definedName function="false" hidden="false" name="IQ_BONDRATING_SP" vbProcedure="false">"IQ_BONDRATING_SP"</definedName>
    <definedName function="false" hidden="false" name="IQ_BONDRATING_SP_DATE" vbProcedure="false">"c242"</definedName>
    <definedName function="false" hidden="false" name="IQ_BOOK_VALUE" vbProcedure="false">"IQ_BOOK_VALUE"</definedName>
    <definedName function="false" hidden="false" name="IQ_BROKERED_DEPOSITS_FDIC" vbProcedure="false">"c6486"</definedName>
    <definedName function="false" hidden="false" name="IQ_BROK_COMISSION" vbProcedure="false">"c98"</definedName>
    <definedName function="false" hidden="false" name="IQ_BUDGET_BALANCE_APR_FC_UNUSED_UNUSED_UNUSED" vbProcedure="false">"c8359"</definedName>
    <definedName function="false" hidden="false" name="IQ_BUDGET_BALANCE_APR_UNUSED_UNUSED_UNUSED" vbProcedure="false">"c7479"</definedName>
    <definedName function="false" hidden="false" name="IQ_BUDGET_BALANCE_FC_UNUSED_UNUSED_UNUSED" vbProcedure="false">"c7699"</definedName>
    <definedName function="false" hidden="false" name="IQ_BUDGET_BALANCE_POP_FC_UNUSED_UNUSED_UNUSED" vbProcedure="false">"c7919"</definedName>
    <definedName function="false" hidden="false" name="IQ_BUDGET_BALANCE_POP_UNUSED_UNUSED_UNUSED" vbProcedure="false">"c7039"</definedName>
    <definedName function="false" hidden="false" name="IQ_BUDGET_BALANCE_UNUSED_UNUSED_UNUSED" vbProcedure="false">"c6819"</definedName>
    <definedName function="false" hidden="false" name="IQ_BUDGET_BALANCE_YOY_FC_UNUSED_UNUSED_UNUSED" vbProcedure="false">"c8139"</definedName>
    <definedName function="false" hidden="false" name="IQ_BUDGET_BALANCE_YOY_UNUSED_UNUSED_UNUSED" vbProcedure="false">"c7259"</definedName>
    <definedName function="false" hidden="false" name="IQ_BUDGET_RECEIPTS_APR_FC_UNUSED_UNUSED_UNUSED" vbProcedure="false">"c8361"</definedName>
    <definedName function="false" hidden="false" name="IQ_BUDGET_RECEIPTS_APR_UNUSED_UNUSED_UNUSED" vbProcedure="false">"c7481"</definedName>
    <definedName function="false" hidden="false" name="IQ_BUDGET_RECEIPTS_FC_UNUSED_UNUSED_UNUSED" vbProcedure="false">"c7701"</definedName>
    <definedName function="false" hidden="false" name="IQ_BUDGET_RECEIPTS_POP_FC_UNUSED_UNUSED_UNUSED" vbProcedure="false">"c7921"</definedName>
    <definedName function="false" hidden="false" name="IQ_BUDGET_RECEIPTS_POP_UNUSED_UNUSED_UNUSED" vbProcedure="false">"c7041"</definedName>
    <definedName function="false" hidden="false" name="IQ_BUDGET_RECEIPTS_UNUSED_UNUSED_UNUSED" vbProcedure="false">"c6821"</definedName>
    <definedName function="false" hidden="false" name="IQ_BUDGET_RECEIPTS_YOY_FC_UNUSED_UNUSED_UNUSED" vbProcedure="false">"c8141"</definedName>
    <definedName function="false" hidden="false" name="IQ_BUDGET_RECEIPTS_YOY_UNUSED_UNUSED_UNUSED" vbProcedure="false">"c7261"</definedName>
    <definedName function="false" hidden="false" name="IQ_BUILDINGS" vbProcedure="false">"c99"</definedName>
    <definedName function="false" hidden="false" name="IQ_BUSINESS_DESCRIPTION" vbProcedure="false">"c322"</definedName>
    <definedName function="false" hidden="false" name="IQ_BUS_SEG_PRIMARY_GIC" vbProcedure="false">"c15584"</definedName>
    <definedName function="false" hidden="false" name="IQ_BUS_SEG_PRIMARY_GIC_ABS" vbProcedure="false">"c15572"</definedName>
    <definedName function="false" hidden="false" name="IQ_BUS_SEG_SECONDARY_GIC" vbProcedure="false">"c15585"</definedName>
    <definedName function="false" hidden="false" name="IQ_BUS_SEG_SECONDARY_GIC_ABS" vbProcedure="false">"c15573"</definedName>
    <definedName function="false" hidden="false" name="IQ_BV_ACT_OR_EST_REUT" vbProcedure="false">"c5471"</definedName>
    <definedName function="false" hidden="false" name="IQ_BV_ACT_OR_EST_THOM" vbProcedure="false">"c5308"</definedName>
    <definedName function="false" hidden="false" name="IQ_BV_EST_REUT" vbProcedure="false">"c5403"</definedName>
    <definedName function="false" hidden="false" name="IQ_BV_EST_THOM" vbProcedure="false">"c5147"</definedName>
    <definedName function="false" hidden="false" name="IQ_BV_HIGH_EST_REUT" vbProcedure="false">"c5405"</definedName>
    <definedName function="false" hidden="false" name="IQ_BV_HIGH_EST_THOM" vbProcedure="false">"c5149"</definedName>
    <definedName function="false" hidden="false" name="IQ_BV_LOW_EST_REUT" vbProcedure="false">"c5406"</definedName>
    <definedName function="false" hidden="false" name="IQ_BV_LOW_EST_THOM" vbProcedure="false">"c5150"</definedName>
    <definedName function="false" hidden="false" name="IQ_BV_MEDIAN_EST_REUT" vbProcedure="false">"c5404"</definedName>
    <definedName function="false" hidden="false" name="IQ_BV_MEDIAN_EST_THOM" vbProcedure="false">"c5148"</definedName>
    <definedName function="false" hidden="false" name="IQ_BV_NUM_EST_REUT" vbProcedure="false">"c5407"</definedName>
    <definedName function="false" hidden="false" name="IQ_BV_NUM_EST_THOM" vbProcedure="false">"c5151"</definedName>
    <definedName function="false" hidden="false" name="IQ_BV_OVER_SHARES" vbProcedure="false">"c1349"</definedName>
    <definedName function="false" hidden="false" name="IQ_BV_SHARE" vbProcedure="false">"c100"</definedName>
    <definedName function="false" hidden="false" name="IQ_BV_SHARE_ACT_OR_EST_REUT" vbProcedure="false">"c5477"</definedName>
    <definedName function="false" hidden="false" name="IQ_BV_SHARE_EST_REUT" vbProcedure="false">"c5439"</definedName>
    <definedName function="false" hidden="false" name="IQ_BV_SHARE_HIGH_EST_REUT" vbProcedure="false">"c5441"</definedName>
    <definedName function="false" hidden="false" name="IQ_BV_SHARE_LOW_EST_REUT" vbProcedure="false">"c5442"</definedName>
    <definedName function="false" hidden="false" name="IQ_BV_SHARE_MEDIAN_EST_REUT" vbProcedure="false">"c5440"</definedName>
    <definedName function="false" hidden="false" name="IQ_BV_SHARE_NUM_EST_REUT" vbProcedure="false">"c5443"</definedName>
    <definedName function="false" hidden="false" name="IQ_BV_SHARE_STDDEV_EST_REUT" vbProcedure="false">"c5444"</definedName>
    <definedName function="false" hidden="false" name="IQ_BV_STDDEV_EST_REUT" vbProcedure="false">"c5408"</definedName>
    <definedName function="false" hidden="false" name="IQ_BV_STDDEV_EST_THOM" vbProcedure="false">"c5152"</definedName>
    <definedName function="false" hidden="false" name="IQ_CABLE_ARPU" vbProcedure="false">"c2869"</definedName>
    <definedName function="false" hidden="false" name="IQ_CABLE_ARPU_ANALOG" vbProcedure="false">"c2864"</definedName>
    <definedName function="false" hidden="false" name="IQ_CABLE_ARPU_BASIC" vbProcedure="false">"c2866"</definedName>
    <definedName function="false" hidden="false" name="IQ_CABLE_ARPU_BBAND" vbProcedure="false">"c2867"</definedName>
    <definedName function="false" hidden="false" name="IQ_CABLE_ARPU_DIG" vbProcedure="false">"c2865"</definedName>
    <definedName function="false" hidden="false" name="IQ_CABLE_ARPU_PHONE" vbProcedure="false">"c2868"</definedName>
    <definedName function="false" hidden="false" name="IQ_CABLE_BASIC_PENETRATION" vbProcedure="false">"c2850"</definedName>
    <definedName function="false" hidden="false" name="IQ_CABLE_BBAND_PENETRATION" vbProcedure="false">"c2852"</definedName>
    <definedName function="false" hidden="false" name="IQ_CABLE_BBAND_PENETRATION_THP" vbProcedure="false">"c2851"</definedName>
    <definedName function="false" hidden="false" name="IQ_CABLE_CHURN" vbProcedure="false">"c2874"</definedName>
    <definedName function="false" hidden="false" name="IQ_CABLE_CHURN_BASIC" vbProcedure="false">"c2871"</definedName>
    <definedName function="false" hidden="false" name="IQ_CABLE_CHURN_BBAND" vbProcedure="false">"c2872"</definedName>
    <definedName function="false" hidden="false" name="IQ_CABLE_CHURN_DIG" vbProcedure="false">"c2870"</definedName>
    <definedName function="false" hidden="false" name="IQ_CABLE_CHURN_PHONE" vbProcedure="false">"c2873"</definedName>
    <definedName function="false" hidden="false" name="IQ_CABLE_HOMES_PER_MILE" vbProcedure="false">"c2849"</definedName>
    <definedName function="false" hidden="false" name="IQ_CABLE_HP_BBAND" vbProcedure="false">"c2845"</definedName>
    <definedName function="false" hidden="false" name="IQ_CABLE_HP_DIG" vbProcedure="false">"c2844"</definedName>
    <definedName function="false" hidden="false" name="IQ_CABLE_HP_PHONE" vbProcedure="false">"c2846"</definedName>
    <definedName function="false" hidden="false" name="IQ_CABLE_MILES_PASSED" vbProcedure="false">"c2848"</definedName>
    <definedName function="false" hidden="false" name="IQ_CABLE_OTHER_REV" vbProcedure="false">"c2882"</definedName>
    <definedName function="false" hidden="false" name="IQ_CABLE_PHONE_PENETRATION" vbProcedure="false">"c2853"</definedName>
    <definedName function="false" hidden="false" name="IQ_CABLE_PROGRAMMING_COSTS" vbProcedure="false">"c2884"</definedName>
    <definedName function="false" hidden="false" name="IQ_CABLE_REV_ADVERT" vbProcedure="false">"c2880"</definedName>
    <definedName function="false" hidden="false" name="IQ_CABLE_REV_ANALOG" vbProcedure="false">"c2875"</definedName>
    <definedName function="false" hidden="false" name="IQ_CABLE_REV_BASIC" vbProcedure="false">"c2877"</definedName>
    <definedName function="false" hidden="false" name="IQ_CABLE_REV_BBAND" vbProcedure="false">"c2878"</definedName>
    <definedName function="false" hidden="false" name="IQ_CABLE_REV_COMMERCIAL" vbProcedure="false">"c2881"</definedName>
    <definedName function="false" hidden="false" name="IQ_CABLE_REV_DIG" vbProcedure="false">"c2876"</definedName>
    <definedName function="false" hidden="false" name="IQ_CABLE_REV_PHONE" vbProcedure="false">"c2879"</definedName>
    <definedName function="false" hidden="false" name="IQ_CABLE_RGU" vbProcedure="false">"c2863"</definedName>
    <definedName function="false" hidden="false" name="IQ_CABLE_SUBS_ANALOG" vbProcedure="false">"c2855"</definedName>
    <definedName function="false" hidden="false" name="IQ_CABLE_SUBS_BASIC" vbProcedure="false">"c2857"</definedName>
    <definedName function="false" hidden="false" name="IQ_CABLE_SUBS_BBAND" vbProcedure="false">"c2858"</definedName>
    <definedName function="false" hidden="false" name="IQ_CABLE_SUBS_BUNDLED" vbProcedure="false">"c2861"</definedName>
    <definedName function="false" hidden="false" name="IQ_CABLE_SUBS_DIG" vbProcedure="false">"c2856"</definedName>
    <definedName function="false" hidden="false" name="IQ_CABLE_SUBS_NON_VIDEO" vbProcedure="false">"c2860"</definedName>
    <definedName function="false" hidden="false" name="IQ_CABLE_SUBS_PHONE" vbProcedure="false">"c2859"</definedName>
    <definedName function="false" hidden="false" name="IQ_CABLE_SUBS_TOTAL" vbProcedure="false">"c2862"</definedName>
    <definedName function="false" hidden="false" name="IQ_CABLE_THP" vbProcedure="false">"c2847"</definedName>
    <definedName function="false" hidden="false" name="IQ_CABLE_TOTAL_PENETRATION" vbProcedure="false">"c2854"</definedName>
    <definedName function="false" hidden="false" name="IQ_CABLE_TOTAL_REV" vbProcedure="false">"c2883"</definedName>
    <definedName function="false" hidden="false" name="IQ_CAL_Q" vbProcedure="false">"c101"</definedName>
    <definedName function="false" hidden="false" name="IQ_CAL_Q_EST_REUT" vbProcedure="false">"c6800"</definedName>
    <definedName function="false" hidden="false" name="IQ_CAL_Y" vbProcedure="false">"c102"</definedName>
    <definedName function="false" hidden="false" name="IQ_CAL_Y_EST_REUT" vbProcedure="false">"c6801"</definedName>
    <definedName function="false" hidden="false" name="IQ_CAPEX" vbProcedure="false">"c103"</definedName>
    <definedName function="false" hidden="false" name="IQ_CAPEX_10YR_ANN_GROWTH" vbProcedure="false">"c104"</definedName>
    <definedName function="false" hidden="false" name="IQ_CAPEX_1YR_ANN_GROWTH" vbProcedure="false">"c105"</definedName>
    <definedName function="false" hidden="false" name="IQ_CAPEX_2YR_ANN_GROWTH" vbProcedure="false">"c106"</definedName>
    <definedName function="false" hidden="false" name="IQ_CAPEX_3YR_ANN_GROWTH" vbProcedure="false">"c107"</definedName>
    <definedName function="false" hidden="false" name="IQ_CAPEX_5YR_ANN_GROWTH" vbProcedure="false">"c108"</definedName>
    <definedName function="false" hidden="false" name="IQ_CAPEX_7YR_ANN_GROWTH" vbProcedure="false">"c109"</definedName>
    <definedName function="false" hidden="false" name="IQ_CAPEX_ACT_OR_EST_REUT" vbProcedure="false">"c5474"</definedName>
    <definedName function="false" hidden="false" name="IQ_CAPEX_BNK" vbProcedure="false">"c110"</definedName>
    <definedName function="false" hidden="false" name="IQ_CAPEX_BR" vbProcedure="false">"c111"</definedName>
    <definedName function="false" hidden="false" name="IQ_CAPEX_EST_REUT" vbProcedure="false">"c3969"</definedName>
    <definedName function="false" hidden="false" name="IQ_CAPEX_FIN" vbProcedure="false">"c112"</definedName>
    <definedName function="false" hidden="false" name="IQ_CAPEX_HIGH_EST_REUT" vbProcedure="false">"c3971"</definedName>
    <definedName function="false" hidden="false" name="IQ_CAPEX_INS" vbProcedure="false">"c113"</definedName>
    <definedName function="false" hidden="false" name="IQ_CAPEX_LOW_EST_REUT" vbProcedure="false">"c3972"</definedName>
    <definedName function="false" hidden="false" name="IQ_CAPEX_MEDIAN_EST_REUT" vbProcedure="false">"c3970"</definedName>
    <definedName function="false" hidden="false" name="IQ_CAPEX_NUM_EST_REUT" vbProcedure="false">"c3973"</definedName>
    <definedName function="false" hidden="false" name="IQ_CAPEX_STDDEV_EST_REUT" vbProcedure="false">"c3974"</definedName>
    <definedName function="false" hidden="false" name="IQ_CAPEX_UTI" vbProcedure="false">"c114"</definedName>
    <definedName function="false" hidden="false" name="IQ_CAPITALIZED_INTEREST" vbProcedure="false">"c2076"</definedName>
    <definedName function="false" hidden="false" name="IQ_CAPITAL_LEASE" vbProcedure="false">"c1350"</definedName>
    <definedName function="false" hidden="false" name="IQ_CAPITAL_LEASES" vbProcedure="false">"c115"</definedName>
    <definedName function="false" hidden="false" name="IQ_CAPITAL_LEASES_TOTAL" vbProcedure="false">"c3031"</definedName>
    <definedName function="false" hidden="false" name="IQ_CAPITAL_LEASES_TOTAL_PCT" vbProcedure="false">"c2506"</definedName>
    <definedName function="false" hidden="false" name="IQ_CASH" vbProcedure="false">"c1458"</definedName>
    <definedName function="false" hidden="false" name="IQ_CASH_ACQUIRE_CF" vbProcedure="false">"c1630"</definedName>
    <definedName function="false" hidden="false" name="IQ_CASH_CONVERSION" vbProcedure="false">"c117"</definedName>
    <definedName function="false" hidden="false" name="IQ_CASH_DIVIDENDS_NET_INCOME_FDIC" vbProcedure="false">"c6738"</definedName>
    <definedName function="false" hidden="false" name="IQ_CASH_DUE_BANKS" vbProcedure="false">"c1351"</definedName>
    <definedName function="false" hidden="false" name="IQ_CASH_EQUIV" vbProcedure="false">"c118"</definedName>
    <definedName function="false" hidden="false" name="IQ_CASH_FINAN" vbProcedure="false">"c119"</definedName>
    <definedName function="false" hidden="false" name="IQ_CASH_INTEREST" vbProcedure="false">"c120"</definedName>
    <definedName function="false" hidden="false" name="IQ_CASH_INVEST" vbProcedure="false">"c121"</definedName>
    <definedName function="false" hidden="false" name="IQ_CASH_IN_PROCESS_FDIC" vbProcedure="false">"c6386"</definedName>
    <definedName function="false" hidden="false" name="IQ_CASH_OPER" vbProcedure="false">"c122"</definedName>
    <definedName function="false" hidden="false" name="IQ_CASH_SEGREG" vbProcedure="false">"c123"</definedName>
    <definedName function="false" hidden="false" name="IQ_CASH_SHARE" vbProcedure="false">"c1911"</definedName>
    <definedName function="false" hidden="false" name="IQ_CASH_ST" vbProcedure="false">"c1355"</definedName>
    <definedName function="false" hidden="false" name="IQ_CASH_ST_INVEST" vbProcedure="false">"c124"</definedName>
    <definedName function="false" hidden="false" name="IQ_CASH_TAXES" vbProcedure="false">"c125"</definedName>
    <definedName function="false" hidden="false" name="IQ_CCE_FDIC" vbProcedure="false">"c6296"</definedName>
    <definedName function="false" hidden="false" name="IQ_CEDED_AH_EARNED" vbProcedure="false">"c2743"</definedName>
    <definedName function="false" hidden="false" name="IQ_CEDED_CLAIM_EXP_INCUR" vbProcedure="false">"c2756"</definedName>
    <definedName function="false" hidden="false" name="IQ_CEDED_CLAIM_EXP_PAID" vbProcedure="false">"c2759"</definedName>
    <definedName function="false" hidden="false" name="IQ_CEDED_CLAIM_EXP_RES" vbProcedure="false">"c2753"</definedName>
    <definedName function="false" hidden="false" name="IQ_CEDED_EARNED" vbProcedure="false">"c2733"</definedName>
    <definedName function="false" hidden="false" name="IQ_CEDED_LIFE_EARNED" vbProcedure="false">"c2738"</definedName>
    <definedName function="false" hidden="false" name="IQ_CEDED_LIFE_IN_FORCE" vbProcedure="false">"c2768"</definedName>
    <definedName function="false" hidden="false" name="IQ_CEDED_PC_EARNED" vbProcedure="false">"c2748"</definedName>
    <definedName function="false" hidden="false" name="IQ_CEDED_WRITTEN" vbProcedure="false">"c2727"</definedName>
    <definedName function="false" hidden="false" name="IQ_CFO_10YR_ANN_GROWTH" vbProcedure="false">"c126"</definedName>
    <definedName function="false" hidden="false" name="IQ_CFO_1YR_ANN_GROWTH" vbProcedure="false">"c127"</definedName>
    <definedName function="false" hidden="false" name="IQ_CFO_2YR_ANN_GROWTH" vbProcedure="false">"c128"</definedName>
    <definedName function="false" hidden="false" name="IQ_CFO_3YR_ANN_GROWTH" vbProcedure="false">"c129"</definedName>
    <definedName function="false" hidden="false" name="IQ_CFO_5YR_ANN_GROWTH" vbProcedure="false">"c130"</definedName>
    <definedName function="false" hidden="false" name="IQ_CFO_7YR_ANN_GROWTH" vbProcedure="false">"c131"</definedName>
    <definedName function="false" hidden="false" name="IQ_CFO_CURRENT_LIAB" vbProcedure="false">"c132"</definedName>
    <definedName function="false" hidden="false" name="IQ_CFPS_ACT_OR_EST" vbProcedure="false">"c2217"</definedName>
    <definedName function="false" hidden="false" name="IQ_CFPS_ACT_OR_EST_REUT" vbProcedure="false">"c5463"</definedName>
    <definedName function="false" hidden="false" name="IQ_CFPS_EST" vbProcedure="false">"c1667"</definedName>
    <definedName function="false" hidden="false" name="IQ_CFPS_EST_REUT" vbProcedure="false">"c3844"</definedName>
    <definedName function="false" hidden="false" name="IQ_CFPS_HIGH_EST" vbProcedure="false">"c1669"</definedName>
    <definedName function="false" hidden="false" name="IQ_CFPS_HIGH_EST_REUT" vbProcedure="false">"c3846"</definedName>
    <definedName function="false" hidden="false" name="IQ_CFPS_LOW_EST" vbProcedure="false">"c1670"</definedName>
    <definedName function="false" hidden="false" name="IQ_CFPS_LOW_EST_REUT" vbProcedure="false">"c3847"</definedName>
    <definedName function="false" hidden="false" name="IQ_CFPS_MEDIAN_EST" vbProcedure="false">"c1668"</definedName>
    <definedName function="false" hidden="false" name="IQ_CFPS_MEDIAN_EST_REUT" vbProcedure="false">"c3845"</definedName>
    <definedName function="false" hidden="false" name="IQ_CFPS_NUM_EST" vbProcedure="false">"c1671"</definedName>
    <definedName function="false" hidden="false" name="IQ_CFPS_NUM_EST_REUT" vbProcedure="false">"c3848"</definedName>
    <definedName function="false" hidden="false" name="IQ_CFPS_STDDEV_EST" vbProcedure="false">"c1672"</definedName>
    <definedName function="false" hidden="false" name="IQ_CFPS_STDDEV_EST_REUT" vbProcedure="false">"c3849"</definedName>
    <definedName function="false" hidden="false" name="IQ_CH" vbProcedure="false">110000</definedName>
    <definedName function="false" hidden="false" name="IQ_CHANGES_WORK_CAP" vbProcedure="false">"c1357"</definedName>
    <definedName function="false" hidden="false" name="IQ_CHANGE_AP" vbProcedure="false">"c133"</definedName>
    <definedName function="false" hidden="false" name="IQ_CHANGE_AP_BNK" vbProcedure="false">"c134"</definedName>
    <definedName function="false" hidden="false" name="IQ_CHANGE_AP_BR" vbProcedure="false">"c135"</definedName>
    <definedName function="false" hidden="false" name="IQ_CHANGE_AP_FIN" vbProcedure="false">"c136"</definedName>
    <definedName function="false" hidden="false" name="IQ_CHANGE_AP_INS" vbProcedure="false">"c137"</definedName>
    <definedName function="false" hidden="false" name="IQ_CHANGE_AP_REIT" vbProcedure="false">"c138"</definedName>
    <definedName function="false" hidden="false" name="IQ_CHANGE_AP_UTI" vbProcedure="false">"c139"</definedName>
    <definedName function="false" hidden="false" name="IQ_CHANGE_AR" vbProcedure="false">"c140"</definedName>
    <definedName function="false" hidden="false" name="IQ_CHANGE_AR_BNK" vbProcedure="false">"c141"</definedName>
    <definedName function="false" hidden="false" name="IQ_CHANGE_AR_BR" vbProcedure="false">"c142"</definedName>
    <definedName function="false" hidden="false" name="IQ_CHANGE_AR_FIN" vbProcedure="false">"c143"</definedName>
    <definedName function="false" hidden="false" name="IQ_CHANGE_AR_INS" vbProcedure="false">"c144"</definedName>
    <definedName function="false" hidden="false" name="IQ_CHANGE_AR_REIT" vbProcedure="false">"c145"</definedName>
    <definedName function="false" hidden="false" name="IQ_CHANGE_AR_UTI" vbProcedure="false">"c146"</definedName>
    <definedName function="false" hidden="false" name="IQ_CHANGE_DEF_TAX" vbProcedure="false">"c147"</definedName>
    <definedName function="false" hidden="false" name="IQ_CHANGE_DEPOSIT_ACCT" vbProcedure="false">"c148"</definedName>
    <definedName function="false" hidden="false" name="IQ_CHANGE_INC_TAX" vbProcedure="false">"c149"</definedName>
    <definedName function="false" hidden="false" name="IQ_CHANGE_INS_RES_LIAB" vbProcedure="false">"c150"</definedName>
    <definedName function="false" hidden="false" name="IQ_CHANGE_INVENTORY" vbProcedure="false">"c151"</definedName>
    <definedName function="false" hidden="false" name="IQ_CHANGE_INVENT_REAL_APR_FC_UNUSED_UNUSED_UNUSED" vbProcedure="false">"c8500"</definedName>
    <definedName function="false" hidden="false" name="IQ_CHANGE_INVENT_REAL_APR_UNUSED_UNUSED_UNUSED" vbProcedure="false">"c7620"</definedName>
    <definedName function="false" hidden="false" name="IQ_CHANGE_INVENT_REAL_FC_UNUSED_UNUSED_UNUSED" vbProcedure="false">"c7840"</definedName>
    <definedName function="false" hidden="false" name="IQ_CHANGE_INVENT_REAL_POP_FC_UNUSED_UNUSED_UNUSED" vbProcedure="false">"c8060"</definedName>
    <definedName function="false" hidden="false" name="IQ_CHANGE_INVENT_REAL_POP_UNUSED_UNUSED_UNUSED" vbProcedure="false">"c7180"</definedName>
    <definedName function="false" hidden="false" name="IQ_CHANGE_INVENT_REAL_UNUSED_UNUSED_UNUSED" vbProcedure="false">"c6960"</definedName>
    <definedName function="false" hidden="false" name="IQ_CHANGE_INVENT_REAL_YOY_FC_UNUSED_UNUSED_UNUSED" vbProcedure="false">"c8280"</definedName>
    <definedName function="false" hidden="false" name="IQ_CHANGE_INVENT_REAL_YOY_UNUSED_UNUSED_UNUSED" vbProcedure="false">"c7400"</definedName>
    <definedName function="false" hidden="false" name="IQ_CHANGE_NET_WORKING_CAPITAL" vbProcedure="false">"c1909"</definedName>
    <definedName function="false" hidden="false" name="IQ_CHANGE_OTHER_NET_OPER_ASSETS_BR" vbProcedure="false">"c3595"</definedName>
    <definedName function="false" hidden="false" name="IQ_CHANGE_OTHER_WORK_CAP" vbProcedure="false">"c152"</definedName>
    <definedName function="false" hidden="false" name="IQ_CHANGE_OTHER_WORK_CAP_BNK" vbProcedure="false">"c153"</definedName>
    <definedName function="false" hidden="false" name="IQ_CHANGE_OTHER_WORK_CAP_BR" vbProcedure="false">"c154"</definedName>
    <definedName function="false" hidden="false" name="IQ_CHANGE_OTHER_WORK_CAP_FIN" vbProcedure="false">"c155"</definedName>
    <definedName function="false" hidden="false" name="IQ_CHANGE_OTHER_WORK_CAP_INS" vbProcedure="false">"c156"</definedName>
    <definedName function="false" hidden="false" name="IQ_CHANGE_OTHER_WORK_CAP_REIT" vbProcedure="false">"c157"</definedName>
    <definedName function="false" hidden="false" name="IQ_CHANGE_OTHER_WORK_CAP_UTI" vbProcedure="false">"c158"</definedName>
    <definedName function="false" hidden="false" name="IQ_CHANGE_TRADING_ASSETS" vbProcedure="false">"c159"</definedName>
    <definedName function="false" hidden="false" name="IQ_CHANGE_UNEARN_REV" vbProcedure="false">"c160"</definedName>
    <definedName function="false" hidden="false" name="IQ_CHANGE_WORK_CAP" vbProcedure="false">"c161"</definedName>
    <definedName function="false" hidden="false" name="IQ_CHARGE_OFFS_1_4_FAMILY_FDIC" vbProcedure="false">"c6756"</definedName>
    <definedName function="false" hidden="false" name="IQ_CHARGE_OFFS_1_4_FAMILY_LOANS_FDIC" vbProcedure="false">"c6714"</definedName>
    <definedName function="false" hidden="false" name="IQ_CHARGE_OFFS_AUTO_LOANS_FDIC" vbProcedure="false">"c6708"</definedName>
    <definedName function="false" hidden="false" name="IQ_CHARGE_OFFS_CL_LOANS_FDIC" vbProcedure="false">"c6709"</definedName>
    <definedName function="false" hidden="false" name="IQ_CHARGE_OFFS_COMMERCIAL_INDUSTRIAL_FDIC" vbProcedure="false">"c6759"</definedName>
    <definedName function="false" hidden="false" name="IQ_CHARGE_OFFS_COMMERCIAL_RE_FDIC" vbProcedure="false">"c6754"</definedName>
    <definedName function="false" hidden="false" name="IQ_CHARGE_OFFS_COMMERCIAL_RE_NOT_SECURED_FDIC" vbProcedure="false">"c6764"</definedName>
    <definedName function="false" hidden="false" name="IQ_CHARGE_OFFS_CONSTRUCTION_DEVELOPMENT_FDIC" vbProcedure="false">"c6753"</definedName>
    <definedName function="false" hidden="false" name="IQ_CHARGE_OFFS_CREDIT_CARDS_FDIC" vbProcedure="false">"c6761"</definedName>
    <definedName function="false" hidden="false" name="IQ_CHARGE_OFFS_CREDIT_CARDS_RECEIVABLES_FDIC" vbProcedure="false">"c6711"</definedName>
    <definedName function="false" hidden="false" name="IQ_CHARGE_OFFS_GROSS" vbProcedure="false">"c162"</definedName>
    <definedName function="false" hidden="false" name="IQ_CHARGE_OFFS_HOME_EQUITY_FDIC" vbProcedure="false">"c6757"</definedName>
    <definedName function="false" hidden="false" name="IQ_CHARGE_OFFS_HOME_EQUITY_LINES_FDIC" vbProcedure="false">"c6712"</definedName>
    <definedName function="false" hidden="false" name="IQ_CHARGE_OFFS_INDIVIDUALS_FDIC" vbProcedure="false">"c6760"</definedName>
    <definedName function="false" hidden="false" name="IQ_CHARGE_OFFS_MULTI_FAMILY_FDIC" vbProcedure="false">"c6755"</definedName>
    <definedName function="false" hidden="false" name="IQ_CHARGE_OFFS_NET" vbProcedure="false">"c163"</definedName>
    <definedName function="false" hidden="false" name="IQ_CHARGE_OFFS_OTHER_1_4_FAMILY_FDIC" vbProcedure="false">"c6758"</definedName>
    <definedName function="false" hidden="false" name="IQ_CHARGE_OFFS_OTHER_CONSUMER_LOANS_FDIC" vbProcedure="false">"c6710"</definedName>
    <definedName function="false" hidden="false" name="IQ_CHARGE_OFFS_OTHER_INDIVIDUAL_FDIC" vbProcedure="false">"c6762"</definedName>
    <definedName function="false" hidden="false" name="IQ_CHARGE_OFFS_OTHER_LOANS_FDIC" vbProcedure="false">"c6763"</definedName>
    <definedName function="false" hidden="false" name="IQ_CHARGE_OFFS_OTHER_LOANS_OTHER_FDIC" vbProcedure="false">"c6713"</definedName>
    <definedName function="false" hidden="false" name="IQ_CHARGE_OFFS_RECOVERED" vbProcedure="false">"c164"</definedName>
    <definedName function="false" hidden="false" name="IQ_CHARGE_OFFS_RE_LOANS_FDIC" vbProcedure="false">"c6752"</definedName>
    <definedName function="false" hidden="false" name="IQ_CHARGE_OFFS_TOTAL_AVG_LOANS" vbProcedure="false">"c165"</definedName>
    <definedName function="false" hidden="false" name="IQ_CITY" vbProcedure="false">"c166"</definedName>
    <definedName function="false" hidden="false" name="IQ_CLASSA_OPTIONS_BEG_OS" vbProcedure="false">"c2679"</definedName>
    <definedName function="false" hidden="false" name="IQ_CLASSA_OPTIONS_CANCELLED" vbProcedure="false">"c2682"</definedName>
    <definedName function="false" hidden="false" name="IQ_CLASSA_OPTIONS_END_OS" vbProcedure="false">"c2683"</definedName>
    <definedName function="false" hidden="false" name="IQ_CLASSA_OPTIONS_EXERCISED" vbProcedure="false">"c2681"</definedName>
    <definedName function="false" hidden="false" name="IQ_CLASSA_OPTIONS_GRANTED" vbProcedure="false">"c2680"</definedName>
    <definedName function="false" hidden="false" name="IQ_CLASSA_OPTIONS_STRIKE_PRICE_OS" vbProcedure="false">"c2684"</definedName>
    <definedName function="false" hidden="false" name="IQ_CLASSA_OUTSTANDING_BS_DATE" vbProcedure="false">"c1971"</definedName>
    <definedName function="false" hidden="false" name="IQ_CLASSA_OUTSTANDING_FILING_DATE" vbProcedure="false">"c1973"</definedName>
    <definedName function="false" hidden="false" name="IQ_CLASSA_STRIKE_PRICE_GRANTED" vbProcedure="false">"c2685"</definedName>
    <definedName function="false" hidden="false" name="IQ_CLASSA_WARRANTS_BEG_OS" vbProcedure="false">"c2705"</definedName>
    <definedName function="false" hidden="false" name="IQ_CLASSA_WARRANTS_CANCELLED" vbProcedure="false">"c2708"</definedName>
    <definedName function="false" hidden="false" name="IQ_CLASSA_WARRANTS_END_OS" vbProcedure="false">"c2709"</definedName>
    <definedName function="false" hidden="false" name="IQ_CLASSA_WARRANTS_EXERCISED" vbProcedure="false">"c2707"</definedName>
    <definedName function="false" hidden="false" name="IQ_CLASSA_WARRANTS_ISSUED" vbProcedure="false">"c2706"</definedName>
    <definedName function="false" hidden="false" name="IQ_CLASSA_WARRANTS_STRIKE_PRICE_ISSUED" vbProcedure="false">"c2711"</definedName>
    <definedName function="false" hidden="false" name="IQ_CLASSA_WARRANTS_STRIKE_PRICE_OS" vbProcedure="false">"c2710"</definedName>
    <definedName function="false" hidden="false" name="IQ_CLASSB_OUTSTANDING_BS_DATE" vbProcedure="false">"c1972"</definedName>
    <definedName function="false" hidden="false" name="IQ_CLASSB_OUTSTANDING_FILING_DATE" vbProcedure="false">"c1974"</definedName>
    <definedName function="false" hidden="false" name="IQ_CLOSEPRICE" vbProcedure="false">"c174"</definedName>
    <definedName function="false" hidden="false" name="IQ_CLOSEPRICE_ADJ" vbProcedure="false">"c2115"</definedName>
    <definedName function="false" hidden="false" name="IQ_CL_DUE_AFTER_FIVE" vbProcedure="false">"c167"</definedName>
    <definedName function="false" hidden="false" name="IQ_CL_DUE_CY" vbProcedure="false">"c168"</definedName>
    <definedName function="false" hidden="false" name="IQ_CL_DUE_CY1" vbProcedure="false">"c169"</definedName>
    <definedName function="false" hidden="false" name="IQ_CL_DUE_CY2" vbProcedure="false">"c170"</definedName>
    <definedName function="false" hidden="false" name="IQ_CL_DUE_CY3" vbProcedure="false">"c171"</definedName>
    <definedName function="false" hidden="false" name="IQ_CL_DUE_CY4" vbProcedure="false">"c172"</definedName>
    <definedName function="false" hidden="false" name="IQ_CL_DUE_NEXT_FIVE" vbProcedure="false">"c173"</definedName>
    <definedName function="false" hidden="false" name="IQ_CL_OBLIGATION_IMMEDIATE" vbProcedure="false">"c2253"</definedName>
    <definedName function="false" hidden="false" name="IQ_CMO_FDIC" vbProcedure="false">"c6406"</definedName>
    <definedName function="false" hidden="false" name="IQ_COGS" vbProcedure="false">"c175"</definedName>
    <definedName function="false" hidden="false" name="IQ_COLLECTION_DOMESTIC_FDIC" vbProcedure="false">"c6387"</definedName>
    <definedName function="false" hidden="false" name="IQ_COMBINED_RATIO" vbProcedure="false">"c176"</definedName>
    <definedName function="false" hidden="false" name="IQ_COMMERCIAL_BANKS_DEPOSITS_FOREIGN_FDIC" vbProcedure="false">"c6480"</definedName>
    <definedName function="false" hidden="false" name="IQ_COMMERCIAL_BANKS_LOANS_FDIC" vbProcedure="false">"c6434"</definedName>
    <definedName function="false" hidden="false" name="IQ_COMMERCIAL_BANKS_NONTRANSACTION_ACCOUNTS_FDIC" vbProcedure="false">"c6548"</definedName>
    <definedName function="false" hidden="false" name="IQ_COMMERCIAL_BANKS_TOTAL_DEPOSITS_FDIC" vbProcedure="false">"c6474"</definedName>
    <definedName function="false" hidden="false" name="IQ_COMMERCIAL_BANKS_TOTAL_LOANS_FOREIGN_FDIC" vbProcedure="false">"c6444"</definedName>
    <definedName function="false" hidden="false" name="IQ_COMMERCIAL_BANKS_TRANSACTION_ACCOUNTS_FDIC" vbProcedure="false">"c6540"</definedName>
    <definedName function="false" hidden="false" name="IQ_COMMERCIAL_DOM" vbProcedure="false">"c177"</definedName>
    <definedName function="false" hidden="false" name="IQ_COMMERCIAL_FIRE_WRITTEN" vbProcedure="false">"c178"</definedName>
    <definedName function="false" hidden="false" name="IQ_COMMERCIAL_INDUSTRIAL_CHARGE_OFFS_FDIC" vbProcedure="false">"c6598"</definedName>
    <definedName function="false" hidden="false" name="IQ_COMMERCIAL_INDUSTRIAL_LOANS_NET_FDIC" vbProcedure="false">"c6317"</definedName>
    <definedName function="false" hidden="false" name="IQ_COMMERCIAL_INDUSTRIAL_NET_CHARGE_OFFS_FDIC" vbProcedure="false">"c6636"</definedName>
    <definedName function="false" hidden="false" name="IQ_COMMERCIAL_INDUSTRIAL_RECOVERIES_FDIC" vbProcedure="false">"c6617"</definedName>
    <definedName function="false" hidden="false" name="IQ_COMMERCIAL_INDUSTRIAL_TOTAL_LOANS_FOREIGN_FDIC" vbProcedure="false">"c6451"</definedName>
    <definedName function="false" hidden="false" name="IQ_COMMERCIAL_MORT" vbProcedure="false">"c179"</definedName>
    <definedName function="false" hidden="false" name="IQ_COMMERCIAL_RE_CONSTRUCTION_LAND_DEV_FDIC" vbProcedure="false">"c6526"</definedName>
    <definedName function="false" hidden="false" name="IQ_COMMERCIAL_RE_LOANS_FDIC" vbProcedure="false">"c6312"</definedName>
    <definedName function="false" hidden="false" name="IQ_COMMISSION_DEF" vbProcedure="false">"c181"</definedName>
    <definedName function="false" hidden="false" name="IQ_COMMISS_FEES" vbProcedure="false">"c180"</definedName>
    <definedName function="false" hidden="false" name="IQ_COMMITMENTS_MATURITY_EXCEEDING_1YR_FDIC" vbProcedure="false">"c6531"</definedName>
    <definedName function="false" hidden="false" name="IQ_COMMITMENTS_NOT_SECURED_RE_FDIC" vbProcedure="false">"c6528"</definedName>
    <definedName function="false" hidden="false" name="IQ_COMMITMENTS_SECURED_RE_FDIC" vbProcedure="false">"c6527"</definedName>
    <definedName function="false" hidden="false" name="IQ_COMMODITY_EXPOSURES_FDIC" vbProcedure="false">"c6665"</definedName>
    <definedName function="false" hidden="false" name="IQ_COMMON" vbProcedure="false">"c182"</definedName>
    <definedName function="false" hidden="false" name="IQ_COMMON_APIC" vbProcedure="false">"c183"</definedName>
    <definedName function="false" hidden="false" name="IQ_COMMON_APIC_BNK" vbProcedure="false">"c184"</definedName>
    <definedName function="false" hidden="false" name="IQ_COMMON_APIC_BR" vbProcedure="false">"c185"</definedName>
    <definedName function="false" hidden="false" name="IQ_COMMON_APIC_FIN" vbProcedure="false">"c186"</definedName>
    <definedName function="false" hidden="false" name="IQ_COMMON_APIC_INS" vbProcedure="false">"c187"</definedName>
    <definedName function="false" hidden="false" name="IQ_COMMON_APIC_REIT" vbProcedure="false">"c188"</definedName>
    <definedName function="false" hidden="false" name="IQ_COMMON_APIC_UTI" vbProcedure="false">"c189"</definedName>
    <definedName function="false" hidden="false" name="IQ_COMMON_DIV" vbProcedure="false">"c3006"</definedName>
    <definedName function="false" hidden="false" name="IQ_COMMON_DIV_CF" vbProcedure="false">"c190"</definedName>
    <definedName function="false" hidden="false" name="IQ_COMMON_EQUITY_10YR_ANN_GROWTH" vbProcedure="false">"c191"</definedName>
    <definedName function="false" hidden="false" name="IQ_COMMON_EQUITY_1YR_ANN_GROWTH" vbProcedure="false">"c192"</definedName>
    <definedName function="false" hidden="false" name="IQ_COMMON_EQUITY_2YR_ANN_GROWTH" vbProcedure="false">"c193"</definedName>
    <definedName function="false" hidden="false" name="IQ_COMMON_EQUITY_3YR_ANN_GROWTH" vbProcedure="false">"c194"</definedName>
    <definedName function="false" hidden="false" name="IQ_COMMON_EQUITY_5YR_ANN_GROWTH" vbProcedure="false">"c195"</definedName>
    <definedName function="false" hidden="false" name="IQ_COMMON_EQUITY_7YR_ANN_GROWTH" vbProcedure="false">"c196"</definedName>
    <definedName function="false" hidden="false" name="IQ_COMMON_FDIC" vbProcedure="false">"c6350"</definedName>
    <definedName function="false" hidden="false" name="IQ_COMMON_ISSUED" vbProcedure="false">"c197"</definedName>
    <definedName function="false" hidden="false" name="IQ_COMMON_ISSUED_BNK" vbProcedure="false">"c198"</definedName>
    <definedName function="false" hidden="false" name="IQ_COMMON_ISSUED_BR" vbProcedure="false">"c199"</definedName>
    <definedName function="false" hidden="false" name="IQ_COMMON_ISSUED_FIN" vbProcedure="false">"c200"</definedName>
    <definedName function="false" hidden="false" name="IQ_COMMON_ISSUED_INS" vbProcedure="false">"c201"</definedName>
    <definedName function="false" hidden="false" name="IQ_COMMON_ISSUED_REIT" vbProcedure="false">"c202"</definedName>
    <definedName function="false" hidden="false" name="IQ_COMMON_ISSUED_UTI" vbProcedure="false">"c203"</definedName>
    <definedName function="false" hidden="false" name="IQ_COMMON_PER_ADR" vbProcedure="false">"c204"</definedName>
    <definedName function="false" hidden="false" name="IQ_COMMON_PREF_DIV_CF" vbProcedure="false">"c205"</definedName>
    <definedName function="false" hidden="false" name="IQ_COMMON_REP" vbProcedure="false">"c206"</definedName>
    <definedName function="false" hidden="false" name="IQ_COMMON_REP_BNK" vbProcedure="false">"c207"</definedName>
    <definedName function="false" hidden="false" name="IQ_COMMON_REP_BR" vbProcedure="false">"c208"</definedName>
    <definedName function="false" hidden="false" name="IQ_COMMON_REP_FIN" vbProcedure="false">"c209"</definedName>
    <definedName function="false" hidden="false" name="IQ_COMMON_REP_INS" vbProcedure="false">"c210"</definedName>
    <definedName function="false" hidden="false" name="IQ_COMMON_REP_REIT" vbProcedure="false">"c211"</definedName>
    <definedName function="false" hidden="false" name="IQ_COMMON_REP_UTI" vbProcedure="false">"c212"</definedName>
    <definedName function="false" hidden="false" name="IQ_COMMON_STOCK" vbProcedure="false">"c1358"</definedName>
    <definedName function="false" hidden="false" name="IQ_COMPANY_ADDRESS" vbProcedure="false">"c214"</definedName>
    <definedName function="false" hidden="false" name="IQ_COMPANY_NAME" vbProcedure="false">"c215"</definedName>
    <definedName function="false" hidden="false" name="IQ_COMPANY_NAME_LONG" vbProcedure="false">"c1585"</definedName>
    <definedName function="false" hidden="false" name="IQ_COMPANY_PHONE" vbProcedure="false">"c216"</definedName>
    <definedName function="false" hidden="false" name="IQ_COMPANY_STATUS" vbProcedure="false">"c2097"</definedName>
    <definedName function="false" hidden="false" name="IQ_COMPANY_STREET1" vbProcedure="false">"c217"</definedName>
    <definedName function="false" hidden="false" name="IQ_COMPANY_STREET2" vbProcedure="false">"c218"</definedName>
    <definedName function="false" hidden="false" name="IQ_COMPANY_TICKER" vbProcedure="false">"c219"</definedName>
    <definedName function="false" hidden="false" name="IQ_COMPANY_TYPE" vbProcedure="false">"c2096"</definedName>
    <definedName function="false" hidden="false" name="IQ_COMPANY_WEBSITE" vbProcedure="false">"c220"</definedName>
    <definedName function="false" hidden="false" name="IQ_COMPANY_ZIP" vbProcedure="false">"c221"</definedName>
    <definedName function="false" hidden="false" name="IQ_COMP_BENEFITS" vbProcedure="false">"c213"</definedName>
    <definedName function="false" hidden="false" name="IQ_CONSTRUCTION_DEV_LOANS_FDIC" vbProcedure="false">"c6313"</definedName>
    <definedName function="false" hidden="false" name="IQ_CONSTRUCTION_LAND_DEVELOPMENT_CHARGE_OFFS_FDIC" vbProcedure="false">"c6594"</definedName>
    <definedName function="false" hidden="false" name="IQ_CONSTRUCTION_LAND_DEVELOPMENT_NET_CHARGE_OFFS_FDIC" vbProcedure="false">"c6632"</definedName>
    <definedName function="false" hidden="false" name="IQ_CONSTRUCTION_LAND_DEVELOPMENT_RECOVERIES_FDIC" vbProcedure="false">"c6613"</definedName>
    <definedName function="false" hidden="false" name="IQ_CONSTRUCTION_LOANS" vbProcedure="false">"c222"</definedName>
    <definedName function="false" hidden="false" name="IQ_CONSUMER_LOANS" vbProcedure="false">"c223"</definedName>
    <definedName function="false" hidden="false" name="IQ_CONTRACTS_OTHER_COMMODITIES_EQUITIES._FDIC" vbProcedure="false">"c6522"</definedName>
    <definedName function="false" hidden="false" name="IQ_CONTRACTS_OTHER_COMMODITIES_EQUITIES_FDIC" vbProcedure="false">"c6522"</definedName>
    <definedName function="false" hidden="false" name="IQ_CONVERT" vbProcedure="false">"c2536"</definedName>
    <definedName function="false" hidden="false" name="IQ_CONVERT_DEBT" vbProcedure="false">"c224"</definedName>
    <definedName function="false" hidden="false" name="IQ_CONVERT_PCT" vbProcedure="false">"c2537"</definedName>
    <definedName function="false" hidden="false" name="IQ_CONVEYED_TO_OTHERS_FDIC" vbProcedure="false">"c6534"</definedName>
    <definedName function="false" hidden="false" name="IQ_CONV_RATE" vbProcedure="false">"c2192"</definedName>
    <definedName function="false" hidden="false" name="IQ_CORE_CAPITAL_RATIO_FDIC" vbProcedure="false">"c6745"</definedName>
    <definedName function="false" hidden="false" name="IQ_CORP_GOODS_PRICE_INDEX_APR_FC_UNUSED_UNUSED_UNUSED" vbProcedure="false">"c8381"</definedName>
    <definedName function="false" hidden="false" name="IQ_CORP_GOODS_PRICE_INDEX_APR_UNUSED_UNUSED_UNUSED" vbProcedure="false">"c7501"</definedName>
    <definedName function="false" hidden="false" name="IQ_CORP_GOODS_PRICE_INDEX_FC_UNUSED_UNUSED_UNUSED" vbProcedure="false">"c7721"</definedName>
    <definedName function="false" hidden="false" name="IQ_CORP_GOODS_PRICE_INDEX_POP_FC_UNUSED_UNUSED_UNUSED" vbProcedure="false">"c7941"</definedName>
    <definedName function="false" hidden="false" name="IQ_CORP_GOODS_PRICE_INDEX_POP_UNUSED_UNUSED_UNUSED" vbProcedure="false">"c7061"</definedName>
    <definedName function="false" hidden="false" name="IQ_CORP_GOODS_PRICE_INDEX_UNUSED_UNUSED_UNUSED" vbProcedure="false">"c6841"</definedName>
    <definedName function="false" hidden="false" name="IQ_CORP_GOODS_PRICE_INDEX_YOY_FC_UNUSED_UNUSED_UNUSED" vbProcedure="false">"c8161"</definedName>
    <definedName function="false" hidden="false" name="IQ_CORP_GOODS_PRICE_INDEX_YOY_UNUSED_UNUSED_UNUSED" vbProcedure="false">"c7281"</definedName>
    <definedName function="false" hidden="false" name="IQ_COST_BORROWING" vbProcedure="false">"c2936"</definedName>
    <definedName function="false" hidden="false" name="IQ_COST_BORROWINGS" vbProcedure="false">"c225"</definedName>
    <definedName function="false" hidden="false" name="IQ_COST_OF_FUNDING_ASSETS_FDIC" vbProcedure="false">"c6725"</definedName>
    <definedName function="false" hidden="false" name="IQ_COST_REV" vbProcedure="false">"c226"</definedName>
    <definedName function="false" hidden="false" name="IQ_COST_REVENUE" vbProcedure="false">"c1359"</definedName>
    <definedName function="false" hidden="false" name="IQ_COST_SAVINGS" vbProcedure="false">"c227"</definedName>
    <definedName function="false" hidden="false" name="IQ_COST_SERVICE" vbProcedure="false">"c228"</definedName>
    <definedName function="false" hidden="false" name="IQ_COST_TOTAL_BORROWINGS" vbProcedure="false">"c229"</definedName>
    <definedName function="false" hidden="false" name="IQ_COUNTRY_NAME" vbProcedure="false">"c230"</definedName>
    <definedName function="false" hidden="false" name="IQ_COVERED_POPS" vbProcedure="false">"c2124"</definedName>
    <definedName function="false" hidden="false" name="IQ_CP" vbProcedure="false">"c2495"</definedName>
    <definedName function="false" hidden="false" name="IQ_CP_PCT" vbProcedure="false">"c2496"</definedName>
    <definedName function="false" hidden="false" name="IQ_CQ" vbProcedure="false">5000</definedName>
    <definedName function="false" hidden="false" name="IQ_CREDIT_CARD_CHARGE_OFFS_FDIC" vbProcedure="false">"c6652"</definedName>
    <definedName function="false" hidden="false" name="IQ_CREDIT_CARD_FEE" vbProcedure="false">"c231"</definedName>
    <definedName function="false" hidden="false" name="IQ_CREDIT_CARD_FEE_BNK" vbProcedure="false">"c231"</definedName>
    <definedName function="false" hidden="false" name="IQ_CREDIT_CARD_FEE_FIN" vbProcedure="false">"c1583"</definedName>
    <definedName function="false" hidden="false" name="IQ_CREDIT_CARD_LINES_FDIC" vbProcedure="false">"c6525"</definedName>
    <definedName function="false" hidden="false" name="IQ_CREDIT_CARD_LOANS_FDIC" vbProcedure="false">"c6319"</definedName>
    <definedName function="false" hidden="false" name="IQ_CREDIT_CARD_NET_CHARGE_OFFS_FDIC" vbProcedure="false">"c6654"</definedName>
    <definedName function="false" hidden="false" name="IQ_CREDIT_CARD_RECOVERIES_FDIC" vbProcedure="false">"c6653"</definedName>
    <definedName function="false" hidden="false" name="IQ_CREDIT_LOSS_CF" vbProcedure="false">"c232"</definedName>
    <definedName function="false" hidden="false" name="IQ_CREDIT_LOSS_PROVISION_NET_CHARGE_OFFS_FDIC" vbProcedure="false">"c6734"</definedName>
    <definedName function="false" hidden="false" name="IQ_CUMULATIVE_SPLIT_FACTOR" vbProcedure="false">"c2094"</definedName>
    <definedName function="false" hidden="false" name="IQ_CURRENCY_COIN_DOMESTIC_FDIC" vbProcedure="false">"c6388"</definedName>
    <definedName function="false" hidden="false" name="IQ_CURRENCY_FACTOR_BS" vbProcedure="false">"c233"</definedName>
    <definedName function="false" hidden="false" name="IQ_CURRENCY_FACTOR_IS" vbProcedure="false">"c234"</definedName>
    <definedName function="false" hidden="false" name="IQ_CURRENCY_GAIN" vbProcedure="false">"c235"</definedName>
    <definedName function="false" hidden="false" name="IQ_CURRENCY_GAIN_BR" vbProcedure="false">"c236"</definedName>
    <definedName function="false" hidden="false" name="IQ_CURRENCY_GAIN_FIN" vbProcedure="false">"c237"</definedName>
    <definedName function="false" hidden="false" name="IQ_CURRENCY_GAIN_INS" vbProcedure="false">"c238"</definedName>
    <definedName function="false" hidden="false" name="IQ_CURRENCY_GAIN_REIT" vbProcedure="false">"c239"</definedName>
    <definedName function="false" hidden="false" name="IQ_CURRENCY_GAIN_UTI" vbProcedure="false">"c240"</definedName>
    <definedName function="false" hidden="false" name="IQ_CURRENT_PORT" vbProcedure="false">"c241"</definedName>
    <definedName function="false" hidden="false" name="IQ_CURRENT_PORT_BNK" vbProcedure="false">"c242"</definedName>
    <definedName function="false" hidden="false" name="IQ_CURRENT_PORT_DEBT" vbProcedure="false">"c243"</definedName>
    <definedName function="false" hidden="false" name="IQ_CURRENT_PORT_DEBT_BNK" vbProcedure="false">"c244"</definedName>
    <definedName function="false" hidden="false" name="IQ_CURRENT_PORT_DEBT_BR" vbProcedure="false">"c1567"</definedName>
    <definedName function="false" hidden="false" name="IQ_CURRENT_PORT_DEBT_FIN" vbProcedure="false">"c1568"</definedName>
    <definedName function="false" hidden="false" name="IQ_CURRENT_PORT_DEBT_INS" vbProcedure="false">"c1569"</definedName>
    <definedName function="false" hidden="false" name="IQ_CURRENT_PORT_DEBT_REIT" vbProcedure="false">"c1570"</definedName>
    <definedName function="false" hidden="false" name="IQ_CURRENT_PORT_DEBT_UTI" vbProcedure="false">"c1571"</definedName>
    <definedName function="false" hidden="false" name="IQ_CURRENT_PORT_LEASES" vbProcedure="false">"c245"</definedName>
    <definedName function="false" hidden="false" name="IQ_CURRENT_PORT_PCT" vbProcedure="false">"c2541"</definedName>
    <definedName function="false" hidden="false" name="IQ_CURRENT_RATIO" vbProcedure="false">"c246"</definedName>
    <definedName function="false" hidden="false" name="IQ_CURR_ACCT_BALANCE_APR_FC_UNUSED_UNUSED_UNUSED" vbProcedure="false">"c8387"</definedName>
    <definedName function="false" hidden="false" name="IQ_CURR_ACCT_BALANCE_APR_UNUSED_UNUSED_UNUSED" vbProcedure="false">"c7507"</definedName>
    <definedName function="false" hidden="false" name="IQ_CURR_ACCT_BALANCE_FC_UNUSED_UNUSED_UNUSED" vbProcedure="false">"c7727"</definedName>
    <definedName function="false" hidden="false" name="IQ_CURR_ACCT_BALANCE_POP_FC_UNUSED_UNUSED_UNUSED" vbProcedure="false">"c7947"</definedName>
    <definedName function="false" hidden="false" name="IQ_CURR_ACCT_BALANCE_POP_UNUSED_UNUSED_UNUSED" vbProcedure="false">"c7067"</definedName>
    <definedName function="false" hidden="false" name="IQ_CURR_ACCT_BALANCE_UNUSED_UNUSED_UNUSED" vbProcedure="false">"c6847"</definedName>
    <definedName function="false" hidden="false" name="IQ_CURR_ACCT_BALANCE_YOY_FC_UNUSED_UNUSED_UNUSED" vbProcedure="false">"c8167"</definedName>
    <definedName function="false" hidden="false" name="IQ_CURR_ACCT_BALANCE_YOY_UNUSED_UNUSED_UNUSED" vbProcedure="false">"c7287"</definedName>
    <definedName function="false" hidden="false" name="IQ_CURR_DOMESTIC_TAXES" vbProcedure="false">"c2074"</definedName>
    <definedName function="false" hidden="false" name="IQ_CURR_FOREIGN_TAXES" vbProcedure="false">"c2075"</definedName>
    <definedName function="false" hidden="false" name="IQ_CY" vbProcedure="false">10000</definedName>
    <definedName function="false" hidden="false" name="IQ_DA" vbProcedure="false">"c247"</definedName>
    <definedName function="false" hidden="false" name="IQ_DAILY" vbProcedure="false">500000</definedName>
    <definedName function="false" hidden="false" name="IQ_DAYS_COVER_SHORT" vbProcedure="false">"c1578"</definedName>
    <definedName function="false" hidden="false" name="IQ_DAYS_INVENTORY_OUT" vbProcedure="false">"c273"</definedName>
    <definedName function="false" hidden="false" name="IQ_DAYS_PAYABLE_OUT" vbProcedure="false">"c274"</definedName>
    <definedName function="false" hidden="false" name="IQ_DAYS_PAY_OUTST" vbProcedure="false">"c1362"</definedName>
    <definedName function="false" hidden="false" name="IQ_DAYS_SALES_OUT" vbProcedure="false">"c275"</definedName>
    <definedName function="false" hidden="false" name="IQ_DAYS_SALES_OUTST" vbProcedure="false">"c1363"</definedName>
    <definedName function="false" hidden="false" name="IQ_DA_BR" vbProcedure="false">"c248"</definedName>
    <definedName function="false" hidden="false" name="IQ_DA_CF" vbProcedure="false">"c249"</definedName>
    <definedName function="false" hidden="false" name="IQ_DA_CF_BNK" vbProcedure="false">"c250"</definedName>
    <definedName function="false" hidden="false" name="IQ_DA_CF_BR" vbProcedure="false">"c251"</definedName>
    <definedName function="false" hidden="false" name="IQ_DA_CF_FIN" vbProcedure="false">"c252"</definedName>
    <definedName function="false" hidden="false" name="IQ_DA_CF_INS" vbProcedure="false">"c253"</definedName>
    <definedName function="false" hidden="false" name="IQ_DA_CF_REIT" vbProcedure="false">"c254"</definedName>
    <definedName function="false" hidden="false" name="IQ_DA_CF_UTI" vbProcedure="false">"c255"</definedName>
    <definedName function="false" hidden="false" name="IQ_DA_FIN" vbProcedure="false">"c256"</definedName>
    <definedName function="false" hidden="false" name="IQ_DA_INS" vbProcedure="false">"c257"</definedName>
    <definedName function="false" hidden="false" name="IQ_DA_REIT" vbProcedure="false">"c258"</definedName>
    <definedName function="false" hidden="false" name="IQ_DA_SUPPL" vbProcedure="false">"c259"</definedName>
    <definedName function="false" hidden="false" name="IQ_DA_SUPPL_BR" vbProcedure="false">"c260"</definedName>
    <definedName function="false" hidden="false" name="IQ_DA_SUPPL_CF" vbProcedure="false">"c261"</definedName>
    <definedName function="false" hidden="false" name="IQ_DA_SUPPL_CF_BNK" vbProcedure="false">"c262"</definedName>
    <definedName function="false" hidden="false" name="IQ_DA_SUPPL_CF_BR" vbProcedure="false">"c263"</definedName>
    <definedName function="false" hidden="false" name="IQ_DA_SUPPL_CF_FIN" vbProcedure="false">"c264"</definedName>
    <definedName function="false" hidden="false" name="IQ_DA_SUPPL_CF_INS" vbProcedure="false">"c265"</definedName>
    <definedName function="false" hidden="false" name="IQ_DA_SUPPL_CF_REIT" vbProcedure="false">"c266"</definedName>
    <definedName function="false" hidden="false" name="IQ_DA_SUPPL_CF_UTI" vbProcedure="false">"c267"</definedName>
    <definedName function="false" hidden="false" name="IQ_DA_SUPPL_FIN" vbProcedure="false">"c268"</definedName>
    <definedName function="false" hidden="false" name="IQ_DA_SUPPL_INS" vbProcedure="false">"c269"</definedName>
    <definedName function="false" hidden="false" name="IQ_DA_SUPPL_REIT" vbProcedure="false">"c270"</definedName>
    <definedName function="false" hidden="false" name="IQ_DA_SUPPL_UTI" vbProcedure="false">"c271"</definedName>
    <definedName function="false" hidden="false" name="IQ_DA_UTI" vbProcedure="false">"c272"</definedName>
    <definedName function="false" hidden="false" name="IQ_DEBT_ADJ" vbProcedure="false">"c2515"</definedName>
    <definedName function="false" hidden="false" name="IQ_DEBT_ADJ_PCT" vbProcedure="false">"c2516"</definedName>
    <definedName function="false" hidden="false" name="IQ_DEBT_EQUIV_NET_PBO" vbProcedure="false">"c2938"</definedName>
    <definedName function="false" hidden="false" name="IQ_DEBT_EQUIV_OPER_LEASE" vbProcedure="false">"c2935"</definedName>
    <definedName function="false" hidden="false" name="IQ_DEFERRED_DOMESTIC_TAXES" vbProcedure="false">"c2077"</definedName>
    <definedName function="false" hidden="false" name="IQ_DEFERRED_FOREIGN_TAXES" vbProcedure="false">"c2078"</definedName>
    <definedName function="false" hidden="false" name="IQ_DEFERRED_INC_TAX" vbProcedure="false">"c1447"</definedName>
    <definedName function="false" hidden="false" name="IQ_DEFERRED_TAXES" vbProcedure="false">"c1356"</definedName>
    <definedName function="false" hidden="false" name="IQ_DEF_ACQ_CST" vbProcedure="false">"c1364"</definedName>
    <definedName function="false" hidden="false" name="IQ_DEF_AMORT" vbProcedure="false">"c276"</definedName>
    <definedName function="false" hidden="false" name="IQ_DEF_AMORT_BNK" vbProcedure="false">"c277"</definedName>
    <definedName function="false" hidden="false" name="IQ_DEF_AMORT_BR" vbProcedure="false">"c278"</definedName>
    <definedName function="false" hidden="false" name="IQ_DEF_AMORT_FIN" vbProcedure="false">"c279"</definedName>
    <definedName function="false" hidden="false" name="IQ_DEF_AMORT_INS" vbProcedure="false">"c280"</definedName>
    <definedName function="false" hidden="false" name="IQ_DEF_AMORT_REIT" vbProcedure="false">"c281"</definedName>
    <definedName function="false" hidden="false" name="IQ_DEF_AMORT_UTI" vbProcedure="false">"c282"</definedName>
    <definedName function="false" hidden="false" name="IQ_DEF_BENEFIT_INTEREST_COST" vbProcedure="false">"c283"</definedName>
    <definedName function="false" hidden="false" name="IQ_DEF_BENEFIT_INTEREST_COST_DOMESTIC" vbProcedure="false">"c2652"</definedName>
    <definedName function="false" hidden="false" name="IQ_DEF_BENEFIT_INTEREST_COST_FOREIGN" vbProcedure="false">"c2660"</definedName>
    <definedName function="false" hidden="false" name="IQ_DEF_BENEFIT_OTHER_COST" vbProcedure="false">"c284"</definedName>
    <definedName function="false" hidden="false" name="IQ_DEF_BENEFIT_OTHER_COST_DOMESTIC" vbProcedure="false">"c2654"</definedName>
    <definedName function="false" hidden="false" name="IQ_DEF_BENEFIT_OTHER_COST_FOREIGN" vbProcedure="false">"c2662"</definedName>
    <definedName function="false" hidden="false" name="IQ_DEF_BENEFIT_ROA" vbProcedure="false">"c285"</definedName>
    <definedName function="false" hidden="false" name="IQ_DEF_BENEFIT_ROA_DOMESTIC" vbProcedure="false">"c2653"</definedName>
    <definedName function="false" hidden="false" name="IQ_DEF_BENEFIT_ROA_FOREIGN" vbProcedure="false">"c2661"</definedName>
    <definedName function="false" hidden="false" name="IQ_DEF_BENEFIT_SERVICE_COST" vbProcedure="false">"c286"</definedName>
    <definedName function="false" hidden="false" name="IQ_DEF_BENEFIT_SERVICE_COST_DOMESTIC" vbProcedure="false">"c2651"</definedName>
    <definedName function="false" hidden="false" name="IQ_DEF_BENEFIT_SERVICE_COST_FOREIGN" vbProcedure="false">"c2659"</definedName>
    <definedName function="false" hidden="false" name="IQ_DEF_BENEFIT_TOTAL_COST" vbProcedure="false">"c287"</definedName>
    <definedName function="false" hidden="false" name="IQ_DEF_BENEFIT_TOTAL_COST_DOMESTIC" vbProcedure="false">"c2655"</definedName>
    <definedName function="false" hidden="false" name="IQ_DEF_BENEFIT_TOTAL_COST_FOREIGN" vbProcedure="false">"c2663"</definedName>
    <definedName function="false" hidden="false" name="IQ_DEF_CHARGES_BR" vbProcedure="false">"c288"</definedName>
    <definedName function="false" hidden="false" name="IQ_DEF_CHARGES_CF" vbProcedure="false">"c289"</definedName>
    <definedName function="false" hidden="false" name="IQ_DEF_CHARGES_FIN" vbProcedure="false">"c290"</definedName>
    <definedName function="false" hidden="false" name="IQ_DEF_CHARGES_INS" vbProcedure="false">"c291"</definedName>
    <definedName function="false" hidden="false" name="IQ_DEF_CHARGES_LT" vbProcedure="false">"c292"</definedName>
    <definedName function="false" hidden="false" name="IQ_DEF_CHARGES_LT_BNK" vbProcedure="false">"c293"</definedName>
    <definedName function="false" hidden="false" name="IQ_DEF_CHARGES_LT_BR" vbProcedure="false">"c294"</definedName>
    <definedName function="false" hidden="false" name="IQ_DEF_CHARGES_LT_FIN" vbProcedure="false">"c295"</definedName>
    <definedName function="false" hidden="false" name="IQ_DEF_CHARGES_LT_INS" vbProcedure="false">"c296"</definedName>
    <definedName function="false" hidden="false" name="IQ_DEF_CHARGES_LT_REIT" vbProcedure="false">"c297"</definedName>
    <definedName function="false" hidden="false" name="IQ_DEF_CHARGES_LT_UTI" vbProcedure="false">"c298"</definedName>
    <definedName function="false" hidden="false" name="IQ_DEF_CHARGES_REIT" vbProcedure="false">"c299"</definedName>
    <definedName function="false" hidden="false" name="IQ_DEF_CONTRIBUTION_TOTAL_COST" vbProcedure="false">"c300"</definedName>
    <definedName function="false" hidden="false" name="IQ_DEF_INC_TAX" vbProcedure="false">"c1365"</definedName>
    <definedName function="false" hidden="false" name="IQ_DEF_POLICY_ACQ_COSTS" vbProcedure="false">"c301"</definedName>
    <definedName function="false" hidden="false" name="IQ_DEF_POLICY_ACQ_COSTS_CF" vbProcedure="false">"c302"</definedName>
    <definedName function="false" hidden="false" name="IQ_DEF_POLICY_AMORT" vbProcedure="false">"c303"</definedName>
    <definedName function="false" hidden="false" name="IQ_DEF_TAX_ASSETS_CURRENT" vbProcedure="false">"c309"</definedName>
    <definedName function="false" hidden="false" name="IQ_DEF_TAX_ASSETS_LT" vbProcedure="false">"c310"</definedName>
    <definedName function="false" hidden="false" name="IQ_DEF_TAX_ASSETS_LT_BNK" vbProcedure="false">"c311"</definedName>
    <definedName function="false" hidden="false" name="IQ_DEF_TAX_ASSET_LT_BR" vbProcedure="false">"c304"</definedName>
    <definedName function="false" hidden="false" name="IQ_DEF_TAX_ASSET_LT_FIN" vbProcedure="false">"c305"</definedName>
    <definedName function="false" hidden="false" name="IQ_DEF_TAX_ASSET_LT_INS" vbProcedure="false">"c306"</definedName>
    <definedName function="false" hidden="false" name="IQ_DEF_TAX_ASSET_LT_REIT" vbProcedure="false">"c307"</definedName>
    <definedName function="false" hidden="false" name="IQ_DEF_TAX_ASSET_LT_UTI" vbProcedure="false">"c308"</definedName>
    <definedName function="false" hidden="false" name="IQ_DEF_TAX_LIAB_CURRENT" vbProcedure="false">"c312"</definedName>
    <definedName function="false" hidden="false" name="IQ_DEF_TAX_LIAB_LT" vbProcedure="false">"c313"</definedName>
    <definedName function="false" hidden="false" name="IQ_DEF_TAX_LIAB_LT_BNK" vbProcedure="false">"c314"</definedName>
    <definedName function="false" hidden="false" name="IQ_DEF_TAX_LIAB_LT_BR" vbProcedure="false">"c315"</definedName>
    <definedName function="false" hidden="false" name="IQ_DEF_TAX_LIAB_LT_FIN" vbProcedure="false">"c316"</definedName>
    <definedName function="false" hidden="false" name="IQ_DEF_TAX_LIAB_LT_INS" vbProcedure="false">"c317"</definedName>
    <definedName function="false" hidden="false" name="IQ_DEF_TAX_LIAB_LT_REIT" vbProcedure="false">"c318"</definedName>
    <definedName function="false" hidden="false" name="IQ_DEF_TAX_LIAB_LT_UTI" vbProcedure="false">"c319"</definedName>
    <definedName function="false" hidden="false" name="IQ_DEMAND_DEP" vbProcedure="false">"c320"</definedName>
    <definedName function="false" hidden="false" name="IQ_DEMAND_DEPOSITS_FDIC" vbProcedure="false">"c6489"</definedName>
    <definedName function="false" hidden="false" name="IQ_DEPOSITORY_INSTITUTIONS_CHARGE_OFFS_FDIC" vbProcedure="false">"c6596"</definedName>
    <definedName function="false" hidden="false" name="IQ_DEPOSITORY_INSTITUTIONS_NET_CHARGE_OFFS_FDIC" vbProcedure="false">"c6634"</definedName>
    <definedName function="false" hidden="false" name="IQ_DEPOSITORY_INSTITUTIONS_RECOVERIES_FDIC" vbProcedure="false">"c6615"</definedName>
    <definedName function="false" hidden="false" name="IQ_DEPOSITS_FIN" vbProcedure="false">"c321"</definedName>
    <definedName function="false" hidden="false" name="IQ_DEPOSITS_HELD_DOMESTIC_FDIC" vbProcedure="false">"c6340"</definedName>
    <definedName function="false" hidden="false" name="IQ_DEPOSITS_HELD_FOREIGN_FDIC" vbProcedure="false">"c6341"</definedName>
    <definedName function="false" hidden="false" name="IQ_DEPOSITS_LESS_THAN_100K_AFTER_THREE_YEARS_FDIC" vbProcedure="false">"c6464"</definedName>
    <definedName function="false" hidden="false" name="IQ_DEPOSITS_LESS_THAN_100K_THREE_MONTHS_FDIC" vbProcedure="false">"c6461"</definedName>
    <definedName function="false" hidden="false" name="IQ_DEPOSITS_LESS_THAN_100K_THREE_YEARS_FDIC" vbProcedure="false">"c6463"</definedName>
    <definedName function="false" hidden="false" name="IQ_DEPOSITS_LESS_THAN_100K_TWELVE_MONTHS_FDIC" vbProcedure="false">"c6462"</definedName>
    <definedName function="false" hidden="false" name="IQ_DEPOSITS_MORE_THAN_100K_AFTER_THREE_YEARS_FDIC" vbProcedure="false">"c6469"</definedName>
    <definedName function="false" hidden="false" name="IQ_DEPOSITS_MORE_THAN_100K_THREE_MONTHS_FDIC" vbProcedure="false">"c6466"</definedName>
    <definedName function="false" hidden="false" name="IQ_DEPOSITS_MORE_THAN_100K_THREE_YEARS_FDIC" vbProcedure="false">"c6468"</definedName>
    <definedName function="false" hidden="false" name="IQ_DEPOSITS_MORE_THAN_100K_TWELVE_MONTHS_FDIC" vbProcedure="false">"c6467"</definedName>
    <definedName function="false" hidden="false" name="IQ_DEPOSIT_ACCOUNTS_LESS_THAN_100K_FDIC" vbProcedure="false">"c6494"</definedName>
    <definedName function="false" hidden="false" name="IQ_DEPOSIT_ACCOUNTS_MORE_THAN_100K_FDIC" vbProcedure="false">"c6492"</definedName>
    <definedName function="false" hidden="false" name="IQ_DEPRE_AMORT" vbProcedure="false">"c1360"</definedName>
    <definedName function="false" hidden="false" name="IQ_DEPRE_AMORT_SUPPL" vbProcedure="false">"c1593"</definedName>
    <definedName function="false" hidden="false" name="IQ_DEPRE_DEPLE" vbProcedure="false">"c1361"</definedName>
    <definedName function="false" hidden="false" name="IQ_DEPRE_SUPP" vbProcedure="false">"c1443"</definedName>
    <definedName function="false" hidden="false" name="IQ_DERIVATIVES_FDIC" vbProcedure="false">"c6523"</definedName>
    <definedName function="false" hidden="false" name="IQ_DESCRIPTION_LONG" vbProcedure="false">"c1520"</definedName>
    <definedName function="false" hidden="false" name="IQ_DEVELOP_LAND" vbProcedure="false">"c323"</definedName>
    <definedName function="false" hidden="false" name="IQ_DIFF_LASTCLOSE_TARGET_PRICE" vbProcedure="false">"c1854"</definedName>
    <definedName function="false" hidden="false" name="IQ_DIFF_LASTCLOSE_TARGET_PRICE_REUT" vbProcedure="false">"c5436"</definedName>
    <definedName function="false" hidden="false" name="IQ_DILUT_ADJUST" vbProcedure="false">"c1621"</definedName>
    <definedName function="false" hidden="false" name="IQ_DILUT_EPS_EXCL" vbProcedure="false">"c324"</definedName>
    <definedName function="false" hidden="false" name="IQ_DILUT_EPS_INCL" vbProcedure="false">"c325"</definedName>
    <definedName function="false" hidden="false" name="IQ_DILUT_EPS_NORM" vbProcedure="false">"c1903"</definedName>
    <definedName function="false" hidden="false" name="IQ_DILUT_NI" vbProcedure="false">"c2079"</definedName>
    <definedName function="false" hidden="false" name="IQ_DILUT_NORMAL_EPS" vbProcedure="false">"c1594"</definedName>
    <definedName function="false" hidden="false" name="IQ_DILUT_WEIGHT" vbProcedure="false">"c326"</definedName>
    <definedName function="false" hidden="false" name="IQ_DIRECT_AH_EARNED" vbProcedure="false">"c2740"</definedName>
    <definedName function="false" hidden="false" name="IQ_DIRECT_EARNED" vbProcedure="false">"c2730"</definedName>
    <definedName function="false" hidden="false" name="IQ_DIRECT_LIFE_EARNED" vbProcedure="false">"c2735"</definedName>
    <definedName function="false" hidden="false" name="IQ_DIRECT_LIFE_IN_FORCE" vbProcedure="false">"c2765"</definedName>
    <definedName function="false" hidden="false" name="IQ_DIRECT_PC_EARNED" vbProcedure="false">"c2745"</definedName>
    <definedName function="false" hidden="false" name="IQ_DIRECT_WRITTEN" vbProcedure="false">"c2724"</definedName>
    <definedName function="false" hidden="false" name="IQ_DISCONT_OPER" vbProcedure="false">"c1367"</definedName>
    <definedName function="false" hidden="false" name="IQ_DISCOUNT_RATE_PENSION_DOMESTIC" vbProcedure="false">"c327"</definedName>
    <definedName function="false" hidden="false" name="IQ_DISCOUNT_RATE_PENSION_FOREIGN" vbProcedure="false">"c328"</definedName>
    <definedName function="false" hidden="false" name="IQ_DISTRIBUTABLE_CASH" vbProcedure="false">"c3002"</definedName>
    <definedName function="false" hidden="false" name="IQ_DISTRIBUTABLE_CASH_EST_CIQ" vbProcedure="false">"c4802"</definedName>
    <definedName function="false" hidden="false" name="IQ_DISTRIBUTABLE_CASH_HIGH_EST_CIQ" vbProcedure="false">"c4805"</definedName>
    <definedName function="false" hidden="false" name="IQ_DISTRIBUTABLE_CASH_LOW_EST_CIQ" vbProcedure="false">"c4806"</definedName>
    <definedName function="false" hidden="false" name="IQ_DISTRIBUTABLE_CASH_MEDIAN_EST_CIQ" vbProcedure="false">"c4807"</definedName>
    <definedName function="false" hidden="false" name="IQ_DISTRIBUTABLE_CASH_NUM_EST_CIQ" vbProcedure="false">"c4808"</definedName>
    <definedName function="false" hidden="false" name="IQ_DISTRIBUTABLE_CASH_PAYOUT" vbProcedure="false">"c3005"</definedName>
    <definedName function="false" hidden="false" name="IQ_DISTRIBUTABLE_CASH_SHARE" vbProcedure="false">"c3003"</definedName>
    <definedName function="false" hidden="false" name="IQ_DISTRIBUTABLE_CASH_SHARE_EST_CIQ" vbProcedure="false">"c4810"</definedName>
    <definedName function="false" hidden="false" name="IQ_DISTRIBUTABLE_CASH_SHARE_HIGH_EST_CIQ" vbProcedure="false">"c4813"</definedName>
    <definedName function="false" hidden="false" name="IQ_DISTRIBUTABLE_CASH_SHARE_LOW_EST_CIQ" vbProcedure="false">"c4814"</definedName>
    <definedName function="false" hidden="false" name="IQ_DISTRIBUTABLE_CASH_SHARE_MEDIAN_EST_CIQ" vbProcedure="false">"c4815"</definedName>
    <definedName function="false" hidden="false" name="IQ_DISTRIBUTABLE_CASH_SHARE_NUM_EST_CIQ" vbProcedure="false">"c4816"</definedName>
    <definedName function="false" hidden="false" name="IQ_DISTRIBUTABLE_CASH_SHARE_STDDEV_EST_CIQ" vbProcedure="false">"c4817"</definedName>
    <definedName function="false" hidden="false" name="IQ_DISTRIBUTABLE_CASH_STDDEV_EST_CIQ" vbProcedure="false">"c4819"</definedName>
    <definedName function="false" hidden="false" name="IQ_DISTR_EXCESS_EARN" vbProcedure="false">"c329"</definedName>
    <definedName function="false" hidden="false" name="IQ_DIVEST_CF" vbProcedure="false">"c331"</definedName>
    <definedName function="false" hidden="false" name="IQ_DIVIDENDS_DECLARED_COMMON_FDIC" vbProcedure="false">"c6659"</definedName>
    <definedName function="false" hidden="false" name="IQ_DIVIDENDS_DECLARED_PREFERRED_FDIC" vbProcedure="false">"c6658"</definedName>
    <definedName function="false" hidden="false" name="IQ_DIVIDENDS_FDIC" vbProcedure="false">"c6660"</definedName>
    <definedName function="false" hidden="false" name="IQ_DIVIDEND_YIELD" vbProcedure="false">"c332"</definedName>
    <definedName function="false" hidden="false" name="IQ_DIVID_SHARE" vbProcedure="false">"c1366"</definedName>
    <definedName function="false" hidden="false" name="IQ_DIV_AMOUNT" vbProcedure="false">"c3041"</definedName>
    <definedName function="false" hidden="false" name="IQ_DIV_PAYMENT_DATE" vbProcedure="false">"c2106"</definedName>
    <definedName function="false" hidden="false" name="IQ_DIV_RECORD_DATE" vbProcedure="false">"c2105"</definedName>
    <definedName function="false" hidden="false" name="IQ_DIV_SHARE" vbProcedure="false">"c330"</definedName>
    <definedName function="false" hidden="false" name="IQ_DNTM" vbProcedure="false">700000</definedName>
    <definedName function="false" hidden="false" name="IQ_DO" vbProcedure="false">"c333"</definedName>
    <definedName function="false" hidden="false" name="IQ_DO_ASSETS_CURRENT" vbProcedure="false">"c334"</definedName>
    <definedName function="false" hidden="false" name="IQ_DO_ASSETS_LT" vbProcedure="false">"c335"</definedName>
    <definedName function="false" hidden="false" name="IQ_DO_CF" vbProcedure="false">"c336"</definedName>
    <definedName function="false" hidden="false" name="IQ_DPAC" vbProcedure="false">"c2801"</definedName>
    <definedName function="false" hidden="false" name="IQ_DPAC_ACC" vbProcedure="false">"c2799"</definedName>
    <definedName function="false" hidden="false" name="IQ_DPAC_AMORT" vbProcedure="false">"c2795"</definedName>
    <definedName function="false" hidden="false" name="IQ_DPAC_BEG" vbProcedure="false">"c2791"</definedName>
    <definedName function="false" hidden="false" name="IQ_DPAC_COMMISSIONS" vbProcedure="false">"c2792"</definedName>
    <definedName function="false" hidden="false" name="IQ_DPAC_END" vbProcedure="false">"c2801"</definedName>
    <definedName function="false" hidden="false" name="IQ_DPAC_FX" vbProcedure="false">"c2798"</definedName>
    <definedName function="false" hidden="false" name="IQ_DPAC_OTHERS" vbProcedure="false">"c2793"</definedName>
    <definedName function="false" hidden="false" name="IQ_DPAC_OTHER_ADJ" vbProcedure="false">"c2800"</definedName>
    <definedName function="false" hidden="false" name="IQ_DPAC_PERIOD" vbProcedure="false">"c2794"</definedName>
    <definedName function="false" hidden="false" name="IQ_DPAC_REAL_GAIN" vbProcedure="false">"c2797"</definedName>
    <definedName function="false" hidden="false" name="IQ_DPAC_UNREAL_GAIN" vbProcedure="false">"c2796"</definedName>
    <definedName function="false" hidden="false" name="IQ_DPS_10YR_ANN_GROWTH" vbProcedure="false">"c337"</definedName>
    <definedName function="false" hidden="false" name="IQ_DPS_1YR_ANN_GROWTH" vbProcedure="false">"c338"</definedName>
    <definedName function="false" hidden="false" name="IQ_DPS_2YR_ANN_GROWTH" vbProcedure="false">"c339"</definedName>
    <definedName function="false" hidden="false" name="IQ_DPS_3YR_ANN_GROWTH" vbProcedure="false">"c340"</definedName>
    <definedName function="false" hidden="false" name="IQ_DPS_5YR_ANN_GROWTH" vbProcedure="false">"c341"</definedName>
    <definedName function="false" hidden="false" name="IQ_DPS_7YR_ANN_GROWTH" vbProcedure="false">"c342"</definedName>
    <definedName function="false" hidden="false" name="IQ_DPS_ACT_OR_EST" vbProcedure="false">"c2218"</definedName>
    <definedName function="false" hidden="false" name="IQ_DPS_ACT_OR_EST_REUT" vbProcedure="false">"c5464"</definedName>
    <definedName function="false" hidden="false" name="IQ_DPS_EST" vbProcedure="false">"c1674"</definedName>
    <definedName function="false" hidden="false" name="IQ_DPS_EST_BOTTOM_UP_REUT" vbProcedure="false">"c5501"</definedName>
    <definedName function="false" hidden="false" name="IQ_DPS_EST_REUT" vbProcedure="false">"c3851"</definedName>
    <definedName function="false" hidden="false" name="IQ_DPS_HIGH_EST" vbProcedure="false">"c1676"</definedName>
    <definedName function="false" hidden="false" name="IQ_DPS_HIGH_EST_REUT" vbProcedure="false">"c3853"</definedName>
    <definedName function="false" hidden="false" name="IQ_DPS_LOW_EST" vbProcedure="false">"c1677"</definedName>
    <definedName function="false" hidden="false" name="IQ_DPS_LOW_EST_REUT" vbProcedure="false">"c3854"</definedName>
    <definedName function="false" hidden="false" name="IQ_DPS_MEDIAN_EST" vbProcedure="false">"c1675"</definedName>
    <definedName function="false" hidden="false" name="IQ_DPS_MEDIAN_EST_REUT" vbProcedure="false">"c3852"</definedName>
    <definedName function="false" hidden="false" name="IQ_DPS_NUM_EST" vbProcedure="false">"c1678"</definedName>
    <definedName function="false" hidden="false" name="IQ_DPS_NUM_EST_REUT" vbProcedure="false">"c3855"</definedName>
    <definedName function="false" hidden="false" name="IQ_DPS_STDDEV_EST" vbProcedure="false">"c1679"</definedName>
    <definedName function="false" hidden="false" name="IQ_DPS_STDDEV_EST_REUT" vbProcedure="false">"c3856"</definedName>
    <definedName function="false" hidden="false" name="IQ_EARNINGS_ANNOUNCE_DATE" vbProcedure="false">"c1649"</definedName>
    <definedName function="false" hidden="false" name="IQ_EARNINGS_ANNOUNCE_DATE_REUT" vbProcedure="false">"c5314"</definedName>
    <definedName function="false" hidden="false" name="IQ_EARNINGS_COVERAGE_NET_CHARGE_OFFS_FDIC" vbProcedure="false">"c6735"</definedName>
    <definedName function="false" hidden="false" name="IQ_EARNING_ASSETS_FDIC" vbProcedure="false">"c6360"</definedName>
    <definedName function="false" hidden="false" name="IQ_EARNING_ASSETS_YIELD_FDIC" vbProcedure="false">"c6724"</definedName>
    <definedName function="false" hidden="false" name="IQ_EARNING_ASSET_YIELD" vbProcedure="false">"c343"</definedName>
    <definedName function="false" hidden="false" name="IQ_EARNING_CO" vbProcedure="false">"c344"</definedName>
    <definedName function="false" hidden="false" name="IQ_EARNING_CO_10YR_ANN_GROWTH" vbProcedure="false">"c345"</definedName>
    <definedName function="false" hidden="false" name="IQ_EARNING_CO_1YR_ANN_GROWTH" vbProcedure="false">"c346"</definedName>
    <definedName function="false" hidden="false" name="IQ_EARNING_CO_2YR_ANN_GROWTH" vbProcedure="false">"c347"</definedName>
    <definedName function="false" hidden="false" name="IQ_EARNING_CO_3YR_ANN_GROWTH" vbProcedure="false">"c348"</definedName>
    <definedName function="false" hidden="false" name="IQ_EARNING_CO_5YR_ANN_GROWTH" vbProcedure="false">"c349"</definedName>
    <definedName function="false" hidden="false" name="IQ_EARNING_CO_7YR_ANN_GROWTH" vbProcedure="false">"c350"</definedName>
    <definedName function="false" hidden="false" name="IQ_EARNING_CO_MARGIN" vbProcedure="false">"c351"</definedName>
    <definedName function="false" hidden="false" name="IQ_EBIT" vbProcedure="false">"c352"</definedName>
    <definedName function="false" hidden="false" name="IQ_EBITA" vbProcedure="false">"c1910"</definedName>
    <definedName function="false" hidden="false" name="IQ_EBITA_10YR_ANN_GROWTH" vbProcedure="false">"c1954"</definedName>
    <definedName function="false" hidden="false" name="IQ_EBITA_1YR_ANN_GROWTH" vbProcedure="false">"c1949"</definedName>
    <definedName function="false" hidden="false" name="IQ_EBITA_2YR_ANN_GROWTH" vbProcedure="false">"c1950"</definedName>
    <definedName function="false" hidden="false" name="IQ_EBITA_3YR_ANN_GROWTH" vbProcedure="false">"c1951"</definedName>
    <definedName function="false" hidden="false" name="IQ_EBITA_5YR_ANN_GROWTH" vbProcedure="false">"c1952"</definedName>
    <definedName function="false" hidden="false" name="IQ_EBITA_7YR_ANN_GROWTH" vbProcedure="false">"c1953"</definedName>
    <definedName function="false" hidden="false" name="IQ_EBITA_MARGIN" vbProcedure="false">"c1963"</definedName>
    <definedName function="false" hidden="false" name="IQ_EBITDA" vbProcedure="false">"c361"</definedName>
    <definedName function="false" hidden="false" name="IQ_EBITDAR" vbProcedure="false">"c2989"</definedName>
    <definedName function="false" hidden="false" name="IQ_EBITDA_10K" vbProcedure="false">"IQ_EBITDA_10K"</definedName>
    <definedName function="false" hidden="false" name="IQ_EBITDA_10Q" vbProcedure="false">"IQ_EBITDA_10Q"</definedName>
    <definedName function="false" hidden="false" name="IQ_EBITDA_10Q1" vbProcedure="false">"IQ_EBITDA_10Q1"</definedName>
    <definedName function="false" hidden="false" name="IQ_EBITDA_10YR_ANN_GROWTH" vbProcedure="false">"c362"</definedName>
    <definedName function="false" hidden="false" name="IQ_EBITDA_1YR_ANN_GROWTH" vbProcedure="false">"c363"</definedName>
    <definedName function="false" hidden="false" name="IQ_EBITDA_2YR_ANN_GROWTH" vbProcedure="false">"c364"</definedName>
    <definedName function="false" hidden="false" name="IQ_EBITDA_3YR_ANN_GROWTH" vbProcedure="false">"c365"</definedName>
    <definedName function="false" hidden="false" name="IQ_EBITDA_5YR_ANN_GROWTH" vbProcedure="false">"c366"</definedName>
    <definedName function="false" hidden="false" name="IQ_EBITDA_7YR_ANN_GROWTH" vbProcedure="false">"c367"</definedName>
    <definedName function="false" hidden="false" name="IQ_EBITDA_ACT_OR_EST" vbProcedure="false">"c2215"</definedName>
    <definedName function="false" hidden="false" name="IQ_EBITDA_ACT_OR_EST_REUT" vbProcedure="false">"c5462"</definedName>
    <definedName function="false" hidden="false" name="IQ_EBITDA_CAPEX_INT" vbProcedure="false">"c368"</definedName>
    <definedName function="false" hidden="false" name="IQ_EBITDA_CAPEX_OVER_TOTAL_IE" vbProcedure="false">"c1370"</definedName>
    <definedName function="false" hidden="false" name="IQ_EBITDA_EST" vbProcedure="false">"c369"</definedName>
    <definedName function="false" hidden="false" name="IQ_EBITDA_EST_REUT" vbProcedure="false">"c3640"</definedName>
    <definedName function="false" hidden="false" name="IQ_EBITDA_GROWTH_1" vbProcedure="false">"IQ_EBITDA_GROWTH_1"</definedName>
    <definedName function="false" hidden="false" name="IQ_EBITDA_GROWTH_2" vbProcedure="false">"IQ_EBITDA_GROWTH_2"</definedName>
    <definedName function="false" hidden="false" name="IQ_EBITDA_HIGH_EST" vbProcedure="false">"c370"</definedName>
    <definedName function="false" hidden="false" name="IQ_EBITDA_HIGH_EST_REUT" vbProcedure="false">"c3642"</definedName>
    <definedName function="false" hidden="false" name="IQ_EBITDA_INT" vbProcedure="false">"c373"</definedName>
    <definedName function="false" hidden="false" name="IQ_EBITDA_LOW_EST" vbProcedure="false">"c371"</definedName>
    <definedName function="false" hidden="false" name="IQ_EBITDA_LOW_EST_REUT" vbProcedure="false">"c3643"</definedName>
    <definedName function="false" hidden="false" name="IQ_EBITDA_MARGIN" vbProcedure="false">"c372"</definedName>
    <definedName function="false" hidden="false" name="IQ_EBITDA_MEDIAN_EST" vbProcedure="false">"c1663"</definedName>
    <definedName function="false" hidden="false" name="IQ_EBITDA_MEDIAN_EST_REUT" vbProcedure="false">"c3641"</definedName>
    <definedName function="false" hidden="false" name="IQ_EBITDA_NO_EST" vbProcedure="false">"c267"</definedName>
    <definedName function="false" hidden="false" name="IQ_EBITDA_NUM_EST" vbProcedure="false">"c374"</definedName>
    <definedName function="false" hidden="false" name="IQ_EBITDA_NUM_EST_REUT" vbProcedure="false">"c3644"</definedName>
    <definedName function="false" hidden="false" name="IQ_EBITDA_OVER_TOTAL_IE" vbProcedure="false">"c1371"</definedName>
    <definedName function="false" hidden="false" name="IQ_EBITDA_STDDEV_EST" vbProcedure="false">"c375"</definedName>
    <definedName function="false" hidden="false" name="IQ_EBITDA_STDDEV_EST_REUT" vbProcedure="false">"c3645"</definedName>
    <definedName function="false" hidden="false" name="IQ_EBIT_10K" vbProcedure="false">"IQ_EBIT_10K"</definedName>
    <definedName function="false" hidden="false" name="IQ_EBIT_10Q" vbProcedure="false">"IQ_EBIT_10Q"</definedName>
    <definedName function="false" hidden="false" name="IQ_EBIT_10Q1" vbProcedure="false">"IQ_EBIT_10Q1"</definedName>
    <definedName function="false" hidden="false" name="IQ_EBIT_10YR_ANN_GROWTH" vbProcedure="false">"c353"</definedName>
    <definedName function="false" hidden="false" name="IQ_EBIT_1YR_ANN_GROWTH" vbProcedure="false">"c354"</definedName>
    <definedName function="false" hidden="false" name="IQ_EBIT_2YR_ANN_GROWTH" vbProcedure="false">"c355"</definedName>
    <definedName function="false" hidden="false" name="IQ_EBIT_3YR_ANN_GROWTH" vbProcedure="false">"c356"</definedName>
    <definedName function="false" hidden="false" name="IQ_EBIT_5YR_ANN_GROWTH" vbProcedure="false">"c357"</definedName>
    <definedName function="false" hidden="false" name="IQ_EBIT_7YR_ANN_GROWTH" vbProcedure="false">"c358"</definedName>
    <definedName function="false" hidden="false" name="IQ_EBIT_ACT_OR_EST" vbProcedure="false">"c2219"</definedName>
    <definedName function="false" hidden="false" name="IQ_EBIT_ACT_OR_EST_REUT" vbProcedure="false">"c5465"</definedName>
    <definedName function="false" hidden="false" name="IQ_EBIT_EST" vbProcedure="false">"c1681"</definedName>
    <definedName function="false" hidden="false" name="IQ_EBIT_EST_REUT" vbProcedure="false">"c5333"</definedName>
    <definedName function="false" hidden="false" name="IQ_EBIT_GROWTH_1" vbProcedure="false">"IQ_EBIT_GROWTH_1"</definedName>
    <definedName function="false" hidden="false" name="IQ_EBIT_GROWTH_2" vbProcedure="false">"IQ_EBIT_GROWTH_2"</definedName>
    <definedName function="false" hidden="false" name="IQ_EBIT_HIGH_EST" vbProcedure="false">"c1683"</definedName>
    <definedName function="false" hidden="false" name="IQ_EBIT_HIGH_EST_REUT" vbProcedure="false">"c5335"</definedName>
    <definedName function="false" hidden="false" name="IQ_EBIT_INT" vbProcedure="false">"c360"</definedName>
    <definedName function="false" hidden="false" name="IQ_EBIT_LOW_EST" vbProcedure="false">"c1684"</definedName>
    <definedName function="false" hidden="false" name="IQ_EBIT_LOW_EST_REUT" vbProcedure="false">"c5336"</definedName>
    <definedName function="false" hidden="false" name="IQ_EBIT_MARGIN" vbProcedure="false">"c359"</definedName>
    <definedName function="false" hidden="false" name="IQ_EBIT_MEDIAN_EST" vbProcedure="false">"c1682"</definedName>
    <definedName function="false" hidden="false" name="IQ_EBIT_MEDIAN_EST_REUT" vbProcedure="false">"c5334"</definedName>
    <definedName function="false" hidden="false" name="IQ_EBIT_NUM_EST" vbProcedure="false">"c1685"</definedName>
    <definedName function="false" hidden="false" name="IQ_EBIT_NUM_EST_REUT" vbProcedure="false">"c5337"</definedName>
    <definedName function="false" hidden="false" name="IQ_EBIT_OVER_IE" vbProcedure="false">"c1369"</definedName>
    <definedName function="false" hidden="false" name="IQ_EBIT_STDDEV_EST" vbProcedure="false">"c1686"</definedName>
    <definedName function="false" hidden="false" name="IQ_EBIT_STDDEV_EST_REUT" vbProcedure="false">"c5338"</definedName>
    <definedName function="false" hidden="false" name="IQ_EBT" vbProcedure="false">"c376"</definedName>
    <definedName function="false" hidden="false" name="IQ_EBT_BNK" vbProcedure="false">"c377"</definedName>
    <definedName function="false" hidden="false" name="IQ_EBT_BR" vbProcedure="false">"c378"</definedName>
    <definedName function="false" hidden="false" name="IQ_EBT_EXCL" vbProcedure="false">"c379"</definedName>
    <definedName function="false" hidden="false" name="IQ_EBT_EXCL_BNK" vbProcedure="false">"c380"</definedName>
    <definedName function="false" hidden="false" name="IQ_EBT_EXCL_BR" vbProcedure="false">"c381"</definedName>
    <definedName function="false" hidden="false" name="IQ_EBT_EXCL_FIN" vbProcedure="false">"c382"</definedName>
    <definedName function="false" hidden="false" name="IQ_EBT_EXCL_INS" vbProcedure="false">"c383"</definedName>
    <definedName function="false" hidden="false" name="IQ_EBT_EXCL_MARGIN" vbProcedure="false">"c1462"</definedName>
    <definedName function="false" hidden="false" name="IQ_EBT_EXCL_REIT" vbProcedure="false">"c384"</definedName>
    <definedName function="false" hidden="false" name="IQ_EBT_EXCL_UTI" vbProcedure="false">"c385"</definedName>
    <definedName function="false" hidden="false" name="IQ_EBT_FIN" vbProcedure="false">"c386"</definedName>
    <definedName function="false" hidden="false" name="IQ_EBT_INCL_MARGIN" vbProcedure="false">"c387"</definedName>
    <definedName function="false" hidden="false" name="IQ_EBT_INS" vbProcedure="false">"c388"</definedName>
    <definedName function="false" hidden="false" name="IQ_EBT_REIT" vbProcedure="false">"c389"</definedName>
    <definedName function="false" hidden="false" name="IQ_EBT_UTI" vbProcedure="false">"c390"</definedName>
    <definedName function="false" hidden="false" name="IQ_ECO_METRIC_6810" vbProcedure="false">"c6810"</definedName>
    <definedName function="false" hidden="false" name="IQ_ECO_METRIC_6811" vbProcedure="false">"c6811"</definedName>
    <definedName function="false" hidden="false" name="IQ_ECO_METRIC_6812" vbProcedure="false">"c6812"</definedName>
    <definedName function="false" hidden="false" name="IQ_ECO_METRIC_6813" vbProcedure="false">"c6813"</definedName>
    <definedName function="false" hidden="false" name="IQ_ECO_METRIC_6814" vbProcedure="false">"c6814"</definedName>
    <definedName function="false" hidden="false" name="IQ_ECO_METRIC_6815" vbProcedure="false">"c6815"</definedName>
    <definedName function="false" hidden="false" name="IQ_ECO_METRIC_6816" vbProcedure="false">"c6816"</definedName>
    <definedName function="false" hidden="false" name="IQ_ECO_METRIC_6817" vbProcedure="false">"c6817"</definedName>
    <definedName function="false" hidden="false" name="IQ_ECO_METRIC_6818" vbProcedure="false">"c6818"</definedName>
    <definedName function="false" hidden="false" name="IQ_ECO_METRIC_6819" vbProcedure="false">"c6819"</definedName>
    <definedName function="false" hidden="false" name="IQ_ECO_METRIC_6820" vbProcedure="false">"c6820"</definedName>
    <definedName function="false" hidden="false" name="IQ_ECO_METRIC_6821" vbProcedure="false">"c6821"</definedName>
    <definedName function="false" hidden="false" name="IQ_ECO_METRIC_6822" vbProcedure="false">"c6822"</definedName>
    <definedName function="false" hidden="false" name="IQ_ECO_METRIC_6823" vbProcedure="false">"c6823"</definedName>
    <definedName function="false" hidden="false" name="IQ_ECO_METRIC_6824" vbProcedure="false">"c6824"</definedName>
    <definedName function="false" hidden="false" name="IQ_ECO_METRIC_6825" vbProcedure="false">"c6825"</definedName>
    <definedName function="false" hidden="false" name="IQ_ECO_METRIC_6825_UNUSED_UNUSED_UNUSED" vbProcedure="false">"c6825"</definedName>
    <definedName function="false" hidden="false" name="IQ_ECO_METRIC_6826" vbProcedure="false">"c6826"</definedName>
    <definedName function="false" hidden="false" name="IQ_ECO_METRIC_6827" vbProcedure="false">"c6827"</definedName>
    <definedName function="false" hidden="false" name="IQ_ECO_METRIC_6828" vbProcedure="false">"c6828"</definedName>
    <definedName function="false" hidden="false" name="IQ_ECO_METRIC_6829" vbProcedure="false">"c6829"</definedName>
    <definedName function="false" hidden="false" name="IQ_ECO_METRIC_6830" vbProcedure="false">"c6830"</definedName>
    <definedName function="false" hidden="false" name="IQ_ECO_METRIC_6831" vbProcedure="false">"c6831"</definedName>
    <definedName function="false" hidden="false" name="IQ_ECO_METRIC_6832" vbProcedure="false">"c6832"</definedName>
    <definedName function="false" hidden="false" name="IQ_ECO_METRIC_6833" vbProcedure="false">"c6833"</definedName>
    <definedName function="false" hidden="false" name="IQ_ECO_METRIC_6834" vbProcedure="false">"c6834"</definedName>
    <definedName function="false" hidden="false" name="IQ_ECO_METRIC_6835" vbProcedure="false">"c6835"</definedName>
    <definedName function="false" hidden="false" name="IQ_ECO_METRIC_6836" vbProcedure="false">"c6836"</definedName>
    <definedName function="false" hidden="false" name="IQ_ECO_METRIC_6837" vbProcedure="false">"c6837"</definedName>
    <definedName function="false" hidden="false" name="IQ_ECO_METRIC_6838" vbProcedure="false">"c6838"</definedName>
    <definedName function="false" hidden="false" name="IQ_ECO_METRIC_6839" vbProcedure="false">"c6839"</definedName>
    <definedName function="false" hidden="false" name="IQ_ECO_METRIC_6839_UNUSED_UNUSED_UNUSED" vbProcedure="false">"c6839"</definedName>
    <definedName function="false" hidden="false" name="IQ_ECO_METRIC_6840" vbProcedure="false">"c6840"</definedName>
    <definedName function="false" hidden="false" name="IQ_ECO_METRIC_6841" vbProcedure="false">"c6841"</definedName>
    <definedName function="false" hidden="false" name="IQ_ECO_METRIC_6842" vbProcedure="false">"c6842"</definedName>
    <definedName function="false" hidden="false" name="IQ_ECO_METRIC_6843" vbProcedure="false">"c6843"</definedName>
    <definedName function="false" hidden="false" name="IQ_ECO_METRIC_6844" vbProcedure="false">"c6844"</definedName>
    <definedName function="false" hidden="false" name="IQ_ECO_METRIC_6845" vbProcedure="false">"c6845"</definedName>
    <definedName function="false" hidden="false" name="IQ_ECO_METRIC_6846" vbProcedure="false">"c6846"</definedName>
    <definedName function="false" hidden="false" name="IQ_ECO_METRIC_6847" vbProcedure="false">"c6847"</definedName>
    <definedName function="false" hidden="false" name="IQ_ECO_METRIC_6848" vbProcedure="false">"c6848"</definedName>
    <definedName function="false" hidden="false" name="IQ_ECO_METRIC_6849" vbProcedure="false">"c6849"</definedName>
    <definedName function="false" hidden="false" name="IQ_ECO_METRIC_6850" vbProcedure="false">"c6850"</definedName>
    <definedName function="false" hidden="false" name="IQ_ECO_METRIC_6851" vbProcedure="false">"c6851"</definedName>
    <definedName function="false" hidden="false" name="IQ_ECO_METRIC_6852" vbProcedure="false">"c6852"</definedName>
    <definedName function="false" hidden="false" name="IQ_ECO_METRIC_6853" vbProcedure="false">"c6853"</definedName>
    <definedName function="false" hidden="false" name="IQ_ECO_METRIC_6854" vbProcedure="false">"c6854"</definedName>
    <definedName function="false" hidden="false" name="IQ_ECO_METRIC_6855" vbProcedure="false">"c6855"</definedName>
    <definedName function="false" hidden="false" name="IQ_ECO_METRIC_6856" vbProcedure="false">"c6856"</definedName>
    <definedName function="false" hidden="false" name="IQ_ECO_METRIC_6857" vbProcedure="false">"c6857"</definedName>
    <definedName function="false" hidden="false" name="IQ_ECO_METRIC_6858" vbProcedure="false">"c6858"</definedName>
    <definedName function="false" hidden="false" name="IQ_ECO_METRIC_6859" vbProcedure="false">"c6859"</definedName>
    <definedName function="false" hidden="false" name="IQ_ECO_METRIC_6860" vbProcedure="false">"c6860"</definedName>
    <definedName function="false" hidden="false" name="IQ_ECO_METRIC_6861" vbProcedure="false">"c6861"</definedName>
    <definedName function="false" hidden="false" name="IQ_ECO_METRIC_6862" vbProcedure="false">"c6862"</definedName>
    <definedName function="false" hidden="false" name="IQ_ECO_METRIC_6863" vbProcedure="false">"c6863"</definedName>
    <definedName function="false" hidden="false" name="IQ_ECO_METRIC_6864" vbProcedure="false">"c6864"</definedName>
    <definedName function="false" hidden="false" name="IQ_ECO_METRIC_6865" vbProcedure="false">"c6865"</definedName>
    <definedName function="false" hidden="false" name="IQ_ECO_METRIC_6866" vbProcedure="false">"c6866"</definedName>
    <definedName function="false" hidden="false" name="IQ_ECO_METRIC_6867" vbProcedure="false">"c6867"</definedName>
    <definedName function="false" hidden="false" name="IQ_ECO_METRIC_6868" vbProcedure="false">"c6868"</definedName>
    <definedName function="false" hidden="false" name="IQ_ECO_METRIC_6869" vbProcedure="false">"c6869"</definedName>
    <definedName function="false" hidden="false" name="IQ_ECO_METRIC_6870" vbProcedure="false">"c6870"</definedName>
    <definedName function="false" hidden="false" name="IQ_ECO_METRIC_6871" vbProcedure="false">"c6871"</definedName>
    <definedName function="false" hidden="false" name="IQ_ECO_METRIC_6872" vbProcedure="false">"c6872"</definedName>
    <definedName function="false" hidden="false" name="IQ_ECO_METRIC_6873" vbProcedure="false">"c6873"</definedName>
    <definedName function="false" hidden="false" name="IQ_ECO_METRIC_6874" vbProcedure="false">"c6874"</definedName>
    <definedName function="false" hidden="false" name="IQ_ECO_METRIC_6875" vbProcedure="false">"c6875"</definedName>
    <definedName function="false" hidden="false" name="IQ_ECO_METRIC_6876" vbProcedure="false">"c6876"</definedName>
    <definedName function="false" hidden="false" name="IQ_ECO_METRIC_6877" vbProcedure="false">"c6877"</definedName>
    <definedName function="false" hidden="false" name="IQ_ECO_METRIC_6878" vbProcedure="false">"c6878"</definedName>
    <definedName function="false" hidden="false" name="IQ_ECO_METRIC_6879" vbProcedure="false">"c6879"</definedName>
    <definedName function="false" hidden="false" name="IQ_ECO_METRIC_6880" vbProcedure="false">"c6880"</definedName>
    <definedName function="false" hidden="false" name="IQ_ECO_METRIC_6881" vbProcedure="false">"c6881"</definedName>
    <definedName function="false" hidden="false" name="IQ_ECO_METRIC_6882" vbProcedure="false">"c6882"</definedName>
    <definedName function="false" hidden="false" name="IQ_ECO_METRIC_6883" vbProcedure="false">"c6883"</definedName>
    <definedName function="false" hidden="false" name="IQ_ECO_METRIC_6884" vbProcedure="false">"c6884"</definedName>
    <definedName function="false" hidden="false" name="IQ_ECO_METRIC_6885" vbProcedure="false">"c6885"</definedName>
    <definedName function="false" hidden="false" name="IQ_ECO_METRIC_6886" vbProcedure="false">"c6886"</definedName>
    <definedName function="false" hidden="false" name="IQ_ECO_METRIC_6887" vbProcedure="false">"c6887"</definedName>
    <definedName function="false" hidden="false" name="IQ_ECO_METRIC_6888" vbProcedure="false">"c6888"</definedName>
    <definedName function="false" hidden="false" name="IQ_ECO_METRIC_6889" vbProcedure="false">"c6889"</definedName>
    <definedName function="false" hidden="false" name="IQ_ECO_METRIC_6890" vbProcedure="false">"c6890"</definedName>
    <definedName function="false" hidden="false" name="IQ_ECO_METRIC_6891" vbProcedure="false">"c6891"</definedName>
    <definedName function="false" hidden="false" name="IQ_ECO_METRIC_6892" vbProcedure="false">"c6892"</definedName>
    <definedName function="false" hidden="false" name="IQ_ECO_METRIC_6893" vbProcedure="false">"c6893"</definedName>
    <definedName function="false" hidden="false" name="IQ_ECO_METRIC_6894" vbProcedure="false">"c6894"</definedName>
    <definedName function="false" hidden="false" name="IQ_ECO_METRIC_6895" vbProcedure="false">"c6895"</definedName>
    <definedName function="false" hidden="false" name="IQ_ECO_METRIC_6896" vbProcedure="false">"c6896"</definedName>
    <definedName function="false" hidden="false" name="IQ_ECO_METRIC_6896_UNUSED_UNUSED_UNUSED" vbProcedure="false">"c6896"</definedName>
    <definedName function="false" hidden="false" name="IQ_ECO_METRIC_6897" vbProcedure="false">"c6897"</definedName>
    <definedName function="false" hidden="false" name="IQ_ECO_METRIC_6897_UNUSED_UNUSED_UNUSED" vbProcedure="false">"c6897"</definedName>
    <definedName function="false" hidden="false" name="IQ_ECO_METRIC_6899" vbProcedure="false">"c6899"</definedName>
    <definedName function="false" hidden="false" name="IQ_ECO_METRIC_6900" vbProcedure="false">"c6900"</definedName>
    <definedName function="false" hidden="false" name="IQ_ECO_METRIC_6901" vbProcedure="false">"c6901"</definedName>
    <definedName function="false" hidden="false" name="IQ_ECO_METRIC_6902" vbProcedure="false">"c6902"</definedName>
    <definedName function="false" hidden="false" name="IQ_ECO_METRIC_6903" vbProcedure="false">"c6903"</definedName>
    <definedName function="false" hidden="false" name="IQ_ECO_METRIC_6904" vbProcedure="false">"c6904"</definedName>
    <definedName function="false" hidden="false" name="IQ_ECO_METRIC_6905" vbProcedure="false">"c6905"</definedName>
    <definedName function="false" hidden="false" name="IQ_ECO_METRIC_6906" vbProcedure="false">"c6906"</definedName>
    <definedName function="false" hidden="false" name="IQ_ECO_METRIC_6907" vbProcedure="false">"c6907"</definedName>
    <definedName function="false" hidden="false" name="IQ_ECO_METRIC_6908" vbProcedure="false">"c6908"</definedName>
    <definedName function="false" hidden="false" name="IQ_ECO_METRIC_6909" vbProcedure="false">"c6909"</definedName>
    <definedName function="false" hidden="false" name="IQ_ECO_METRIC_6910" vbProcedure="false">"c6910"</definedName>
    <definedName function="false" hidden="false" name="IQ_ECO_METRIC_6911" vbProcedure="false">"c6911"</definedName>
    <definedName function="false" hidden="false" name="IQ_ECO_METRIC_6912" vbProcedure="false">"c6912"</definedName>
    <definedName function="false" hidden="false" name="IQ_ECO_METRIC_6913" vbProcedure="false">"c6913"</definedName>
    <definedName function="false" hidden="false" name="IQ_ECO_METRIC_6914" vbProcedure="false">"c6914"</definedName>
    <definedName function="false" hidden="false" name="IQ_ECO_METRIC_6915" vbProcedure="false">"c6915"</definedName>
    <definedName function="false" hidden="false" name="IQ_ECO_METRIC_6916" vbProcedure="false">"c6916"</definedName>
    <definedName function="false" hidden="false" name="IQ_ECO_METRIC_6917" vbProcedure="false">"c6917"</definedName>
    <definedName function="false" hidden="false" name="IQ_ECO_METRIC_6918" vbProcedure="false">"c6918"</definedName>
    <definedName function="false" hidden="false" name="IQ_ECO_METRIC_6919" vbProcedure="false">"c6919"</definedName>
    <definedName function="false" hidden="false" name="IQ_ECO_METRIC_6920" vbProcedure="false">"c6920"</definedName>
    <definedName function="false" hidden="false" name="IQ_ECO_METRIC_6921" vbProcedure="false">"c6921"</definedName>
    <definedName function="false" hidden="false" name="IQ_ECO_METRIC_6922" vbProcedure="false">"c6922"</definedName>
    <definedName function="false" hidden="false" name="IQ_ECO_METRIC_6923" vbProcedure="false">"c6923"</definedName>
    <definedName function="false" hidden="false" name="IQ_ECO_METRIC_6924" vbProcedure="false">"c6924"</definedName>
    <definedName function="false" hidden="false" name="IQ_ECO_METRIC_6925" vbProcedure="false">"c6925"</definedName>
    <definedName function="false" hidden="false" name="IQ_ECO_METRIC_6926" vbProcedure="false">"c6926"</definedName>
    <definedName function="false" hidden="false" name="IQ_ECO_METRIC_6928" vbProcedure="false">"c6928"</definedName>
    <definedName function="false" hidden="false" name="IQ_ECO_METRIC_6929" vbProcedure="false">"c6929"</definedName>
    <definedName function="false" hidden="false" name="IQ_ECO_METRIC_6930" vbProcedure="false">"c6930"</definedName>
    <definedName function="false" hidden="false" name="IQ_ECO_METRIC_6931" vbProcedure="false">"c6931"</definedName>
    <definedName function="false" hidden="false" name="IQ_ECO_METRIC_6932" vbProcedure="false">"c6932"</definedName>
    <definedName function="false" hidden="false" name="IQ_ECO_METRIC_6933" vbProcedure="false">"c6933"</definedName>
    <definedName function="false" hidden="false" name="IQ_ECO_METRIC_6934" vbProcedure="false">"c6934"</definedName>
    <definedName function="false" hidden="false" name="IQ_ECO_METRIC_6935" vbProcedure="false">"c6935"</definedName>
    <definedName function="false" hidden="false" name="IQ_ECO_METRIC_6936" vbProcedure="false">"c6936"</definedName>
    <definedName function="false" hidden="false" name="IQ_ECO_METRIC_6937" vbProcedure="false">"c6937"</definedName>
    <definedName function="false" hidden="false" name="IQ_ECO_METRIC_6938" vbProcedure="false">"c6938"</definedName>
    <definedName function="false" hidden="false" name="IQ_ECO_METRIC_6939" vbProcedure="false">"c6939"</definedName>
    <definedName function="false" hidden="false" name="IQ_ECO_METRIC_6940" vbProcedure="false">"c6940"</definedName>
    <definedName function="false" hidden="false" name="IQ_ECO_METRIC_6941" vbProcedure="false">"c6941"</definedName>
    <definedName function="false" hidden="false" name="IQ_ECO_METRIC_6942" vbProcedure="false">"c6942"</definedName>
    <definedName function="false" hidden="false" name="IQ_ECO_METRIC_6943" vbProcedure="false">"c6943"</definedName>
    <definedName function="false" hidden="false" name="IQ_ECO_METRIC_6944" vbProcedure="false">"c6944"</definedName>
    <definedName function="false" hidden="false" name="IQ_ECO_METRIC_6945" vbProcedure="false">"c6945"</definedName>
    <definedName function="false" hidden="false" name="IQ_ECO_METRIC_6946" vbProcedure="false">"c6946"</definedName>
    <definedName function="false" hidden="false" name="IQ_ECO_METRIC_6947" vbProcedure="false">"c6947"</definedName>
    <definedName function="false" hidden="false" name="IQ_ECO_METRIC_6948" vbProcedure="false">"c6948"</definedName>
    <definedName function="false" hidden="false" name="IQ_ECO_METRIC_6949" vbProcedure="false">"c6949"</definedName>
    <definedName function="false" hidden="false" name="IQ_ECO_METRIC_6950" vbProcedure="false">"c6950"</definedName>
    <definedName function="false" hidden="false" name="IQ_ECO_METRIC_6951" vbProcedure="false">"c6951"</definedName>
    <definedName function="false" hidden="false" name="IQ_ECO_METRIC_6952" vbProcedure="false">"c6952"</definedName>
    <definedName function="false" hidden="false" name="IQ_ECO_METRIC_6953" vbProcedure="false">"c6953"</definedName>
    <definedName function="false" hidden="false" name="IQ_ECO_METRIC_6954" vbProcedure="false">"c6954"</definedName>
    <definedName function="false" hidden="false" name="IQ_ECO_METRIC_6955" vbProcedure="false">"c6955"</definedName>
    <definedName function="false" hidden="false" name="IQ_ECO_METRIC_6956" vbProcedure="false">"c6956"</definedName>
    <definedName function="false" hidden="false" name="IQ_ECO_METRIC_6957" vbProcedure="false">"c6957"</definedName>
    <definedName function="false" hidden="false" name="IQ_ECO_METRIC_6958" vbProcedure="false">"c6958"</definedName>
    <definedName function="false" hidden="false" name="IQ_ECO_METRIC_6959" vbProcedure="false">"c6959"</definedName>
    <definedName function="false" hidden="false" name="IQ_ECO_METRIC_6960" vbProcedure="false">"c6960"</definedName>
    <definedName function="false" hidden="false" name="IQ_ECO_METRIC_6962" vbProcedure="false">"c6962"</definedName>
    <definedName function="false" hidden="false" name="IQ_ECO_METRIC_6963" vbProcedure="false">"c6963"</definedName>
    <definedName function="false" hidden="false" name="IQ_ECO_METRIC_6964" vbProcedure="false">"c6964"</definedName>
    <definedName function="false" hidden="false" name="IQ_ECO_METRIC_6965" vbProcedure="false">"c6965"</definedName>
    <definedName function="false" hidden="false" name="IQ_ECO_METRIC_6966" vbProcedure="false">"c6966"</definedName>
    <definedName function="false" hidden="false" name="IQ_ECO_METRIC_6967" vbProcedure="false">"c6967"</definedName>
    <definedName function="false" hidden="false" name="IQ_ECO_METRIC_6968" vbProcedure="false">"c6968"</definedName>
    <definedName function="false" hidden="false" name="IQ_ECO_METRIC_6969" vbProcedure="false">"c6969"</definedName>
    <definedName function="false" hidden="false" name="IQ_ECO_METRIC_6970" vbProcedure="false">"c6970"</definedName>
    <definedName function="false" hidden="false" name="IQ_ECO_METRIC_6971" vbProcedure="false">"c6971"</definedName>
    <definedName function="false" hidden="false" name="IQ_ECO_METRIC_6972" vbProcedure="false">"c6972"</definedName>
    <definedName function="false" hidden="false" name="IQ_ECO_METRIC_6973" vbProcedure="false">"c6973"</definedName>
    <definedName function="false" hidden="false" name="IQ_ECO_METRIC_6974" vbProcedure="false">"c6974"</definedName>
    <definedName function="false" hidden="false" name="IQ_ECO_METRIC_6975" vbProcedure="false">"c6975"</definedName>
    <definedName function="false" hidden="false" name="IQ_ECO_METRIC_6976" vbProcedure="false">"c6976"</definedName>
    <definedName function="false" hidden="false" name="IQ_ECO_METRIC_6977" vbProcedure="false">"c6977"</definedName>
    <definedName function="false" hidden="false" name="IQ_ECO_METRIC_6978" vbProcedure="false">"c6978"</definedName>
    <definedName function="false" hidden="false" name="IQ_ECO_METRIC_6979" vbProcedure="false">"c6979"</definedName>
    <definedName function="false" hidden="false" name="IQ_ECO_METRIC_6980" vbProcedure="false">"c6980"</definedName>
    <definedName function="false" hidden="false" name="IQ_ECO_METRIC_6981" vbProcedure="false">"c6981"</definedName>
    <definedName function="false" hidden="false" name="IQ_ECO_METRIC_6982" vbProcedure="false">"c6982"</definedName>
    <definedName function="false" hidden="false" name="IQ_ECO_METRIC_6983" vbProcedure="false">"c6983"</definedName>
    <definedName function="false" hidden="false" name="IQ_ECO_METRIC_6984" vbProcedure="false">"c6984"</definedName>
    <definedName function="false" hidden="false" name="IQ_ECO_METRIC_6985" vbProcedure="false">"c6985"</definedName>
    <definedName function="false" hidden="false" name="IQ_ECO_METRIC_6986" vbProcedure="false">"c6986"</definedName>
    <definedName function="false" hidden="false" name="IQ_ECO_METRIC_6987" vbProcedure="false">"c6987"</definedName>
    <definedName function="false" hidden="false" name="IQ_ECO_METRIC_6988" vbProcedure="false">"c6988"</definedName>
    <definedName function="false" hidden="false" name="IQ_ECO_METRIC_6988_UNUSED_UNUSED_UNUSED" vbProcedure="false">"c6988"</definedName>
    <definedName function="false" hidden="false" name="IQ_ECO_METRIC_6989" vbProcedure="false">"c6989"</definedName>
    <definedName function="false" hidden="false" name="IQ_ECO_METRIC_6990" vbProcedure="false">"c6990"</definedName>
    <definedName function="false" hidden="false" name="IQ_ECO_METRIC_6991" vbProcedure="false">"c6991"</definedName>
    <definedName function="false" hidden="false" name="IQ_ECO_METRIC_6992" vbProcedure="false">"c6992"</definedName>
    <definedName function="false" hidden="false" name="IQ_ECO_METRIC_6993" vbProcedure="false">"c6993"</definedName>
    <definedName function="false" hidden="false" name="IQ_ECO_METRIC_6994" vbProcedure="false">"c6994"</definedName>
    <definedName function="false" hidden="false" name="IQ_ECO_METRIC_6995" vbProcedure="false">"c6995"</definedName>
    <definedName function="false" hidden="false" name="IQ_ECO_METRIC_6996" vbProcedure="false">"c6996"</definedName>
    <definedName function="false" hidden="false" name="IQ_ECO_METRIC_6997" vbProcedure="false">"c6997"</definedName>
    <definedName function="false" hidden="false" name="IQ_ECO_METRIC_6998" vbProcedure="false">"c6998"</definedName>
    <definedName function="false" hidden="false" name="IQ_ECO_METRIC_7000" vbProcedure="false">"c7000"</definedName>
    <definedName function="false" hidden="false" name="IQ_ECO_METRIC_7001" vbProcedure="false">"c7001"</definedName>
    <definedName function="false" hidden="false" name="IQ_ECO_METRIC_7002" vbProcedure="false">"c7002"</definedName>
    <definedName function="false" hidden="false" name="IQ_ECO_METRIC_7003" vbProcedure="false">"c7003"</definedName>
    <definedName function="false" hidden="false" name="IQ_ECO_METRIC_7004" vbProcedure="false">"c7004"</definedName>
    <definedName function="false" hidden="false" name="IQ_ECO_METRIC_7005" vbProcedure="false">"c7005"</definedName>
    <definedName function="false" hidden="false" name="IQ_ECO_METRIC_7006" vbProcedure="false">"c7006"</definedName>
    <definedName function="false" hidden="false" name="IQ_ECO_METRIC_7007" vbProcedure="false">"c7007"</definedName>
    <definedName function="false" hidden="false" name="IQ_ECO_METRIC_7008" vbProcedure="false">"c7008"</definedName>
    <definedName function="false" hidden="false" name="IQ_ECO_METRIC_7009" vbProcedure="false">"c7009"</definedName>
    <definedName function="false" hidden="false" name="IQ_ECO_METRIC_7010" vbProcedure="false">"c7010"</definedName>
    <definedName function="false" hidden="false" name="IQ_ECO_METRIC_7011" vbProcedure="false">"c7011"</definedName>
    <definedName function="false" hidden="false" name="IQ_ECO_METRIC_7012" vbProcedure="false">"c7012"</definedName>
    <definedName function="false" hidden="false" name="IQ_ECO_METRIC_7013" vbProcedure="false">"c7013"</definedName>
    <definedName function="false" hidden="false" name="IQ_ECO_METRIC_7015" vbProcedure="false">"c7015"</definedName>
    <definedName function="false" hidden="false" name="IQ_ECO_METRIC_7016" vbProcedure="false">"c7016"</definedName>
    <definedName function="false" hidden="false" name="IQ_ECO_METRIC_7017" vbProcedure="false">"c7017"</definedName>
    <definedName function="false" hidden="false" name="IQ_ECO_METRIC_7018" vbProcedure="false">"c7018"</definedName>
    <definedName function="false" hidden="false" name="IQ_ECO_METRIC_7019" vbProcedure="false">"c7019"</definedName>
    <definedName function="false" hidden="false" name="IQ_ECO_METRIC_7020" vbProcedure="false">"c7020"</definedName>
    <definedName function="false" hidden="false" name="IQ_ECO_METRIC_7021" vbProcedure="false">"c7021"</definedName>
    <definedName function="false" hidden="false" name="IQ_ECO_METRIC_7023" vbProcedure="false">"c7023"</definedName>
    <definedName function="false" hidden="false" name="IQ_ECO_METRIC_7024" vbProcedure="false">"c7024"</definedName>
    <definedName function="false" hidden="false" name="IQ_ECO_METRIC_7025" vbProcedure="false">"c7025"</definedName>
    <definedName function="false" hidden="false" name="IQ_ECO_METRIC_7026" vbProcedure="false">"c7026"</definedName>
    <definedName function="false" hidden="false" name="IQ_ECO_METRIC_7027" vbProcedure="false">"c7027"</definedName>
    <definedName function="false" hidden="false" name="IQ_ECO_METRIC_7028" vbProcedure="false">"c7028"</definedName>
    <definedName function="false" hidden="false" name="IQ_ECO_METRIC_7029" vbProcedure="false">"c7029"</definedName>
    <definedName function="false" hidden="false" name="IQ_ECO_METRIC_7030" vbProcedure="false">"c7030"</definedName>
    <definedName function="false" hidden="false" name="IQ_ECO_METRIC_7031" vbProcedure="false">"c7031"</definedName>
    <definedName function="false" hidden="false" name="IQ_ECO_METRIC_7032" vbProcedure="false">"c7032"</definedName>
    <definedName function="false" hidden="false" name="IQ_ECO_METRIC_7033" vbProcedure="false">"c7033"</definedName>
    <definedName function="false" hidden="false" name="IQ_ECO_METRIC_7034" vbProcedure="false">"c7034"</definedName>
    <definedName function="false" hidden="false" name="IQ_ECO_METRIC_7035" vbProcedure="false">"c7035"</definedName>
    <definedName function="false" hidden="false" name="IQ_ECO_METRIC_7036" vbProcedure="false">"c7036"</definedName>
    <definedName function="false" hidden="false" name="IQ_ECO_METRIC_7037" vbProcedure="false">"c7037"</definedName>
    <definedName function="false" hidden="false" name="IQ_ECO_METRIC_7038" vbProcedure="false">"c7038"</definedName>
    <definedName function="false" hidden="false" name="IQ_ECO_METRIC_7039" vbProcedure="false">"c7039"</definedName>
    <definedName function="false" hidden="false" name="IQ_ECO_METRIC_7040" vbProcedure="false">"c7040"</definedName>
    <definedName function="false" hidden="false" name="IQ_ECO_METRIC_7041" vbProcedure="false">"c7041"</definedName>
    <definedName function="false" hidden="false" name="IQ_ECO_METRIC_7042" vbProcedure="false">"c7042"</definedName>
    <definedName function="false" hidden="false" name="IQ_ECO_METRIC_7043" vbProcedure="false">"c7043"</definedName>
    <definedName function="false" hidden="false" name="IQ_ECO_METRIC_7044" vbProcedure="false">"c7044"</definedName>
    <definedName function="false" hidden="false" name="IQ_ECO_METRIC_7045" vbProcedure="false">"c7045"</definedName>
    <definedName function="false" hidden="false" name="IQ_ECO_METRIC_7045_UNUSED_UNUSED_UNUSED" vbProcedure="false">"c7045"</definedName>
    <definedName function="false" hidden="false" name="IQ_ECO_METRIC_7046" vbProcedure="false">"c7046"</definedName>
    <definedName function="false" hidden="false" name="IQ_ECO_METRIC_7047" vbProcedure="false">"c7047"</definedName>
    <definedName function="false" hidden="false" name="IQ_ECO_METRIC_7048" vbProcedure="false">"c7048"</definedName>
    <definedName function="false" hidden="false" name="IQ_ECO_METRIC_7049" vbProcedure="false">"c7049"</definedName>
    <definedName function="false" hidden="false" name="IQ_ECO_METRIC_7050" vbProcedure="false">"c7050"</definedName>
    <definedName function="false" hidden="false" name="IQ_ECO_METRIC_7051" vbProcedure="false">"c7051"</definedName>
    <definedName function="false" hidden="false" name="IQ_ECO_METRIC_7052" vbProcedure="false">"c7052"</definedName>
    <definedName function="false" hidden="false" name="IQ_ECO_METRIC_7053" vbProcedure="false">"c7053"</definedName>
    <definedName function="false" hidden="false" name="IQ_ECO_METRIC_7054" vbProcedure="false">"c7054"</definedName>
    <definedName function="false" hidden="false" name="IQ_ECO_METRIC_7055" vbProcedure="false">"c7055"</definedName>
    <definedName function="false" hidden="false" name="IQ_ECO_METRIC_7056" vbProcedure="false">"c7056"</definedName>
    <definedName function="false" hidden="false" name="IQ_ECO_METRIC_7057" vbProcedure="false">"c7057"</definedName>
    <definedName function="false" hidden="false" name="IQ_ECO_METRIC_7058" vbProcedure="false">"c7058"</definedName>
    <definedName function="false" hidden="false" name="IQ_ECO_METRIC_7059" vbProcedure="false">"c7059"</definedName>
    <definedName function="false" hidden="false" name="IQ_ECO_METRIC_7059_UNUSED_UNUSED_UNUSED" vbProcedure="false">"c7059"</definedName>
    <definedName function="false" hidden="false" name="IQ_ECO_METRIC_7060" vbProcedure="false">"c7060"</definedName>
    <definedName function="false" hidden="false" name="IQ_ECO_METRIC_7061" vbProcedure="false">"c7061"</definedName>
    <definedName function="false" hidden="false" name="IQ_ECO_METRIC_7062" vbProcedure="false">"c7062"</definedName>
    <definedName function="false" hidden="false" name="IQ_ECO_METRIC_7063" vbProcedure="false">"c7063"</definedName>
    <definedName function="false" hidden="false" name="IQ_ECO_METRIC_7064" vbProcedure="false">"c7064"</definedName>
    <definedName function="false" hidden="false" name="IQ_ECO_METRIC_7065" vbProcedure="false">"c7065"</definedName>
    <definedName function="false" hidden="false" name="IQ_ECO_METRIC_7066" vbProcedure="false">"c7066"</definedName>
    <definedName function="false" hidden="false" name="IQ_ECO_METRIC_7067" vbProcedure="false">"c7067"</definedName>
    <definedName function="false" hidden="false" name="IQ_ECO_METRIC_7068" vbProcedure="false">"c7068"</definedName>
    <definedName function="false" hidden="false" name="IQ_ECO_METRIC_7069" vbProcedure="false">"c7069"</definedName>
    <definedName function="false" hidden="false" name="IQ_ECO_METRIC_7070" vbProcedure="false">"c7070"</definedName>
    <definedName function="false" hidden="false" name="IQ_ECO_METRIC_7071" vbProcedure="false">"c7071"</definedName>
    <definedName function="false" hidden="false" name="IQ_ECO_METRIC_7072" vbProcedure="false">"c7072"</definedName>
    <definedName function="false" hidden="false" name="IQ_ECO_METRIC_7073" vbProcedure="false">"c7073"</definedName>
    <definedName function="false" hidden="false" name="IQ_ECO_METRIC_7074" vbProcedure="false">"c7074"</definedName>
    <definedName function="false" hidden="false" name="IQ_ECO_METRIC_7075" vbProcedure="false">"c7075"</definedName>
    <definedName function="false" hidden="false" name="IQ_ECO_METRIC_7076" vbProcedure="false">"c7076"</definedName>
    <definedName function="false" hidden="false" name="IQ_ECO_METRIC_7077" vbProcedure="false">"c7077"</definedName>
    <definedName function="false" hidden="false" name="IQ_ECO_METRIC_7078" vbProcedure="false">"c7078"</definedName>
    <definedName function="false" hidden="false" name="IQ_ECO_METRIC_7079" vbProcedure="false">"c7079"</definedName>
    <definedName function="false" hidden="false" name="IQ_ECO_METRIC_7080" vbProcedure="false">"c7080"</definedName>
    <definedName function="false" hidden="false" name="IQ_ECO_METRIC_7081" vbProcedure="false">"c7081"</definedName>
    <definedName function="false" hidden="false" name="IQ_ECO_METRIC_7082" vbProcedure="false">"c7082"</definedName>
    <definedName function="false" hidden="false" name="IQ_ECO_METRIC_7083" vbProcedure="false">"c7083"</definedName>
    <definedName function="false" hidden="false" name="IQ_ECO_METRIC_7084" vbProcedure="false">"c7084"</definedName>
    <definedName function="false" hidden="false" name="IQ_ECO_METRIC_7085" vbProcedure="false">"c7085"</definedName>
    <definedName function="false" hidden="false" name="IQ_ECO_METRIC_7086" vbProcedure="false">"c7086"</definedName>
    <definedName function="false" hidden="false" name="IQ_ECO_METRIC_7087" vbProcedure="false">"c7087"</definedName>
    <definedName function="false" hidden="false" name="IQ_ECO_METRIC_7088" vbProcedure="false">"c7088"</definedName>
    <definedName function="false" hidden="false" name="IQ_ECO_METRIC_7089" vbProcedure="false">"c7089"</definedName>
    <definedName function="false" hidden="false" name="IQ_ECO_METRIC_7090" vbProcedure="false">"c7090"</definedName>
    <definedName function="false" hidden="false" name="IQ_ECO_METRIC_7091" vbProcedure="false">"c7091"</definedName>
    <definedName function="false" hidden="false" name="IQ_ECO_METRIC_7092" vbProcedure="false">"c7092"</definedName>
    <definedName function="false" hidden="false" name="IQ_ECO_METRIC_7093" vbProcedure="false">"c7093"</definedName>
    <definedName function="false" hidden="false" name="IQ_ECO_METRIC_7094" vbProcedure="false">"c7094"</definedName>
    <definedName function="false" hidden="false" name="IQ_ECO_METRIC_7095" vbProcedure="false">"c7095"</definedName>
    <definedName function="false" hidden="false" name="IQ_ECO_METRIC_7096" vbProcedure="false">"c7096"</definedName>
    <definedName function="false" hidden="false" name="IQ_ECO_METRIC_7097" vbProcedure="false">"c7097"</definedName>
    <definedName function="false" hidden="false" name="IQ_ECO_METRIC_7098" vbProcedure="false">"c7098"</definedName>
    <definedName function="false" hidden="false" name="IQ_ECO_METRIC_7099" vbProcedure="false">"c7099"</definedName>
    <definedName function="false" hidden="false" name="IQ_ECO_METRIC_7100" vbProcedure="false">"c7100"</definedName>
    <definedName function="false" hidden="false" name="IQ_ECO_METRIC_7101" vbProcedure="false">"c7101"</definedName>
    <definedName function="false" hidden="false" name="IQ_ECO_METRIC_7102" vbProcedure="false">"c7102"</definedName>
    <definedName function="false" hidden="false" name="IQ_ECO_METRIC_7103" vbProcedure="false">"c7103"</definedName>
    <definedName function="false" hidden="false" name="IQ_ECO_METRIC_7104" vbProcedure="false">"c7104"</definedName>
    <definedName function="false" hidden="false" name="IQ_ECO_METRIC_7105" vbProcedure="false">"c7105"</definedName>
    <definedName function="false" hidden="false" name="IQ_ECO_METRIC_7106" vbProcedure="false">"c7106"</definedName>
    <definedName function="false" hidden="false" name="IQ_ECO_METRIC_7107" vbProcedure="false">"c7107"</definedName>
    <definedName function="false" hidden="false" name="IQ_ECO_METRIC_7108" vbProcedure="false">"c7108"</definedName>
    <definedName function="false" hidden="false" name="IQ_ECO_METRIC_7109" vbProcedure="false">"c7109"</definedName>
    <definedName function="false" hidden="false" name="IQ_ECO_METRIC_7110" vbProcedure="false">"c7110"</definedName>
    <definedName function="false" hidden="false" name="IQ_ECO_METRIC_7111" vbProcedure="false">"c7111"</definedName>
    <definedName function="false" hidden="false" name="IQ_ECO_METRIC_7112" vbProcedure="false">"c7112"</definedName>
    <definedName function="false" hidden="false" name="IQ_ECO_METRIC_7113" vbProcedure="false">"c7113"</definedName>
    <definedName function="false" hidden="false" name="IQ_ECO_METRIC_7114" vbProcedure="false">"c7114"</definedName>
    <definedName function="false" hidden="false" name="IQ_ECO_METRIC_7115" vbProcedure="false">"c7115"</definedName>
    <definedName function="false" hidden="false" name="IQ_ECO_METRIC_7116" vbProcedure="false">"c7116"</definedName>
    <definedName function="false" hidden="false" name="IQ_ECO_METRIC_7116_UNUSED_UNUSED_UNUSED" vbProcedure="false">"c7116"</definedName>
    <definedName function="false" hidden="false" name="IQ_ECO_METRIC_7117" vbProcedure="false">"c7117"</definedName>
    <definedName function="false" hidden="false" name="IQ_ECO_METRIC_7117_UNUSED_UNUSED_UNUSED" vbProcedure="false">"c7117"</definedName>
    <definedName function="false" hidden="false" name="IQ_ECO_METRIC_7119" vbProcedure="false">"c7119"</definedName>
    <definedName function="false" hidden="false" name="IQ_ECO_METRIC_7120" vbProcedure="false">"c7120"</definedName>
    <definedName function="false" hidden="false" name="IQ_ECO_METRIC_7121" vbProcedure="false">"c7121"</definedName>
    <definedName function="false" hidden="false" name="IQ_ECO_METRIC_7122" vbProcedure="false">"c7122"</definedName>
    <definedName function="false" hidden="false" name="IQ_ECO_METRIC_7123" vbProcedure="false">"c7123"</definedName>
    <definedName function="false" hidden="false" name="IQ_ECO_METRIC_7124" vbProcedure="false">"c7124"</definedName>
    <definedName function="false" hidden="false" name="IQ_ECO_METRIC_7125" vbProcedure="false">"c7125"</definedName>
    <definedName function="false" hidden="false" name="IQ_ECO_METRIC_7126" vbProcedure="false">"c7126"</definedName>
    <definedName function="false" hidden="false" name="IQ_ECO_METRIC_7127" vbProcedure="false">"c7127"</definedName>
    <definedName function="false" hidden="false" name="IQ_ECO_METRIC_7128" vbProcedure="false">"c7128"</definedName>
    <definedName function="false" hidden="false" name="IQ_ECO_METRIC_7129" vbProcedure="false">"c7129"</definedName>
    <definedName function="false" hidden="false" name="IQ_ECO_METRIC_7130" vbProcedure="false">"c7130"</definedName>
    <definedName function="false" hidden="false" name="IQ_ECO_METRIC_7131" vbProcedure="false">"c7131"</definedName>
    <definedName function="false" hidden="false" name="IQ_ECO_METRIC_7132" vbProcedure="false">"c7132"</definedName>
    <definedName function="false" hidden="false" name="IQ_ECO_METRIC_7133" vbProcedure="false">"c7133"</definedName>
    <definedName function="false" hidden="false" name="IQ_ECO_METRIC_7134" vbProcedure="false">"c7134"</definedName>
    <definedName function="false" hidden="false" name="IQ_ECO_METRIC_7135" vbProcedure="false">"c7135"</definedName>
    <definedName function="false" hidden="false" name="IQ_ECO_METRIC_7136" vbProcedure="false">"c7136"</definedName>
    <definedName function="false" hidden="false" name="IQ_ECO_METRIC_7137" vbProcedure="false">"c7137"</definedName>
    <definedName function="false" hidden="false" name="IQ_ECO_METRIC_7138" vbProcedure="false">"c7138"</definedName>
    <definedName function="false" hidden="false" name="IQ_ECO_METRIC_7139" vbProcedure="false">"c7139"</definedName>
    <definedName function="false" hidden="false" name="IQ_ECO_METRIC_7140" vbProcedure="false">"c7140"</definedName>
    <definedName function="false" hidden="false" name="IQ_ECO_METRIC_7141" vbProcedure="false">"c7141"</definedName>
    <definedName function="false" hidden="false" name="IQ_ECO_METRIC_7142" vbProcedure="false">"c7142"</definedName>
    <definedName function="false" hidden="false" name="IQ_ECO_METRIC_7143" vbProcedure="false">"c7143"</definedName>
    <definedName function="false" hidden="false" name="IQ_ECO_METRIC_7144" vbProcedure="false">"c7144"</definedName>
    <definedName function="false" hidden="false" name="IQ_ECO_METRIC_7145" vbProcedure="false">"c7145"</definedName>
    <definedName function="false" hidden="false" name="IQ_ECO_METRIC_7146" vbProcedure="false">"c7146"</definedName>
    <definedName function="false" hidden="false" name="IQ_ECO_METRIC_7148" vbProcedure="false">"c7148"</definedName>
    <definedName function="false" hidden="false" name="IQ_ECO_METRIC_7149" vbProcedure="false">"c7149"</definedName>
    <definedName function="false" hidden="false" name="IQ_ECO_METRIC_7150" vbProcedure="false">"c7150"</definedName>
    <definedName function="false" hidden="false" name="IQ_ECO_METRIC_7151" vbProcedure="false">"c7151"</definedName>
    <definedName function="false" hidden="false" name="IQ_ECO_METRIC_7152" vbProcedure="false">"c7152"</definedName>
    <definedName function="false" hidden="false" name="IQ_ECO_METRIC_7153" vbProcedure="false">"c7153"</definedName>
    <definedName function="false" hidden="false" name="IQ_ECO_METRIC_7154" vbProcedure="false">"c7154"</definedName>
    <definedName function="false" hidden="false" name="IQ_ECO_METRIC_7155" vbProcedure="false">"c7155"</definedName>
    <definedName function="false" hidden="false" name="IQ_ECO_METRIC_7156" vbProcedure="false">"c7156"</definedName>
    <definedName function="false" hidden="false" name="IQ_ECO_METRIC_7157" vbProcedure="false">"c7157"</definedName>
    <definedName function="false" hidden="false" name="IQ_ECO_METRIC_7158" vbProcedure="false">"c7158"</definedName>
    <definedName function="false" hidden="false" name="IQ_ECO_METRIC_7159" vbProcedure="false">"c7159"</definedName>
    <definedName function="false" hidden="false" name="IQ_ECO_METRIC_7160" vbProcedure="false">"c7160"</definedName>
    <definedName function="false" hidden="false" name="IQ_ECO_METRIC_7161" vbProcedure="false">"c7161"</definedName>
    <definedName function="false" hidden="false" name="IQ_ECO_METRIC_7162" vbProcedure="false">"c7162"</definedName>
    <definedName function="false" hidden="false" name="IQ_ECO_METRIC_7163" vbProcedure="false">"c7163"</definedName>
    <definedName function="false" hidden="false" name="IQ_ECO_METRIC_7164" vbProcedure="false">"c7164"</definedName>
    <definedName function="false" hidden="false" name="IQ_ECO_METRIC_7165" vbProcedure="false">"c7165"</definedName>
    <definedName function="false" hidden="false" name="IQ_ECO_METRIC_7166" vbProcedure="false">"c7166"</definedName>
    <definedName function="false" hidden="false" name="IQ_ECO_METRIC_7167" vbProcedure="false">"c7167"</definedName>
    <definedName function="false" hidden="false" name="IQ_ECO_METRIC_7168" vbProcedure="false">"c7168"</definedName>
    <definedName function="false" hidden="false" name="IQ_ECO_METRIC_7169" vbProcedure="false">"c7169"</definedName>
    <definedName function="false" hidden="false" name="IQ_ECO_METRIC_7170" vbProcedure="false">"c7170"</definedName>
    <definedName function="false" hidden="false" name="IQ_ECO_METRIC_7171" vbProcedure="false">"c7171"</definedName>
    <definedName function="false" hidden="false" name="IQ_ECO_METRIC_7172" vbProcedure="false">"c7172"</definedName>
    <definedName function="false" hidden="false" name="IQ_ECO_METRIC_7173" vbProcedure="false">"c7173"</definedName>
    <definedName function="false" hidden="false" name="IQ_ECO_METRIC_7174" vbProcedure="false">"c7174"</definedName>
    <definedName function="false" hidden="false" name="IQ_ECO_METRIC_7175" vbProcedure="false">"c7175"</definedName>
    <definedName function="false" hidden="false" name="IQ_ECO_METRIC_7176" vbProcedure="false">"c7176"</definedName>
    <definedName function="false" hidden="false" name="IQ_ECO_METRIC_7177" vbProcedure="false">"c7177"</definedName>
    <definedName function="false" hidden="false" name="IQ_ECO_METRIC_7178" vbProcedure="false">"c7178"</definedName>
    <definedName function="false" hidden="false" name="IQ_ECO_METRIC_7179" vbProcedure="false">"c7179"</definedName>
    <definedName function="false" hidden="false" name="IQ_ECO_METRIC_7180" vbProcedure="false">"c7180"</definedName>
    <definedName function="false" hidden="false" name="IQ_ECO_METRIC_7182" vbProcedure="false">"c7182"</definedName>
    <definedName function="false" hidden="false" name="IQ_ECO_METRIC_7183" vbProcedure="false">"c7183"</definedName>
    <definedName function="false" hidden="false" name="IQ_ECO_METRIC_7184" vbProcedure="false">"c7184"</definedName>
    <definedName function="false" hidden="false" name="IQ_ECO_METRIC_7185" vbProcedure="false">"c7185"</definedName>
    <definedName function="false" hidden="false" name="IQ_ECO_METRIC_7186" vbProcedure="false">"c7186"</definedName>
    <definedName function="false" hidden="false" name="IQ_ECO_METRIC_7187" vbProcedure="false">"c7187"</definedName>
    <definedName function="false" hidden="false" name="IQ_ECO_METRIC_7188" vbProcedure="false">"c7188"</definedName>
    <definedName function="false" hidden="false" name="IQ_ECO_METRIC_7189" vbProcedure="false">"c7189"</definedName>
    <definedName function="false" hidden="false" name="IQ_ECO_METRIC_7190" vbProcedure="false">"c7190"</definedName>
    <definedName function="false" hidden="false" name="IQ_ECO_METRIC_7191" vbProcedure="false">"c7191"</definedName>
    <definedName function="false" hidden="false" name="IQ_ECO_METRIC_7192" vbProcedure="false">"c7192"</definedName>
    <definedName function="false" hidden="false" name="IQ_ECO_METRIC_7193" vbProcedure="false">"c7193"</definedName>
    <definedName function="false" hidden="false" name="IQ_ECO_METRIC_7194" vbProcedure="false">"c7194"</definedName>
    <definedName function="false" hidden="false" name="IQ_ECO_METRIC_7195" vbProcedure="false">"c7195"</definedName>
    <definedName function="false" hidden="false" name="IQ_ECO_METRIC_7196" vbProcedure="false">"c7196"</definedName>
    <definedName function="false" hidden="false" name="IQ_ECO_METRIC_7197" vbProcedure="false">"c7197"</definedName>
    <definedName function="false" hidden="false" name="IQ_ECO_METRIC_7198" vbProcedure="false">"c7198"</definedName>
    <definedName function="false" hidden="false" name="IQ_ECO_METRIC_7199" vbProcedure="false">"c7199"</definedName>
    <definedName function="false" hidden="false" name="IQ_ECO_METRIC_7200" vbProcedure="false">"c7200"</definedName>
    <definedName function="false" hidden="false" name="IQ_ECO_METRIC_7201" vbProcedure="false">"c7201"</definedName>
    <definedName function="false" hidden="false" name="IQ_ECO_METRIC_7202" vbProcedure="false">"c7202"</definedName>
    <definedName function="false" hidden="false" name="IQ_ECO_METRIC_7203" vbProcedure="false">"c7203"</definedName>
    <definedName function="false" hidden="false" name="IQ_ECO_METRIC_7204" vbProcedure="false">"c7204"</definedName>
    <definedName function="false" hidden="false" name="IQ_ECO_METRIC_7205" vbProcedure="false">"c7205"</definedName>
    <definedName function="false" hidden="false" name="IQ_ECO_METRIC_7206" vbProcedure="false">"c7206"</definedName>
    <definedName function="false" hidden="false" name="IQ_ECO_METRIC_7207" vbProcedure="false">"c7207"</definedName>
    <definedName function="false" hidden="false" name="IQ_ECO_METRIC_7208" vbProcedure="false">"c7208"</definedName>
    <definedName function="false" hidden="false" name="IQ_ECO_METRIC_7208_UNUSED_UNUSED_UNUSED" vbProcedure="false">"c7208"</definedName>
    <definedName function="false" hidden="false" name="IQ_ECO_METRIC_7209" vbProcedure="false">"c7209"</definedName>
    <definedName function="false" hidden="false" name="IQ_ECO_METRIC_7210" vbProcedure="false">"c7210"</definedName>
    <definedName function="false" hidden="false" name="IQ_ECO_METRIC_7211" vbProcedure="false">"c7211"</definedName>
    <definedName function="false" hidden="false" name="IQ_ECO_METRIC_7212" vbProcedure="false">"c7212"</definedName>
    <definedName function="false" hidden="false" name="IQ_ECO_METRIC_7213" vbProcedure="false">"c7213"</definedName>
    <definedName function="false" hidden="false" name="IQ_ECO_METRIC_7214" vbProcedure="false">"c7214"</definedName>
    <definedName function="false" hidden="false" name="IQ_ECO_METRIC_7215" vbProcedure="false">"c7215"</definedName>
    <definedName function="false" hidden="false" name="IQ_ECO_METRIC_7216" vbProcedure="false">"c7216"</definedName>
    <definedName function="false" hidden="false" name="IQ_ECO_METRIC_7217" vbProcedure="false">"c7217"</definedName>
    <definedName function="false" hidden="false" name="IQ_ECO_METRIC_7218" vbProcedure="false">"c7218"</definedName>
    <definedName function="false" hidden="false" name="IQ_ECO_METRIC_7220" vbProcedure="false">"c7220"</definedName>
    <definedName function="false" hidden="false" name="IQ_ECO_METRIC_7221" vbProcedure="false">"c7221"</definedName>
    <definedName function="false" hidden="false" name="IQ_ECO_METRIC_7222" vbProcedure="false">"c7222"</definedName>
    <definedName function="false" hidden="false" name="IQ_ECO_METRIC_7223" vbProcedure="false">"c7223"</definedName>
    <definedName function="false" hidden="false" name="IQ_ECO_METRIC_7224" vbProcedure="false">"c7224"</definedName>
    <definedName function="false" hidden="false" name="IQ_ECO_METRIC_7225" vbProcedure="false">"c7225"</definedName>
    <definedName function="false" hidden="false" name="IQ_ECO_METRIC_7226" vbProcedure="false">"c7226"</definedName>
    <definedName function="false" hidden="false" name="IQ_ECO_METRIC_7227" vbProcedure="false">"c7227"</definedName>
    <definedName function="false" hidden="false" name="IQ_ECO_METRIC_7228" vbProcedure="false">"c7228"</definedName>
    <definedName function="false" hidden="false" name="IQ_ECO_METRIC_7229" vbProcedure="false">"c7229"</definedName>
    <definedName function="false" hidden="false" name="IQ_ECO_METRIC_7230" vbProcedure="false">"c7230"</definedName>
    <definedName function="false" hidden="false" name="IQ_ECO_METRIC_7231" vbProcedure="false">"c7231"</definedName>
    <definedName function="false" hidden="false" name="IQ_ECO_METRIC_7232" vbProcedure="false">"c7232"</definedName>
    <definedName function="false" hidden="false" name="IQ_ECO_METRIC_7233" vbProcedure="false">"c7233"</definedName>
    <definedName function="false" hidden="false" name="IQ_ECO_METRIC_7235" vbProcedure="false">"c7235"</definedName>
    <definedName function="false" hidden="false" name="IQ_ECO_METRIC_7236" vbProcedure="false">"c7236"</definedName>
    <definedName function="false" hidden="false" name="IQ_ECO_METRIC_7237" vbProcedure="false">"c7237"</definedName>
    <definedName function="false" hidden="false" name="IQ_ECO_METRIC_7238" vbProcedure="false">"c7238"</definedName>
    <definedName function="false" hidden="false" name="IQ_ECO_METRIC_7239" vbProcedure="false">"c7239"</definedName>
    <definedName function="false" hidden="false" name="IQ_ECO_METRIC_7240" vbProcedure="false">"c7240"</definedName>
    <definedName function="false" hidden="false" name="IQ_ECO_METRIC_7241" vbProcedure="false">"c7241"</definedName>
    <definedName function="false" hidden="false" name="IQ_ECO_METRIC_7243" vbProcedure="false">"c7243"</definedName>
    <definedName function="false" hidden="false" name="IQ_ECO_METRIC_7244" vbProcedure="false">"c7244"</definedName>
    <definedName function="false" hidden="false" name="IQ_ECO_METRIC_7245" vbProcedure="false">"c7245"</definedName>
    <definedName function="false" hidden="false" name="IQ_ECO_METRIC_7246" vbProcedure="false">"c7246"</definedName>
    <definedName function="false" hidden="false" name="IQ_ECO_METRIC_7247" vbProcedure="false">"c7247"</definedName>
    <definedName function="false" hidden="false" name="IQ_ECO_METRIC_7248" vbProcedure="false">"c7248"</definedName>
    <definedName function="false" hidden="false" name="IQ_ECO_METRIC_7249" vbProcedure="false">"c7249"</definedName>
    <definedName function="false" hidden="false" name="IQ_ECO_METRIC_7250" vbProcedure="false">"c7250"</definedName>
    <definedName function="false" hidden="false" name="IQ_ECO_METRIC_7251" vbProcedure="false">"c7251"</definedName>
    <definedName function="false" hidden="false" name="IQ_ECO_METRIC_7252" vbProcedure="false">"c7252"</definedName>
    <definedName function="false" hidden="false" name="IQ_ECO_METRIC_7253" vbProcedure="false">"c7253"</definedName>
    <definedName function="false" hidden="false" name="IQ_ECO_METRIC_7254" vbProcedure="false">"c7254"</definedName>
    <definedName function="false" hidden="false" name="IQ_ECO_METRIC_7255" vbProcedure="false">"c7255"</definedName>
    <definedName function="false" hidden="false" name="IQ_ECO_METRIC_7256" vbProcedure="false">"c7256"</definedName>
    <definedName function="false" hidden="false" name="IQ_ECO_METRIC_7257" vbProcedure="false">"c7257"</definedName>
    <definedName function="false" hidden="false" name="IQ_ECO_METRIC_7258" vbProcedure="false">"c7258"</definedName>
    <definedName function="false" hidden="false" name="IQ_ECO_METRIC_7259" vbProcedure="false">"c7259"</definedName>
    <definedName function="false" hidden="false" name="IQ_ECO_METRIC_7260" vbProcedure="false">"c7260"</definedName>
    <definedName function="false" hidden="false" name="IQ_ECO_METRIC_7261" vbProcedure="false">"c7261"</definedName>
    <definedName function="false" hidden="false" name="IQ_ECO_METRIC_7262" vbProcedure="false">"c7262"</definedName>
    <definedName function="false" hidden="false" name="IQ_ECO_METRIC_7263" vbProcedure="false">"c7263"</definedName>
    <definedName function="false" hidden="false" name="IQ_ECO_METRIC_7264" vbProcedure="false">"c7264"</definedName>
    <definedName function="false" hidden="false" name="IQ_ECO_METRIC_7265" vbProcedure="false">"c7265"</definedName>
    <definedName function="false" hidden="false" name="IQ_ECO_METRIC_7265_UNUSED_UNUSED_UNUSED" vbProcedure="false">"c7265"</definedName>
    <definedName function="false" hidden="false" name="IQ_ECO_METRIC_7266" vbProcedure="false">"c7266"</definedName>
    <definedName function="false" hidden="false" name="IQ_ECO_METRIC_7267" vbProcedure="false">"c7267"</definedName>
    <definedName function="false" hidden="false" name="IQ_ECO_METRIC_7268" vbProcedure="false">"c7268"</definedName>
    <definedName function="false" hidden="false" name="IQ_ECO_METRIC_7269" vbProcedure="false">"c7269"</definedName>
    <definedName function="false" hidden="false" name="IQ_ECO_METRIC_7270" vbProcedure="false">"c7270"</definedName>
    <definedName function="false" hidden="false" name="IQ_ECO_METRIC_7272" vbProcedure="false">"c7272"</definedName>
    <definedName function="false" hidden="false" name="IQ_ECO_METRIC_7273" vbProcedure="false">"c7273"</definedName>
    <definedName function="false" hidden="false" name="IQ_ECO_METRIC_7274" vbProcedure="false">"c7274"</definedName>
    <definedName function="false" hidden="false" name="IQ_ECO_METRIC_7275" vbProcedure="false">"c7275"</definedName>
    <definedName function="false" hidden="false" name="IQ_ECO_METRIC_7276" vbProcedure="false">"c7276"</definedName>
    <definedName function="false" hidden="false" name="IQ_ECO_METRIC_7277" vbProcedure="false">"c7277"</definedName>
    <definedName function="false" hidden="false" name="IQ_ECO_METRIC_7278" vbProcedure="false">"c7278"</definedName>
    <definedName function="false" hidden="false" name="IQ_ECO_METRIC_7279" vbProcedure="false">"c7279"</definedName>
    <definedName function="false" hidden="false" name="IQ_ECO_METRIC_7279_UNUSED_UNUSED_UNUSED" vbProcedure="false">"c7279"</definedName>
    <definedName function="false" hidden="false" name="IQ_ECO_METRIC_7280" vbProcedure="false">"c7280"</definedName>
    <definedName function="false" hidden="false" name="IQ_ECO_METRIC_7281" vbProcedure="false">"c7281"</definedName>
    <definedName function="false" hidden="false" name="IQ_ECO_METRIC_7282" vbProcedure="false">"c7282"</definedName>
    <definedName function="false" hidden="false" name="IQ_ECO_METRIC_7283" vbProcedure="false">"c7283"</definedName>
    <definedName function="false" hidden="false" name="IQ_ECO_METRIC_7284" vbProcedure="false">"c7284"</definedName>
    <definedName function="false" hidden="false" name="IQ_ECO_METRIC_7285" vbProcedure="false">"c7285"</definedName>
    <definedName function="false" hidden="false" name="IQ_ECO_METRIC_7286" vbProcedure="false">"c7286"</definedName>
    <definedName function="false" hidden="false" name="IQ_ECO_METRIC_7287" vbProcedure="false">"c7287"</definedName>
    <definedName function="false" hidden="false" name="IQ_ECO_METRIC_7288" vbProcedure="false">"c7288"</definedName>
    <definedName function="false" hidden="false" name="IQ_ECO_METRIC_7289" vbProcedure="false">"c7289"</definedName>
    <definedName function="false" hidden="false" name="IQ_ECO_METRIC_7290" vbProcedure="false">"c7290"</definedName>
    <definedName function="false" hidden="false" name="IQ_ECO_METRIC_7291" vbProcedure="false">"c7291"</definedName>
    <definedName function="false" hidden="false" name="IQ_ECO_METRIC_7292" vbProcedure="false">"c7292"</definedName>
    <definedName function="false" hidden="false" name="IQ_ECO_METRIC_7293" vbProcedure="false">"c7293"</definedName>
    <definedName function="false" hidden="false" name="IQ_ECO_METRIC_7294" vbProcedure="false">"c7294"</definedName>
    <definedName function="false" hidden="false" name="IQ_ECO_METRIC_7295" vbProcedure="false">"c7295"</definedName>
    <definedName function="false" hidden="false" name="IQ_ECO_METRIC_7296" vbProcedure="false">"c7296"</definedName>
    <definedName function="false" hidden="false" name="IQ_ECO_METRIC_7297" vbProcedure="false">"c7297"</definedName>
    <definedName function="false" hidden="false" name="IQ_ECO_METRIC_7298" vbProcedure="false">"c7298"</definedName>
    <definedName function="false" hidden="false" name="IQ_ECO_METRIC_7299" vbProcedure="false">"c7299"</definedName>
    <definedName function="false" hidden="false" name="IQ_ECO_METRIC_7300" vbProcedure="false">"c7300"</definedName>
    <definedName function="false" hidden="false" name="IQ_ECO_METRIC_7301" vbProcedure="false">"c7301"</definedName>
    <definedName function="false" hidden="false" name="IQ_ECO_METRIC_7302" vbProcedure="false">"c7302"</definedName>
    <definedName function="false" hidden="false" name="IQ_ECO_METRIC_7303" vbProcedure="false">"c7303"</definedName>
    <definedName function="false" hidden="false" name="IQ_ECO_METRIC_7304" vbProcedure="false">"c7304"</definedName>
    <definedName function="false" hidden="false" name="IQ_ECO_METRIC_7305" vbProcedure="false">"c7305"</definedName>
    <definedName function="false" hidden="false" name="IQ_ECO_METRIC_7306" vbProcedure="false">"c7306"</definedName>
    <definedName function="false" hidden="false" name="IQ_ECO_METRIC_7307" vbProcedure="false">"c7307"</definedName>
    <definedName function="false" hidden="false" name="IQ_ECO_METRIC_7308" vbProcedure="false">"c7308"</definedName>
    <definedName function="false" hidden="false" name="IQ_ECO_METRIC_7309" vbProcedure="false">"c7309"</definedName>
    <definedName function="false" hidden="false" name="IQ_ECO_METRIC_7310" vbProcedure="false">"c7310"</definedName>
    <definedName function="false" hidden="false" name="IQ_ECO_METRIC_7311" vbProcedure="false">"c7311"</definedName>
    <definedName function="false" hidden="false" name="IQ_ECO_METRIC_7312" vbProcedure="false">"c7312"</definedName>
    <definedName function="false" hidden="false" name="IQ_ECO_METRIC_7313" vbProcedure="false">"c7313"</definedName>
    <definedName function="false" hidden="false" name="IQ_ECO_METRIC_7314" vbProcedure="false">"c7314"</definedName>
    <definedName function="false" hidden="false" name="IQ_ECO_METRIC_7315" vbProcedure="false">"c7315"</definedName>
    <definedName function="false" hidden="false" name="IQ_ECO_METRIC_7316" vbProcedure="false">"c7316"</definedName>
    <definedName function="false" hidden="false" name="IQ_ECO_METRIC_7317" vbProcedure="false">"c7317"</definedName>
    <definedName function="false" hidden="false" name="IQ_ECO_METRIC_7318" vbProcedure="false">"c7318"</definedName>
    <definedName function="false" hidden="false" name="IQ_ECO_METRIC_7319" vbProcedure="false">"c7319"</definedName>
    <definedName function="false" hidden="false" name="IQ_ECO_METRIC_7320" vbProcedure="false">"c7320"</definedName>
    <definedName function="false" hidden="false" name="IQ_ECO_METRIC_7321" vbProcedure="false">"c7321"</definedName>
    <definedName function="false" hidden="false" name="IQ_ECO_METRIC_7322" vbProcedure="false">"c7322"</definedName>
    <definedName function="false" hidden="false" name="IQ_ECO_METRIC_7323" vbProcedure="false">"c7323"</definedName>
    <definedName function="false" hidden="false" name="IQ_ECO_METRIC_7324" vbProcedure="false">"c7324"</definedName>
    <definedName function="false" hidden="false" name="IQ_ECO_METRIC_7325" vbProcedure="false">"c7325"</definedName>
    <definedName function="false" hidden="false" name="IQ_ECO_METRIC_7326" vbProcedure="false">"c7326"</definedName>
    <definedName function="false" hidden="false" name="IQ_ECO_METRIC_7327" vbProcedure="false">"c7327"</definedName>
    <definedName function="false" hidden="false" name="IQ_ECO_METRIC_7328" vbProcedure="false">"c7328"</definedName>
    <definedName function="false" hidden="false" name="IQ_ECO_METRIC_7329" vbProcedure="false">"c7329"</definedName>
    <definedName function="false" hidden="false" name="IQ_ECO_METRIC_7330" vbProcedure="false">"c7330"</definedName>
    <definedName function="false" hidden="false" name="IQ_ECO_METRIC_7331" vbProcedure="false">"c7331"</definedName>
    <definedName function="false" hidden="false" name="IQ_ECO_METRIC_7332" vbProcedure="false">"c7332"</definedName>
    <definedName function="false" hidden="false" name="IQ_ECO_METRIC_7333" vbProcedure="false">"c7333"</definedName>
    <definedName function="false" hidden="false" name="IQ_ECO_METRIC_7334" vbProcedure="false">"c7334"</definedName>
    <definedName function="false" hidden="false" name="IQ_ECO_METRIC_7335" vbProcedure="false">"c7335"</definedName>
    <definedName function="false" hidden="false" name="IQ_ECO_METRIC_7336" vbProcedure="false">"c7336"</definedName>
    <definedName function="false" hidden="false" name="IQ_ECO_METRIC_7336_UNUSED_UNUSED_UNUSED" vbProcedure="false">"c7336"</definedName>
    <definedName function="false" hidden="false" name="IQ_ECO_METRIC_7337" vbProcedure="false">"c7337"</definedName>
    <definedName function="false" hidden="false" name="IQ_ECO_METRIC_7337_UNUSED_UNUSED_UNUSED" vbProcedure="false">"c7337"</definedName>
    <definedName function="false" hidden="false" name="IQ_ECO_METRIC_7339" vbProcedure="false">"c7339"</definedName>
    <definedName function="false" hidden="false" name="IQ_ECO_METRIC_7341" vbProcedure="false">"c7341"</definedName>
    <definedName function="false" hidden="false" name="IQ_ECO_METRIC_7342" vbProcedure="false">"c7342"</definedName>
    <definedName function="false" hidden="false" name="IQ_ECO_METRIC_7343" vbProcedure="false">"c7343"</definedName>
    <definedName function="false" hidden="false" name="IQ_ECO_METRIC_7344" vbProcedure="false">"c7344"</definedName>
    <definedName function="false" hidden="false" name="IQ_ECO_METRIC_7345" vbProcedure="false">"c7345"</definedName>
    <definedName function="false" hidden="false" name="IQ_ECO_METRIC_7346" vbProcedure="false">"c7346"</definedName>
    <definedName function="false" hidden="false" name="IQ_ECO_METRIC_7347" vbProcedure="false">"c7347"</definedName>
    <definedName function="false" hidden="false" name="IQ_ECO_METRIC_7348" vbProcedure="false">"c7348"</definedName>
    <definedName function="false" hidden="false" name="IQ_ECO_METRIC_7349" vbProcedure="false">"c7349"</definedName>
    <definedName function="false" hidden="false" name="IQ_ECO_METRIC_7350" vbProcedure="false">"c7350"</definedName>
    <definedName function="false" hidden="false" name="IQ_ECO_METRIC_7351" vbProcedure="false">"c7351"</definedName>
    <definedName function="false" hidden="false" name="IQ_ECO_METRIC_7352" vbProcedure="false">"c7352"</definedName>
    <definedName function="false" hidden="false" name="IQ_ECO_METRIC_7353" vbProcedure="false">"c7353"</definedName>
    <definedName function="false" hidden="false" name="IQ_ECO_METRIC_7354" vbProcedure="false">"c7354"</definedName>
    <definedName function="false" hidden="false" name="IQ_ECO_METRIC_7355" vbProcedure="false">"c7355"</definedName>
    <definedName function="false" hidden="false" name="IQ_ECO_METRIC_7356" vbProcedure="false">"c7356"</definedName>
    <definedName function="false" hidden="false" name="IQ_ECO_METRIC_7357" vbProcedure="false">"c7357"</definedName>
    <definedName function="false" hidden="false" name="IQ_ECO_METRIC_7358" vbProcedure="false">"c7358"</definedName>
    <definedName function="false" hidden="false" name="IQ_ECO_METRIC_7359" vbProcedure="false">"c7359"</definedName>
    <definedName function="false" hidden="false" name="IQ_ECO_METRIC_7360" vbProcedure="false">"c7360"</definedName>
    <definedName function="false" hidden="false" name="IQ_ECO_METRIC_7361" vbProcedure="false">"c7361"</definedName>
    <definedName function="false" hidden="false" name="IQ_ECO_METRIC_7362" vbProcedure="false">"c7362"</definedName>
    <definedName function="false" hidden="false" name="IQ_ECO_METRIC_7363" vbProcedure="false">"c7363"</definedName>
    <definedName function="false" hidden="false" name="IQ_ECO_METRIC_7364" vbProcedure="false">"c7364"</definedName>
    <definedName function="false" hidden="false" name="IQ_ECO_METRIC_7365" vbProcedure="false">"c7365"</definedName>
    <definedName function="false" hidden="false" name="IQ_ECO_METRIC_7366" vbProcedure="false">"c7366"</definedName>
    <definedName function="false" hidden="false" name="IQ_ECO_METRIC_7368" vbProcedure="false">"c7368"</definedName>
    <definedName function="false" hidden="false" name="IQ_ECO_METRIC_7369" vbProcedure="false">"c7369"</definedName>
    <definedName function="false" hidden="false" name="IQ_ECO_METRIC_7370" vbProcedure="false">"c7370"</definedName>
    <definedName function="false" hidden="false" name="IQ_ECO_METRIC_7371" vbProcedure="false">"c7371"</definedName>
    <definedName function="false" hidden="false" name="IQ_ECO_METRIC_7372" vbProcedure="false">"c7372"</definedName>
    <definedName function="false" hidden="false" name="IQ_ECO_METRIC_7373" vbProcedure="false">"c7373"</definedName>
    <definedName function="false" hidden="false" name="IQ_ECO_METRIC_7374" vbProcedure="false">"c7374"</definedName>
    <definedName function="false" hidden="false" name="IQ_ECO_METRIC_7375" vbProcedure="false">"c7375"</definedName>
    <definedName function="false" hidden="false" name="IQ_ECO_METRIC_7376" vbProcedure="false">"c7376"</definedName>
    <definedName function="false" hidden="false" name="IQ_ECO_METRIC_7377" vbProcedure="false">"c7377"</definedName>
    <definedName function="false" hidden="false" name="IQ_ECO_METRIC_7378" vbProcedure="false">"c7378"</definedName>
    <definedName function="false" hidden="false" name="IQ_ECO_METRIC_7379" vbProcedure="false">"c7379"</definedName>
    <definedName function="false" hidden="false" name="IQ_ECO_METRIC_7380" vbProcedure="false">"c7380"</definedName>
    <definedName function="false" hidden="false" name="IQ_ECO_METRIC_7381" vbProcedure="false">"c7381"</definedName>
    <definedName function="false" hidden="false" name="IQ_ECO_METRIC_7382" vbProcedure="false">"c7382"</definedName>
    <definedName function="false" hidden="false" name="IQ_ECO_METRIC_7383" vbProcedure="false">"c7383"</definedName>
    <definedName function="false" hidden="false" name="IQ_ECO_METRIC_7384" vbProcedure="false">"c7384"</definedName>
    <definedName function="false" hidden="false" name="IQ_ECO_METRIC_7385" vbProcedure="false">"c7385"</definedName>
    <definedName function="false" hidden="false" name="IQ_ECO_METRIC_7386" vbProcedure="false">"c7386"</definedName>
    <definedName function="false" hidden="false" name="IQ_ECO_METRIC_7387" vbProcedure="false">"c7387"</definedName>
    <definedName function="false" hidden="false" name="IQ_ECO_METRIC_7388" vbProcedure="false">"c7388"</definedName>
    <definedName function="false" hidden="false" name="IQ_ECO_METRIC_7389" vbProcedure="false">"c7389"</definedName>
    <definedName function="false" hidden="false" name="IQ_ECO_METRIC_7390" vbProcedure="false">"c7390"</definedName>
    <definedName function="false" hidden="false" name="IQ_ECO_METRIC_7391" vbProcedure="false">"c7391"</definedName>
    <definedName function="false" hidden="false" name="IQ_ECO_METRIC_7392" vbProcedure="false">"c7392"</definedName>
    <definedName function="false" hidden="false" name="IQ_ECO_METRIC_7393" vbProcedure="false">"c7393"</definedName>
    <definedName function="false" hidden="false" name="IQ_ECO_METRIC_7394" vbProcedure="false">"c7394"</definedName>
    <definedName function="false" hidden="false" name="IQ_ECO_METRIC_7395" vbProcedure="false">"c7395"</definedName>
    <definedName function="false" hidden="false" name="IQ_ECO_METRIC_7396" vbProcedure="false">"c7396"</definedName>
    <definedName function="false" hidden="false" name="IQ_ECO_METRIC_7397" vbProcedure="false">"c7397"</definedName>
    <definedName function="false" hidden="false" name="IQ_ECO_METRIC_7398" vbProcedure="false">"c7398"</definedName>
    <definedName function="false" hidden="false" name="IQ_ECO_METRIC_7399" vbProcedure="false">"c7399"</definedName>
    <definedName function="false" hidden="false" name="IQ_ECO_METRIC_7400" vbProcedure="false">"c7400"</definedName>
    <definedName function="false" hidden="false" name="IQ_ECO_METRIC_7402" vbProcedure="false">"c7402"</definedName>
    <definedName function="false" hidden="false" name="IQ_ECO_METRIC_7403" vbProcedure="false">"c7403"</definedName>
    <definedName function="false" hidden="false" name="IQ_ECO_METRIC_7404" vbProcedure="false">"c7404"</definedName>
    <definedName function="false" hidden="false" name="IQ_ECO_METRIC_7405" vbProcedure="false">"c7405"</definedName>
    <definedName function="false" hidden="false" name="IQ_ECO_METRIC_7406" vbProcedure="false">"c7406"</definedName>
    <definedName function="false" hidden="false" name="IQ_ECO_METRIC_7407" vbProcedure="false">"c7407"</definedName>
    <definedName function="false" hidden="false" name="IQ_ECO_METRIC_7408" vbProcedure="false">"c7408"</definedName>
    <definedName function="false" hidden="false" name="IQ_ECO_METRIC_7409" vbProcedure="false">"c7409"</definedName>
    <definedName function="false" hidden="false" name="IQ_ECO_METRIC_7410" vbProcedure="false">"c7410"</definedName>
    <definedName function="false" hidden="false" name="IQ_ECO_METRIC_7411" vbProcedure="false">"c7411"</definedName>
    <definedName function="false" hidden="false" name="IQ_ECO_METRIC_7412" vbProcedure="false">"c7412"</definedName>
    <definedName function="false" hidden="false" name="IQ_ECO_METRIC_7413" vbProcedure="false">"c7413"</definedName>
    <definedName function="false" hidden="false" name="IQ_ECO_METRIC_7414" vbProcedure="false">"c7414"</definedName>
    <definedName function="false" hidden="false" name="IQ_ECO_METRIC_7415" vbProcedure="false">"c7415"</definedName>
    <definedName function="false" hidden="false" name="IQ_ECO_METRIC_7416" vbProcedure="false">"c7416"</definedName>
    <definedName function="false" hidden="false" name="IQ_ECO_METRIC_7417" vbProcedure="false">"c7417"</definedName>
    <definedName function="false" hidden="false" name="IQ_ECO_METRIC_7418" vbProcedure="false">"c7418"</definedName>
    <definedName function="false" hidden="false" name="IQ_ECO_METRIC_7419" vbProcedure="false">"c7419"</definedName>
    <definedName function="false" hidden="false" name="IQ_ECO_METRIC_7420" vbProcedure="false">"c7420"</definedName>
    <definedName function="false" hidden="false" name="IQ_ECO_METRIC_7421" vbProcedure="false">"c7421"</definedName>
    <definedName function="false" hidden="false" name="IQ_ECO_METRIC_7422" vbProcedure="false">"c7422"</definedName>
    <definedName function="false" hidden="false" name="IQ_ECO_METRIC_7423" vbProcedure="false">"c7423"</definedName>
    <definedName function="false" hidden="false" name="IQ_ECO_METRIC_7424" vbProcedure="false">"c7424"</definedName>
    <definedName function="false" hidden="false" name="IQ_ECO_METRIC_7425" vbProcedure="false">"c7425"</definedName>
    <definedName function="false" hidden="false" name="IQ_ECO_METRIC_7426" vbProcedure="false">"c7426"</definedName>
    <definedName function="false" hidden="false" name="IQ_ECO_METRIC_7427" vbProcedure="false">"c7427"</definedName>
    <definedName function="false" hidden="false" name="IQ_ECO_METRIC_7428" vbProcedure="false">"c7428"</definedName>
    <definedName function="false" hidden="false" name="IQ_ECO_METRIC_7428_UNUSED_UNUSED_UNUSED" vbProcedure="false">"c7428"</definedName>
    <definedName function="false" hidden="false" name="IQ_ECO_METRIC_7429" vbProcedure="false">"c7429"</definedName>
    <definedName function="false" hidden="false" name="IQ_ECO_METRIC_7430" vbProcedure="false">"c7430"</definedName>
    <definedName function="false" hidden="false" name="IQ_ECO_METRIC_7431" vbProcedure="false">"c7431"</definedName>
    <definedName function="false" hidden="false" name="IQ_ECO_METRIC_7432" vbProcedure="false">"c7432"</definedName>
    <definedName function="false" hidden="false" name="IQ_ECO_METRIC_7433" vbProcedure="false">"c7433"</definedName>
    <definedName function="false" hidden="false" name="IQ_ECO_METRIC_7434" vbProcedure="false">"c7434"</definedName>
    <definedName function="false" hidden="false" name="IQ_ECO_METRIC_7435" vbProcedure="false">"c7435"</definedName>
    <definedName function="false" hidden="false" name="IQ_ECO_METRIC_7436" vbProcedure="false">"c7436"</definedName>
    <definedName function="false" hidden="false" name="IQ_ECO_METRIC_7437" vbProcedure="false">"c7437"</definedName>
    <definedName function="false" hidden="false" name="IQ_ECO_METRIC_7438" vbProcedure="false">"c7438"</definedName>
    <definedName function="false" hidden="false" name="IQ_ECO_METRIC_7440" vbProcedure="false">"c7440"</definedName>
    <definedName function="false" hidden="false" name="IQ_ECO_METRIC_7441" vbProcedure="false">"c7441"</definedName>
    <definedName function="false" hidden="false" name="IQ_ECO_METRIC_7442" vbProcedure="false">"c7442"</definedName>
    <definedName function="false" hidden="false" name="IQ_ECO_METRIC_7443" vbProcedure="false">"c7443"</definedName>
    <definedName function="false" hidden="false" name="IQ_ECO_METRIC_7444" vbProcedure="false">"c7444"</definedName>
    <definedName function="false" hidden="false" name="IQ_ECO_METRIC_7445" vbProcedure="false">"c7445"</definedName>
    <definedName function="false" hidden="false" name="IQ_ECO_METRIC_7446" vbProcedure="false">"c7446"</definedName>
    <definedName function="false" hidden="false" name="IQ_ECO_METRIC_7447" vbProcedure="false">"c7447"</definedName>
    <definedName function="false" hidden="false" name="IQ_ECO_METRIC_7448" vbProcedure="false">"c7448"</definedName>
    <definedName function="false" hidden="false" name="IQ_ECO_METRIC_7449" vbProcedure="false">"c7449"</definedName>
    <definedName function="false" hidden="false" name="IQ_ECO_METRIC_7450" vbProcedure="false">"c7450"</definedName>
    <definedName function="false" hidden="false" name="IQ_ECO_METRIC_7451" vbProcedure="false">"c7451"</definedName>
    <definedName function="false" hidden="false" name="IQ_ECO_METRIC_7452" vbProcedure="false">"c7452"</definedName>
    <definedName function="false" hidden="false" name="IQ_ECO_METRIC_7453" vbProcedure="false">"c7453"</definedName>
    <definedName function="false" hidden="false" name="IQ_ECO_METRIC_7455" vbProcedure="false">"c7455"</definedName>
    <definedName function="false" hidden="false" name="IQ_ECO_METRIC_7456" vbProcedure="false">"c7456"</definedName>
    <definedName function="false" hidden="false" name="IQ_ECO_METRIC_7457" vbProcedure="false">"c7457"</definedName>
    <definedName function="false" hidden="false" name="IQ_ECO_METRIC_7458" vbProcedure="false">"c7458"</definedName>
    <definedName function="false" hidden="false" name="IQ_ECO_METRIC_7459" vbProcedure="false">"c7459"</definedName>
    <definedName function="false" hidden="false" name="IQ_ECO_METRIC_7460" vbProcedure="false">"c7460"</definedName>
    <definedName function="false" hidden="false" name="IQ_ECO_METRIC_7461" vbProcedure="false">"c7461"</definedName>
    <definedName function="false" hidden="false" name="IQ_ECO_METRIC_7463" vbProcedure="false">"c7463"</definedName>
    <definedName function="false" hidden="false" name="IQ_ECO_METRIC_7464" vbProcedure="false">"c7464"</definedName>
    <definedName function="false" hidden="false" name="IQ_ECO_METRIC_7465" vbProcedure="false">"c7465"</definedName>
    <definedName function="false" hidden="false" name="IQ_ECO_METRIC_7466" vbProcedure="false">"c7466"</definedName>
    <definedName function="false" hidden="false" name="IQ_ECO_METRIC_7467" vbProcedure="false">"c7467"</definedName>
    <definedName function="false" hidden="false" name="IQ_ECO_METRIC_7468" vbProcedure="false">"c7468"</definedName>
    <definedName function="false" hidden="false" name="IQ_ECO_METRIC_7469" vbProcedure="false">"c7469"</definedName>
    <definedName function="false" hidden="false" name="IQ_ECO_METRIC_7470" vbProcedure="false">"c7470"</definedName>
    <definedName function="false" hidden="false" name="IQ_ECO_METRIC_7472" vbProcedure="false">"c7472"</definedName>
    <definedName function="false" hidden="false" name="IQ_ECO_METRIC_7473" vbProcedure="false">"c7473"</definedName>
    <definedName function="false" hidden="false" name="IQ_ECO_METRIC_7474" vbProcedure="false">"c7474"</definedName>
    <definedName function="false" hidden="false" name="IQ_ECO_METRIC_7475" vbProcedure="false">"c7475"</definedName>
    <definedName function="false" hidden="false" name="IQ_ECO_METRIC_7476" vbProcedure="false">"c7476"</definedName>
    <definedName function="false" hidden="false" name="IQ_ECO_METRIC_7477" vbProcedure="false">"c7477"</definedName>
    <definedName function="false" hidden="false" name="IQ_ECO_METRIC_7478" vbProcedure="false">"c7478"</definedName>
    <definedName function="false" hidden="false" name="IQ_ECO_METRIC_7479" vbProcedure="false">"c7479"</definedName>
    <definedName function="false" hidden="false" name="IQ_ECO_METRIC_7480" vbProcedure="false">"c7480"</definedName>
    <definedName function="false" hidden="false" name="IQ_ECO_METRIC_7481" vbProcedure="false">"c7481"</definedName>
    <definedName function="false" hidden="false" name="IQ_ECO_METRIC_7482" vbProcedure="false">"c7482"</definedName>
    <definedName function="false" hidden="false" name="IQ_ECO_METRIC_7483" vbProcedure="false">"c7483"</definedName>
    <definedName function="false" hidden="false" name="IQ_ECO_METRIC_7486" vbProcedure="false">"c7486"</definedName>
    <definedName function="false" hidden="false" name="IQ_ECO_METRIC_7487" vbProcedure="false">"c7487"</definedName>
    <definedName function="false" hidden="false" name="IQ_ECO_METRIC_7488" vbProcedure="false">"c7488"</definedName>
    <definedName function="false" hidden="false" name="IQ_ECO_METRIC_7489" vbProcedure="false">"c7489"</definedName>
    <definedName function="false" hidden="false" name="IQ_ECO_METRIC_7490" vbProcedure="false">"c7490"</definedName>
    <definedName function="false" hidden="false" name="IQ_ECO_METRIC_7491" vbProcedure="false">"c7491"</definedName>
    <definedName function="false" hidden="false" name="IQ_ECO_METRIC_7492" vbProcedure="false">"c7492"</definedName>
    <definedName function="false" hidden="false" name="IQ_ECO_METRIC_7493" vbProcedure="false">"c7493"</definedName>
    <definedName function="false" hidden="false" name="IQ_ECO_METRIC_7494" vbProcedure="false">"c7494"</definedName>
    <definedName function="false" hidden="false" name="IQ_ECO_METRIC_7495" vbProcedure="false">"c7495"</definedName>
    <definedName function="false" hidden="false" name="IQ_ECO_METRIC_7496" vbProcedure="false">"c7496"</definedName>
    <definedName function="false" hidden="false" name="IQ_ECO_METRIC_7497" vbProcedure="false">"c7497"</definedName>
    <definedName function="false" hidden="false" name="IQ_ECO_METRIC_7498" vbProcedure="false">"c7498"</definedName>
    <definedName function="false" hidden="false" name="IQ_ECO_METRIC_7500" vbProcedure="false">"c7500"</definedName>
    <definedName function="false" hidden="false" name="IQ_ECO_METRIC_7501" vbProcedure="false">"c7501"</definedName>
    <definedName function="false" hidden="false" name="IQ_ECO_METRIC_7502" vbProcedure="false">"c7502"</definedName>
    <definedName function="false" hidden="false" name="IQ_ECO_METRIC_7503" vbProcedure="false">"c7503"</definedName>
    <definedName function="false" hidden="false" name="IQ_ECO_METRIC_7504" vbProcedure="false">"c7504"</definedName>
    <definedName function="false" hidden="false" name="IQ_ECO_METRIC_7505" vbProcedure="false">"c7505"</definedName>
    <definedName function="false" hidden="false" name="IQ_ECO_METRIC_7507" vbProcedure="false">"c7507"</definedName>
    <definedName function="false" hidden="false" name="IQ_ECO_METRIC_7508" vbProcedure="false">"c7508"</definedName>
    <definedName function="false" hidden="false" name="IQ_ECO_METRIC_7509" vbProcedure="false">"c7509"</definedName>
    <definedName function="false" hidden="false" name="IQ_ECO_METRIC_7510" vbProcedure="false">"c7510"</definedName>
    <definedName function="false" hidden="false" name="IQ_ECO_METRIC_7511" vbProcedure="false">"c7511"</definedName>
    <definedName function="false" hidden="false" name="IQ_ECO_METRIC_7512" vbProcedure="false">"c7512"</definedName>
    <definedName function="false" hidden="false" name="IQ_ECO_METRIC_7513" vbProcedure="false">"c7513"</definedName>
    <definedName function="false" hidden="false" name="IQ_ECO_METRIC_7514" vbProcedure="false">"c7514"</definedName>
    <definedName function="false" hidden="false" name="IQ_ECO_METRIC_7515" vbProcedure="false">"c7515"</definedName>
    <definedName function="false" hidden="false" name="IQ_ECO_METRIC_7516" vbProcedure="false">"c7516"</definedName>
    <definedName function="false" hidden="false" name="IQ_ECO_METRIC_7517" vbProcedure="false">"c7517"</definedName>
    <definedName function="false" hidden="false" name="IQ_ECO_METRIC_7518" vbProcedure="false">"c7518"</definedName>
    <definedName function="false" hidden="false" name="IQ_ECO_METRIC_7519" vbProcedure="false">"c7519"</definedName>
    <definedName function="false" hidden="false" name="IQ_ECO_METRIC_7520" vbProcedure="false">"c7520"</definedName>
    <definedName function="false" hidden="false" name="IQ_ECO_METRIC_7521" vbProcedure="false">"c7521"</definedName>
    <definedName function="false" hidden="false" name="IQ_ECO_METRIC_7522" vbProcedure="false">"c7522"</definedName>
    <definedName function="false" hidden="false" name="IQ_ECO_METRIC_7523" vbProcedure="false">"c7523"</definedName>
    <definedName function="false" hidden="false" name="IQ_ECO_METRIC_7524" vbProcedure="false">"c7524"</definedName>
    <definedName function="false" hidden="false" name="IQ_ECO_METRIC_7525" vbProcedure="false">"c7525"</definedName>
    <definedName function="false" hidden="false" name="IQ_ECO_METRIC_7526" vbProcedure="false">"c7526"</definedName>
    <definedName function="false" hidden="false" name="IQ_ECO_METRIC_7527" vbProcedure="false">"c7527"</definedName>
    <definedName function="false" hidden="false" name="IQ_ECO_METRIC_7528" vbProcedure="false">"c7528"</definedName>
    <definedName function="false" hidden="false" name="IQ_ECO_METRIC_7529" vbProcedure="false">"c7529"</definedName>
    <definedName function="false" hidden="false" name="IQ_ECO_METRIC_7530" vbProcedure="false">"c7530"</definedName>
    <definedName function="false" hidden="false" name="IQ_ECO_METRIC_7531" vbProcedure="false">"c7531"</definedName>
    <definedName function="false" hidden="false" name="IQ_ECO_METRIC_7532" vbProcedure="false">"c7532"</definedName>
    <definedName function="false" hidden="false" name="IQ_ECO_METRIC_7533" vbProcedure="false">"c7533"</definedName>
    <definedName function="false" hidden="false" name="IQ_ECO_METRIC_7534" vbProcedure="false">"c7534"</definedName>
    <definedName function="false" hidden="false" name="IQ_ECO_METRIC_7535" vbProcedure="false">"c7535"</definedName>
    <definedName function="false" hidden="false" name="IQ_ECO_METRIC_7536" vbProcedure="false">"c7536"</definedName>
    <definedName function="false" hidden="false" name="IQ_ECO_METRIC_7537" vbProcedure="false">"c7537"</definedName>
    <definedName function="false" hidden="false" name="IQ_ECO_METRIC_7538" vbProcedure="false">"c7538"</definedName>
    <definedName function="false" hidden="false" name="IQ_ECO_METRIC_7539" vbProcedure="false">"c7539"</definedName>
    <definedName function="false" hidden="false" name="IQ_ECO_METRIC_7540" vbProcedure="false">"c7540"</definedName>
    <definedName function="false" hidden="false" name="IQ_ECO_METRIC_7541" vbProcedure="false">"c7541"</definedName>
    <definedName function="false" hidden="false" name="IQ_ECO_METRIC_7542" vbProcedure="false">"c7542"</definedName>
    <definedName function="false" hidden="false" name="IQ_ECO_METRIC_7543" vbProcedure="false">"c7543"</definedName>
    <definedName function="false" hidden="false" name="IQ_ECO_METRIC_7544" vbProcedure="false">"c7544"</definedName>
    <definedName function="false" hidden="false" name="IQ_ECO_METRIC_7545" vbProcedure="false">"c7545"</definedName>
    <definedName function="false" hidden="false" name="IQ_ECO_METRIC_7546" vbProcedure="false">"c7546"</definedName>
    <definedName function="false" hidden="false" name="IQ_ECO_METRIC_7547" vbProcedure="false">"c7547"</definedName>
    <definedName function="false" hidden="false" name="IQ_ECO_METRIC_7548" vbProcedure="false">"c7548"</definedName>
    <definedName function="false" hidden="false" name="IQ_ECO_METRIC_7549" vbProcedure="false">"c7549"</definedName>
    <definedName function="false" hidden="false" name="IQ_ECO_METRIC_7550" vbProcedure="false">"c7550"</definedName>
    <definedName function="false" hidden="false" name="IQ_ECO_METRIC_7551" vbProcedure="false">"c7551"</definedName>
    <definedName function="false" hidden="false" name="IQ_ECO_METRIC_7552" vbProcedure="false">"c7552"</definedName>
    <definedName function="false" hidden="false" name="IQ_ECO_METRIC_7553" vbProcedure="false">"c7553"</definedName>
    <definedName function="false" hidden="false" name="IQ_ECO_METRIC_7554" vbProcedure="false">"c7554"</definedName>
    <definedName function="false" hidden="false" name="IQ_ECO_METRIC_7555" vbProcedure="false">"c7555"</definedName>
    <definedName function="false" hidden="false" name="IQ_ECO_METRIC_7556" vbProcedure="false">"c7556"</definedName>
    <definedName function="false" hidden="false" name="IQ_ECO_METRIC_7556_UNUSED_UNUSED_UNUSED" vbProcedure="false">"c7556"</definedName>
    <definedName function="false" hidden="false" name="IQ_ECO_METRIC_7557" vbProcedure="false">"c7557"</definedName>
    <definedName function="false" hidden="false" name="IQ_ECO_METRIC_7557_UNUSED_UNUSED_UNUSED" vbProcedure="false">"c7557"</definedName>
    <definedName function="false" hidden="false" name="IQ_ECO_METRIC_7560" vbProcedure="false">"c7560"</definedName>
    <definedName function="false" hidden="false" name="IQ_ECO_METRIC_7561" vbProcedure="false">"c7561"</definedName>
    <definedName function="false" hidden="false" name="IQ_ECO_METRIC_7562" vbProcedure="false">"c7562"</definedName>
    <definedName function="false" hidden="false" name="IQ_ECO_METRIC_7563" vbProcedure="false">"c7563"</definedName>
    <definedName function="false" hidden="false" name="IQ_ECO_METRIC_7564" vbProcedure="false">"c7564"</definedName>
    <definedName function="false" hidden="false" name="IQ_ECO_METRIC_7565" vbProcedure="false">"c7565"</definedName>
    <definedName function="false" hidden="false" name="IQ_ECO_METRIC_7566" vbProcedure="false">"c7566"</definedName>
    <definedName function="false" hidden="false" name="IQ_ECO_METRIC_7567" vbProcedure="false">"c7567"</definedName>
    <definedName function="false" hidden="false" name="IQ_ECO_METRIC_7568" vbProcedure="false">"c7568"</definedName>
    <definedName function="false" hidden="false" name="IQ_ECO_METRIC_7570" vbProcedure="false">"c7570"</definedName>
    <definedName function="false" hidden="false" name="IQ_ECO_METRIC_7571" vbProcedure="false">"c7571"</definedName>
    <definedName function="false" hidden="false" name="IQ_ECO_METRIC_7572" vbProcedure="false">"c7572"</definedName>
    <definedName function="false" hidden="false" name="IQ_ECO_METRIC_7573" vbProcedure="false">"c7573"</definedName>
    <definedName function="false" hidden="false" name="IQ_ECO_METRIC_7574" vbProcedure="false">"c7574"</definedName>
    <definedName function="false" hidden="false" name="IQ_ECO_METRIC_7575" vbProcedure="false">"c7575"</definedName>
    <definedName function="false" hidden="false" name="IQ_ECO_METRIC_7576" vbProcedure="false">"c7576"</definedName>
    <definedName function="false" hidden="false" name="IQ_ECO_METRIC_7577" vbProcedure="false">"c7577"</definedName>
    <definedName function="false" hidden="false" name="IQ_ECO_METRIC_7578" vbProcedure="false">"c7578"</definedName>
    <definedName function="false" hidden="false" name="IQ_ECO_METRIC_7579" vbProcedure="false">"c7579"</definedName>
    <definedName function="false" hidden="false" name="IQ_ECO_METRIC_7580" vbProcedure="false">"c7580"</definedName>
    <definedName function="false" hidden="false" name="IQ_ECO_METRIC_7581" vbProcedure="false">"c7581"</definedName>
    <definedName function="false" hidden="false" name="IQ_ECO_METRIC_7582" vbProcedure="false">"c7582"</definedName>
    <definedName function="false" hidden="false" name="IQ_ECO_METRIC_7583" vbProcedure="false">"c7583"</definedName>
    <definedName function="false" hidden="false" name="IQ_ECO_METRIC_7584" vbProcedure="false">"c7584"</definedName>
    <definedName function="false" hidden="false" name="IQ_ECO_METRIC_7585" vbProcedure="false">"c7585"</definedName>
    <definedName function="false" hidden="false" name="IQ_ECO_METRIC_7586" vbProcedure="false">"c7586"</definedName>
    <definedName function="false" hidden="false" name="IQ_ECO_METRIC_7588" vbProcedure="false">"c7588"</definedName>
    <definedName function="false" hidden="false" name="IQ_ECO_METRIC_7589" vbProcedure="false">"c7589"</definedName>
    <definedName function="false" hidden="false" name="IQ_ECO_METRIC_7590" vbProcedure="false">"c7590"</definedName>
    <definedName function="false" hidden="false" name="IQ_ECO_METRIC_7591" vbProcedure="false">"c7591"</definedName>
    <definedName function="false" hidden="false" name="IQ_ECO_METRIC_7592" vbProcedure="false">"c7592"</definedName>
    <definedName function="false" hidden="false" name="IQ_ECO_METRIC_7593" vbProcedure="false">"c7593"</definedName>
    <definedName function="false" hidden="false" name="IQ_ECO_METRIC_7594" vbProcedure="false">"c7594"</definedName>
    <definedName function="false" hidden="false" name="IQ_ECO_METRIC_7596" vbProcedure="false">"c7596"</definedName>
    <definedName function="false" hidden="false" name="IQ_ECO_METRIC_7597" vbProcedure="false">"c7597"</definedName>
    <definedName function="false" hidden="false" name="IQ_ECO_METRIC_7598" vbProcedure="false">"c7598"</definedName>
    <definedName function="false" hidden="false" name="IQ_ECO_METRIC_7599" vbProcedure="false">"c7599"</definedName>
    <definedName function="false" hidden="false" name="IQ_ECO_METRIC_7600" vbProcedure="false">"c7600"</definedName>
    <definedName function="false" hidden="false" name="IQ_ECO_METRIC_7601" vbProcedure="false">"c7601"</definedName>
    <definedName function="false" hidden="false" name="IQ_ECO_METRIC_7602" vbProcedure="false">"c7602"</definedName>
    <definedName function="false" hidden="false" name="IQ_ECO_METRIC_7603" vbProcedure="false">"c7603"</definedName>
    <definedName function="false" hidden="false" name="IQ_ECO_METRIC_7604" vbProcedure="false">"c7604"</definedName>
    <definedName function="false" hidden="false" name="IQ_ECO_METRIC_7605" vbProcedure="false">"c7605"</definedName>
    <definedName function="false" hidden="false" name="IQ_ECO_METRIC_7606" vbProcedure="false">"c7606"</definedName>
    <definedName function="false" hidden="false" name="IQ_ECO_METRIC_7607" vbProcedure="false">"c7607"</definedName>
    <definedName function="false" hidden="false" name="IQ_ECO_METRIC_7608" vbProcedure="false">"c7608"</definedName>
    <definedName function="false" hidden="false" name="IQ_ECO_METRIC_7609" vbProcedure="false">"c7609"</definedName>
    <definedName function="false" hidden="false" name="IQ_ECO_METRIC_7610" vbProcedure="false">"c7610"</definedName>
    <definedName function="false" hidden="false" name="IQ_ECO_METRIC_7611" vbProcedure="false">"c7611"</definedName>
    <definedName function="false" hidden="false" name="IQ_ECO_METRIC_7612" vbProcedure="false">"c7612"</definedName>
    <definedName function="false" hidden="false" name="IQ_ECO_METRIC_7613" vbProcedure="false">"c7613"</definedName>
    <definedName function="false" hidden="false" name="IQ_ECO_METRIC_7614" vbProcedure="false">"c7614"</definedName>
    <definedName function="false" hidden="false" name="IQ_ECO_METRIC_7615" vbProcedure="false">"c7615"</definedName>
    <definedName function="false" hidden="false" name="IQ_ECO_METRIC_7616" vbProcedure="false">"c7616"</definedName>
    <definedName function="false" hidden="false" name="IQ_ECO_METRIC_7617" vbProcedure="false">"c7617"</definedName>
    <definedName function="false" hidden="false" name="IQ_ECO_METRIC_7618" vbProcedure="false">"c7618"</definedName>
    <definedName function="false" hidden="false" name="IQ_ECO_METRIC_7619" vbProcedure="false">"c7619"</definedName>
    <definedName function="false" hidden="false" name="IQ_ECO_METRIC_7620" vbProcedure="false">"c7620"</definedName>
    <definedName function="false" hidden="false" name="IQ_ECO_METRIC_7622" vbProcedure="false">"c7622"</definedName>
    <definedName function="false" hidden="false" name="IQ_ECO_METRIC_7623" vbProcedure="false">"c7623"</definedName>
    <definedName function="false" hidden="false" name="IQ_ECO_METRIC_7624" vbProcedure="false">"c7624"</definedName>
    <definedName function="false" hidden="false" name="IQ_ECO_METRIC_7625" vbProcedure="false">"c7625"</definedName>
    <definedName function="false" hidden="false" name="IQ_ECO_METRIC_7626" vbProcedure="false">"c7626"</definedName>
    <definedName function="false" hidden="false" name="IQ_ECO_METRIC_7627" vbProcedure="false">"c7627"</definedName>
    <definedName function="false" hidden="false" name="IQ_ECO_METRIC_7628" vbProcedure="false">"c7628"</definedName>
    <definedName function="false" hidden="false" name="IQ_ECO_METRIC_7629" vbProcedure="false">"c7629"</definedName>
    <definedName function="false" hidden="false" name="IQ_ECO_METRIC_7630" vbProcedure="false">"c7630"</definedName>
    <definedName function="false" hidden="false" name="IQ_ECO_METRIC_7631" vbProcedure="false">"c7631"</definedName>
    <definedName function="false" hidden="false" name="IQ_ECO_METRIC_7632" vbProcedure="false">"c7632"</definedName>
    <definedName function="false" hidden="false" name="IQ_ECO_METRIC_7633" vbProcedure="false">"c7633"</definedName>
    <definedName function="false" hidden="false" name="IQ_ECO_METRIC_7634" vbProcedure="false">"c7634"</definedName>
    <definedName function="false" hidden="false" name="IQ_ECO_METRIC_7635" vbProcedure="false">"c7635"</definedName>
    <definedName function="false" hidden="false" name="IQ_ECO_METRIC_7636" vbProcedure="false">"c7636"</definedName>
    <definedName function="false" hidden="false" name="IQ_ECO_METRIC_7637" vbProcedure="false">"c7637"</definedName>
    <definedName function="false" hidden="false" name="IQ_ECO_METRIC_7638" vbProcedure="false">"c7638"</definedName>
    <definedName function="false" hidden="false" name="IQ_ECO_METRIC_7639" vbProcedure="false">"c7639"</definedName>
    <definedName function="false" hidden="false" name="IQ_ECO_METRIC_7640" vbProcedure="false">"c7640"</definedName>
    <definedName function="false" hidden="false" name="IQ_ECO_METRIC_7641" vbProcedure="false">"c7641"</definedName>
    <definedName function="false" hidden="false" name="IQ_ECO_METRIC_7642" vbProcedure="false">"c7642"</definedName>
    <definedName function="false" hidden="false" name="IQ_ECO_METRIC_7643" vbProcedure="false">"c7643"</definedName>
    <definedName function="false" hidden="false" name="IQ_ECO_METRIC_7644" vbProcedure="false">"c7644"</definedName>
    <definedName function="false" hidden="false" name="IQ_ECO_METRIC_7645" vbProcedure="false">"c7645"</definedName>
    <definedName function="false" hidden="false" name="IQ_ECO_METRIC_7646" vbProcedure="false">"c7646"</definedName>
    <definedName function="false" hidden="false" name="IQ_ECO_METRIC_7647" vbProcedure="false">"c7647"</definedName>
    <definedName function="false" hidden="false" name="IQ_ECO_METRIC_7648" vbProcedure="false">"c7648"</definedName>
    <definedName function="false" hidden="false" name="IQ_ECO_METRIC_7648_UNUSED_UNUSED_UNUSED" vbProcedure="false">"c7648"</definedName>
    <definedName function="false" hidden="false" name="IQ_ECO_METRIC_7649" vbProcedure="false">"c7649"</definedName>
    <definedName function="false" hidden="false" name="IQ_ECO_METRIC_7650" vbProcedure="false">"c7650"</definedName>
    <definedName function="false" hidden="false" name="IQ_ECO_METRIC_7651" vbProcedure="false">"c7651"</definedName>
    <definedName function="false" hidden="false" name="IQ_ECO_METRIC_7652" vbProcedure="false">"c7652"</definedName>
    <definedName function="false" hidden="false" name="IQ_ECO_METRIC_7653" vbProcedure="false">"c7653"</definedName>
    <definedName function="false" hidden="false" name="IQ_ECO_METRIC_7654" vbProcedure="false">"c7654"</definedName>
    <definedName function="false" hidden="false" name="IQ_ECO_METRIC_7655" vbProcedure="false">"c7655"</definedName>
    <definedName function="false" hidden="false" name="IQ_ECO_METRIC_7656" vbProcedure="false">"c7656"</definedName>
    <definedName function="false" hidden="false" name="IQ_ECO_METRIC_7657" vbProcedure="false">"c7657"</definedName>
    <definedName function="false" hidden="false" name="IQ_ECO_METRIC_7658" vbProcedure="false">"c7658"</definedName>
    <definedName function="false" hidden="false" name="IQ_ECO_METRIC_7660" vbProcedure="false">"c7660"</definedName>
    <definedName function="false" hidden="false" name="IQ_ECO_METRIC_7661" vbProcedure="false">"c7661"</definedName>
    <definedName function="false" hidden="false" name="IQ_ECO_METRIC_7663" vbProcedure="false">"c7663"</definedName>
    <definedName function="false" hidden="false" name="IQ_ECO_METRIC_7664" vbProcedure="false">"c7664"</definedName>
    <definedName function="false" hidden="false" name="IQ_ECO_METRIC_7665" vbProcedure="false">"c7665"</definedName>
    <definedName function="false" hidden="false" name="IQ_ECO_METRIC_7666" vbProcedure="false">"c7666"</definedName>
    <definedName function="false" hidden="false" name="IQ_ECO_METRIC_7667" vbProcedure="false">"c7667"</definedName>
    <definedName function="false" hidden="false" name="IQ_ECO_METRIC_7668" vbProcedure="false">"c7668"</definedName>
    <definedName function="false" hidden="false" name="IQ_ECO_METRIC_7669" vbProcedure="false">"c7669"</definedName>
    <definedName function="false" hidden="false" name="IQ_ECO_METRIC_7670" vbProcedure="false">"c7670"</definedName>
    <definedName function="false" hidden="false" name="IQ_ECO_METRIC_7675" vbProcedure="false">"c7675"</definedName>
    <definedName function="false" hidden="false" name="IQ_ECO_METRIC_7676" vbProcedure="false">"c7676"</definedName>
    <definedName function="false" hidden="false" name="IQ_ECO_METRIC_7677" vbProcedure="false">"c7677"</definedName>
    <definedName function="false" hidden="false" name="IQ_ECO_METRIC_7678" vbProcedure="false">"c7678"</definedName>
    <definedName function="false" hidden="false" name="IQ_ECO_METRIC_7679" vbProcedure="false">"c7679"</definedName>
    <definedName function="false" hidden="false" name="IQ_ECO_METRIC_7680" vbProcedure="false">"c7680"</definedName>
    <definedName function="false" hidden="false" name="IQ_ECO_METRIC_7681" vbProcedure="false">"c7681"</definedName>
    <definedName function="false" hidden="false" name="IQ_ECO_METRIC_7685" vbProcedure="false">"c7685"</definedName>
    <definedName function="false" hidden="false" name="IQ_ECO_METRIC_7687" vbProcedure="false">"c7687"</definedName>
    <definedName function="false" hidden="false" name="IQ_ECO_METRIC_7688" vbProcedure="false">"c7688"</definedName>
    <definedName function="false" hidden="false" name="IQ_ECO_METRIC_7689" vbProcedure="false">"c7689"</definedName>
    <definedName function="false" hidden="false" name="IQ_ECO_METRIC_7690" vbProcedure="false">"c7690"</definedName>
    <definedName function="false" hidden="false" name="IQ_ECO_METRIC_7691" vbProcedure="false">"c7691"</definedName>
    <definedName function="false" hidden="false" name="IQ_ECO_METRIC_7692" vbProcedure="false">"c7692"</definedName>
    <definedName function="false" hidden="false" name="IQ_ECO_METRIC_7693" vbProcedure="false">"c7693"</definedName>
    <definedName function="false" hidden="false" name="IQ_ECO_METRIC_7694" vbProcedure="false">"c7694"</definedName>
    <definedName function="false" hidden="false" name="IQ_ECO_METRIC_7695" vbProcedure="false">"c7695"</definedName>
    <definedName function="false" hidden="false" name="IQ_ECO_METRIC_7696" vbProcedure="false">"c7696"</definedName>
    <definedName function="false" hidden="false" name="IQ_ECO_METRIC_7697" vbProcedure="false">"c7697"</definedName>
    <definedName function="false" hidden="false" name="IQ_ECO_METRIC_7698" vbProcedure="false">"c7698"</definedName>
    <definedName function="false" hidden="false" name="IQ_ECO_METRIC_7699" vbProcedure="false">"c7699"</definedName>
    <definedName function="false" hidden="false" name="IQ_ECO_METRIC_7700" vbProcedure="false">"c7700"</definedName>
    <definedName function="false" hidden="false" name="IQ_ECO_METRIC_7701" vbProcedure="false">"c7701"</definedName>
    <definedName function="false" hidden="false" name="IQ_ECO_METRIC_7702" vbProcedure="false">"c7702"</definedName>
    <definedName function="false" hidden="false" name="IQ_ECO_METRIC_7703" vbProcedure="false">"c7703"</definedName>
    <definedName function="false" hidden="false" name="IQ_ECO_METRIC_7705" vbProcedure="false">"c7705"</definedName>
    <definedName function="false" hidden="false" name="IQ_ECO_METRIC_7705_UNUSED_UNUSED_UNUSED" vbProcedure="false">"c7705"</definedName>
    <definedName function="false" hidden="false" name="IQ_ECO_METRIC_7707" vbProcedure="false">"c7707"</definedName>
    <definedName function="false" hidden="false" name="IQ_ECO_METRIC_7708" vbProcedure="false">"c7708"</definedName>
    <definedName function="false" hidden="false" name="IQ_ECO_METRIC_7709" vbProcedure="false">"c7709"</definedName>
    <definedName function="false" hidden="false" name="IQ_ECO_METRIC_7710" vbProcedure="false">"c7710"</definedName>
    <definedName function="false" hidden="false" name="IQ_ECO_METRIC_7711" vbProcedure="false">"c7711"</definedName>
    <definedName function="false" hidden="false" name="IQ_ECO_METRIC_7712" vbProcedure="false">"c7712"</definedName>
    <definedName function="false" hidden="false" name="IQ_ECO_METRIC_7713" vbProcedure="false">"c7713"</definedName>
    <definedName function="false" hidden="false" name="IQ_ECO_METRIC_7714" vbProcedure="false">"c7714"</definedName>
    <definedName function="false" hidden="false" name="IQ_ECO_METRIC_7715" vbProcedure="false">"c7715"</definedName>
    <definedName function="false" hidden="false" name="IQ_ECO_METRIC_7716" vbProcedure="false">"c7716"</definedName>
    <definedName function="false" hidden="false" name="IQ_ECO_METRIC_7717" vbProcedure="false">"c7717"</definedName>
    <definedName function="false" hidden="false" name="IQ_ECO_METRIC_7719" vbProcedure="false">"c7719"</definedName>
    <definedName function="false" hidden="false" name="IQ_ECO_METRIC_7719_UNUSED_UNUSED_UNUSED" vbProcedure="false">"c7719"</definedName>
    <definedName function="false" hidden="false" name="IQ_ECO_METRIC_7720" vbProcedure="false">"c7720"</definedName>
    <definedName function="false" hidden="false" name="IQ_ECO_METRIC_7721" vbProcedure="false">"c7721"</definedName>
    <definedName function="false" hidden="false" name="IQ_ECO_METRIC_7722" vbProcedure="false">"c7722"</definedName>
    <definedName function="false" hidden="false" name="IQ_ECO_METRIC_7723" vbProcedure="false">"c7723"</definedName>
    <definedName function="false" hidden="false" name="IQ_ECO_METRIC_7724" vbProcedure="false">"c7724"</definedName>
    <definedName function="false" hidden="false" name="IQ_ECO_METRIC_7725" vbProcedure="false">"c7725"</definedName>
    <definedName function="false" hidden="false" name="IQ_ECO_METRIC_7726" vbProcedure="false">"c7726"</definedName>
    <definedName function="false" hidden="false" name="IQ_ECO_METRIC_7727" vbProcedure="false">"c7727"</definedName>
    <definedName function="false" hidden="false" name="IQ_ECO_METRIC_7728" vbProcedure="false">"c7728"</definedName>
    <definedName function="false" hidden="false" name="IQ_ECO_METRIC_7729" vbProcedure="false">"c7729"</definedName>
    <definedName function="false" hidden="false" name="IQ_ECO_METRIC_7730" vbProcedure="false">"c7730"</definedName>
    <definedName function="false" hidden="false" name="IQ_ECO_METRIC_7731" vbProcedure="false">"c7731"</definedName>
    <definedName function="false" hidden="false" name="IQ_ECO_METRIC_7732" vbProcedure="false">"c7732"</definedName>
    <definedName function="false" hidden="false" name="IQ_ECO_METRIC_7733" vbProcedure="false">"c7733"</definedName>
    <definedName function="false" hidden="false" name="IQ_ECO_METRIC_7734" vbProcedure="false">"c7734"</definedName>
    <definedName function="false" hidden="false" name="IQ_ECO_METRIC_7735" vbProcedure="false">"c7735"</definedName>
    <definedName function="false" hidden="false" name="IQ_ECO_METRIC_7736" vbProcedure="false">"c7736"</definedName>
    <definedName function="false" hidden="false" name="IQ_ECO_METRIC_7737" vbProcedure="false">"c7737"</definedName>
    <definedName function="false" hidden="false" name="IQ_ECO_METRIC_7738" vbProcedure="false">"c7738"</definedName>
    <definedName function="false" hidden="false" name="IQ_ECO_METRIC_7739" vbProcedure="false">"c7739"</definedName>
    <definedName function="false" hidden="false" name="IQ_ECO_METRIC_7740" vbProcedure="false">"c7740"</definedName>
    <definedName function="false" hidden="false" name="IQ_ECO_METRIC_7741" vbProcedure="false">"c7741"</definedName>
    <definedName function="false" hidden="false" name="IQ_ECO_METRIC_7742" vbProcedure="false">"c7742"</definedName>
    <definedName function="false" hidden="false" name="IQ_ECO_METRIC_7743" vbProcedure="false">"c7743"</definedName>
    <definedName function="false" hidden="false" name="IQ_ECO_METRIC_7744" vbProcedure="false">"c7744"</definedName>
    <definedName function="false" hidden="false" name="IQ_ECO_METRIC_7745" vbProcedure="false">"c7745"</definedName>
    <definedName function="false" hidden="false" name="IQ_ECO_METRIC_7746" vbProcedure="false">"c7746"</definedName>
    <definedName function="false" hidden="false" name="IQ_ECO_METRIC_7747" vbProcedure="false">"c7747"</definedName>
    <definedName function="false" hidden="false" name="IQ_ECO_METRIC_7748" vbProcedure="false">"c7748"</definedName>
    <definedName function="false" hidden="false" name="IQ_ECO_METRIC_7749" vbProcedure="false">"c7749"</definedName>
    <definedName function="false" hidden="false" name="IQ_ECO_METRIC_7750" vbProcedure="false">"c7750"</definedName>
    <definedName function="false" hidden="false" name="IQ_ECO_METRIC_7751" vbProcedure="false">"c7751"</definedName>
    <definedName function="false" hidden="false" name="IQ_ECO_METRIC_7752" vbProcedure="false">"c7752"</definedName>
    <definedName function="false" hidden="false" name="IQ_ECO_METRIC_7753" vbProcedure="false">"c7753"</definedName>
    <definedName function="false" hidden="false" name="IQ_ECO_METRIC_7754" vbProcedure="false">"c7754"</definedName>
    <definedName function="false" hidden="false" name="IQ_ECO_METRIC_7755" vbProcedure="false">"c7755"</definedName>
    <definedName function="false" hidden="false" name="IQ_ECO_METRIC_7756" vbProcedure="false">"c7756"</definedName>
    <definedName function="false" hidden="false" name="IQ_ECO_METRIC_7757" vbProcedure="false">"c7757"</definedName>
    <definedName function="false" hidden="false" name="IQ_ECO_METRIC_7758" vbProcedure="false">"c7758"</definedName>
    <definedName function="false" hidden="false" name="IQ_ECO_METRIC_7759" vbProcedure="false">"c7759"</definedName>
    <definedName function="false" hidden="false" name="IQ_ECO_METRIC_7760" vbProcedure="false">"c7760"</definedName>
    <definedName function="false" hidden="false" name="IQ_ECO_METRIC_7761" vbProcedure="false">"c7761"</definedName>
    <definedName function="false" hidden="false" name="IQ_ECO_METRIC_7762" vbProcedure="false">"c7762"</definedName>
    <definedName function="false" hidden="false" name="IQ_ECO_METRIC_7763" vbProcedure="false">"c7763"</definedName>
    <definedName function="false" hidden="false" name="IQ_ECO_METRIC_7764" vbProcedure="false">"c7764"</definedName>
    <definedName function="false" hidden="false" name="IQ_ECO_METRIC_7765" vbProcedure="false">"c7765"</definedName>
    <definedName function="false" hidden="false" name="IQ_ECO_METRIC_7766" vbProcedure="false">"c7766"</definedName>
    <definedName function="false" hidden="false" name="IQ_ECO_METRIC_7767" vbProcedure="false">"c7767"</definedName>
    <definedName function="false" hidden="false" name="IQ_ECO_METRIC_7768" vbProcedure="false">"c7768"</definedName>
    <definedName function="false" hidden="false" name="IQ_ECO_METRIC_7769" vbProcedure="false">"c7769"</definedName>
    <definedName function="false" hidden="false" name="IQ_ECO_METRIC_7770" vbProcedure="false">"c7770"</definedName>
    <definedName function="false" hidden="false" name="IQ_ECO_METRIC_7771" vbProcedure="false">"c7771"</definedName>
    <definedName function="false" hidden="false" name="IQ_ECO_METRIC_7772" vbProcedure="false">"c7772"</definedName>
    <definedName function="false" hidden="false" name="IQ_ECO_METRIC_7773" vbProcedure="false">"c7773"</definedName>
    <definedName function="false" hidden="false" name="IQ_ECO_METRIC_7774" vbProcedure="false">"c7774"</definedName>
    <definedName function="false" hidden="false" name="IQ_ECO_METRIC_7775" vbProcedure="false">"c7775"</definedName>
    <definedName function="false" hidden="false" name="IQ_ECO_METRIC_7776" vbProcedure="false">"c7776"</definedName>
    <definedName function="false" hidden="false" name="IQ_ECO_METRIC_7776_UNUSED_UNUSED_UNUSED" vbProcedure="false">"c7776"</definedName>
    <definedName function="false" hidden="false" name="IQ_ECO_METRIC_7777" vbProcedure="false">"c7777"</definedName>
    <definedName function="false" hidden="false" name="IQ_ECO_METRIC_7777_UNUSED_UNUSED_UNUSED" vbProcedure="false">"c7777"</definedName>
    <definedName function="false" hidden="false" name="IQ_ECO_METRIC_7779" vbProcedure="false">"c7779"</definedName>
    <definedName function="false" hidden="false" name="IQ_ECO_METRIC_7780" vbProcedure="false">"c7780"</definedName>
    <definedName function="false" hidden="false" name="IQ_ECO_METRIC_7781" vbProcedure="false">"c7781"</definedName>
    <definedName function="false" hidden="false" name="IQ_ECO_METRIC_7782" vbProcedure="false">"c7782"</definedName>
    <definedName function="false" hidden="false" name="IQ_ECO_METRIC_7783" vbProcedure="false">"c7783"</definedName>
    <definedName function="false" hidden="false" name="IQ_ECO_METRIC_7784" vbProcedure="false">"c7784"</definedName>
    <definedName function="false" hidden="false" name="IQ_ECO_METRIC_7785" vbProcedure="false">"c7785"</definedName>
    <definedName function="false" hidden="false" name="IQ_ECO_METRIC_7786" vbProcedure="false">"c7786"</definedName>
    <definedName function="false" hidden="false" name="IQ_ECO_METRIC_7787" vbProcedure="false">"c7787"</definedName>
    <definedName function="false" hidden="false" name="IQ_ECO_METRIC_7788" vbProcedure="false">"c7788"</definedName>
    <definedName function="false" hidden="false" name="IQ_ECO_METRIC_7789" vbProcedure="false">"c7789"</definedName>
    <definedName function="false" hidden="false" name="IQ_ECO_METRIC_7790" vbProcedure="false">"c7790"</definedName>
    <definedName function="false" hidden="false" name="IQ_ECO_METRIC_7791" vbProcedure="false">"c7791"</definedName>
    <definedName function="false" hidden="false" name="IQ_ECO_METRIC_7792" vbProcedure="false">"c7792"</definedName>
    <definedName function="false" hidden="false" name="IQ_ECO_METRIC_7793" vbProcedure="false">"c7793"</definedName>
    <definedName function="false" hidden="false" name="IQ_ECO_METRIC_7794" vbProcedure="false">"c7794"</definedName>
    <definedName function="false" hidden="false" name="IQ_ECO_METRIC_7795" vbProcedure="false">"c7795"</definedName>
    <definedName function="false" hidden="false" name="IQ_ECO_METRIC_7796" vbProcedure="false">"c7796"</definedName>
    <definedName function="false" hidden="false" name="IQ_ECO_METRIC_7797" vbProcedure="false">"c7797"</definedName>
    <definedName function="false" hidden="false" name="IQ_ECO_METRIC_7798" vbProcedure="false">"c7798"</definedName>
    <definedName function="false" hidden="false" name="IQ_ECO_METRIC_7799" vbProcedure="false">"c7799"</definedName>
    <definedName function="false" hidden="false" name="IQ_ECO_METRIC_7800" vbProcedure="false">"c7800"</definedName>
    <definedName function="false" hidden="false" name="IQ_ECO_METRIC_7801" vbProcedure="false">"c7801"</definedName>
    <definedName function="false" hidden="false" name="IQ_ECO_METRIC_7802" vbProcedure="false">"c7802"</definedName>
    <definedName function="false" hidden="false" name="IQ_ECO_METRIC_7803" vbProcedure="false">"c7803"</definedName>
    <definedName function="false" hidden="false" name="IQ_ECO_METRIC_7804" vbProcedure="false">"c7804"</definedName>
    <definedName function="false" hidden="false" name="IQ_ECO_METRIC_7805" vbProcedure="false">"c7805"</definedName>
    <definedName function="false" hidden="false" name="IQ_ECO_METRIC_7806" vbProcedure="false">"c7806"</definedName>
    <definedName function="false" hidden="false" name="IQ_ECO_METRIC_7808" vbProcedure="false">"c7808"</definedName>
    <definedName function="false" hidden="false" name="IQ_ECO_METRIC_7809" vbProcedure="false">"c7809"</definedName>
    <definedName function="false" hidden="false" name="IQ_ECO_METRIC_7810" vbProcedure="false">"c7810"</definedName>
    <definedName function="false" hidden="false" name="IQ_ECO_METRIC_7812" vbProcedure="false">"c7812"</definedName>
    <definedName function="false" hidden="false" name="IQ_ECO_METRIC_7813" vbProcedure="false">"c7813"</definedName>
    <definedName function="false" hidden="false" name="IQ_ECO_METRIC_7814" vbProcedure="false">"c7814"</definedName>
    <definedName function="false" hidden="false" name="IQ_ECO_METRIC_7815" vbProcedure="false">"c7815"</definedName>
    <definedName function="false" hidden="false" name="IQ_ECO_METRIC_7816" vbProcedure="false">"c7816"</definedName>
    <definedName function="false" hidden="false" name="IQ_ECO_METRIC_7817" vbProcedure="false">"c7817"</definedName>
    <definedName function="false" hidden="false" name="IQ_ECO_METRIC_7818" vbProcedure="false">"c7818"</definedName>
    <definedName function="false" hidden="false" name="IQ_ECO_METRIC_7819" vbProcedure="false">"c7819"</definedName>
    <definedName function="false" hidden="false" name="IQ_ECO_METRIC_7820" vbProcedure="false">"c7820"</definedName>
    <definedName function="false" hidden="false" name="IQ_ECO_METRIC_7821" vbProcedure="false">"c7821"</definedName>
    <definedName function="false" hidden="false" name="IQ_ECO_METRIC_7822" vbProcedure="false">"c7822"</definedName>
    <definedName function="false" hidden="false" name="IQ_ECO_METRIC_7823" vbProcedure="false">"c7823"</definedName>
    <definedName function="false" hidden="false" name="IQ_ECO_METRIC_7824" vbProcedure="false">"c7824"</definedName>
    <definedName function="false" hidden="false" name="IQ_ECO_METRIC_7825" vbProcedure="false">"c7825"</definedName>
    <definedName function="false" hidden="false" name="IQ_ECO_METRIC_7826" vbProcedure="false">"c7826"</definedName>
    <definedName function="false" hidden="false" name="IQ_ECO_METRIC_7827" vbProcedure="false">"c7827"</definedName>
    <definedName function="false" hidden="false" name="IQ_ECO_METRIC_7828" vbProcedure="false">"c7828"</definedName>
    <definedName function="false" hidden="false" name="IQ_ECO_METRIC_7829" vbProcedure="false">"c7829"</definedName>
    <definedName function="false" hidden="false" name="IQ_ECO_METRIC_7830" vbProcedure="false">"c7830"</definedName>
    <definedName function="false" hidden="false" name="IQ_ECO_METRIC_7831" vbProcedure="false">"c7831"</definedName>
    <definedName function="false" hidden="false" name="IQ_ECO_METRIC_7832" vbProcedure="false">"c7832"</definedName>
    <definedName function="false" hidden="false" name="IQ_ECO_METRIC_7833" vbProcedure="false">"c7833"</definedName>
    <definedName function="false" hidden="false" name="IQ_ECO_METRIC_7834" vbProcedure="false">"c7834"</definedName>
    <definedName function="false" hidden="false" name="IQ_ECO_METRIC_7835" vbProcedure="false">"c7835"</definedName>
    <definedName function="false" hidden="false" name="IQ_ECO_METRIC_7836" vbProcedure="false">"c7836"</definedName>
    <definedName function="false" hidden="false" name="IQ_ECO_METRIC_7837" vbProcedure="false">"c7837"</definedName>
    <definedName function="false" hidden="false" name="IQ_ECO_METRIC_7838" vbProcedure="false">"c7838"</definedName>
    <definedName function="false" hidden="false" name="IQ_ECO_METRIC_7839" vbProcedure="false">"c7839"</definedName>
    <definedName function="false" hidden="false" name="IQ_ECO_METRIC_7840" vbProcedure="false">"c7840"</definedName>
    <definedName function="false" hidden="false" name="IQ_ECO_METRIC_7842" vbProcedure="false">"c7842"</definedName>
    <definedName function="false" hidden="false" name="IQ_ECO_METRIC_7843" vbProcedure="false">"c7843"</definedName>
    <definedName function="false" hidden="false" name="IQ_ECO_METRIC_7844" vbProcedure="false">"c7844"</definedName>
    <definedName function="false" hidden="false" name="IQ_ECO_METRIC_7845" vbProcedure="false">"c7845"</definedName>
    <definedName function="false" hidden="false" name="IQ_ECO_METRIC_7846" vbProcedure="false">"c7846"</definedName>
    <definedName function="false" hidden="false" name="IQ_ECO_METRIC_7847" vbProcedure="false">"c7847"</definedName>
    <definedName function="false" hidden="false" name="IQ_ECO_METRIC_7848" vbProcedure="false">"c7848"</definedName>
    <definedName function="false" hidden="false" name="IQ_ECO_METRIC_7849" vbProcedure="false">"c7849"</definedName>
    <definedName function="false" hidden="false" name="IQ_ECO_METRIC_7850" vbProcedure="false">"c7850"</definedName>
    <definedName function="false" hidden="false" name="IQ_ECO_METRIC_7851" vbProcedure="false">"c7851"</definedName>
    <definedName function="false" hidden="false" name="IQ_ECO_METRIC_7852" vbProcedure="false">"c7852"</definedName>
    <definedName function="false" hidden="false" name="IQ_ECO_METRIC_7853" vbProcedure="false">"c7853"</definedName>
    <definedName function="false" hidden="false" name="IQ_ECO_METRIC_7854" vbProcedure="false">"c7854"</definedName>
    <definedName function="false" hidden="false" name="IQ_ECO_METRIC_7855" vbProcedure="false">"c7855"</definedName>
    <definedName function="false" hidden="false" name="IQ_ECO_METRIC_7856" vbProcedure="false">"c7856"</definedName>
    <definedName function="false" hidden="false" name="IQ_ECO_METRIC_7857" vbProcedure="false">"c7857"</definedName>
    <definedName function="false" hidden="false" name="IQ_ECO_METRIC_7858" vbProcedure="false">"c7858"</definedName>
    <definedName function="false" hidden="false" name="IQ_ECO_METRIC_7859" vbProcedure="false">"c7859"</definedName>
    <definedName function="false" hidden="false" name="IQ_ECO_METRIC_7860" vbProcedure="false">"c7860"</definedName>
    <definedName function="false" hidden="false" name="IQ_ECO_METRIC_7861" vbProcedure="false">"c7861"</definedName>
    <definedName function="false" hidden="false" name="IQ_ECO_METRIC_7862" vbProcedure="false">"c7862"</definedName>
    <definedName function="false" hidden="false" name="IQ_ECO_METRIC_7863" vbProcedure="false">"c7863"</definedName>
    <definedName function="false" hidden="false" name="IQ_ECO_METRIC_7864" vbProcedure="false">"c7864"</definedName>
    <definedName function="false" hidden="false" name="IQ_ECO_METRIC_7865" vbProcedure="false">"c7865"</definedName>
    <definedName function="false" hidden="false" name="IQ_ECO_METRIC_7866" vbProcedure="false">"c7866"</definedName>
    <definedName function="false" hidden="false" name="IQ_ECO_METRIC_7867" vbProcedure="false">"c7867"</definedName>
    <definedName function="false" hidden="false" name="IQ_ECO_METRIC_7868" vbProcedure="false">"c7868"</definedName>
    <definedName function="false" hidden="false" name="IQ_ECO_METRIC_7868_UNUSED_UNUSED_UNUSED" vbProcedure="false">"c7868"</definedName>
    <definedName function="false" hidden="false" name="IQ_ECO_METRIC_7869" vbProcedure="false">"c7869"</definedName>
    <definedName function="false" hidden="false" name="IQ_ECO_METRIC_7870" vbProcedure="false">"c7870"</definedName>
    <definedName function="false" hidden="false" name="IQ_ECO_METRIC_7871" vbProcedure="false">"c7871"</definedName>
    <definedName function="false" hidden="false" name="IQ_ECO_METRIC_7872" vbProcedure="false">"c7872"</definedName>
    <definedName function="false" hidden="false" name="IQ_ECO_METRIC_7874" vbProcedure="false">"c7874"</definedName>
    <definedName function="false" hidden="false" name="IQ_ECO_METRIC_7875" vbProcedure="false">"c7875"</definedName>
    <definedName function="false" hidden="false" name="IQ_ECO_METRIC_7876" vbProcedure="false">"c7876"</definedName>
    <definedName function="false" hidden="false" name="IQ_ECO_METRIC_7877" vbProcedure="false">"c7877"</definedName>
    <definedName function="false" hidden="false" name="IQ_ECO_METRIC_7878" vbProcedure="false">"c7878"</definedName>
    <definedName function="false" hidden="false" name="IQ_ECO_METRIC_7880" vbProcedure="false">"c7880"</definedName>
    <definedName function="false" hidden="false" name="IQ_ECO_METRIC_7881" vbProcedure="false">"c7881"</definedName>
    <definedName function="false" hidden="false" name="IQ_ECO_METRIC_7882" vbProcedure="false">"c7882"</definedName>
    <definedName function="false" hidden="false" name="IQ_ECO_METRIC_7883" vbProcedure="false">"c7883"</definedName>
    <definedName function="false" hidden="false" name="IQ_ECO_METRIC_7884" vbProcedure="false">"c7884"</definedName>
    <definedName function="false" hidden="false" name="IQ_ECO_METRIC_7885" vbProcedure="false">"c7885"</definedName>
    <definedName function="false" hidden="false" name="IQ_ECO_METRIC_7886" vbProcedure="false">"c7886"</definedName>
    <definedName function="false" hidden="false" name="IQ_ECO_METRIC_7887" vbProcedure="false">"c7887"</definedName>
    <definedName function="false" hidden="false" name="IQ_ECO_METRIC_7888" vbProcedure="false">"c7888"</definedName>
    <definedName function="false" hidden="false" name="IQ_ECO_METRIC_7889" vbProcedure="false">"c7889"</definedName>
    <definedName function="false" hidden="false" name="IQ_ECO_METRIC_7890" vbProcedure="false">"c7890"</definedName>
    <definedName function="false" hidden="false" name="IQ_ECO_METRIC_7891" vbProcedure="false">"c7891"</definedName>
    <definedName function="false" hidden="false" name="IQ_ECO_METRIC_7892" vbProcedure="false">"c7892"</definedName>
    <definedName function="false" hidden="false" name="IQ_ECO_METRIC_7893" vbProcedure="false">"c7893"</definedName>
    <definedName function="false" hidden="false" name="IQ_ECO_METRIC_7895" vbProcedure="false">"c7895"</definedName>
    <definedName function="false" hidden="false" name="IQ_ECO_METRIC_7896" vbProcedure="false">"c7896"</definedName>
    <definedName function="false" hidden="false" name="IQ_ECO_METRIC_7897" vbProcedure="false">"c7897"</definedName>
    <definedName function="false" hidden="false" name="IQ_ECO_METRIC_7898" vbProcedure="false">"c7898"</definedName>
    <definedName function="false" hidden="false" name="IQ_ECO_METRIC_7899" vbProcedure="false">"c7899"</definedName>
    <definedName function="false" hidden="false" name="IQ_ECO_METRIC_7900" vbProcedure="false">"c7900"</definedName>
    <definedName function="false" hidden="false" name="IQ_ECO_METRIC_7901" vbProcedure="false">"c7901"</definedName>
    <definedName function="false" hidden="false" name="IQ_ECO_METRIC_7903" vbProcedure="false">"c7903"</definedName>
    <definedName function="false" hidden="false" name="IQ_ECO_METRIC_7904" vbProcedure="false">"c7904"</definedName>
    <definedName function="false" hidden="false" name="IQ_ECO_METRIC_7905" vbProcedure="false">"c7905"</definedName>
    <definedName function="false" hidden="false" name="IQ_ECO_METRIC_7906" vbProcedure="false">"c7906"</definedName>
    <definedName function="false" hidden="false" name="IQ_ECO_METRIC_7907" vbProcedure="false">"c7907"</definedName>
    <definedName function="false" hidden="false" name="IQ_ECO_METRIC_7908" vbProcedure="false">"c7908"</definedName>
    <definedName function="false" hidden="false" name="IQ_ECO_METRIC_7909" vbProcedure="false">"c7909"</definedName>
    <definedName function="false" hidden="false" name="IQ_ECO_METRIC_7910" vbProcedure="false">"c7910"</definedName>
    <definedName function="false" hidden="false" name="IQ_ECO_METRIC_7911" vbProcedure="false">"c7911"</definedName>
    <definedName function="false" hidden="false" name="IQ_ECO_METRIC_7912" vbProcedure="false">"c7912"</definedName>
    <definedName function="false" hidden="false" name="IQ_ECO_METRIC_7913" vbProcedure="false">"c7913"</definedName>
    <definedName function="false" hidden="false" name="IQ_ECO_METRIC_7914" vbProcedure="false">"c7914"</definedName>
    <definedName function="false" hidden="false" name="IQ_ECO_METRIC_7915" vbProcedure="false">"c7915"</definedName>
    <definedName function="false" hidden="false" name="IQ_ECO_METRIC_7916" vbProcedure="false">"c7916"</definedName>
    <definedName function="false" hidden="false" name="IQ_ECO_METRIC_7917" vbProcedure="false">"c7917"</definedName>
    <definedName function="false" hidden="false" name="IQ_ECO_METRIC_7918" vbProcedure="false">"c7918"</definedName>
    <definedName function="false" hidden="false" name="IQ_ECO_METRIC_7919" vbProcedure="false">"c7919"</definedName>
    <definedName function="false" hidden="false" name="IQ_ECO_METRIC_7920" vbProcedure="false">"c7920"</definedName>
    <definedName function="false" hidden="false" name="IQ_ECO_METRIC_7921" vbProcedure="false">"c7921"</definedName>
    <definedName function="false" hidden="false" name="IQ_ECO_METRIC_7922" vbProcedure="false">"c7922"</definedName>
    <definedName function="false" hidden="false" name="IQ_ECO_METRIC_7923" vbProcedure="false">"c7923"</definedName>
    <definedName function="false" hidden="false" name="IQ_ECO_METRIC_7925" vbProcedure="false">"c7925"</definedName>
    <definedName function="false" hidden="false" name="IQ_ECO_METRIC_7925_UNUSED_UNUSED_UNUSED" vbProcedure="false">"c7925"</definedName>
    <definedName function="false" hidden="false" name="IQ_ECO_METRIC_7927" vbProcedure="false">"c7927"</definedName>
    <definedName function="false" hidden="false" name="IQ_ECO_METRIC_7928" vbProcedure="false">"c7928"</definedName>
    <definedName function="false" hidden="false" name="IQ_ECO_METRIC_7929" vbProcedure="false">"c7929"</definedName>
    <definedName function="false" hidden="false" name="IQ_ECO_METRIC_7930" vbProcedure="false">"c7930"</definedName>
    <definedName function="false" hidden="false" name="IQ_ECO_METRIC_7931" vbProcedure="false">"c7931"</definedName>
    <definedName function="false" hidden="false" name="IQ_ECO_METRIC_7932" vbProcedure="false">"c7932"</definedName>
    <definedName function="false" hidden="false" name="IQ_ECO_METRIC_7933" vbProcedure="false">"c7933"</definedName>
    <definedName function="false" hidden="false" name="IQ_ECO_METRIC_7934" vbProcedure="false">"c7934"</definedName>
    <definedName function="false" hidden="false" name="IQ_ECO_METRIC_7935" vbProcedure="false">"c7935"</definedName>
    <definedName function="false" hidden="false" name="IQ_ECO_METRIC_7936" vbProcedure="false">"c7936"</definedName>
    <definedName function="false" hidden="false" name="IQ_ECO_METRIC_7937" vbProcedure="false">"c7937"</definedName>
    <definedName function="false" hidden="false" name="IQ_ECO_METRIC_7939" vbProcedure="false">"c7939"</definedName>
    <definedName function="false" hidden="false" name="IQ_ECO_METRIC_7939_UNUSED_UNUSED_UNUSED" vbProcedure="false">"c7939"</definedName>
    <definedName function="false" hidden="false" name="IQ_ECO_METRIC_7940" vbProcedure="false">"c7940"</definedName>
    <definedName function="false" hidden="false" name="IQ_ECO_METRIC_7941" vbProcedure="false">"c7941"</definedName>
    <definedName function="false" hidden="false" name="IQ_ECO_METRIC_7942" vbProcedure="false">"c7942"</definedName>
    <definedName function="false" hidden="false" name="IQ_ECO_METRIC_7943" vbProcedure="false">"c7943"</definedName>
    <definedName function="false" hidden="false" name="IQ_ECO_METRIC_7944" vbProcedure="false">"c7944"</definedName>
    <definedName function="false" hidden="false" name="IQ_ECO_METRIC_7945" vbProcedure="false">"c7945"</definedName>
    <definedName function="false" hidden="false" name="IQ_ECO_METRIC_7946" vbProcedure="false">"c7946"</definedName>
    <definedName function="false" hidden="false" name="IQ_ECO_METRIC_7947" vbProcedure="false">"c7947"</definedName>
    <definedName function="false" hidden="false" name="IQ_ECO_METRIC_7948" vbProcedure="false">"c7948"</definedName>
    <definedName function="false" hidden="false" name="IQ_ECO_METRIC_7949" vbProcedure="false">"c7949"</definedName>
    <definedName function="false" hidden="false" name="IQ_ECO_METRIC_7950" vbProcedure="false">"c7950"</definedName>
    <definedName function="false" hidden="false" name="IQ_ECO_METRIC_7951" vbProcedure="false">"c7951"</definedName>
    <definedName function="false" hidden="false" name="IQ_ECO_METRIC_7952" vbProcedure="false">"c7952"</definedName>
    <definedName function="false" hidden="false" name="IQ_ECO_METRIC_7953" vbProcedure="false">"c7953"</definedName>
    <definedName function="false" hidden="false" name="IQ_ECO_METRIC_7954" vbProcedure="false">"c7954"</definedName>
    <definedName function="false" hidden="false" name="IQ_ECO_METRIC_7955" vbProcedure="false">"c7955"</definedName>
    <definedName function="false" hidden="false" name="IQ_ECO_METRIC_7956" vbProcedure="false">"c7956"</definedName>
    <definedName function="false" hidden="false" name="IQ_ECO_METRIC_7957" vbProcedure="false">"c7957"</definedName>
    <definedName function="false" hidden="false" name="IQ_ECO_METRIC_7958" vbProcedure="false">"c7958"</definedName>
    <definedName function="false" hidden="false" name="IQ_ECO_METRIC_7959" vbProcedure="false">"c7959"</definedName>
    <definedName function="false" hidden="false" name="IQ_ECO_METRIC_7960" vbProcedure="false">"c7960"</definedName>
    <definedName function="false" hidden="false" name="IQ_ECO_METRIC_7961" vbProcedure="false">"c7961"</definedName>
    <definedName function="false" hidden="false" name="IQ_ECO_METRIC_7962" vbProcedure="false">"c7962"</definedName>
    <definedName function="false" hidden="false" name="IQ_ECO_METRIC_7963" vbProcedure="false">"c7963"</definedName>
    <definedName function="false" hidden="false" name="IQ_ECO_METRIC_7964" vbProcedure="false">"c7964"</definedName>
    <definedName function="false" hidden="false" name="IQ_ECO_METRIC_7965" vbProcedure="false">"c7965"</definedName>
    <definedName function="false" hidden="false" name="IQ_ECO_METRIC_7966" vbProcedure="false">"c7966"</definedName>
    <definedName function="false" hidden="false" name="IQ_ECO_METRIC_7967" vbProcedure="false">"c7967"</definedName>
    <definedName function="false" hidden="false" name="IQ_ECO_METRIC_7968" vbProcedure="false">"c7968"</definedName>
    <definedName function="false" hidden="false" name="IQ_ECO_METRIC_7969" vbProcedure="false">"c7969"</definedName>
    <definedName function="false" hidden="false" name="IQ_ECO_METRIC_7970" vbProcedure="false">"c7970"</definedName>
    <definedName function="false" hidden="false" name="IQ_ECO_METRIC_7971" vbProcedure="false">"c7971"</definedName>
    <definedName function="false" hidden="false" name="IQ_ECO_METRIC_7972" vbProcedure="false">"c7972"</definedName>
    <definedName function="false" hidden="false" name="IQ_ECO_METRIC_7973" vbProcedure="false">"c7973"</definedName>
    <definedName function="false" hidden="false" name="IQ_ECO_METRIC_7974" vbProcedure="false">"c7974"</definedName>
    <definedName function="false" hidden="false" name="IQ_ECO_METRIC_7975" vbProcedure="false">"c7975"</definedName>
    <definedName function="false" hidden="false" name="IQ_ECO_METRIC_7976" vbProcedure="false">"c7976"</definedName>
    <definedName function="false" hidden="false" name="IQ_ECO_METRIC_7977" vbProcedure="false">"c7977"</definedName>
    <definedName function="false" hidden="false" name="IQ_ECO_METRIC_7978" vbProcedure="false">"c7978"</definedName>
    <definedName function="false" hidden="false" name="IQ_ECO_METRIC_7979" vbProcedure="false">"c7979"</definedName>
    <definedName function="false" hidden="false" name="IQ_ECO_METRIC_7980" vbProcedure="false">"c7980"</definedName>
    <definedName function="false" hidden="false" name="IQ_ECO_METRIC_7981" vbProcedure="false">"c7981"</definedName>
    <definedName function="false" hidden="false" name="IQ_ECO_METRIC_7982" vbProcedure="false">"c7982"</definedName>
    <definedName function="false" hidden="false" name="IQ_ECO_METRIC_7983" vbProcedure="false">"c7983"</definedName>
    <definedName function="false" hidden="false" name="IQ_ECO_METRIC_7984" vbProcedure="false">"c7984"</definedName>
    <definedName function="false" hidden="false" name="IQ_ECO_METRIC_7985" vbProcedure="false">"c7985"</definedName>
    <definedName function="false" hidden="false" name="IQ_ECO_METRIC_7986" vbProcedure="false">"c7986"</definedName>
    <definedName function="false" hidden="false" name="IQ_ECO_METRIC_7987" vbProcedure="false">"c7987"</definedName>
    <definedName function="false" hidden="false" name="IQ_ECO_METRIC_7988" vbProcedure="false">"c7988"</definedName>
    <definedName function="false" hidden="false" name="IQ_ECO_METRIC_7989" vbProcedure="false">"c7989"</definedName>
    <definedName function="false" hidden="false" name="IQ_ECO_METRIC_7990" vbProcedure="false">"c7990"</definedName>
    <definedName function="false" hidden="false" name="IQ_ECO_METRIC_7991" vbProcedure="false">"c7991"</definedName>
    <definedName function="false" hidden="false" name="IQ_ECO_METRIC_7992" vbProcedure="false">"c7992"</definedName>
    <definedName function="false" hidden="false" name="IQ_ECO_METRIC_7993" vbProcedure="false">"c7993"</definedName>
    <definedName function="false" hidden="false" name="IQ_ECO_METRIC_7994" vbProcedure="false">"c7994"</definedName>
    <definedName function="false" hidden="false" name="IQ_ECO_METRIC_7995" vbProcedure="false">"c7995"</definedName>
    <definedName function="false" hidden="false" name="IQ_ECO_METRIC_7996" vbProcedure="false">"c7996"</definedName>
    <definedName function="false" hidden="false" name="IQ_ECO_METRIC_7996_UNUSED_UNUSED_UNUSED" vbProcedure="false">"c7996"</definedName>
    <definedName function="false" hidden="false" name="IQ_ECO_METRIC_7997" vbProcedure="false">"c7997"</definedName>
    <definedName function="false" hidden="false" name="IQ_ECO_METRIC_7997_UNUSED_UNUSED_UNUSED" vbProcedure="false">"c7997"</definedName>
    <definedName function="false" hidden="false" name="IQ_ECO_METRIC_7999" vbProcedure="false">"c7999"</definedName>
    <definedName function="false" hidden="false" name="IQ_ECO_METRIC_8000" vbProcedure="false">"c8000"</definedName>
    <definedName function="false" hidden="false" name="IQ_ECO_METRIC_8001" vbProcedure="false">"c8001"</definedName>
    <definedName function="false" hidden="false" name="IQ_ECO_METRIC_8002" vbProcedure="false">"c8002"</definedName>
    <definedName function="false" hidden="false" name="IQ_ECO_METRIC_8003" vbProcedure="false">"c8003"</definedName>
    <definedName function="false" hidden="false" name="IQ_ECO_METRIC_8004" vbProcedure="false">"c8004"</definedName>
    <definedName function="false" hidden="false" name="IQ_ECO_METRIC_8005" vbProcedure="false">"c8005"</definedName>
    <definedName function="false" hidden="false" name="IQ_ECO_METRIC_8006" vbProcedure="false">"c8006"</definedName>
    <definedName function="false" hidden="false" name="IQ_ECO_METRIC_8007" vbProcedure="false">"c8007"</definedName>
    <definedName function="false" hidden="false" name="IQ_ECO_METRIC_8008" vbProcedure="false">"c8008"</definedName>
    <definedName function="false" hidden="false" name="IQ_ECO_METRIC_8009" vbProcedure="false">"c8009"</definedName>
    <definedName function="false" hidden="false" name="IQ_ECO_METRIC_8010" vbProcedure="false">"c8010"</definedName>
    <definedName function="false" hidden="false" name="IQ_ECO_METRIC_8011" vbProcedure="false">"c8011"</definedName>
    <definedName function="false" hidden="false" name="IQ_ECO_METRIC_8012" vbProcedure="false">"c8012"</definedName>
    <definedName function="false" hidden="false" name="IQ_ECO_METRIC_8013" vbProcedure="false">"c8013"</definedName>
    <definedName function="false" hidden="false" name="IQ_ECO_METRIC_8014" vbProcedure="false">"c8014"</definedName>
    <definedName function="false" hidden="false" name="IQ_ECO_METRIC_8015" vbProcedure="false">"c8015"</definedName>
    <definedName function="false" hidden="false" name="IQ_ECO_METRIC_8016" vbProcedure="false">"c8016"</definedName>
    <definedName function="false" hidden="false" name="IQ_ECO_METRIC_8017" vbProcedure="false">"c8017"</definedName>
    <definedName function="false" hidden="false" name="IQ_ECO_METRIC_8018" vbProcedure="false">"c8018"</definedName>
    <definedName function="false" hidden="false" name="IQ_ECO_METRIC_8019" vbProcedure="false">"c8019"</definedName>
    <definedName function="false" hidden="false" name="IQ_ECO_METRIC_8020" vbProcedure="false">"c8020"</definedName>
    <definedName function="false" hidden="false" name="IQ_ECO_METRIC_8021" vbProcedure="false">"c8021"</definedName>
    <definedName function="false" hidden="false" name="IQ_ECO_METRIC_8022" vbProcedure="false">"c8022"</definedName>
    <definedName function="false" hidden="false" name="IQ_ECO_METRIC_8023" vbProcedure="false">"c8023"</definedName>
    <definedName function="false" hidden="false" name="IQ_ECO_METRIC_8024" vbProcedure="false">"c8024"</definedName>
    <definedName function="false" hidden="false" name="IQ_ECO_METRIC_8025" vbProcedure="false">"c8025"</definedName>
    <definedName function="false" hidden="false" name="IQ_ECO_METRIC_8026" vbProcedure="false">"c8026"</definedName>
    <definedName function="false" hidden="false" name="IQ_ECO_METRIC_8028" vbProcedure="false">"c8028"</definedName>
    <definedName function="false" hidden="false" name="IQ_ECO_METRIC_8029" vbProcedure="false">"c8029"</definedName>
    <definedName function="false" hidden="false" name="IQ_ECO_METRIC_8030" vbProcedure="false">"c8030"</definedName>
    <definedName function="false" hidden="false" name="IQ_ECO_METRIC_8032" vbProcedure="false">"c8032"</definedName>
    <definedName function="false" hidden="false" name="IQ_ECO_METRIC_8033" vbProcedure="false">"c8033"</definedName>
    <definedName function="false" hidden="false" name="IQ_ECO_METRIC_8034" vbProcedure="false">"c8034"</definedName>
    <definedName function="false" hidden="false" name="IQ_ECO_METRIC_8035" vbProcedure="false">"c8035"</definedName>
    <definedName function="false" hidden="false" name="IQ_ECO_METRIC_8036" vbProcedure="false">"c8036"</definedName>
    <definedName function="false" hidden="false" name="IQ_ECO_METRIC_8037" vbProcedure="false">"c8037"</definedName>
    <definedName function="false" hidden="false" name="IQ_ECO_METRIC_8038" vbProcedure="false">"c8038"</definedName>
    <definedName function="false" hidden="false" name="IQ_ECO_METRIC_8039" vbProcedure="false">"c8039"</definedName>
    <definedName function="false" hidden="false" name="IQ_ECO_METRIC_8040" vbProcedure="false">"c8040"</definedName>
    <definedName function="false" hidden="false" name="IQ_ECO_METRIC_8041" vbProcedure="false">"c8041"</definedName>
    <definedName function="false" hidden="false" name="IQ_ECO_METRIC_8042" vbProcedure="false">"c8042"</definedName>
    <definedName function="false" hidden="false" name="IQ_ECO_METRIC_8043" vbProcedure="false">"c8043"</definedName>
    <definedName function="false" hidden="false" name="IQ_ECO_METRIC_8044" vbProcedure="false">"c8044"</definedName>
    <definedName function="false" hidden="false" name="IQ_ECO_METRIC_8045" vbProcedure="false">"c8045"</definedName>
    <definedName function="false" hidden="false" name="IQ_ECO_METRIC_8046" vbProcedure="false">"c8046"</definedName>
    <definedName function="false" hidden="false" name="IQ_ECO_METRIC_8047" vbProcedure="false">"c8047"</definedName>
    <definedName function="false" hidden="false" name="IQ_ECO_METRIC_8048" vbProcedure="false">"c8048"</definedName>
    <definedName function="false" hidden="false" name="IQ_ECO_METRIC_8049" vbProcedure="false">"c8049"</definedName>
    <definedName function="false" hidden="false" name="IQ_ECO_METRIC_8050" vbProcedure="false">"c8050"</definedName>
    <definedName function="false" hidden="false" name="IQ_ECO_METRIC_8051" vbProcedure="false">"c8051"</definedName>
    <definedName function="false" hidden="false" name="IQ_ECO_METRIC_8052" vbProcedure="false">"c8052"</definedName>
    <definedName function="false" hidden="false" name="IQ_ECO_METRIC_8053" vbProcedure="false">"c8053"</definedName>
    <definedName function="false" hidden="false" name="IQ_ECO_METRIC_8054" vbProcedure="false">"c8054"</definedName>
    <definedName function="false" hidden="false" name="IQ_ECO_METRIC_8055" vbProcedure="false">"c8055"</definedName>
    <definedName function="false" hidden="false" name="IQ_ECO_METRIC_8056" vbProcedure="false">"c8056"</definedName>
    <definedName function="false" hidden="false" name="IQ_ECO_METRIC_8057" vbProcedure="false">"c8057"</definedName>
    <definedName function="false" hidden="false" name="IQ_ECO_METRIC_8058" vbProcedure="false">"c8058"</definedName>
    <definedName function="false" hidden="false" name="IQ_ECO_METRIC_8059" vbProcedure="false">"c8059"</definedName>
    <definedName function="false" hidden="false" name="IQ_ECO_METRIC_8060" vbProcedure="false">"c8060"</definedName>
    <definedName function="false" hidden="false" name="IQ_ECO_METRIC_8062" vbProcedure="false">"c8062"</definedName>
    <definedName function="false" hidden="false" name="IQ_ECO_METRIC_8063" vbProcedure="false">"c8063"</definedName>
    <definedName function="false" hidden="false" name="IQ_ECO_METRIC_8064" vbProcedure="false">"c8064"</definedName>
    <definedName function="false" hidden="false" name="IQ_ECO_METRIC_8065" vbProcedure="false">"c8065"</definedName>
    <definedName function="false" hidden="false" name="IQ_ECO_METRIC_8066" vbProcedure="false">"c8066"</definedName>
    <definedName function="false" hidden="false" name="IQ_ECO_METRIC_8067" vbProcedure="false">"c8067"</definedName>
    <definedName function="false" hidden="false" name="IQ_ECO_METRIC_8068" vbProcedure="false">"c8068"</definedName>
    <definedName function="false" hidden="false" name="IQ_ECO_METRIC_8069" vbProcedure="false">"c8069"</definedName>
    <definedName function="false" hidden="false" name="IQ_ECO_METRIC_8070" vbProcedure="false">"c8070"</definedName>
    <definedName function="false" hidden="false" name="IQ_ECO_METRIC_8071" vbProcedure="false">"c8071"</definedName>
    <definedName function="false" hidden="false" name="IQ_ECO_METRIC_8072" vbProcedure="false">"c8072"</definedName>
    <definedName function="false" hidden="false" name="IQ_ECO_METRIC_8073" vbProcedure="false">"c8073"</definedName>
    <definedName function="false" hidden="false" name="IQ_ECO_METRIC_8074" vbProcedure="false">"c8074"</definedName>
    <definedName function="false" hidden="false" name="IQ_ECO_METRIC_8075" vbProcedure="false">"c8075"</definedName>
    <definedName function="false" hidden="false" name="IQ_ECO_METRIC_8076" vbProcedure="false">"c8076"</definedName>
    <definedName function="false" hidden="false" name="IQ_ECO_METRIC_8077" vbProcedure="false">"c8077"</definedName>
    <definedName function="false" hidden="false" name="IQ_ECO_METRIC_8078" vbProcedure="false">"c8078"</definedName>
    <definedName function="false" hidden="false" name="IQ_ECO_METRIC_8079" vbProcedure="false">"c8079"</definedName>
    <definedName function="false" hidden="false" name="IQ_ECO_METRIC_8080" vbProcedure="false">"c8080"</definedName>
    <definedName function="false" hidden="false" name="IQ_ECO_METRIC_8081" vbProcedure="false">"c8081"</definedName>
    <definedName function="false" hidden="false" name="IQ_ECO_METRIC_8082" vbProcedure="false">"c8082"</definedName>
    <definedName function="false" hidden="false" name="IQ_ECO_METRIC_8083" vbProcedure="false">"c8083"</definedName>
    <definedName function="false" hidden="false" name="IQ_ECO_METRIC_8084" vbProcedure="false">"c8084"</definedName>
    <definedName function="false" hidden="false" name="IQ_ECO_METRIC_8085" vbProcedure="false">"c8085"</definedName>
    <definedName function="false" hidden="false" name="IQ_ECO_METRIC_8086" vbProcedure="false">"c8086"</definedName>
    <definedName function="false" hidden="false" name="IQ_ECO_METRIC_8087" vbProcedure="false">"c8087"</definedName>
    <definedName function="false" hidden="false" name="IQ_ECO_METRIC_8088" vbProcedure="false">"c8088"</definedName>
    <definedName function="false" hidden="false" name="IQ_ECO_METRIC_8088_UNUSED_UNUSED_UNUSED" vbProcedure="false">"c8088"</definedName>
    <definedName function="false" hidden="false" name="IQ_ECO_METRIC_8089" vbProcedure="false">"c8089"</definedName>
    <definedName function="false" hidden="false" name="IQ_ECO_METRIC_8090" vbProcedure="false">"c8090"</definedName>
    <definedName function="false" hidden="false" name="IQ_ECO_METRIC_8091" vbProcedure="false">"c8091"</definedName>
    <definedName function="false" hidden="false" name="IQ_ECO_METRIC_8092" vbProcedure="false">"c8092"</definedName>
    <definedName function="false" hidden="false" name="IQ_ECO_METRIC_8094" vbProcedure="false">"c8094"</definedName>
    <definedName function="false" hidden="false" name="IQ_ECO_METRIC_8095" vbProcedure="false">"c8095"</definedName>
    <definedName function="false" hidden="false" name="IQ_ECO_METRIC_8096" vbProcedure="false">"c8096"</definedName>
    <definedName function="false" hidden="false" name="IQ_ECO_METRIC_8097" vbProcedure="false">"c8097"</definedName>
    <definedName function="false" hidden="false" name="IQ_ECO_METRIC_8098" vbProcedure="false">"c8098"</definedName>
    <definedName function="false" hidden="false" name="IQ_ECO_METRIC_8100" vbProcedure="false">"c8100"</definedName>
    <definedName function="false" hidden="false" name="IQ_ECO_METRIC_8101" vbProcedure="false">"c8101"</definedName>
    <definedName function="false" hidden="false" name="IQ_ECO_METRIC_8102" vbProcedure="false">"c8102"</definedName>
    <definedName function="false" hidden="false" name="IQ_ECO_METRIC_8103" vbProcedure="false">"c8103"</definedName>
    <definedName function="false" hidden="false" name="IQ_ECO_METRIC_8104" vbProcedure="false">"c8104"</definedName>
    <definedName function="false" hidden="false" name="IQ_ECO_METRIC_8105" vbProcedure="false">"c8105"</definedName>
    <definedName function="false" hidden="false" name="IQ_ECO_METRIC_8106" vbProcedure="false">"c8106"</definedName>
    <definedName function="false" hidden="false" name="IQ_ECO_METRIC_8107" vbProcedure="false">"c8107"</definedName>
    <definedName function="false" hidden="false" name="IQ_ECO_METRIC_8108" vbProcedure="false">"c8108"</definedName>
    <definedName function="false" hidden="false" name="IQ_ECO_METRIC_8109" vbProcedure="false">"c8109"</definedName>
    <definedName function="false" hidden="false" name="IQ_ECO_METRIC_8110" vbProcedure="false">"c8110"</definedName>
    <definedName function="false" hidden="false" name="IQ_ECO_METRIC_8111" vbProcedure="false">"c8111"</definedName>
    <definedName function="false" hidden="false" name="IQ_ECO_METRIC_8112" vbProcedure="false">"c8112"</definedName>
    <definedName function="false" hidden="false" name="IQ_ECO_METRIC_8113" vbProcedure="false">"c8113"</definedName>
    <definedName function="false" hidden="false" name="IQ_ECO_METRIC_8115" vbProcedure="false">"c8115"</definedName>
    <definedName function="false" hidden="false" name="IQ_ECO_METRIC_8116" vbProcedure="false">"c8116"</definedName>
    <definedName function="false" hidden="false" name="IQ_ECO_METRIC_8117" vbProcedure="false">"c8117"</definedName>
    <definedName function="false" hidden="false" name="IQ_ECO_METRIC_8118" vbProcedure="false">"c8118"</definedName>
    <definedName function="false" hidden="false" name="IQ_ECO_METRIC_8119" vbProcedure="false">"c8119"</definedName>
    <definedName function="false" hidden="false" name="IQ_ECO_METRIC_8120" vbProcedure="false">"c8120"</definedName>
    <definedName function="false" hidden="false" name="IQ_ECO_METRIC_8121" vbProcedure="false">"c8121"</definedName>
    <definedName function="false" hidden="false" name="IQ_ECO_METRIC_8123" vbProcedure="false">"c8123"</definedName>
    <definedName function="false" hidden="false" name="IQ_ECO_METRIC_8124" vbProcedure="false">"c8124"</definedName>
    <definedName function="false" hidden="false" name="IQ_ECO_METRIC_8125" vbProcedure="false">"c8125"</definedName>
    <definedName function="false" hidden="false" name="IQ_ECO_METRIC_8126" vbProcedure="false">"c8126"</definedName>
    <definedName function="false" hidden="false" name="IQ_ECO_METRIC_8127" vbProcedure="false">"c8127"</definedName>
    <definedName function="false" hidden="false" name="IQ_ECO_METRIC_8128" vbProcedure="false">"c8128"</definedName>
    <definedName function="false" hidden="false" name="IQ_ECO_METRIC_8129" vbProcedure="false">"c8129"</definedName>
    <definedName function="false" hidden="false" name="IQ_ECO_METRIC_8130" vbProcedure="false">"c8130"</definedName>
    <definedName function="false" hidden="false" name="IQ_ECO_METRIC_8131" vbProcedure="false">"c8131"</definedName>
    <definedName function="false" hidden="false" name="IQ_ECO_METRIC_8132" vbProcedure="false">"c8132"</definedName>
    <definedName function="false" hidden="false" name="IQ_ECO_METRIC_8133" vbProcedure="false">"c8133"</definedName>
    <definedName function="false" hidden="false" name="IQ_ECO_METRIC_8134" vbProcedure="false">"c8134"</definedName>
    <definedName function="false" hidden="false" name="IQ_ECO_METRIC_8135" vbProcedure="false">"c8135"</definedName>
    <definedName function="false" hidden="false" name="IQ_ECO_METRIC_8136" vbProcedure="false">"c8136"</definedName>
    <definedName function="false" hidden="false" name="IQ_ECO_METRIC_8137" vbProcedure="false">"c8137"</definedName>
    <definedName function="false" hidden="false" name="IQ_ECO_METRIC_8138" vbProcedure="false">"c8138"</definedName>
    <definedName function="false" hidden="false" name="IQ_ECO_METRIC_8139" vbProcedure="false">"c8139"</definedName>
    <definedName function="false" hidden="false" name="IQ_ECO_METRIC_8140" vbProcedure="false">"c8140"</definedName>
    <definedName function="false" hidden="false" name="IQ_ECO_METRIC_8141" vbProcedure="false">"c8141"</definedName>
    <definedName function="false" hidden="false" name="IQ_ECO_METRIC_8142" vbProcedure="false">"c8142"</definedName>
    <definedName function="false" hidden="false" name="IQ_ECO_METRIC_8143" vbProcedure="false">"c8143"</definedName>
    <definedName function="false" hidden="false" name="IQ_ECO_METRIC_8145" vbProcedure="false">"c8145"</definedName>
    <definedName function="false" hidden="false" name="IQ_ECO_METRIC_8145_UNUSED_UNUSED_UNUSED" vbProcedure="false">"c8145"</definedName>
    <definedName function="false" hidden="false" name="IQ_ECO_METRIC_8147" vbProcedure="false">"c8147"</definedName>
    <definedName function="false" hidden="false" name="IQ_ECO_METRIC_8148" vbProcedure="false">"c8148"</definedName>
    <definedName function="false" hidden="false" name="IQ_ECO_METRIC_8149" vbProcedure="false">"c8149"</definedName>
    <definedName function="false" hidden="false" name="IQ_ECO_METRIC_8150" vbProcedure="false">"c8150"</definedName>
    <definedName function="false" hidden="false" name="IQ_ECO_METRIC_8152" vbProcedure="false">"c8152"</definedName>
    <definedName function="false" hidden="false" name="IQ_ECO_METRIC_8153" vbProcedure="false">"c8153"</definedName>
    <definedName function="false" hidden="false" name="IQ_ECO_METRIC_8154" vbProcedure="false">"c8154"</definedName>
    <definedName function="false" hidden="false" name="IQ_ECO_METRIC_8155" vbProcedure="false">"c8155"</definedName>
    <definedName function="false" hidden="false" name="IQ_ECO_METRIC_8156" vbProcedure="false">"c8156"</definedName>
    <definedName function="false" hidden="false" name="IQ_ECO_METRIC_8157" vbProcedure="false">"c8157"</definedName>
    <definedName function="false" hidden="false" name="IQ_ECO_METRIC_8159" vbProcedure="false">"c8159"</definedName>
    <definedName function="false" hidden="false" name="IQ_ECO_METRIC_8159_UNUSED_UNUSED_UNUSED" vbProcedure="false">"c8159"</definedName>
    <definedName function="false" hidden="false" name="IQ_ECO_METRIC_8160" vbProcedure="false">"c8160"</definedName>
    <definedName function="false" hidden="false" name="IQ_ECO_METRIC_8161" vbProcedure="false">"c8161"</definedName>
    <definedName function="false" hidden="false" name="IQ_ECO_METRIC_8162" vbProcedure="false">"c8162"</definedName>
    <definedName function="false" hidden="false" name="IQ_ECO_METRIC_8163" vbProcedure="false">"c8163"</definedName>
    <definedName function="false" hidden="false" name="IQ_ECO_METRIC_8164" vbProcedure="false">"c8164"</definedName>
    <definedName function="false" hidden="false" name="IQ_ECO_METRIC_8165" vbProcedure="false">"c8165"</definedName>
    <definedName function="false" hidden="false" name="IQ_ECO_METRIC_8166" vbProcedure="false">"c8166"</definedName>
    <definedName function="false" hidden="false" name="IQ_ECO_METRIC_8167" vbProcedure="false">"c8167"</definedName>
    <definedName function="false" hidden="false" name="IQ_ECO_METRIC_8168" vbProcedure="false">"c8168"</definedName>
    <definedName function="false" hidden="false" name="IQ_ECO_METRIC_8169" vbProcedure="false">"c8169"</definedName>
    <definedName function="false" hidden="false" name="IQ_ECO_METRIC_8170" vbProcedure="false">"c8170"</definedName>
    <definedName function="false" hidden="false" name="IQ_ECO_METRIC_8171" vbProcedure="false">"c8171"</definedName>
    <definedName function="false" hidden="false" name="IQ_ECO_METRIC_8172" vbProcedure="false">"c8172"</definedName>
    <definedName function="false" hidden="false" name="IQ_ECO_METRIC_8173" vbProcedure="false">"c8173"</definedName>
    <definedName function="false" hidden="false" name="IQ_ECO_METRIC_8174" vbProcedure="false">"c8174"</definedName>
    <definedName function="false" hidden="false" name="IQ_ECO_METRIC_8175" vbProcedure="false">"c8175"</definedName>
    <definedName function="false" hidden="false" name="IQ_ECO_METRIC_8176" vbProcedure="false">"c8176"</definedName>
    <definedName function="false" hidden="false" name="IQ_ECO_METRIC_8177" vbProcedure="false">"c8177"</definedName>
    <definedName function="false" hidden="false" name="IQ_ECO_METRIC_8178" vbProcedure="false">"c8178"</definedName>
    <definedName function="false" hidden="false" name="IQ_ECO_METRIC_8179" vbProcedure="false">"c8179"</definedName>
    <definedName function="false" hidden="false" name="IQ_ECO_METRIC_8180" vbProcedure="false">"c8180"</definedName>
    <definedName function="false" hidden="false" name="IQ_ECO_METRIC_8181" vbProcedure="false">"c8181"</definedName>
    <definedName function="false" hidden="false" name="IQ_ECO_METRIC_8182" vbProcedure="false">"c8182"</definedName>
    <definedName function="false" hidden="false" name="IQ_ECO_METRIC_8183" vbProcedure="false">"c8183"</definedName>
    <definedName function="false" hidden="false" name="IQ_ECO_METRIC_8184" vbProcedure="false">"c8184"</definedName>
    <definedName function="false" hidden="false" name="IQ_ECO_METRIC_8185" vbProcedure="false">"c8185"</definedName>
    <definedName function="false" hidden="false" name="IQ_ECO_METRIC_8186" vbProcedure="false">"c8186"</definedName>
    <definedName function="false" hidden="false" name="IQ_ECO_METRIC_8187" vbProcedure="false">"c8187"</definedName>
    <definedName function="false" hidden="false" name="IQ_ECO_METRIC_8188" vbProcedure="false">"c8188"</definedName>
    <definedName function="false" hidden="false" name="IQ_ECO_METRIC_8189" vbProcedure="false">"c8189"</definedName>
    <definedName function="false" hidden="false" name="IQ_ECO_METRIC_8190" vbProcedure="false">"c8190"</definedName>
    <definedName function="false" hidden="false" name="IQ_ECO_METRIC_8191" vbProcedure="false">"c8191"</definedName>
    <definedName function="false" hidden="false" name="IQ_ECO_METRIC_8192" vbProcedure="false">"c8192"</definedName>
    <definedName function="false" hidden="false" name="IQ_ECO_METRIC_8193" vbProcedure="false">"c8193"</definedName>
    <definedName function="false" hidden="false" name="IQ_ECO_METRIC_8194" vbProcedure="false">"c8194"</definedName>
    <definedName function="false" hidden="false" name="IQ_ECO_METRIC_8195" vbProcedure="false">"c8195"</definedName>
    <definedName function="false" hidden="false" name="IQ_ECO_METRIC_8196" vbProcedure="false">"c8196"</definedName>
    <definedName function="false" hidden="false" name="IQ_ECO_METRIC_8197" vbProcedure="false">"c8197"</definedName>
    <definedName function="false" hidden="false" name="IQ_ECO_METRIC_8198" vbProcedure="false">"c8198"</definedName>
    <definedName function="false" hidden="false" name="IQ_ECO_METRIC_8199" vbProcedure="false">"c8199"</definedName>
    <definedName function="false" hidden="false" name="IQ_ECO_METRIC_8200" vbProcedure="false">"c8200"</definedName>
    <definedName function="false" hidden="false" name="IQ_ECO_METRIC_8201" vbProcedure="false">"c8201"</definedName>
    <definedName function="false" hidden="false" name="IQ_ECO_METRIC_8202" vbProcedure="false">"c8202"</definedName>
    <definedName function="false" hidden="false" name="IQ_ECO_METRIC_8203" vbProcedure="false">"c8203"</definedName>
    <definedName function="false" hidden="false" name="IQ_ECO_METRIC_8204" vbProcedure="false">"c8204"</definedName>
    <definedName function="false" hidden="false" name="IQ_ECO_METRIC_8205" vbProcedure="false">"c8205"</definedName>
    <definedName function="false" hidden="false" name="IQ_ECO_METRIC_8206" vbProcedure="false">"c8206"</definedName>
    <definedName function="false" hidden="false" name="IQ_ECO_METRIC_8207" vbProcedure="false">"c8207"</definedName>
    <definedName function="false" hidden="false" name="IQ_ECO_METRIC_8208" vbProcedure="false">"c8208"</definedName>
    <definedName function="false" hidden="false" name="IQ_ECO_METRIC_8209" vbProcedure="false">"c8209"</definedName>
    <definedName function="false" hidden="false" name="IQ_ECO_METRIC_8210" vbProcedure="false">"c8210"</definedName>
    <definedName function="false" hidden="false" name="IQ_ECO_METRIC_8211" vbProcedure="false">"c8211"</definedName>
    <definedName function="false" hidden="false" name="IQ_ECO_METRIC_8212" vbProcedure="false">"c8212"</definedName>
    <definedName function="false" hidden="false" name="IQ_ECO_METRIC_8213" vbProcedure="false">"c8213"</definedName>
    <definedName function="false" hidden="false" name="IQ_ECO_METRIC_8214" vbProcedure="false">"c8214"</definedName>
    <definedName function="false" hidden="false" name="IQ_ECO_METRIC_8215" vbProcedure="false">"c8215"</definedName>
    <definedName function="false" hidden="false" name="IQ_ECO_METRIC_8216" vbProcedure="false">"c8216"</definedName>
    <definedName function="false" hidden="false" name="IQ_ECO_METRIC_8216_UNUSED_UNUSED_UNUSED" vbProcedure="false">"c8216"</definedName>
    <definedName function="false" hidden="false" name="IQ_ECO_METRIC_8217" vbProcedure="false">"c8217"</definedName>
    <definedName function="false" hidden="false" name="IQ_ECO_METRIC_8217_UNUSED_UNUSED_UNUSED" vbProcedure="false">"c8217"</definedName>
    <definedName function="false" hidden="false" name="IQ_ECO_METRIC_8219" vbProcedure="false">"c8219"</definedName>
    <definedName function="false" hidden="false" name="IQ_ECO_METRIC_8221" vbProcedure="false">"c8221"</definedName>
    <definedName function="false" hidden="false" name="IQ_ECO_METRIC_8222" vbProcedure="false">"c8222"</definedName>
    <definedName function="false" hidden="false" name="IQ_ECO_METRIC_8223" vbProcedure="false">"c8223"</definedName>
    <definedName function="false" hidden="false" name="IQ_ECO_METRIC_8224" vbProcedure="false">"c8224"</definedName>
    <definedName function="false" hidden="false" name="IQ_ECO_METRIC_8225" vbProcedure="false">"c8225"</definedName>
    <definedName function="false" hidden="false" name="IQ_ECO_METRIC_8226" vbProcedure="false">"c8226"</definedName>
    <definedName function="false" hidden="false" name="IQ_ECO_METRIC_8227" vbProcedure="false">"c8227"</definedName>
    <definedName function="false" hidden="false" name="IQ_ECO_METRIC_8228" vbProcedure="false">"c8228"</definedName>
    <definedName function="false" hidden="false" name="IQ_ECO_METRIC_8229" vbProcedure="false">"c8229"</definedName>
    <definedName function="false" hidden="false" name="IQ_ECO_METRIC_8230" vbProcedure="false">"c8230"</definedName>
    <definedName function="false" hidden="false" name="IQ_ECO_METRIC_8231" vbProcedure="false">"c8231"</definedName>
    <definedName function="false" hidden="false" name="IQ_ECO_METRIC_8232" vbProcedure="false">"c8232"</definedName>
    <definedName function="false" hidden="false" name="IQ_ECO_METRIC_8233" vbProcedure="false">"c8233"</definedName>
    <definedName function="false" hidden="false" name="IQ_ECO_METRIC_8234" vbProcedure="false">"c8234"</definedName>
    <definedName function="false" hidden="false" name="IQ_ECO_METRIC_8235" vbProcedure="false">"c8235"</definedName>
    <definedName function="false" hidden="false" name="IQ_ECO_METRIC_8236" vbProcedure="false">"c8236"</definedName>
    <definedName function="false" hidden="false" name="IQ_ECO_METRIC_8237" vbProcedure="false">"c8237"</definedName>
    <definedName function="false" hidden="false" name="IQ_ECO_METRIC_8238" vbProcedure="false">"c8238"</definedName>
    <definedName function="false" hidden="false" name="IQ_ECO_METRIC_8239" vbProcedure="false">"c8239"</definedName>
    <definedName function="false" hidden="false" name="IQ_ECO_METRIC_8240" vbProcedure="false">"c8240"</definedName>
    <definedName function="false" hidden="false" name="IQ_ECO_METRIC_8241" vbProcedure="false">"c8241"</definedName>
    <definedName function="false" hidden="false" name="IQ_ECO_METRIC_8242" vbProcedure="false">"c8242"</definedName>
    <definedName function="false" hidden="false" name="IQ_ECO_METRIC_8243" vbProcedure="false">"c8243"</definedName>
    <definedName function="false" hidden="false" name="IQ_ECO_METRIC_8244" vbProcedure="false">"c8244"</definedName>
    <definedName function="false" hidden="false" name="IQ_ECO_METRIC_8245" vbProcedure="false">"c8245"</definedName>
    <definedName function="false" hidden="false" name="IQ_ECO_METRIC_8246" vbProcedure="false">"c8246"</definedName>
    <definedName function="false" hidden="false" name="IQ_ECO_METRIC_8248" vbProcedure="false">"c8248"</definedName>
    <definedName function="false" hidden="false" name="IQ_ECO_METRIC_8249" vbProcedure="false">"c8249"</definedName>
    <definedName function="false" hidden="false" name="IQ_ECO_METRIC_8250" vbProcedure="false">"c8250"</definedName>
    <definedName function="false" hidden="false" name="IQ_ECO_METRIC_8252" vbProcedure="false">"c8252"</definedName>
    <definedName function="false" hidden="false" name="IQ_ECO_METRIC_8253" vbProcedure="false">"c8253"</definedName>
    <definedName function="false" hidden="false" name="IQ_ECO_METRIC_8254" vbProcedure="false">"c8254"</definedName>
    <definedName function="false" hidden="false" name="IQ_ECO_METRIC_8255" vbProcedure="false">"c8255"</definedName>
    <definedName function="false" hidden="false" name="IQ_ECO_METRIC_8256" vbProcedure="false">"c8256"</definedName>
    <definedName function="false" hidden="false" name="IQ_ECO_METRIC_8257" vbProcedure="false">"c8257"</definedName>
    <definedName function="false" hidden="false" name="IQ_ECO_METRIC_8258" vbProcedure="false">"c8258"</definedName>
    <definedName function="false" hidden="false" name="IQ_ECO_METRIC_8259" vbProcedure="false">"c8259"</definedName>
    <definedName function="false" hidden="false" name="IQ_ECO_METRIC_8260" vbProcedure="false">"c8260"</definedName>
    <definedName function="false" hidden="false" name="IQ_ECO_METRIC_8261" vbProcedure="false">"c8261"</definedName>
    <definedName function="false" hidden="false" name="IQ_ECO_METRIC_8262" vbProcedure="false">"c8262"</definedName>
    <definedName function="false" hidden="false" name="IQ_ECO_METRIC_8263" vbProcedure="false">"c8263"</definedName>
    <definedName function="false" hidden="false" name="IQ_ECO_METRIC_8264" vbProcedure="false">"c8264"</definedName>
    <definedName function="false" hidden="false" name="IQ_ECO_METRIC_8265" vbProcedure="false">"c8265"</definedName>
    <definedName function="false" hidden="false" name="IQ_ECO_METRIC_8266" vbProcedure="false">"c8266"</definedName>
    <definedName function="false" hidden="false" name="IQ_ECO_METRIC_8267" vbProcedure="false">"c8267"</definedName>
    <definedName function="false" hidden="false" name="IQ_ECO_METRIC_8268" vbProcedure="false">"c8268"</definedName>
    <definedName function="false" hidden="false" name="IQ_ECO_METRIC_8269" vbProcedure="false">"c8269"</definedName>
    <definedName function="false" hidden="false" name="IQ_ECO_METRIC_8270" vbProcedure="false">"c8270"</definedName>
    <definedName function="false" hidden="false" name="IQ_ECO_METRIC_8271" vbProcedure="false">"c8271"</definedName>
    <definedName function="false" hidden="false" name="IQ_ECO_METRIC_8272" vbProcedure="false">"c8272"</definedName>
    <definedName function="false" hidden="false" name="IQ_ECO_METRIC_8273" vbProcedure="false">"c8273"</definedName>
    <definedName function="false" hidden="false" name="IQ_ECO_METRIC_8274" vbProcedure="false">"c8274"</definedName>
    <definedName function="false" hidden="false" name="IQ_ECO_METRIC_8275" vbProcedure="false">"c8275"</definedName>
    <definedName function="false" hidden="false" name="IQ_ECO_METRIC_8276" vbProcedure="false">"c8276"</definedName>
    <definedName function="false" hidden="false" name="IQ_ECO_METRIC_8277" vbProcedure="false">"c8277"</definedName>
    <definedName function="false" hidden="false" name="IQ_ECO_METRIC_8278" vbProcedure="false">"c8278"</definedName>
    <definedName function="false" hidden="false" name="IQ_ECO_METRIC_8279" vbProcedure="false">"c8279"</definedName>
    <definedName function="false" hidden="false" name="IQ_ECO_METRIC_8280" vbProcedure="false">"c8280"</definedName>
    <definedName function="false" hidden="false" name="IQ_ECO_METRIC_8282" vbProcedure="false">"c8282"</definedName>
    <definedName function="false" hidden="false" name="IQ_ECO_METRIC_8283" vbProcedure="false">"c8283"</definedName>
    <definedName function="false" hidden="false" name="IQ_ECO_METRIC_8284" vbProcedure="false">"c8284"</definedName>
    <definedName function="false" hidden="false" name="IQ_ECO_METRIC_8285" vbProcedure="false">"c8285"</definedName>
    <definedName function="false" hidden="false" name="IQ_ECO_METRIC_8286" vbProcedure="false">"c8286"</definedName>
    <definedName function="false" hidden="false" name="IQ_ECO_METRIC_8287" vbProcedure="false">"c8287"</definedName>
    <definedName function="false" hidden="false" name="IQ_ECO_METRIC_8288" vbProcedure="false">"c8288"</definedName>
    <definedName function="false" hidden="false" name="IQ_ECO_METRIC_8289" vbProcedure="false">"c8289"</definedName>
    <definedName function="false" hidden="false" name="IQ_ECO_METRIC_8290" vbProcedure="false">"c8290"</definedName>
    <definedName function="false" hidden="false" name="IQ_ECO_METRIC_8291" vbProcedure="false">"c8291"</definedName>
    <definedName function="false" hidden="false" name="IQ_ECO_METRIC_8292" vbProcedure="false">"c8292"</definedName>
    <definedName function="false" hidden="false" name="IQ_ECO_METRIC_8293" vbProcedure="false">"c8293"</definedName>
    <definedName function="false" hidden="false" name="IQ_ECO_METRIC_8294" vbProcedure="false">"c8294"</definedName>
    <definedName function="false" hidden="false" name="IQ_ECO_METRIC_8295" vbProcedure="false">"c8295"</definedName>
    <definedName function="false" hidden="false" name="IQ_ECO_METRIC_8296" vbProcedure="false">"c8296"</definedName>
    <definedName function="false" hidden="false" name="IQ_ECO_METRIC_8297" vbProcedure="false">"c8297"</definedName>
    <definedName function="false" hidden="false" name="IQ_ECO_METRIC_8298" vbProcedure="false">"c8298"</definedName>
    <definedName function="false" hidden="false" name="IQ_ECO_METRIC_8299" vbProcedure="false">"c8299"</definedName>
    <definedName function="false" hidden="false" name="IQ_ECO_METRIC_8300" vbProcedure="false">"c8300"</definedName>
    <definedName function="false" hidden="false" name="IQ_ECO_METRIC_8301" vbProcedure="false">"c8301"</definedName>
    <definedName function="false" hidden="false" name="IQ_ECO_METRIC_8302" vbProcedure="false">"c8302"</definedName>
    <definedName function="false" hidden="false" name="IQ_ECO_METRIC_8303" vbProcedure="false">"c8303"</definedName>
    <definedName function="false" hidden="false" name="IQ_ECO_METRIC_8304" vbProcedure="false">"c8304"</definedName>
    <definedName function="false" hidden="false" name="IQ_ECO_METRIC_8305" vbProcedure="false">"c8305"</definedName>
    <definedName function="false" hidden="false" name="IQ_ECO_METRIC_8306" vbProcedure="false">"c8306"</definedName>
    <definedName function="false" hidden="false" name="IQ_ECO_METRIC_8307" vbProcedure="false">"c8307"</definedName>
    <definedName function="false" hidden="false" name="IQ_ECO_METRIC_8308" vbProcedure="false">"c8308"</definedName>
    <definedName function="false" hidden="false" name="IQ_ECO_METRIC_8308_UNUSED_UNUSED_UNUSED" vbProcedure="false">"c8308"</definedName>
    <definedName function="false" hidden="false" name="IQ_ECO_METRIC_8309" vbProcedure="false">"c8309"</definedName>
    <definedName function="false" hidden="false" name="IQ_ECO_METRIC_8310" vbProcedure="false">"c8310"</definedName>
    <definedName function="false" hidden="false" name="IQ_ECO_METRIC_8311" vbProcedure="false">"c8311"</definedName>
    <definedName function="false" hidden="false" name="IQ_ECO_METRIC_8312" vbProcedure="false">"c8312"</definedName>
    <definedName function="false" hidden="false" name="IQ_ECO_METRIC_8314" vbProcedure="false">"c8314"</definedName>
    <definedName function="false" hidden="false" name="IQ_ECO_METRIC_8315" vbProcedure="false">"c8315"</definedName>
    <definedName function="false" hidden="false" name="IQ_ECO_METRIC_8316" vbProcedure="false">"c8316"</definedName>
    <definedName function="false" hidden="false" name="IQ_ECO_METRIC_8317" vbProcedure="false">"c8317"</definedName>
    <definedName function="false" hidden="false" name="IQ_ECO_METRIC_8318" vbProcedure="false">"c8318"</definedName>
    <definedName function="false" hidden="false" name="IQ_ECO_METRIC_8320" vbProcedure="false">"c8320"</definedName>
    <definedName function="false" hidden="false" name="IQ_ECO_METRIC_8321" vbProcedure="false">"c8321"</definedName>
    <definedName function="false" hidden="false" name="IQ_ECO_METRIC_8322" vbProcedure="false">"c8322"</definedName>
    <definedName function="false" hidden="false" name="IQ_ECO_METRIC_8323" vbProcedure="false">"c8323"</definedName>
    <definedName function="false" hidden="false" name="IQ_ECO_METRIC_8324" vbProcedure="false">"c8324"</definedName>
    <definedName function="false" hidden="false" name="IQ_ECO_METRIC_8325" vbProcedure="false">"c8325"</definedName>
    <definedName function="false" hidden="false" name="IQ_ECO_METRIC_8326" vbProcedure="false">"c8326"</definedName>
    <definedName function="false" hidden="false" name="IQ_ECO_METRIC_8327" vbProcedure="false">"c8327"</definedName>
    <definedName function="false" hidden="false" name="IQ_ECO_METRIC_8328" vbProcedure="false">"c8328"</definedName>
    <definedName function="false" hidden="false" name="IQ_ECO_METRIC_8329" vbProcedure="false">"c8329"</definedName>
    <definedName function="false" hidden="false" name="IQ_ECO_METRIC_8330" vbProcedure="false">"c8330"</definedName>
    <definedName function="false" hidden="false" name="IQ_ECO_METRIC_8331" vbProcedure="false">"c8331"</definedName>
    <definedName function="false" hidden="false" name="IQ_ECO_METRIC_8332" vbProcedure="false">"c8332"</definedName>
    <definedName function="false" hidden="false" name="IQ_ECO_METRIC_8333" vbProcedure="false">"c8333"</definedName>
    <definedName function="false" hidden="false" name="IQ_ECO_METRIC_8335" vbProcedure="false">"c8335"</definedName>
    <definedName function="false" hidden="false" name="IQ_ECO_METRIC_8336" vbProcedure="false">"c8336"</definedName>
    <definedName function="false" hidden="false" name="IQ_ECO_METRIC_8337" vbProcedure="false">"c8337"</definedName>
    <definedName function="false" hidden="false" name="IQ_ECO_METRIC_8338" vbProcedure="false">"c8338"</definedName>
    <definedName function="false" hidden="false" name="IQ_ECO_METRIC_8339" vbProcedure="false">"c8339"</definedName>
    <definedName function="false" hidden="false" name="IQ_ECO_METRIC_8340" vbProcedure="false">"c8340"</definedName>
    <definedName function="false" hidden="false" name="IQ_ECO_METRIC_8341" vbProcedure="false">"c8341"</definedName>
    <definedName function="false" hidden="false" name="IQ_ECO_METRIC_8343" vbProcedure="false">"c8343"</definedName>
    <definedName function="false" hidden="false" name="IQ_ECO_METRIC_8344" vbProcedure="false">"c8344"</definedName>
    <definedName function="false" hidden="false" name="IQ_ECO_METRIC_8345" vbProcedure="false">"c8345"</definedName>
    <definedName function="false" hidden="false" name="IQ_ECO_METRIC_8346" vbProcedure="false">"c8346"</definedName>
    <definedName function="false" hidden="false" name="IQ_ECO_METRIC_8347" vbProcedure="false">"c8347"</definedName>
    <definedName function="false" hidden="false" name="IQ_ECO_METRIC_8348" vbProcedure="false">"c8348"</definedName>
    <definedName function="false" hidden="false" name="IQ_ECO_METRIC_8349" vbProcedure="false">"c8349"</definedName>
    <definedName function="false" hidden="false" name="IQ_ECO_METRIC_8350" vbProcedure="false">"c8350"</definedName>
    <definedName function="false" hidden="false" name="IQ_ECO_METRIC_8352" vbProcedure="false">"c8352"</definedName>
    <definedName function="false" hidden="false" name="IQ_ECO_METRIC_8353" vbProcedure="false">"c8353"</definedName>
    <definedName function="false" hidden="false" name="IQ_ECO_METRIC_8354" vbProcedure="false">"c8354"</definedName>
    <definedName function="false" hidden="false" name="IQ_ECO_METRIC_8355" vbProcedure="false">"c8355"</definedName>
    <definedName function="false" hidden="false" name="IQ_ECO_METRIC_8356" vbProcedure="false">"c8356"</definedName>
    <definedName function="false" hidden="false" name="IQ_ECO_METRIC_8357" vbProcedure="false">"c8357"</definedName>
    <definedName function="false" hidden="false" name="IQ_ECO_METRIC_8358" vbProcedure="false">"c8358"</definedName>
    <definedName function="false" hidden="false" name="IQ_ECO_METRIC_8359" vbProcedure="false">"c8359"</definedName>
    <definedName function="false" hidden="false" name="IQ_ECO_METRIC_8360" vbProcedure="false">"c8360"</definedName>
    <definedName function="false" hidden="false" name="IQ_ECO_METRIC_8361" vbProcedure="false">"c8361"</definedName>
    <definedName function="false" hidden="false" name="IQ_ECO_METRIC_8362" vbProcedure="false">"c8362"</definedName>
    <definedName function="false" hidden="false" name="IQ_ECO_METRIC_8363" vbProcedure="false">"c8363"</definedName>
    <definedName function="false" hidden="false" name="IQ_ECO_METRIC_8367" vbProcedure="false">"c8367"</definedName>
    <definedName function="false" hidden="false" name="IQ_ECO_METRIC_8368" vbProcedure="false">"c8368"</definedName>
    <definedName function="false" hidden="false" name="IQ_ECO_METRIC_8369" vbProcedure="false">"c8369"</definedName>
    <definedName function="false" hidden="false" name="IQ_ECO_METRIC_8370" vbProcedure="false">"c8370"</definedName>
    <definedName function="false" hidden="false" name="IQ_ECO_METRIC_8371" vbProcedure="false">"c8371"</definedName>
    <definedName function="false" hidden="false" name="IQ_ECO_METRIC_8372" vbProcedure="false">"c8372"</definedName>
    <definedName function="false" hidden="false" name="IQ_ECO_METRIC_8373" vbProcedure="false">"c8373"</definedName>
    <definedName function="false" hidden="false" name="IQ_ECO_METRIC_8374" vbProcedure="false">"c8374"</definedName>
    <definedName function="false" hidden="false" name="IQ_ECO_METRIC_8375" vbProcedure="false">"c8375"</definedName>
    <definedName function="false" hidden="false" name="IQ_ECO_METRIC_8376" vbProcedure="false">"c8376"</definedName>
    <definedName function="false" hidden="false" name="IQ_ECO_METRIC_8377" vbProcedure="false">"c8377"</definedName>
    <definedName function="false" hidden="false" name="IQ_ECO_METRIC_8380" vbProcedure="false">"c8380"</definedName>
    <definedName function="false" hidden="false" name="IQ_ECO_METRIC_8381" vbProcedure="false">"c8381"</definedName>
    <definedName function="false" hidden="false" name="IQ_ECO_METRIC_8382" vbProcedure="false">"c8382"</definedName>
    <definedName function="false" hidden="false" name="IQ_ECO_METRIC_8383" vbProcedure="false">"c8383"</definedName>
    <definedName function="false" hidden="false" name="IQ_ECO_METRIC_8384" vbProcedure="false">"c8384"</definedName>
    <definedName function="false" hidden="false" name="IQ_ECO_METRIC_8385" vbProcedure="false">"c8385"</definedName>
    <definedName function="false" hidden="false" name="IQ_ECO_METRIC_8387" vbProcedure="false">"c8387"</definedName>
    <definedName function="false" hidden="false" name="IQ_ECO_METRIC_8388" vbProcedure="false">"c8388"</definedName>
    <definedName function="false" hidden="false" name="IQ_ECO_METRIC_8389" vbProcedure="false">"c8389"</definedName>
    <definedName function="false" hidden="false" name="IQ_ECO_METRIC_8390" vbProcedure="false">"c8390"</definedName>
    <definedName function="false" hidden="false" name="IQ_ECO_METRIC_8391" vbProcedure="false">"c8391"</definedName>
    <definedName function="false" hidden="false" name="IQ_ECO_METRIC_8392" vbProcedure="false">"c8392"</definedName>
    <definedName function="false" hidden="false" name="IQ_ECO_METRIC_8393" vbProcedure="false">"c8393"</definedName>
    <definedName function="false" hidden="false" name="IQ_ECO_METRIC_8394" vbProcedure="false">"c8394"</definedName>
    <definedName function="false" hidden="false" name="IQ_ECO_METRIC_8395" vbProcedure="false">"c8395"</definedName>
    <definedName function="false" hidden="false" name="IQ_ECO_METRIC_8396" vbProcedure="false">"c8396"</definedName>
    <definedName function="false" hidden="false" name="IQ_ECO_METRIC_8397" vbProcedure="false">"c8397"</definedName>
    <definedName function="false" hidden="false" name="IQ_ECO_METRIC_8398" vbProcedure="false">"c8398"</definedName>
    <definedName function="false" hidden="false" name="IQ_ECO_METRIC_8399" vbProcedure="false">"c8399"</definedName>
    <definedName function="false" hidden="false" name="IQ_ECO_METRIC_8400" vbProcedure="false">"c8400"</definedName>
    <definedName function="false" hidden="false" name="IQ_ECO_METRIC_8401" vbProcedure="false">"c8401"</definedName>
    <definedName function="false" hidden="false" name="IQ_ECO_METRIC_8402" vbProcedure="false">"c8402"</definedName>
    <definedName function="false" hidden="false" name="IQ_ECO_METRIC_8403" vbProcedure="false">"c8403"</definedName>
    <definedName function="false" hidden="false" name="IQ_ECO_METRIC_8404" vbProcedure="false">"c8404"</definedName>
    <definedName function="false" hidden="false" name="IQ_ECO_METRIC_8405" vbProcedure="false">"c8405"</definedName>
    <definedName function="false" hidden="false" name="IQ_ECO_METRIC_8406" vbProcedure="false">"c8406"</definedName>
    <definedName function="false" hidden="false" name="IQ_ECO_METRIC_8407" vbProcedure="false">"c8407"</definedName>
    <definedName function="false" hidden="false" name="IQ_ECO_METRIC_8408" vbProcedure="false">"c8408"</definedName>
    <definedName function="false" hidden="false" name="IQ_ECO_METRIC_8409" vbProcedure="false">"c8409"</definedName>
    <definedName function="false" hidden="false" name="IQ_ECO_METRIC_8410" vbProcedure="false">"c8410"</definedName>
    <definedName function="false" hidden="false" name="IQ_ECO_METRIC_8411" vbProcedure="false">"c8411"</definedName>
    <definedName function="false" hidden="false" name="IQ_ECO_METRIC_8412" vbProcedure="false">"c8412"</definedName>
    <definedName function="false" hidden="false" name="IQ_ECO_METRIC_8413" vbProcedure="false">"c8413"</definedName>
    <definedName function="false" hidden="false" name="IQ_ECO_METRIC_8414" vbProcedure="false">"c8414"</definedName>
    <definedName function="false" hidden="false" name="IQ_ECO_METRIC_8415" vbProcedure="false">"c8415"</definedName>
    <definedName function="false" hidden="false" name="IQ_ECO_METRIC_8416" vbProcedure="false">"c8416"</definedName>
    <definedName function="false" hidden="false" name="IQ_ECO_METRIC_8417" vbProcedure="false">"c8417"</definedName>
    <definedName function="false" hidden="false" name="IQ_ECO_METRIC_8418" vbProcedure="false">"c8418"</definedName>
    <definedName function="false" hidden="false" name="IQ_ECO_METRIC_8419" vbProcedure="false">"c8419"</definedName>
    <definedName function="false" hidden="false" name="IQ_ECO_METRIC_8420" vbProcedure="false">"c8420"</definedName>
    <definedName function="false" hidden="false" name="IQ_ECO_METRIC_8421" vbProcedure="false">"c8421"</definedName>
    <definedName function="false" hidden="false" name="IQ_ECO_METRIC_8422" vbProcedure="false">"c8422"</definedName>
    <definedName function="false" hidden="false" name="IQ_ECO_METRIC_8423" vbProcedure="false">"c8423"</definedName>
    <definedName function="false" hidden="false" name="IQ_ECO_METRIC_8424" vbProcedure="false">"c8424"</definedName>
    <definedName function="false" hidden="false" name="IQ_ECO_METRIC_8425" vbProcedure="false">"c8425"</definedName>
    <definedName function="false" hidden="false" name="IQ_ECO_METRIC_8426" vbProcedure="false">"c8426"</definedName>
    <definedName function="false" hidden="false" name="IQ_ECO_METRIC_8427" vbProcedure="false">"c8427"</definedName>
    <definedName function="false" hidden="false" name="IQ_ECO_METRIC_8428" vbProcedure="false">"c8428"</definedName>
    <definedName function="false" hidden="false" name="IQ_ECO_METRIC_8429" vbProcedure="false">"c8429"</definedName>
    <definedName function="false" hidden="false" name="IQ_ECO_METRIC_8430" vbProcedure="false">"c8430"</definedName>
    <definedName function="false" hidden="false" name="IQ_ECO_METRIC_8431" vbProcedure="false">"c8431"</definedName>
    <definedName function="false" hidden="false" name="IQ_ECO_METRIC_8432" vbProcedure="false">"c8432"</definedName>
    <definedName function="false" hidden="false" name="IQ_ECO_METRIC_8433" vbProcedure="false">"c8433"</definedName>
    <definedName function="false" hidden="false" name="IQ_ECO_METRIC_8434" vbProcedure="false">"c8434"</definedName>
    <definedName function="false" hidden="false" name="IQ_ECO_METRIC_8435" vbProcedure="false">"c8435"</definedName>
    <definedName function="false" hidden="false" name="IQ_ECO_METRIC_8436" vbProcedure="false">"c8436"</definedName>
    <definedName function="false" hidden="false" name="IQ_ECO_METRIC_8436_UNUSED_UNUSED_UNUSED" vbProcedure="false">"c8436"</definedName>
    <definedName function="false" hidden="false" name="IQ_ECO_METRIC_8437" vbProcedure="false">"c8437"</definedName>
    <definedName function="false" hidden="false" name="IQ_ECO_METRIC_8437_UNUSED_UNUSED_UNUSED" vbProcedure="false">"c8437"</definedName>
    <definedName function="false" hidden="false" name="IQ_ECO_METRIC_8440" vbProcedure="false">"c8440"</definedName>
    <definedName function="false" hidden="false" name="IQ_ECO_METRIC_8441" vbProcedure="false">"c8441"</definedName>
    <definedName function="false" hidden="false" name="IQ_ECO_METRIC_8442" vbProcedure="false">"c8442"</definedName>
    <definedName function="false" hidden="false" name="IQ_ECO_METRIC_8443" vbProcedure="false">"c8443"</definedName>
    <definedName function="false" hidden="false" name="IQ_ECO_METRIC_8444" vbProcedure="false">"c8444"</definedName>
    <definedName function="false" hidden="false" name="IQ_ECO_METRIC_8445" vbProcedure="false">"c8445"</definedName>
    <definedName function="false" hidden="false" name="IQ_ECO_METRIC_8446" vbProcedure="false">"c8446"</definedName>
    <definedName function="false" hidden="false" name="IQ_ECO_METRIC_8447" vbProcedure="false">"c8447"</definedName>
    <definedName function="false" hidden="false" name="IQ_ECO_METRIC_8448" vbProcedure="false">"c8448"</definedName>
    <definedName function="false" hidden="false" name="IQ_ECO_METRIC_8450" vbProcedure="false">"c8450"</definedName>
    <definedName function="false" hidden="false" name="IQ_ECO_METRIC_8451" vbProcedure="false">"c8451"</definedName>
    <definedName function="false" hidden="false" name="IQ_ECO_METRIC_8452" vbProcedure="false">"c8452"</definedName>
    <definedName function="false" hidden="false" name="IQ_ECO_METRIC_8453" vbProcedure="false">"c8453"</definedName>
    <definedName function="false" hidden="false" name="IQ_ECO_METRIC_8454" vbProcedure="false">"c8454"</definedName>
    <definedName function="false" hidden="false" name="IQ_ECO_METRIC_8455" vbProcedure="false">"c8455"</definedName>
    <definedName function="false" hidden="false" name="IQ_ECO_METRIC_8456" vbProcedure="false">"c8456"</definedName>
    <definedName function="false" hidden="false" name="IQ_ECO_METRIC_8457" vbProcedure="false">"c8457"</definedName>
    <definedName function="false" hidden="false" name="IQ_ECO_METRIC_8458" vbProcedure="false">"c8458"</definedName>
    <definedName function="false" hidden="false" name="IQ_ECO_METRIC_8459" vbProcedure="false">"c8459"</definedName>
    <definedName function="false" hidden="false" name="IQ_ECO_METRIC_8460" vbProcedure="false">"c8460"</definedName>
    <definedName function="false" hidden="false" name="IQ_ECO_METRIC_8461" vbProcedure="false">"c8461"</definedName>
    <definedName function="false" hidden="false" name="IQ_ECO_METRIC_8462" vbProcedure="false">"c8462"</definedName>
    <definedName function="false" hidden="false" name="IQ_ECO_METRIC_8463" vbProcedure="false">"c8463"</definedName>
    <definedName function="false" hidden="false" name="IQ_ECO_METRIC_8464" vbProcedure="false">"c8464"</definedName>
    <definedName function="false" hidden="false" name="IQ_ECO_METRIC_8465" vbProcedure="false">"c8465"</definedName>
    <definedName function="false" hidden="false" name="IQ_ECO_METRIC_8466" vbProcedure="false">"c8466"</definedName>
    <definedName function="false" hidden="false" name="IQ_ECO_METRIC_8468" vbProcedure="false">"c8468"</definedName>
    <definedName function="false" hidden="false" name="IQ_ECO_METRIC_8469" vbProcedure="false">"c8469"</definedName>
    <definedName function="false" hidden="false" name="IQ_ECO_METRIC_8470" vbProcedure="false">"c8470"</definedName>
    <definedName function="false" hidden="false" name="IQ_ECO_METRIC_8472" vbProcedure="false">"c8472"</definedName>
    <definedName function="false" hidden="false" name="IQ_ECO_METRIC_8473" vbProcedure="false">"c8473"</definedName>
    <definedName function="false" hidden="false" name="IQ_ECO_METRIC_8474" vbProcedure="false">"c8474"</definedName>
    <definedName function="false" hidden="false" name="IQ_ECO_METRIC_8476" vbProcedure="false">"c8476"</definedName>
    <definedName function="false" hidden="false" name="IQ_ECO_METRIC_8477" vbProcedure="false">"c8477"</definedName>
    <definedName function="false" hidden="false" name="IQ_ECO_METRIC_8478" vbProcedure="false">"c8478"</definedName>
    <definedName function="false" hidden="false" name="IQ_ECO_METRIC_8479" vbProcedure="false">"c8479"</definedName>
    <definedName function="false" hidden="false" name="IQ_ECO_METRIC_8480" vbProcedure="false">"c8480"</definedName>
    <definedName function="false" hidden="false" name="IQ_ECO_METRIC_8481" vbProcedure="false">"c8481"</definedName>
    <definedName function="false" hidden="false" name="IQ_ECO_METRIC_8482" vbProcedure="false">"c8482"</definedName>
    <definedName function="false" hidden="false" name="IQ_ECO_METRIC_8483" vbProcedure="false">"c8483"</definedName>
    <definedName function="false" hidden="false" name="IQ_ECO_METRIC_8484" vbProcedure="false">"c8484"</definedName>
    <definedName function="false" hidden="false" name="IQ_ECO_METRIC_8485" vbProcedure="false">"c8485"</definedName>
    <definedName function="false" hidden="false" name="IQ_ECO_METRIC_8486" vbProcedure="false">"c8486"</definedName>
    <definedName function="false" hidden="false" name="IQ_ECO_METRIC_8487" vbProcedure="false">"c8487"</definedName>
    <definedName function="false" hidden="false" name="IQ_ECO_METRIC_8488" vbProcedure="false">"c8488"</definedName>
    <definedName function="false" hidden="false" name="IQ_ECO_METRIC_8489" vbProcedure="false">"c8489"</definedName>
    <definedName function="false" hidden="false" name="IQ_ECO_METRIC_8490" vbProcedure="false">"c8490"</definedName>
    <definedName function="false" hidden="false" name="IQ_ECO_METRIC_8491" vbProcedure="false">"c8491"</definedName>
    <definedName function="false" hidden="false" name="IQ_ECO_METRIC_8492" vbProcedure="false">"c8492"</definedName>
    <definedName function="false" hidden="false" name="IQ_ECO_METRIC_8493" vbProcedure="false">"c8493"</definedName>
    <definedName function="false" hidden="false" name="IQ_ECO_METRIC_8494" vbProcedure="false">"c8494"</definedName>
    <definedName function="false" hidden="false" name="IQ_ECO_METRIC_8495" vbProcedure="false">"c8495"</definedName>
    <definedName function="false" hidden="false" name="IQ_ECO_METRIC_8496" vbProcedure="false">"c8496"</definedName>
    <definedName function="false" hidden="false" name="IQ_ECO_METRIC_8497" vbProcedure="false">"c8497"</definedName>
    <definedName function="false" hidden="false" name="IQ_ECO_METRIC_8498" vbProcedure="false">"c8498"</definedName>
    <definedName function="false" hidden="false" name="IQ_ECO_METRIC_8499" vbProcedure="false">"c8499"</definedName>
    <definedName function="false" hidden="false" name="IQ_ECO_METRIC_8500" vbProcedure="false">"c8500"</definedName>
    <definedName function="false" hidden="false" name="IQ_ECO_METRIC_8502" vbProcedure="false">"c8502"</definedName>
    <definedName function="false" hidden="false" name="IQ_ECO_METRIC_8503" vbProcedure="false">"c8503"</definedName>
    <definedName function="false" hidden="false" name="IQ_ECO_METRIC_8504" vbProcedure="false">"c8504"</definedName>
    <definedName function="false" hidden="false" name="IQ_ECO_METRIC_8505" vbProcedure="false">"c8505"</definedName>
    <definedName function="false" hidden="false" name="IQ_ECO_METRIC_8506" vbProcedure="false">"c8506"</definedName>
    <definedName function="false" hidden="false" name="IQ_ECO_METRIC_8507" vbProcedure="false">"c8507"</definedName>
    <definedName function="false" hidden="false" name="IQ_ECO_METRIC_8508" vbProcedure="false">"c8508"</definedName>
    <definedName function="false" hidden="false" name="IQ_ECO_METRIC_8509" vbProcedure="false">"c8509"</definedName>
    <definedName function="false" hidden="false" name="IQ_ECO_METRIC_8510" vbProcedure="false">"c8510"</definedName>
    <definedName function="false" hidden="false" name="IQ_ECO_METRIC_8511" vbProcedure="false">"c8511"</definedName>
    <definedName function="false" hidden="false" name="IQ_ECO_METRIC_8512" vbProcedure="false">"c8512"</definedName>
    <definedName function="false" hidden="false" name="IQ_ECO_METRIC_8513" vbProcedure="false">"c8513"</definedName>
    <definedName function="false" hidden="false" name="IQ_ECO_METRIC_8514" vbProcedure="false">"c8514"</definedName>
    <definedName function="false" hidden="false" name="IQ_ECO_METRIC_8515" vbProcedure="false">"c8515"</definedName>
    <definedName function="false" hidden="false" name="IQ_ECO_METRIC_8516" vbProcedure="false">"c8516"</definedName>
    <definedName function="false" hidden="false" name="IQ_ECO_METRIC_8517" vbProcedure="false">"c8517"</definedName>
    <definedName function="false" hidden="false" name="IQ_ECO_METRIC_8518" vbProcedure="false">"c8518"</definedName>
    <definedName function="false" hidden="false" name="IQ_ECO_METRIC_8519" vbProcedure="false">"c8519"</definedName>
    <definedName function="false" hidden="false" name="IQ_ECO_METRIC_8520" vbProcedure="false">"c8520"</definedName>
    <definedName function="false" hidden="false" name="IQ_ECO_METRIC_8521" vbProcedure="false">"c8521"</definedName>
    <definedName function="false" hidden="false" name="IQ_ECO_METRIC_8522" vbProcedure="false">"c8522"</definedName>
    <definedName function="false" hidden="false" name="IQ_ECO_METRIC_8523" vbProcedure="false">"c8523"</definedName>
    <definedName function="false" hidden="false" name="IQ_ECO_METRIC_8524" vbProcedure="false">"c8524"</definedName>
    <definedName function="false" hidden="false" name="IQ_ECO_METRIC_8525" vbProcedure="false">"c8525"</definedName>
    <definedName function="false" hidden="false" name="IQ_ECO_METRIC_8526" vbProcedure="false">"c8526"</definedName>
    <definedName function="false" hidden="false" name="IQ_ECO_METRIC_8527" vbProcedure="false">"c8527"</definedName>
    <definedName function="false" hidden="false" name="IQ_ECO_METRIC_8528" vbProcedure="false">"c8528"</definedName>
    <definedName function="false" hidden="false" name="IQ_ECO_METRIC_8528_UNUSED_UNUSED_UNUSED" vbProcedure="false">"c8528"</definedName>
    <definedName function="false" hidden="false" name="IQ_ECO_METRIC_8529" vbProcedure="false">"c8529"</definedName>
    <definedName function="false" hidden="false" name="IQ_ECO_METRIC_8530" vbProcedure="false">"c8530"</definedName>
    <definedName function="false" hidden="false" name="IQ_ECO_METRIC_8531" vbProcedure="false">"c8531"</definedName>
    <definedName function="false" hidden="false" name="IQ_ECO_METRIC_8532" vbProcedure="false">"c8532"</definedName>
    <definedName function="false" hidden="false" name="IQ_ECO_METRIC_8534" vbProcedure="false">"c8534"</definedName>
    <definedName function="false" hidden="false" name="IQ_ECO_METRIC_8535" vbProcedure="false">"c8535"</definedName>
    <definedName function="false" hidden="false" name="IQ_ECO_METRIC_8536" vbProcedure="false">"c8536"</definedName>
    <definedName function="false" hidden="false" name="IQ_ECO_METRIC_8537" vbProcedure="false">"c8537"</definedName>
    <definedName function="false" hidden="false" name="IQ_ECO_METRIC_8538" vbProcedure="false">"c8538"</definedName>
    <definedName function="false" hidden="false" name="IQ_ECO_METRIC_8540" vbProcedure="false">"c8540"</definedName>
    <definedName function="false" hidden="false" name="IQ_ECO_METRIC_8541" vbProcedure="false">"c8541"</definedName>
    <definedName function="false" hidden="false" name="IQ_ECO_METRIC_8543" vbProcedure="false">"c8543"</definedName>
    <definedName function="false" hidden="false" name="IQ_ECO_METRIC_8544" vbProcedure="false">"c8544"</definedName>
    <definedName function="false" hidden="false" name="IQ_ECO_METRIC_8545" vbProcedure="false">"c8545"</definedName>
    <definedName function="false" hidden="false" name="IQ_ECO_METRIC_8546" vbProcedure="false">"c8546"</definedName>
    <definedName function="false" hidden="false" name="IQ_ECO_METRIC_8547" vbProcedure="false">"c8547"</definedName>
    <definedName function="false" hidden="false" name="IQ_ECO_METRIC_8548" vbProcedure="false">"c8548"</definedName>
    <definedName function="false" hidden="false" name="IQ_ECO_METRIC_8549" vbProcedure="false">"c8549"</definedName>
    <definedName function="false" hidden="false" name="IQ_ECO_METRIC_8550" vbProcedure="false">"c8550"</definedName>
    <definedName function="false" hidden="false" name="IQ_ECO_METRIC_8555" vbProcedure="false">"c8555"</definedName>
    <definedName function="false" hidden="false" name="IQ_ECO_METRIC_8556" vbProcedure="false">"c8556"</definedName>
    <definedName function="false" hidden="false" name="IQ_ECO_METRIC_8557" vbProcedure="false">"c8557"</definedName>
    <definedName function="false" hidden="false" name="IQ_ECO_METRIC_8558" vbProcedure="false">"c8558"</definedName>
    <definedName function="false" hidden="false" name="IQ_ECO_METRIC_8559" vbProcedure="false">"c8559"</definedName>
    <definedName function="false" hidden="false" name="IQ_ECO_METRIC_8560" vbProcedure="false">"c8560"</definedName>
    <definedName function="false" hidden="false" name="IQ_ECO_METRIC_8561" vbProcedure="false">"c8561"</definedName>
    <definedName function="false" hidden="false" name="IQ_ECO_METRIC_8565" vbProcedure="false">"c8565"</definedName>
    <definedName function="false" hidden="false" name="IQ_ECO_METRIC_8567" vbProcedure="false">"c8567"</definedName>
    <definedName function="false" hidden="false" name="IQ_ECO_METRIC_8568" vbProcedure="false">"c8568"</definedName>
    <definedName function="false" hidden="false" name="IQ_ECO_METRIC_8569" vbProcedure="false">"c8569"</definedName>
    <definedName function="false" hidden="false" name="IQ_EFFECT_SPECIAL_CHARGE" vbProcedure="false">"c1595"</definedName>
    <definedName function="false" hidden="false" name="IQ_EFFECT_TAX_RATE" vbProcedure="false">"c1899"</definedName>
    <definedName function="false" hidden="false" name="IQ_EFFICIENCY_RATIO" vbProcedure="false">"c391"</definedName>
    <definedName function="false" hidden="false" name="IQ_EFFICIENCY_RATIO_FDIC" vbProcedure="false">"c6736"</definedName>
    <definedName function="false" hidden="false" name="IQ_EMPLOYEES" vbProcedure="false">"c392"</definedName>
    <definedName function="false" hidden="false" name="IQ_ENTERPRISE_VALUE" vbProcedure="false">"c1348"</definedName>
    <definedName function="false" hidden="false" name="IQ_EPS" vbProcedure="false">"IQ_EPS"</definedName>
    <definedName function="false" hidden="false" name="IQ_EPS_10K" vbProcedure="false">"IQ_EPS_10K"</definedName>
    <definedName function="false" hidden="false" name="IQ_EPS_10Q" vbProcedure="false">"IQ_EPS_10Q"</definedName>
    <definedName function="false" hidden="false" name="IQ_EPS_10Q1" vbProcedure="false">"IQ_EPS_10Q1"</definedName>
    <definedName function="false" hidden="false" name="IQ_EPS_10YR_ANN_GROWTH" vbProcedure="false">"c393"</definedName>
    <definedName function="false" hidden="false" name="IQ_EPS_1YR_ANN_GROWTH" vbProcedure="false">"c394"</definedName>
    <definedName function="false" hidden="false" name="IQ_EPS_2YR_ANN_GROWTH" vbProcedure="false">"c395"</definedName>
    <definedName function="false" hidden="false" name="IQ_EPS_3YR_ANN_GROWTH" vbProcedure="false">"c396"</definedName>
    <definedName function="false" hidden="false" name="IQ_EPS_5YR_ANN_GROWTH" vbProcedure="false">"c397"</definedName>
    <definedName function="false" hidden="false" name="IQ_EPS_7YR_ANN_GROWTH" vbProcedure="false">"c398"</definedName>
    <definedName function="false" hidden="false" name="IQ_EPS_ACT_OR_EST" vbProcedure="false">"c2213"</definedName>
    <definedName function="false" hidden="false" name="IQ_EPS_ACT_OR_EST_REUT" vbProcedure="false">"c5460"</definedName>
    <definedName function="false" hidden="false" name="IQ_EPS_EST" vbProcedure="false">"c399"</definedName>
    <definedName function="false" hidden="false" name="IQ_EPS_EST_1" vbProcedure="false">"IQ_EPS_EST_1"</definedName>
    <definedName function="false" hidden="false" name="IQ_EPS_EST_BOTTOM_UP_REUT" vbProcedure="false">"c5497"</definedName>
    <definedName function="false" hidden="false" name="IQ_EPS_EST_REUT" vbProcedure="false">"c5453"</definedName>
    <definedName function="false" hidden="false" name="IQ_EPS_GW_ACT_OR_EST" vbProcedure="false">"c2223"</definedName>
    <definedName function="false" hidden="false" name="IQ_EPS_GW_ACT_OR_EST_REUT" vbProcedure="false">"c5469"</definedName>
    <definedName function="false" hidden="false" name="IQ_EPS_GW_EST" vbProcedure="false">"c1737"</definedName>
    <definedName function="false" hidden="false" name="IQ_EPS_GW_EST_BOTTOM_UP_REUT" vbProcedure="false">"c5499"</definedName>
    <definedName function="false" hidden="false" name="IQ_EPS_GW_EST_REUT" vbProcedure="false">"c5389"</definedName>
    <definedName function="false" hidden="false" name="IQ_EPS_GW_HIGH_EST" vbProcedure="false">"c1739"</definedName>
    <definedName function="false" hidden="false" name="IQ_EPS_GW_HIGH_EST_REUT" vbProcedure="false">"c5391"</definedName>
    <definedName function="false" hidden="false" name="IQ_EPS_GW_LOW_EST" vbProcedure="false">"c1740"</definedName>
    <definedName function="false" hidden="false" name="IQ_EPS_GW_LOW_EST_REUT" vbProcedure="false">"c5392"</definedName>
    <definedName function="false" hidden="false" name="IQ_EPS_GW_MEDIAN_EST" vbProcedure="false">"c1738"</definedName>
    <definedName function="false" hidden="false" name="IQ_EPS_GW_MEDIAN_EST_REUT" vbProcedure="false">"c5390"</definedName>
    <definedName function="false" hidden="false" name="IQ_EPS_GW_NUM_EST" vbProcedure="false">"c1741"</definedName>
    <definedName function="false" hidden="false" name="IQ_EPS_GW_NUM_EST_REUT" vbProcedure="false">"c5393"</definedName>
    <definedName function="false" hidden="false" name="IQ_EPS_GW_STDDEV_EST" vbProcedure="false">"c1742"</definedName>
    <definedName function="false" hidden="false" name="IQ_EPS_GW_STDDEV_EST_REUT" vbProcedure="false">"c5394"</definedName>
    <definedName function="false" hidden="false" name="IQ_EPS_HIGH_EST" vbProcedure="false">"c400"</definedName>
    <definedName function="false" hidden="false" name="IQ_EPS_HIGH_EST_REUT" vbProcedure="false">"c5454"</definedName>
    <definedName function="false" hidden="false" name="IQ_EPS_LOW_EST" vbProcedure="false">"c401"</definedName>
    <definedName function="false" hidden="false" name="IQ_EPS_LOW_EST_REUT" vbProcedure="false">"c5455"</definedName>
    <definedName function="false" hidden="false" name="IQ_EPS_MEDIAN_EST" vbProcedure="false">"c1661"</definedName>
    <definedName function="false" hidden="false" name="IQ_EPS_MEDIAN_EST_REUT" vbProcedure="false">"c5456"</definedName>
    <definedName function="false" hidden="false" name="IQ_EPS_NORM" vbProcedure="false">"c1902"</definedName>
    <definedName function="false" hidden="false" name="IQ_EPS_NORM_EST" vbProcedure="false">"c2226"</definedName>
    <definedName function="false" hidden="false" name="IQ_EPS_NORM_EST_BOTTOM_UP_REUT" vbProcedure="false">"c5498"</definedName>
    <definedName function="false" hidden="false" name="IQ_EPS_NORM_EST_REUT" vbProcedure="false">"c5326"</definedName>
    <definedName function="false" hidden="false" name="IQ_EPS_NORM_HIGH_EST" vbProcedure="false">"c2228"</definedName>
    <definedName function="false" hidden="false" name="IQ_EPS_NORM_HIGH_EST_REUT" vbProcedure="false">"c5328"</definedName>
    <definedName function="false" hidden="false" name="IQ_EPS_NORM_LOW_EST" vbProcedure="false">"c2229"</definedName>
    <definedName function="false" hidden="false" name="IQ_EPS_NORM_LOW_EST_REUT" vbProcedure="false">"c5329"</definedName>
    <definedName function="false" hidden="false" name="IQ_EPS_NORM_MEDIAN_EST" vbProcedure="false">"c2227"</definedName>
    <definedName function="false" hidden="false" name="IQ_EPS_NORM_MEDIAN_EST_REUT" vbProcedure="false">"c5327"</definedName>
    <definedName function="false" hidden="false" name="IQ_EPS_NORM_NUM_EST" vbProcedure="false">"c2230"</definedName>
    <definedName function="false" hidden="false" name="IQ_EPS_NORM_NUM_EST_REUT" vbProcedure="false">"c5330"</definedName>
    <definedName function="false" hidden="false" name="IQ_EPS_NORM_STDDEV_EST" vbProcedure="false">"c2231"</definedName>
    <definedName function="false" hidden="false" name="IQ_EPS_NORM_STDDEV_EST_REUT" vbProcedure="false">"c5331"</definedName>
    <definedName function="false" hidden="false" name="IQ_EPS_NO_EST" vbProcedure="false">"c271"</definedName>
    <definedName function="false" hidden="false" name="IQ_EPS_NUM_EST" vbProcedure="false">"c402"</definedName>
    <definedName function="false" hidden="false" name="IQ_EPS_NUM_EST_REUT" vbProcedure="false">"c5451"</definedName>
    <definedName function="false" hidden="false" name="IQ_EPS_REPORTED_EST" vbProcedure="false">"c1744"</definedName>
    <definedName function="false" hidden="false" name="IQ_EPS_REPORTED_EST_BOTTOM_UP_REUT" vbProcedure="false">"c5500"</definedName>
    <definedName function="false" hidden="false" name="IQ_EPS_REPORTED_EST_REUT" vbProcedure="false">"c5396"</definedName>
    <definedName function="false" hidden="false" name="IQ_EPS_REPORTED_HIGH_EST" vbProcedure="false">"c1746"</definedName>
    <definedName function="false" hidden="false" name="IQ_EPS_REPORTED_HIGH_EST_REUT" vbProcedure="false">"c5398"</definedName>
    <definedName function="false" hidden="false" name="IQ_EPS_REPORTED_LOW_EST" vbProcedure="false">"c1747"</definedName>
    <definedName function="false" hidden="false" name="IQ_EPS_REPORTED_LOW_EST_REUT" vbProcedure="false">"c5399"</definedName>
    <definedName function="false" hidden="false" name="IQ_EPS_REPORTED_MEDIAN_EST" vbProcedure="false">"c1745"</definedName>
    <definedName function="false" hidden="false" name="IQ_EPS_REPORTED_MEDIAN_EST_REUT" vbProcedure="false">"c5397"</definedName>
    <definedName function="false" hidden="false" name="IQ_EPS_REPORTED_NUM_EST" vbProcedure="false">"c1748"</definedName>
    <definedName function="false" hidden="false" name="IQ_EPS_REPORTED_NUM_EST_REUT" vbProcedure="false">"c5400"</definedName>
    <definedName function="false" hidden="false" name="IQ_EPS_REPORTED_STDDEV_EST" vbProcedure="false">"c1749"</definedName>
    <definedName function="false" hidden="false" name="IQ_EPS_REPORTED_STDDEV_EST_REUT" vbProcedure="false">"c5401"</definedName>
    <definedName function="false" hidden="false" name="IQ_EPS_REPORT_ACT_OR_EST" vbProcedure="false">"c2224"</definedName>
    <definedName function="false" hidden="false" name="IQ_EPS_REPORT_ACT_OR_EST_REUT" vbProcedure="false">"c5470"</definedName>
    <definedName function="false" hidden="false" name="IQ_EPS_STDDEV_EST" vbProcedure="false">"c403"</definedName>
    <definedName function="false" hidden="false" name="IQ_EPS_STDDEV_EST_REUT" vbProcedure="false">"c5452"</definedName>
    <definedName function="false" hidden="false" name="IQ_EQUITY_AFFIL" vbProcedure="false">"c1451"</definedName>
    <definedName function="false" hidden="false" name="IQ_EQUITY_CAPITAL_ASSETS_FDIC" vbProcedure="false">"c6744"</definedName>
    <definedName function="false" hidden="false" name="IQ_EQUITY_FDIC" vbProcedure="false">"c6353"</definedName>
    <definedName function="false" hidden="false" name="IQ_EQUITY_METHOD" vbProcedure="false">"c404"</definedName>
    <definedName function="false" hidden="false" name="IQ_EQUITY_SECURITIES_FDIC" vbProcedure="false">"c6304"</definedName>
    <definedName function="false" hidden="false" name="IQ_EQUITY_SECURITY_EXPOSURES_FDIC" vbProcedure="false">"c6664"</definedName>
    <definedName function="false" hidden="false" name="IQ_EQV_OVER_BV" vbProcedure="false">"c1596"</definedName>
    <definedName function="false" hidden="false" name="IQ_EQV_OVER_LTM_PRETAX_INC" vbProcedure="false">"c1390"</definedName>
    <definedName function="false" hidden="false" name="IQ_ESOP_DEBT" vbProcedure="false">"c1597"</definedName>
    <definedName function="false" hidden="false" name="IQ_ESTIMATED_ASSESSABLE_DEPOSITS_FDIC" vbProcedure="false">"c6490"</definedName>
    <definedName function="false" hidden="false" name="IQ_ESTIMATED_INSURED_DEPOSITS_FDIC" vbProcedure="false">"c6491"</definedName>
    <definedName function="false" hidden="false" name="IQ_EST_ACT_BV_REUT" vbProcedure="false">"c5409"</definedName>
    <definedName function="false" hidden="false" name="IQ_EST_ACT_BV_SHARE_REUT" vbProcedure="false">"c5445"</definedName>
    <definedName function="false" hidden="false" name="IQ_EST_ACT_BV_THOM" vbProcedure="false">"c5153"</definedName>
    <definedName function="false" hidden="false" name="IQ_EST_ACT_CAPEX_REUT" vbProcedure="false">"c3975"</definedName>
    <definedName function="false" hidden="false" name="IQ_EST_ACT_CFPS" vbProcedure="false">"c1673"</definedName>
    <definedName function="false" hidden="false" name="IQ_EST_ACT_CFPS_REUT" vbProcedure="false">"c3850"</definedName>
    <definedName function="false" hidden="false" name="IQ_EST_ACT_DPS" vbProcedure="false">"c1680"</definedName>
    <definedName function="false" hidden="false" name="IQ_EST_ACT_DPS_REUT" vbProcedure="false">"c3857"</definedName>
    <definedName function="false" hidden="false" name="IQ_EST_ACT_EBIT" vbProcedure="false">"c1687"</definedName>
    <definedName function="false" hidden="false" name="IQ_EST_ACT_EBITDA" vbProcedure="false">"c1664"</definedName>
    <definedName function="false" hidden="false" name="IQ_EST_ACT_EBITDA_REUT" vbProcedure="false">"c3836"</definedName>
    <definedName function="false" hidden="false" name="IQ_EST_ACT_EBIT_REUT" vbProcedure="false">"c5339"</definedName>
    <definedName function="false" hidden="false" name="IQ_EST_ACT_EPS" vbProcedure="false">"c1648"</definedName>
    <definedName function="false" hidden="false" name="IQ_EST_ACT_EPS_GW" vbProcedure="false">"c1743"</definedName>
    <definedName function="false" hidden="false" name="IQ_EST_ACT_EPS_GW_REUT" vbProcedure="false">"c5395"</definedName>
    <definedName function="false" hidden="false" name="IQ_EST_ACT_EPS_NORM" vbProcedure="false">"c2232"</definedName>
    <definedName function="false" hidden="false" name="IQ_EST_ACT_EPS_NORM_REUT" vbProcedure="false">"c5332"</definedName>
    <definedName function="false" hidden="false" name="IQ_EST_ACT_EPS_REPORTED" vbProcedure="false">"c1750"</definedName>
    <definedName function="false" hidden="false" name="IQ_EST_ACT_EPS_REPORTED_REUT" vbProcedure="false">"c5402"</definedName>
    <definedName function="false" hidden="false" name="IQ_EST_ACT_EPS_REUT" vbProcedure="false">"c5457"</definedName>
    <definedName function="false" hidden="false" name="IQ_EST_ACT_FFO" vbProcedure="false">"c1666"</definedName>
    <definedName function="false" hidden="false" name="IQ_EST_ACT_FFO_REUT" vbProcedure="false">"c3843"</definedName>
    <definedName function="false" hidden="false" name="IQ_EST_ACT_FFO_SHARE_SHARE_REUT" vbProcedure="false">"c3843"</definedName>
    <definedName function="false" hidden="false" name="IQ_EST_ACT_FFO_SHARE_SHARE_THOM" vbProcedure="false">"c4005"</definedName>
    <definedName function="false" hidden="false" name="IQ_EST_ACT_FFO_THOM" vbProcedure="false">"c4005"</definedName>
    <definedName function="false" hidden="false" name="IQ_EST_ACT_NAV" vbProcedure="false">"c1757"</definedName>
    <definedName function="false" hidden="false" name="IQ_EST_ACT_NAV_SHARE_REUT" vbProcedure="false">"c5616"</definedName>
    <definedName function="false" hidden="false" name="IQ_EST_ACT_NET_DEBT_REUT" vbProcedure="false">"c5446"</definedName>
    <definedName function="false" hidden="false" name="IQ_EST_ACT_NI" vbProcedure="false">"c1722"</definedName>
    <definedName function="false" hidden="false" name="IQ_EST_ACT_NI_GW" vbProcedure="false">"c1729"</definedName>
    <definedName function="false" hidden="false" name="IQ_EST_ACT_NI_GW_REUT" vbProcedure="false">"c5381"</definedName>
    <definedName function="false" hidden="false" name="IQ_EST_ACT_NI_REPORTED" vbProcedure="false">"c1736"</definedName>
    <definedName function="false" hidden="false" name="IQ_EST_ACT_NI_REPORTED_REUT" vbProcedure="false">"c5388"</definedName>
    <definedName function="false" hidden="false" name="IQ_EST_ACT_NI_REUT" vbProcedure="false">"c5374"</definedName>
    <definedName function="false" hidden="false" name="IQ_EST_ACT_OPER_INC" vbProcedure="false">"c1694"</definedName>
    <definedName function="false" hidden="false" name="IQ_EST_ACT_OPER_INC_REUT" vbProcedure="false">"c5346"</definedName>
    <definedName function="false" hidden="false" name="IQ_EST_ACT_PRETAX_GW_INC" vbProcedure="false">"c1708"</definedName>
    <definedName function="false" hidden="false" name="IQ_EST_ACT_PRETAX_GW_INC_REUT" vbProcedure="false">"c5360"</definedName>
    <definedName function="false" hidden="false" name="IQ_EST_ACT_PRETAX_INC" vbProcedure="false">"c1701"</definedName>
    <definedName function="false" hidden="false" name="IQ_EST_ACT_PRETAX_INC_REUT" vbProcedure="false">"c5353"</definedName>
    <definedName function="false" hidden="false" name="IQ_EST_ACT_PRETAX_REPORT_INC" vbProcedure="false">"c1715"</definedName>
    <definedName function="false" hidden="false" name="IQ_EST_ACT_PRETAX_REPORT_INC_REUT" vbProcedure="false">"c5367"</definedName>
    <definedName function="false" hidden="false" name="IQ_EST_ACT_RETURN_ASSETS_REUT" vbProcedure="false">"c3996"</definedName>
    <definedName function="false" hidden="false" name="IQ_EST_ACT_RETURN_EQUITY_REUT" vbProcedure="false">"c3989"</definedName>
    <definedName function="false" hidden="false" name="IQ_EST_ACT_REV" vbProcedure="false">"c2113"</definedName>
    <definedName function="false" hidden="false" name="IQ_EST_ACT_REV_REUT" vbProcedure="false">"c3835"</definedName>
    <definedName function="false" hidden="false" name="IQ_EST_BV_DIFF_REUT" vbProcedure="false">"c5433"</definedName>
    <definedName function="false" hidden="false" name="IQ_EST_BV_DIFF_THOM" vbProcedure="false">"c5204"</definedName>
    <definedName function="false" hidden="false" name="IQ_EST_BV_SURPRISE_PERCENT_REUT" vbProcedure="false">"c5434"</definedName>
    <definedName function="false" hidden="false" name="IQ_EST_BV_SURPRISE_PERCENT_THOM" vbProcedure="false">"c5205"</definedName>
    <definedName function="false" hidden="false" name="IQ_EST_CAPEX_GROWTH_1YR_REUT" vbProcedure="false">"c5447"</definedName>
    <definedName function="false" hidden="false" name="IQ_EST_CAPEX_GROWTH_2YR_REUT" vbProcedure="false">"c5448"</definedName>
    <definedName function="false" hidden="false" name="IQ_EST_CAPEX_GROWTH_Q_1YR_REUT" vbProcedure="false">"c5449"</definedName>
    <definedName function="false" hidden="false" name="IQ_EST_CAPEX_SEQ_GROWTH_Q_REUT" vbProcedure="false">"c5450"</definedName>
    <definedName function="false" hidden="false" name="IQ_EST_CFPS_DIFF" vbProcedure="false">"c1871"</definedName>
    <definedName function="false" hidden="false" name="IQ_EST_CFPS_DIFF_REUT" vbProcedure="false">"c3892"</definedName>
    <definedName function="false" hidden="false" name="IQ_EST_CFPS_GROWTH_1YR" vbProcedure="false">"c1774"</definedName>
    <definedName function="false" hidden="false" name="IQ_EST_CFPS_GROWTH_1YR_REUT" vbProcedure="false">"c3878"</definedName>
    <definedName function="false" hidden="false" name="IQ_EST_CFPS_GROWTH_2YR" vbProcedure="false">"c1775"</definedName>
    <definedName function="false" hidden="false" name="IQ_EST_CFPS_GROWTH_2YR_REUT" vbProcedure="false">"c3879"</definedName>
    <definedName function="false" hidden="false" name="IQ_EST_CFPS_GROWTH_Q_1YR" vbProcedure="false">"c1776"</definedName>
    <definedName function="false" hidden="false" name="IQ_EST_CFPS_GROWTH_Q_1YR_REUT" vbProcedure="false">"c3880"</definedName>
    <definedName function="false" hidden="false" name="IQ_EST_CFPS_SEQ_GROWTH_Q" vbProcedure="false">"c1777"</definedName>
    <definedName function="false" hidden="false" name="IQ_EST_CFPS_SEQ_GROWTH_Q_REUT" vbProcedure="false">"c3881"</definedName>
    <definedName function="false" hidden="false" name="IQ_EST_CFPS_SURPRISE_PERCENT" vbProcedure="false">"c1872"</definedName>
    <definedName function="false" hidden="false" name="IQ_EST_CFPS_SURPRISE_PERCENT_REUT" vbProcedure="false">"c3893"</definedName>
    <definedName function="false" hidden="false" name="IQ_EST_CURRENCY" vbProcedure="false">"c2140"</definedName>
    <definedName function="false" hidden="false" name="IQ_EST_CURRENCY_REUT" vbProcedure="false">"c5437"</definedName>
    <definedName function="false" hidden="false" name="IQ_EST_DATE" vbProcedure="false">"c1634"</definedName>
    <definedName function="false" hidden="false" name="IQ_EST_DATE_REUT" vbProcedure="false">"c5438"</definedName>
    <definedName function="false" hidden="false" name="IQ_EST_DPS_DIFF" vbProcedure="false">"c1873"</definedName>
    <definedName function="false" hidden="false" name="IQ_EST_DPS_DIFF_REUT" vbProcedure="false">"c3894"</definedName>
    <definedName function="false" hidden="false" name="IQ_EST_DPS_GROWTH_1YR" vbProcedure="false">"c1778"</definedName>
    <definedName function="false" hidden="false" name="IQ_EST_DPS_GROWTH_1YR_REUT" vbProcedure="false">"c3882"</definedName>
    <definedName function="false" hidden="false" name="IQ_EST_DPS_GROWTH_2YR" vbProcedure="false">"c1779"</definedName>
    <definedName function="false" hidden="false" name="IQ_EST_DPS_GROWTH_2YR_REUT" vbProcedure="false">"c3883"</definedName>
    <definedName function="false" hidden="false" name="IQ_EST_DPS_GROWTH_Q_1YR" vbProcedure="false">"c1780"</definedName>
    <definedName function="false" hidden="false" name="IQ_EST_DPS_GROWTH_Q_1YR_REUT" vbProcedure="false">"c3884"</definedName>
    <definedName function="false" hidden="false" name="IQ_EST_DPS_SEQ_GROWTH_Q" vbProcedure="false">"c1781"</definedName>
    <definedName function="false" hidden="false" name="IQ_EST_DPS_SEQ_GROWTH_Q_REUT" vbProcedure="false">"c3885"</definedName>
    <definedName function="false" hidden="false" name="IQ_EST_DPS_SURPRISE_PERCENT" vbProcedure="false">"c1874"</definedName>
    <definedName function="false" hidden="false" name="IQ_EST_DPS_SURPRISE_PERCENT_REUT" vbProcedure="false">"c3895"</definedName>
    <definedName function="false" hidden="false" name="IQ_EST_EBITDA_DIFF" vbProcedure="false">"c1867"</definedName>
    <definedName function="false" hidden="false" name="IQ_EST_EBITDA_DIFF_REUT" vbProcedure="false">"c3888"</definedName>
    <definedName function="false" hidden="false" name="IQ_EST_EBITDA_GROWTH_1YR" vbProcedure="false">"c1766"</definedName>
    <definedName function="false" hidden="false" name="IQ_EST_EBITDA_GROWTH_1YR_REUT" vbProcedure="false">"c3864"</definedName>
    <definedName function="false" hidden="false" name="IQ_EST_EBITDA_GROWTH_2YR" vbProcedure="false">"c1767"</definedName>
    <definedName function="false" hidden="false" name="IQ_EST_EBITDA_GROWTH_2YR_REUT" vbProcedure="false">"c3865"</definedName>
    <definedName function="false" hidden="false" name="IQ_EST_EBITDA_GROWTH_Q_1YR" vbProcedure="false">"c1768"</definedName>
    <definedName function="false" hidden="false" name="IQ_EST_EBITDA_GROWTH_Q_1YR_REUT" vbProcedure="false">"c3866"</definedName>
    <definedName function="false" hidden="false" name="IQ_EST_EBITDA_SEQ_GROWTH_Q" vbProcedure="false">"c1769"</definedName>
    <definedName function="false" hidden="false" name="IQ_EST_EBITDA_SEQ_GROWTH_Q_REUT" vbProcedure="false">"c3867"</definedName>
    <definedName function="false" hidden="false" name="IQ_EST_EBITDA_SURPRISE_PERCENT" vbProcedure="false">"c1868"</definedName>
    <definedName function="false" hidden="false" name="IQ_EST_EBITDA_SURPRISE_PERCENT_REUT" vbProcedure="false">"c3889"</definedName>
    <definedName function="false" hidden="false" name="IQ_EST_EBIT_DIFF" vbProcedure="false">"c1875"</definedName>
    <definedName function="false" hidden="false" name="IQ_EST_EBIT_DIFF_REUT" vbProcedure="false">"c5413"</definedName>
    <definedName function="false" hidden="false" name="IQ_EST_EBIT_SURPRISE_PERCENT" vbProcedure="false">"c1876"</definedName>
    <definedName function="false" hidden="false" name="IQ_EST_EBIT_SURPRISE_PERCENT_REUT" vbProcedure="false">"c5414"</definedName>
    <definedName function="false" hidden="false" name="IQ_EST_EPS_DIFF" vbProcedure="false">"c1864"</definedName>
    <definedName function="false" hidden="false" name="IQ_EST_EPS_DIFF_REUT" vbProcedure="false">"c5458"</definedName>
    <definedName function="false" hidden="false" name="IQ_EST_EPS_GROWTH_1YR" vbProcedure="false">"c1636"</definedName>
    <definedName function="false" hidden="false" name="IQ_EST_EPS_GROWTH_1YR_REUT" vbProcedure="false">"c3646"</definedName>
    <definedName function="false" hidden="false" name="IQ_EST_EPS_GROWTH_2YR" vbProcedure="false">"c1637"</definedName>
    <definedName function="false" hidden="false" name="IQ_EST_EPS_GROWTH_2YR_REUT" vbProcedure="false">"c3858"</definedName>
    <definedName function="false" hidden="false" name="IQ_EST_EPS_GROWTH_5YR" vbProcedure="false">"c1655"</definedName>
    <definedName function="false" hidden="false" name="IQ_EST_EPS_GROWTH_5YR_BOTTOM_UP_REUT" vbProcedure="false">"c5495"</definedName>
    <definedName function="false" hidden="false" name="IQ_EST_EPS_GROWTH_5YR_HIGH" vbProcedure="false">"c1657"</definedName>
    <definedName function="false" hidden="false" name="IQ_EST_EPS_GROWTH_5YR_HIGH_REUT" vbProcedure="false">"c5322"</definedName>
    <definedName function="false" hidden="false" name="IQ_EST_EPS_GROWTH_5YR_LOW" vbProcedure="false">"c1658"</definedName>
    <definedName function="false" hidden="false" name="IQ_EST_EPS_GROWTH_5YR_LOW_REUT" vbProcedure="false">"c5323"</definedName>
    <definedName function="false" hidden="false" name="IQ_EST_EPS_GROWTH_5YR_MEDIAN" vbProcedure="false">"c1656"</definedName>
    <definedName function="false" hidden="false" name="IQ_EST_EPS_GROWTH_5YR_MEDIAN_REUT" vbProcedure="false">"c5321"</definedName>
    <definedName function="false" hidden="false" name="IQ_EST_EPS_GROWTH_5YR_NUM" vbProcedure="false">"c1659"</definedName>
    <definedName function="false" hidden="false" name="IQ_EST_EPS_GROWTH_5YR_NUM_REUT" vbProcedure="false">"c5324"</definedName>
    <definedName function="false" hidden="false" name="IQ_EST_EPS_GROWTH_5YR_REUT" vbProcedure="false">"c3633"</definedName>
    <definedName function="false" hidden="false" name="IQ_EST_EPS_GROWTH_5YR_STDDEV" vbProcedure="false">"c1660"</definedName>
    <definedName function="false" hidden="false" name="IQ_EST_EPS_GROWTH_5YR_STDDEV_REUT" vbProcedure="false">"c5325"</definedName>
    <definedName function="false" hidden="false" name="IQ_EST_EPS_GROWTH_Q_1YR" vbProcedure="false">"c1641"</definedName>
    <definedName function="false" hidden="false" name="IQ_EST_EPS_GROWTH_Q_1YR_REUT" vbProcedure="false">"c5410"</definedName>
    <definedName function="false" hidden="false" name="IQ_EST_EPS_GW_DIFF" vbProcedure="false">"c1891"</definedName>
    <definedName function="false" hidden="false" name="IQ_EST_EPS_GW_DIFF_REUT" vbProcedure="false">"c5429"</definedName>
    <definedName function="false" hidden="false" name="IQ_EST_EPS_GW_SURPRISE_PERCENT" vbProcedure="false">"c1892"</definedName>
    <definedName function="false" hidden="false" name="IQ_EST_EPS_GW_SURPRISE_PERCENT_REUT" vbProcedure="false">"c5430"</definedName>
    <definedName function="false" hidden="false" name="IQ_EST_EPS_NORM_DIFF" vbProcedure="false">"c2247"</definedName>
    <definedName function="false" hidden="false" name="IQ_EST_EPS_NORM_DIFF_REUT" vbProcedure="false">"c5411"</definedName>
    <definedName function="false" hidden="false" name="IQ_EST_EPS_NORM_SURPRISE_PERCENT" vbProcedure="false">"c2248"</definedName>
    <definedName function="false" hidden="false" name="IQ_EST_EPS_NORM_SURPRISE_PERCENT_REUT" vbProcedure="false">"c5412"</definedName>
    <definedName function="false" hidden="false" name="IQ_EST_EPS_REPORT_DIFF" vbProcedure="false">"c1893"</definedName>
    <definedName function="false" hidden="false" name="IQ_EST_EPS_REPORT_DIFF_REUT" vbProcedure="false">"c5431"</definedName>
    <definedName function="false" hidden="false" name="IQ_EST_EPS_REPORT_SURPRISE_PERCENT" vbProcedure="false">"c1894"</definedName>
    <definedName function="false" hidden="false" name="IQ_EST_EPS_REPORT_SURPRISE_PERCENT_REUT" vbProcedure="false">"c5432"</definedName>
    <definedName function="false" hidden="false" name="IQ_EST_EPS_SEQ_GROWTH_Q" vbProcedure="false">"c1764"</definedName>
    <definedName function="false" hidden="false" name="IQ_EST_EPS_SEQ_GROWTH_Q_REUT" vbProcedure="false">"c3859"</definedName>
    <definedName function="false" hidden="false" name="IQ_EST_EPS_SURPRISE" vbProcedure="false">"c1635"</definedName>
    <definedName function="false" hidden="false" name="IQ_EST_EPS_SURPRISE_PERCENT" vbProcedure="false">"c1635"</definedName>
    <definedName function="false" hidden="false" name="IQ_EST_EPS_SURPRISE_PERCENT_REUT" vbProcedure="false">"c5459"</definedName>
    <definedName function="false" hidden="false" name="IQ_EST_FFO_DIFF" vbProcedure="false">"c1869"</definedName>
    <definedName function="false" hidden="false" name="IQ_EST_FFO_DIFF_REUT" vbProcedure="false">"c3890"</definedName>
    <definedName function="false" hidden="false" name="IQ_EST_FFO_DIFF_THOM" vbProcedure="false">"c5186"</definedName>
    <definedName function="false" hidden="false" name="IQ_EST_FFO_GROWTH_1YR" vbProcedure="false">"c1770"</definedName>
    <definedName function="false" hidden="false" name="IQ_EST_FFO_GROWTH_1YR_REUT" vbProcedure="false">"c3874"</definedName>
    <definedName function="false" hidden="false" name="IQ_EST_FFO_GROWTH_2YR" vbProcedure="false">"c1771"</definedName>
    <definedName function="false" hidden="false" name="IQ_EST_FFO_GROWTH_2YR_REUT" vbProcedure="false">"c3875"</definedName>
    <definedName function="false" hidden="false" name="IQ_EST_FFO_GROWTH_Q_1YR" vbProcedure="false">"c1772"</definedName>
    <definedName function="false" hidden="false" name="IQ_EST_FFO_GROWTH_Q_1YR_REUT" vbProcedure="false">"c3876"</definedName>
    <definedName function="false" hidden="false" name="IQ_EST_FFO_SEQ_GROWTH_Q" vbProcedure="false">"c1773"</definedName>
    <definedName function="false" hidden="false" name="IQ_EST_FFO_SEQ_GROWTH_Q_REUT" vbProcedure="false">"c3877"</definedName>
    <definedName function="false" hidden="false" name="IQ_EST_FFO_SHARE_SHARE_DIFF_REUT" vbProcedure="false">"c3890"</definedName>
    <definedName function="false" hidden="false" name="IQ_EST_FFO_SHARE_SHARE_DIFF_THOM" vbProcedure="false">"c5186"</definedName>
    <definedName function="false" hidden="false" name="IQ_EST_FFO_SHARE_SHARE_SURPRISE_PERCENT_REUT" vbProcedure="false">"c3891"</definedName>
    <definedName function="false" hidden="false" name="IQ_EST_FFO_SHARE_SHARE_SURPRISE_PERCENT_THOM" vbProcedure="false">"c5187"</definedName>
    <definedName function="false" hidden="false" name="IQ_EST_FFO_SURPRISE_PERCENT" vbProcedure="false">"c1870"</definedName>
    <definedName function="false" hidden="false" name="IQ_EST_FFO_SURPRISE_PERCENT_REUT" vbProcedure="false">"c3891"</definedName>
    <definedName function="false" hidden="false" name="IQ_EST_FFO_SURPRISE_PERCENT_THOM" vbProcedure="false">"c5187"</definedName>
    <definedName function="false" hidden="false" name="IQ_EST_FOOTNOTE_REUT" vbProcedure="false">"c5478"</definedName>
    <definedName function="false" hidden="false" name="IQ_EST_NAV_DIFF" vbProcedure="false">"c1895"</definedName>
    <definedName function="false" hidden="false" name="IQ_EST_NAV_SURPRISE_PERCENT" vbProcedure="false">"c1896"</definedName>
    <definedName function="false" hidden="false" name="IQ_EST_NI_DIFF" vbProcedure="false">"c1885"</definedName>
    <definedName function="false" hidden="false" name="IQ_EST_NI_DIFF_REUT" vbProcedure="false">"c5423"</definedName>
    <definedName function="false" hidden="false" name="IQ_EST_NI_GW_DIFF" vbProcedure="false">"c1887"</definedName>
    <definedName function="false" hidden="false" name="IQ_EST_NI_GW_DIFF_REUT" vbProcedure="false">"c5425"</definedName>
    <definedName function="false" hidden="false" name="IQ_EST_NI_GW_SURPRISE_PERCENT" vbProcedure="false">"c1888"</definedName>
    <definedName function="false" hidden="false" name="IQ_EST_NI_GW_SURPRISE_PERCENT_REUT" vbProcedure="false">"c5426"</definedName>
    <definedName function="false" hidden="false" name="IQ_EST_NI_REPORT_DIFF" vbProcedure="false">"c1889"</definedName>
    <definedName function="false" hidden="false" name="IQ_EST_NI_REPORT_DIFF_REUT" vbProcedure="false">"c5427"</definedName>
    <definedName function="false" hidden="false" name="IQ_EST_NI_REPORT_SURPRISE_PERCENT" vbProcedure="false">"c1890"</definedName>
    <definedName function="false" hidden="false" name="IQ_EST_NI_REPORT_SURPRISE_PERCENT_REUT" vbProcedure="false">"c5428"</definedName>
    <definedName function="false" hidden="false" name="IQ_EST_NI_SURPRISE_PERCENT" vbProcedure="false">"c1886"</definedName>
    <definedName function="false" hidden="false" name="IQ_EST_NI_SURPRISE_PERCENT_REUT" vbProcedure="false">"c5424"</definedName>
    <definedName function="false" hidden="false" name="IQ_EST_NUM_BUY" vbProcedure="false">"c1759"</definedName>
    <definedName function="false" hidden="false" name="IQ_EST_NUM_BUY_CIQ" vbProcedure="false">"c3700"</definedName>
    <definedName function="false" hidden="false" name="IQ_EST_NUM_BUY_REUT" vbProcedure="false">"c3869"</definedName>
    <definedName function="false" hidden="false" name="IQ_EST_NUM_BUY_THOM" vbProcedure="false">"c5165"</definedName>
    <definedName function="false" hidden="false" name="IQ_EST_NUM_HIGHEST_REC_REUT" vbProcedure="false">"c3869"</definedName>
    <definedName function="false" hidden="false" name="IQ_EST_NUM_HIGH_REC_REUT" vbProcedure="false">"c3870"</definedName>
    <definedName function="false" hidden="false" name="IQ_EST_NUM_HOLD" vbProcedure="false">"c1761"</definedName>
    <definedName function="false" hidden="false" name="IQ_EST_NUM_HOLD_CIQ" vbProcedure="false">"c3702"</definedName>
    <definedName function="false" hidden="false" name="IQ_EST_NUM_HOLD_REUT" vbProcedure="false">"c3871"</definedName>
    <definedName function="false" hidden="false" name="IQ_EST_NUM_HOLD_THOM" vbProcedure="false">"c5167"</definedName>
    <definedName function="false" hidden="false" name="IQ_EST_NUM_LOWEST_REC_REUT" vbProcedure="false">"c3873"</definedName>
    <definedName function="false" hidden="false" name="IQ_EST_NUM_LOW_REC_REUT" vbProcedure="false">"c3872"</definedName>
    <definedName function="false" hidden="false" name="IQ_EST_NUM_NEUTRAL_REC_REUT" vbProcedure="false">"c3871"</definedName>
    <definedName function="false" hidden="false" name="IQ_EST_NUM_NO_OPINION" vbProcedure="false">"c1758"</definedName>
    <definedName function="false" hidden="false" name="IQ_EST_NUM_NO_OPINION_REUT" vbProcedure="false">"c3868"</definedName>
    <definedName function="false" hidden="false" name="IQ_EST_NUM_OUTPERFORM" vbProcedure="false">"c1760"</definedName>
    <definedName function="false" hidden="false" name="IQ_EST_NUM_OUTPERFORM_CIQ" vbProcedure="false">"c3701"</definedName>
    <definedName function="false" hidden="false" name="IQ_EST_NUM_OUTPERFORM_REUT" vbProcedure="false">"c3870"</definedName>
    <definedName function="false" hidden="false" name="IQ_EST_NUM_OUTPERFORM_THOM" vbProcedure="false">"c5166"</definedName>
    <definedName function="false" hidden="false" name="IQ_EST_NUM_SELL" vbProcedure="false">"c1763"</definedName>
    <definedName function="false" hidden="false" name="IQ_EST_NUM_SELL_CIQ" vbProcedure="false">"c3704"</definedName>
    <definedName function="false" hidden="false" name="IQ_EST_NUM_SELL_REUT" vbProcedure="false">"c3873"</definedName>
    <definedName function="false" hidden="false" name="IQ_EST_NUM_SELL_THOM" vbProcedure="false">"c5169"</definedName>
    <definedName function="false" hidden="false" name="IQ_EST_NUM_UNDERPERFORM" vbProcedure="false">"c1762"</definedName>
    <definedName function="false" hidden="false" name="IQ_EST_NUM_UNDERPERFORM_CIQ" vbProcedure="false">"c3703"</definedName>
    <definedName function="false" hidden="false" name="IQ_EST_NUM_UNDERPERFORM_REUT" vbProcedure="false">"c3872"</definedName>
    <definedName function="false" hidden="false" name="IQ_EST_NUM_UNDERPERFORM_THOM" vbProcedure="false">"c5168"</definedName>
    <definedName function="false" hidden="false" name="IQ_EST_OPER_INC_DIFF" vbProcedure="false">"c1877"</definedName>
    <definedName function="false" hidden="false" name="IQ_EST_OPER_INC_DIFF_REUT" vbProcedure="false">"c5415"</definedName>
    <definedName function="false" hidden="false" name="IQ_EST_OPER_INC_SURPRISE_PERCENT" vbProcedure="false">"c1878"</definedName>
    <definedName function="false" hidden="false" name="IQ_EST_OPER_INC_SURPRISE_PERCENT_REUT" vbProcedure="false">"c5416"</definedName>
    <definedName function="false" hidden="false" name="IQ_EST_PRE_TAX_DIFF" vbProcedure="false">"c1879"</definedName>
    <definedName function="false" hidden="false" name="IQ_EST_PRE_TAX_DIFF_REUT" vbProcedure="false">"c5417"</definedName>
    <definedName function="false" hidden="false" name="IQ_EST_PRE_TAX_GW_DIFF" vbProcedure="false">"c1881"</definedName>
    <definedName function="false" hidden="false" name="IQ_EST_PRE_TAX_GW_DIFF_REUT" vbProcedure="false">"c5419"</definedName>
    <definedName function="false" hidden="false" name="IQ_EST_PRE_TAX_GW_SURPRISE_PERCENT" vbProcedure="false">"c1882"</definedName>
    <definedName function="false" hidden="false" name="IQ_EST_PRE_TAX_GW_SURPRISE_PERCENT_REUT" vbProcedure="false">"c5420"</definedName>
    <definedName function="false" hidden="false" name="IQ_EST_PRE_TAX_REPORT_DIFF" vbProcedure="false">"c1883"</definedName>
    <definedName function="false" hidden="false" name="IQ_EST_PRE_TAX_REPORT_DIFF_REUT" vbProcedure="false">"c5421"</definedName>
    <definedName function="false" hidden="false" name="IQ_EST_PRE_TAX_REPORT_SURPRISE_PERCENT" vbProcedure="false">"c1884"</definedName>
    <definedName function="false" hidden="false" name="IQ_EST_PRE_TAX_REPORT_SURPRISE_PERCENT_REUT" vbProcedure="false">"c5422"</definedName>
    <definedName function="false" hidden="false" name="IQ_EST_PRE_TAX_SURPRISE_PERCENT" vbProcedure="false">"c1880"</definedName>
    <definedName function="false" hidden="false" name="IQ_EST_PRE_TAX_SURPRISE_PERCENT_REUT" vbProcedure="false">"c5418"</definedName>
    <definedName function="false" hidden="false" name="IQ_EST_REV_DIFF" vbProcedure="false">"c1865"</definedName>
    <definedName function="false" hidden="false" name="IQ_EST_REV_DIFF_REUT" vbProcedure="false">"c3886"</definedName>
    <definedName function="false" hidden="false" name="IQ_EST_REV_GROWTH_1YR" vbProcedure="false">"c1638"</definedName>
    <definedName function="false" hidden="false" name="IQ_EST_REV_GROWTH_1YR_REUT" vbProcedure="false">"c3860"</definedName>
    <definedName function="false" hidden="false" name="IQ_EST_REV_GROWTH_2YR" vbProcedure="false">"c1639"</definedName>
    <definedName function="false" hidden="false" name="IQ_EST_REV_GROWTH_2YR_REUT" vbProcedure="false">"c3861"</definedName>
    <definedName function="false" hidden="false" name="IQ_EST_REV_GROWTH_Q_1YR" vbProcedure="false">"c1640"</definedName>
    <definedName function="false" hidden="false" name="IQ_EST_REV_GROWTH_Q_1YR_REUT" vbProcedure="false">"c3862"</definedName>
    <definedName function="false" hidden="false" name="IQ_EST_REV_SEQ_GROWTH_Q" vbProcedure="false">"c1765"</definedName>
    <definedName function="false" hidden="false" name="IQ_EST_REV_SEQ_GROWTH_Q_REUT" vbProcedure="false">"c3863"</definedName>
    <definedName function="false" hidden="false" name="IQ_EST_REV_SURPRISE_PERCENT" vbProcedure="false">"c1866"</definedName>
    <definedName function="false" hidden="false" name="IQ_EST_REV_SURPRISE_PERCENT_REUT" vbProcedure="false">"c3887"</definedName>
    <definedName function="false" hidden="false" name="IQ_EV_OVER_EMPLOYEE" vbProcedure="false">"c1428"</definedName>
    <definedName function="false" hidden="false" name="IQ_EV_OVER_LTM_EBIT" vbProcedure="false">"c1426"</definedName>
    <definedName function="false" hidden="false" name="IQ_EV_OVER_LTM_EBITDA" vbProcedure="false">"c1427"</definedName>
    <definedName function="false" hidden="false" name="IQ_EV_OVER_LTM_REVENUE" vbProcedure="false">"c1429"</definedName>
    <definedName function="false" hidden="false" name="IQ_EV_OVER_REVENUE_EST" vbProcedure="false">"IQ_EV_OVER_REVENUE_EST"</definedName>
    <definedName function="false" hidden="false" name="IQ_EV_OVER_REVENUE_EST_1" vbProcedure="false">"IQ_EV_OVER_REVENUE_EST_1"</definedName>
    <definedName function="false" hidden="false" name="IQ_EXCHANGE" vbProcedure="false">"c405"</definedName>
    <definedName function="false" hidden="false" name="IQ_EXERCISED" vbProcedure="false">"c406"</definedName>
    <definedName function="false" hidden="false" name="IQ_EXERCISE_PRICE" vbProcedure="false">"c1897"</definedName>
    <definedName function="false" hidden="false" name="IQ_EXPENSE_CODE_" vbProcedure="false">"tdw"</definedName>
    <definedName function="false" hidden="false" name="IQ_EXPLORE_DRILL" vbProcedure="false">"c409"</definedName>
    <definedName function="false" hidden="false" name="IQ_EXPORTS_APR_FC_UNUSED_UNUSED_UNUSED" vbProcedure="false">"c8401"</definedName>
    <definedName function="false" hidden="false" name="IQ_EXPORTS_APR_UNUSED_UNUSED_UNUSED" vbProcedure="false">"c7521"</definedName>
    <definedName function="false" hidden="false" name="IQ_EXPORTS_FC_UNUSED_UNUSED_UNUSED" vbProcedure="false">"c7741"</definedName>
    <definedName function="false" hidden="false" name="IQ_EXPORTS_GOODS_REAL_SAAR_APR_FC_UNUSED_UNUSED_UNUSED" vbProcedure="false">"c8512"</definedName>
    <definedName function="false" hidden="false" name="IQ_EXPORTS_GOODS_REAL_SAAR_APR_UNUSED_UNUSED_UNUSED" vbProcedure="false">"c7632"</definedName>
    <definedName function="false" hidden="false" name="IQ_EXPORTS_GOODS_REAL_SAAR_FC_UNUSED_UNUSED_UNUSED" vbProcedure="false">"c7852"</definedName>
    <definedName function="false" hidden="false" name="IQ_EXPORTS_GOODS_REAL_SAAR_POP_FC_UNUSED_UNUSED_UNUSED" vbProcedure="false">"c8072"</definedName>
    <definedName function="false" hidden="false" name="IQ_EXPORTS_GOODS_REAL_SAAR_POP_UNUSED_UNUSED_UNUSED" vbProcedure="false">"c7192"</definedName>
    <definedName function="false" hidden="false" name="IQ_EXPORTS_GOODS_REAL_SAAR_UNUSED_UNUSED_UNUSED" vbProcedure="false">"c6972"</definedName>
    <definedName function="false" hidden="false" name="IQ_EXPORTS_GOODS_REAL_SAAR_YOY_FC_UNUSED_UNUSED_UNUSED" vbProcedure="false">"c8292"</definedName>
    <definedName function="false" hidden="false" name="IQ_EXPORTS_GOODS_REAL_SAAR_YOY_UNUSED_UNUSED_UNUSED" vbProcedure="false">"c7412"</definedName>
    <definedName function="false" hidden="false" name="IQ_EXPORTS_POP_FC_UNUSED_UNUSED_UNUSED" vbProcedure="false">"c7961"</definedName>
    <definedName function="false" hidden="false" name="IQ_EXPORTS_POP_UNUSED_UNUSED_UNUSED" vbProcedure="false">"c7081"</definedName>
    <definedName function="false" hidden="false" name="IQ_EXPORTS_SERVICES_REAL_SAAR_APR_FC_UNUSED_UNUSED_UNUSED" vbProcedure="false">"c8516"</definedName>
    <definedName function="false" hidden="false" name="IQ_EXPORTS_SERVICES_REAL_SAAR_APR_UNUSED_UNUSED_UNUSED" vbProcedure="false">"c7636"</definedName>
    <definedName function="false" hidden="false" name="IQ_EXPORTS_SERVICES_REAL_SAAR_FC_UNUSED_UNUSED_UNUSED" vbProcedure="false">"c7856"</definedName>
    <definedName function="false" hidden="false" name="IQ_EXPORTS_SERVICES_REAL_SAAR_POP_FC_UNUSED_UNUSED_UNUSED" vbProcedure="false">"c8076"</definedName>
    <definedName function="false" hidden="false" name="IQ_EXPORTS_SERVICES_REAL_SAAR_POP_UNUSED_UNUSED_UNUSED" vbProcedure="false">"c7196"</definedName>
    <definedName function="false" hidden="false" name="IQ_EXPORTS_SERVICES_REAL_SAAR_UNUSED_UNUSED_UNUSED" vbProcedure="false">"c6976"</definedName>
    <definedName function="false" hidden="false" name="IQ_EXPORTS_SERVICES_REAL_SAAR_YOY_FC_UNUSED_UNUSED_UNUSED" vbProcedure="false">"c8296"</definedName>
    <definedName function="false" hidden="false" name="IQ_EXPORTS_SERVICES_REAL_SAAR_YOY_UNUSED_UNUSED_UNUSED" vbProcedure="false">"c7416"</definedName>
    <definedName function="false" hidden="false" name="IQ_EXPORTS_UNUSED_UNUSED_UNUSED" vbProcedure="false">"c6861"</definedName>
    <definedName function="false" hidden="false" name="IQ_EXPORTS_YOY_FC_UNUSED_UNUSED_UNUSED" vbProcedure="false">"c8181"</definedName>
    <definedName function="false" hidden="false" name="IQ_EXPORTS_YOY_UNUSED_UNUSED_UNUSED" vbProcedure="false">"c7301"</definedName>
    <definedName function="false" hidden="false" name="IQ_EXP_RETURN_PENSION_DOMESTIC" vbProcedure="false">"c407"</definedName>
    <definedName function="false" hidden="false" name="IQ_EXP_RETURN_PENSION_FOREIGN" vbProcedure="false">"c408"</definedName>
    <definedName function="false" hidden="false" name="IQ_EXTRAORDINARY_GAINS_FDIC" vbProcedure="false">"c6586"</definedName>
    <definedName function="false" hidden="false" name="IQ_EXTRA_ACC_ITEMS" vbProcedure="false">"c410"</definedName>
    <definedName function="false" hidden="false" name="IQ_EXTRA_ACC_ITEMS_BNK" vbProcedure="false">"c411"</definedName>
    <definedName function="false" hidden="false" name="IQ_EXTRA_ACC_ITEMS_BR" vbProcedure="false">"c412"</definedName>
    <definedName function="false" hidden="false" name="IQ_EXTRA_ACC_ITEMS_FIN" vbProcedure="false">"c413"</definedName>
    <definedName function="false" hidden="false" name="IQ_EXTRA_ACC_ITEMS_INS" vbProcedure="false">"c414"</definedName>
    <definedName function="false" hidden="false" name="IQ_EXTRA_ACC_ITEMS_REIT" vbProcedure="false">"c415"</definedName>
    <definedName function="false" hidden="false" name="IQ_EXTRA_ACC_ITEMS_UTI" vbProcedure="false">"c416"</definedName>
    <definedName function="false" hidden="false" name="IQ_EXTRA_ITEMS" vbProcedure="false">"c1459"</definedName>
    <definedName function="false" hidden="false" name="IQ_FAIR_VALUE_FDIC" vbProcedure="false">"c6427"</definedName>
    <definedName function="false" hidden="false" name="IQ_FARMLAND_LOANS_FDIC" vbProcedure="false">"c6314"</definedName>
    <definedName function="false" hidden="false" name="IQ_FARM_LOANS_NET_FDIC" vbProcedure="false">"c6316"</definedName>
    <definedName function="false" hidden="false" name="IQ_FARM_LOANS_TOTAL_LOANS_FOREIGN_FDIC" vbProcedure="false">"c6450"</definedName>
    <definedName function="false" hidden="false" name="IQ_FDIC" vbProcedure="false">"c417"</definedName>
    <definedName function="false" hidden="false" name="IQ_FEDFUNDS_SOLD" vbProcedure="false">"c2256"</definedName>
    <definedName function="false" hidden="false" name="IQ_FED_FUNDS_PURCHASED_FDIC" vbProcedure="false">"c6343"</definedName>
    <definedName function="false" hidden="false" name="IQ_FED_FUNDS_SOLD_FDIC" vbProcedure="false">"c6307"</definedName>
    <definedName function="false" hidden="false" name="IQ_FFO" vbProcedure="false">"c1574"</definedName>
    <definedName function="false" hidden="false" name="IQ_FFO_ACT_OR_EST" vbProcedure="false">"c2216"</definedName>
    <definedName function="false" hidden="false" name="IQ_FFO_ADJ_EST_CIQ" vbProcedure="false">"c4959"</definedName>
    <definedName function="false" hidden="false" name="IQ_FFO_ADJ_HIGH_EST_CIQ" vbProcedure="false">"c4962"</definedName>
    <definedName function="false" hidden="false" name="IQ_FFO_ADJ_LOW_EST_CIQ" vbProcedure="false">"c4963"</definedName>
    <definedName function="false" hidden="false" name="IQ_FFO_ADJ_MEDIAN_EST_CIQ" vbProcedure="false">"c4964"</definedName>
    <definedName function="false" hidden="false" name="IQ_FFO_ADJ_NUM_EST_CIQ" vbProcedure="false">"c4965"</definedName>
    <definedName function="false" hidden="false" name="IQ_FFO_ADJ_STDDEV_EST_CIQ" vbProcedure="false">"c4966"</definedName>
    <definedName function="false" hidden="false" name="IQ_FFO_EST" vbProcedure="false">"c418"</definedName>
    <definedName function="false" hidden="false" name="IQ_FFO_EST_CIQ" vbProcedure="false">"c4970"</definedName>
    <definedName function="false" hidden="false" name="IQ_FFO_EST_REUT" vbProcedure="false">"c3837"</definedName>
    <definedName function="false" hidden="false" name="IQ_FFO_EST_THOM" vbProcedure="false">"c3999"</definedName>
    <definedName function="false" hidden="false" name="IQ_FFO_HIGH_EST" vbProcedure="false">"c419"</definedName>
    <definedName function="false" hidden="false" name="IQ_FFO_HIGH_EST_CIQ" vbProcedure="false">"c4977"</definedName>
    <definedName function="false" hidden="false" name="IQ_FFO_HIGH_EST_REUT" vbProcedure="false">"c3839"</definedName>
    <definedName function="false" hidden="false" name="IQ_FFO_HIGH_EST_THOM" vbProcedure="false">"c4001"</definedName>
    <definedName function="false" hidden="false" name="IQ_FFO_LOW_EST" vbProcedure="false">"c420"</definedName>
    <definedName function="false" hidden="false" name="IQ_FFO_LOW_EST_CIQ" vbProcedure="false">"c4978"</definedName>
    <definedName function="false" hidden="false" name="IQ_FFO_LOW_EST_REUT" vbProcedure="false">"c3840"</definedName>
    <definedName function="false" hidden="false" name="IQ_FFO_LOW_EST_THOM" vbProcedure="false">"c4002"</definedName>
    <definedName function="false" hidden="false" name="IQ_FFO_MEDIAN_EST" vbProcedure="false">"c1665"</definedName>
    <definedName function="false" hidden="false" name="IQ_FFO_MEDIAN_EST_CIQ" vbProcedure="false">"c4979"</definedName>
    <definedName function="false" hidden="false" name="IQ_FFO_MEDIAN_EST_REUT" vbProcedure="false">"c3838"</definedName>
    <definedName function="false" hidden="false" name="IQ_FFO_MEDIAN_EST_THOM" vbProcedure="false">"c4000"</definedName>
    <definedName function="false" hidden="false" name="IQ_FFO_NO_EST" vbProcedure="false">"c276"</definedName>
    <definedName function="false" hidden="false" name="IQ_FFO_NUM_EST" vbProcedure="false">"c421"</definedName>
    <definedName function="false" hidden="false" name="IQ_FFO_NUM_EST_CIQ" vbProcedure="false">"c4980"</definedName>
    <definedName function="false" hidden="false" name="IQ_FFO_NUM_EST_REUT" vbProcedure="false">"c3841"</definedName>
    <definedName function="false" hidden="false" name="IQ_FFO_NUM_EST_THOM" vbProcedure="false">"c4003"</definedName>
    <definedName function="false" hidden="false" name="IQ_FFO_SHARE_SHARE_EST_DET_EST" vbProcedure="false">"c12059"</definedName>
    <definedName function="false" hidden="false" name="IQ_FFO_SHARE_SHARE_EST_DET_EST_CURRENCY" vbProcedure="false">"c12466"</definedName>
    <definedName function="false" hidden="false" name="IQ_FFO_SHARE_SHARE_EST_DET_EST_CURRENCY_THOM" vbProcedure="false">"c12487"</definedName>
    <definedName function="false" hidden="false" name="IQ_FFO_SHARE_SHARE_EST_DET_EST_DATE" vbProcedure="false">"c12212"</definedName>
    <definedName function="false" hidden="false" name="IQ_FFO_SHARE_SHARE_EST_DET_EST_DATE_THOM" vbProcedure="false">"c12238"</definedName>
    <definedName function="false" hidden="false" name="IQ_FFO_SHARE_SHARE_EST_DET_EST_INCL" vbProcedure="false">"c12349"</definedName>
    <definedName function="false" hidden="false" name="IQ_FFO_SHARE_SHARE_EST_DET_EST_INCL_THOM" vbProcedure="false">"c12370"</definedName>
    <definedName function="false" hidden="false" name="IQ_FFO_SHARE_SHARE_EST_DET_EST_ORIGIN" vbProcedure="false">"c12722"</definedName>
    <definedName function="false" hidden="false" name="IQ_FFO_SHARE_SHARE_EST_DET_EST_ORIGIN_THOM" vbProcedure="false">"c12608"</definedName>
    <definedName function="false" hidden="false" name="IQ_FFO_SHARE_SHARE_EST_DET_EST_THOM" vbProcedure="false">"c12088"</definedName>
    <definedName function="false" hidden="false" name="IQ_FFO_SHARE_SHARE_EST_REUT" vbProcedure="false">"c3837"</definedName>
    <definedName function="false" hidden="false" name="IQ_FFO_SHARE_SHARE_EST_THOM" vbProcedure="false">"c3999"</definedName>
    <definedName function="false" hidden="false" name="IQ_FFO_SHARE_SHARE_HIGH_EST_REUT" vbProcedure="false">"c3839"</definedName>
    <definedName function="false" hidden="false" name="IQ_FFO_SHARE_SHARE_HIGH_EST_THOM" vbProcedure="false">"c4001"</definedName>
    <definedName function="false" hidden="false" name="IQ_FFO_SHARE_SHARE_LOW_EST_REUT" vbProcedure="false">"c3840"</definedName>
    <definedName function="false" hidden="false" name="IQ_FFO_SHARE_SHARE_LOW_EST_THOM" vbProcedure="false">"c4002"</definedName>
    <definedName function="false" hidden="false" name="IQ_FFO_SHARE_SHARE_MEDIAN_EST_REUT" vbProcedure="false">"c3838"</definedName>
    <definedName function="false" hidden="false" name="IQ_FFO_SHARE_SHARE_MEDIAN_EST_THOM" vbProcedure="false">"c4000"</definedName>
    <definedName function="false" hidden="false" name="IQ_FFO_SHARE_SHARE_NUM_EST_REUT" vbProcedure="false">"c3841"</definedName>
    <definedName function="false" hidden="false" name="IQ_FFO_SHARE_SHARE_NUM_EST_THOM" vbProcedure="false">"c4003"</definedName>
    <definedName function="false" hidden="false" name="IQ_FFO_SHARE_SHARE_STDDEV_EST_REUT" vbProcedure="false">"c3842"</definedName>
    <definedName function="false" hidden="false" name="IQ_FFO_SHARE_SHARE_STDDEV_EST_THOM" vbProcedure="false">"c4004"</definedName>
    <definedName function="false" hidden="false" name="IQ_FFO_STDDEV_EST" vbProcedure="false">"c422"</definedName>
    <definedName function="false" hidden="false" name="IQ_FFO_STDDEV_EST_CIQ" vbProcedure="false">"c4981"</definedName>
    <definedName function="false" hidden="false" name="IQ_FFO_STDDEV_EST_REUT" vbProcedure="false">"c3842"</definedName>
    <definedName function="false" hidden="false" name="IQ_FFO_STDDEV_EST_THOM" vbProcedure="false">"c4004"</definedName>
    <definedName function="false" hidden="false" name="IQ_FH" vbProcedure="false">100000</definedName>
    <definedName function="false" hidden="false" name="IQ_FHLB_ADVANCES_FDIC" vbProcedure="false">"c6366"</definedName>
    <definedName function="false" hidden="false" name="IQ_FHLB_DEBT" vbProcedure="false">"c423"</definedName>
    <definedName function="false" hidden="false" name="IQ_FHLB_DUE_AFTER_FIVE" vbProcedure="false">"c2086"</definedName>
    <definedName function="false" hidden="false" name="IQ_FHLB_DUE_CY" vbProcedure="false">"c2080"</definedName>
    <definedName function="false" hidden="false" name="IQ_FHLB_DUE_CY1" vbProcedure="false">"c2081"</definedName>
    <definedName function="false" hidden="false" name="IQ_FHLB_DUE_CY2" vbProcedure="false">"c2082"</definedName>
    <definedName function="false" hidden="false" name="IQ_FHLB_DUE_CY3" vbProcedure="false">"c2083"</definedName>
    <definedName function="false" hidden="false" name="IQ_FHLB_DUE_CY4" vbProcedure="false">"c2084"</definedName>
    <definedName function="false" hidden="false" name="IQ_FHLB_DUE_NEXT_FIVE" vbProcedure="false">"c2085"</definedName>
    <definedName function="false" hidden="false" name="IQ_FIDUCIARY_ACTIVITIES_FDIC" vbProcedure="false">"c6571"</definedName>
    <definedName function="false" hidden="false" name="IQ_FIFETEEN_YEAR_FIXED_AND_FLOATING_RATE_FDIC" vbProcedure="false">"c6423"</definedName>
    <definedName function="false" hidden="false" name="IQ_FIFETEEN_YEAR_MORTGAGE_PASS_THROUGHS_FDIC" vbProcedure="false">"c6415"</definedName>
    <definedName function="false" hidden="false" name="IQ_FILINGDATE_BS" vbProcedure="false">"c424"</definedName>
    <definedName function="false" hidden="false" name="IQ_FILINGDATE_CF" vbProcedure="false">"c425"</definedName>
    <definedName function="false" hidden="false" name="IQ_FILINGDATE_IS" vbProcedure="false">"c426"</definedName>
    <definedName function="false" hidden="false" name="IQ_FILING_CURRENCY" vbProcedure="false">"c2129"</definedName>
    <definedName function="false" hidden="false" name="IQ_FILM_RIGHTS" vbProcedure="false">"c2254"</definedName>
    <definedName function="false" hidden="false" name="IQ_FINANCING_CASH" vbProcedure="false">"c1405"</definedName>
    <definedName function="false" hidden="false" name="IQ_FINANCING_CASH_SUPPL" vbProcedure="false">"c1406"</definedName>
    <definedName function="false" hidden="false" name="IQ_FINISHED_INV" vbProcedure="false">"c438"</definedName>
    <definedName function="false" hidden="false" name="IQ_FIN_DIV_ASSETS_CURRENT" vbProcedure="false">"c427"</definedName>
    <definedName function="false" hidden="false" name="IQ_FIN_DIV_ASSETS_LT" vbProcedure="false">"c428"</definedName>
    <definedName function="false" hidden="false" name="IQ_FIN_DIV_CURRENT_PORT_DEBT_TOTAL" vbProcedure="false">"c5524"</definedName>
    <definedName function="false" hidden="false" name="IQ_FIN_DIV_CURRENT_PORT_LEASES_TOTAL" vbProcedure="false">"c5523"</definedName>
    <definedName function="false" hidden="false" name="IQ_FIN_DIV_DEBT_CURRENT" vbProcedure="false">"c429"</definedName>
    <definedName function="false" hidden="false" name="IQ_FIN_DIV_DEBT_LT" vbProcedure="false">"c430"</definedName>
    <definedName function="false" hidden="false" name="IQ_FIN_DIV_DEBT_LT_TOTAL" vbProcedure="false">"c5526"</definedName>
    <definedName function="false" hidden="false" name="IQ_FIN_DIV_EXP" vbProcedure="false">"c431"</definedName>
    <definedName function="false" hidden="false" name="IQ_FIN_DIV_INT_EXP" vbProcedure="false">"c432"</definedName>
    <definedName function="false" hidden="false" name="IQ_FIN_DIV_LEASES_LT_TOTAL" vbProcedure="false">"c5525"</definedName>
    <definedName function="false" hidden="false" name="IQ_FIN_DIV_LIAB_CURRENT" vbProcedure="false">"c433"</definedName>
    <definedName function="false" hidden="false" name="IQ_FIN_DIV_LIAB_LT" vbProcedure="false">"c434"</definedName>
    <definedName function="false" hidden="false" name="IQ_FIN_DIV_LOANS_CURRENT" vbProcedure="false">"c435"</definedName>
    <definedName function="false" hidden="false" name="IQ_FIN_DIV_LOANS_LT" vbProcedure="false">"c436"</definedName>
    <definedName function="false" hidden="false" name="IQ_FIN_DIV_NOTES_PAY_TOTAL" vbProcedure="false">"c5522"</definedName>
    <definedName function="false" hidden="false" name="IQ_FIN_DIV_REV" vbProcedure="false">"c437"</definedName>
    <definedName function="false" hidden="false" name="IQ_FIRSTPRICINGDATE" vbProcedure="false">"c3050"</definedName>
    <definedName function="false" hidden="false" name="IQ_FIRST_YEAR_LIFE" vbProcedure="false">"c439"</definedName>
    <definedName function="false" hidden="false" name="IQ_FIRST_YEAR_LIFE_PREM" vbProcedure="false">"c2787"</definedName>
    <definedName function="false" hidden="false" name="IQ_FIRST_YEAR_PREM" vbProcedure="false">"c2786"</definedName>
    <definedName function="false" hidden="false" name="IQ_FISCAL_Q" vbProcedure="false">"c440"</definedName>
    <definedName function="false" hidden="false" name="IQ_FISCAL_Q_EST_REUT" vbProcedure="false">"c6798"</definedName>
    <definedName function="false" hidden="false" name="IQ_FISCAL_Y" vbProcedure="false">"c441"</definedName>
    <definedName function="false" hidden="false" name="IQ_FISCAL_Y_EST_REUT" vbProcedure="false">"c6799"</definedName>
    <definedName function="false" hidden="false" name="IQ_FIVEPERCENT_PERCENT" vbProcedure="false">"c443"</definedName>
    <definedName function="false" hidden="false" name="IQ_FIVEPERCENT_SHARES" vbProcedure="false">"c444"</definedName>
    <definedName function="false" hidden="false" name="IQ_FIVE_PERCENT_OWNER" vbProcedure="false">"c442"</definedName>
    <definedName function="false" hidden="false" name="IQ_FIVE_YEAR_FIXED_AND_FLOATING_RATE_FDIC" vbProcedure="false">"c6422"</definedName>
    <definedName function="false" hidden="false" name="IQ_FIVE_YEAR_MORTGAGE_PASS_THROUGHS_FDIC" vbProcedure="false">"c6414"</definedName>
    <definedName function="false" hidden="false" name="IQ_FIXED_ASSET_TURNS" vbProcedure="false">"c445"</definedName>
    <definedName function="false" hidden="false" name="IQ_FIXED_INVEST_APR_FC_UNUSED_UNUSED_UNUSED" vbProcedure="false">"c8410"</definedName>
    <definedName function="false" hidden="false" name="IQ_FIXED_INVEST_APR_UNUSED_UNUSED_UNUSED" vbProcedure="false">"c7530"</definedName>
    <definedName function="false" hidden="false" name="IQ_FIXED_INVEST_FC_UNUSED_UNUSED_UNUSED" vbProcedure="false">"c7750"</definedName>
    <definedName function="false" hidden="false" name="IQ_FIXED_INVEST_POP_FC_UNUSED_UNUSED_UNUSED" vbProcedure="false">"c7970"</definedName>
    <definedName function="false" hidden="false" name="IQ_FIXED_INVEST_POP_UNUSED_UNUSED_UNUSED" vbProcedure="false">"c7090"</definedName>
    <definedName function="false" hidden="false" name="IQ_FIXED_INVEST_REAL_APR_FC_UNUSED_UNUSED_UNUSED" vbProcedure="false">"c8518"</definedName>
    <definedName function="false" hidden="false" name="IQ_FIXED_INVEST_REAL_APR_UNUSED_UNUSED_UNUSED" vbProcedure="false">"c7638"</definedName>
    <definedName function="false" hidden="false" name="IQ_FIXED_INVEST_REAL_FC_UNUSED_UNUSED_UNUSED" vbProcedure="false">"c7858"</definedName>
    <definedName function="false" hidden="false" name="IQ_FIXED_INVEST_REAL_POP_FC_UNUSED_UNUSED_UNUSED" vbProcedure="false">"c8078"</definedName>
    <definedName function="false" hidden="false" name="IQ_FIXED_INVEST_REAL_POP_UNUSED_UNUSED_UNUSED" vbProcedure="false">"c7198"</definedName>
    <definedName function="false" hidden="false" name="IQ_FIXED_INVEST_REAL_UNUSED_UNUSED_UNUSED" vbProcedure="false">"c6978"</definedName>
    <definedName function="false" hidden="false" name="IQ_FIXED_INVEST_REAL_YOY_FC_UNUSED_UNUSED_UNUSED" vbProcedure="false">"c8298"</definedName>
    <definedName function="false" hidden="false" name="IQ_FIXED_INVEST_REAL_YOY_UNUSED_UNUSED_UNUSED" vbProcedure="false">"c7418"</definedName>
    <definedName function="false" hidden="false" name="IQ_FIXED_INVEST_UNUSED_UNUSED_UNUSED" vbProcedure="false">"c6870"</definedName>
    <definedName function="false" hidden="false" name="IQ_FIXED_INVEST_YOY_FC_UNUSED_UNUSED_UNUSED" vbProcedure="false">"c8190"</definedName>
    <definedName function="false" hidden="false" name="IQ_FIXED_INVEST_YOY_UNUSED_UNUSED_UNUSED" vbProcedure="false">"c7310"</definedName>
    <definedName function="false" hidden="false" name="IQ_FLOAT_PERCENT" vbProcedure="false">"c1575"</definedName>
    <definedName function="false" hidden="false" name="IQ_FNMA_FHLMC_FDIC" vbProcedure="false">"c6397"</definedName>
    <definedName function="false" hidden="false" name="IQ_FNMA_FHLMC_GNMA_FDIC" vbProcedure="false">"c6399"</definedName>
    <definedName function="false" hidden="false" name="IQ_FORECLOSED_PROPERTIES_FDIC" vbProcedure="false">"c6459"</definedName>
    <definedName function="false" hidden="false" name="IQ_FOREIGN_BANKS_DEPOSITS_FOREIGN_FDIC" vbProcedure="false">"c6481"</definedName>
    <definedName function="false" hidden="false" name="IQ_FOREIGN_BANKS_LOAN_CHARG_OFFS_FDIC" vbProcedure="false">"c6645"</definedName>
    <definedName function="false" hidden="false" name="IQ_FOREIGN_BANKS_NET_CHARGE_OFFS_FDIC" vbProcedure="false">"c6647"</definedName>
    <definedName function="false" hidden="false" name="IQ_FOREIGN_BANKS_NONTRANSACTION_ACCOUNTS_FDIC" vbProcedure="false">"c6550"</definedName>
    <definedName function="false" hidden="false" name="IQ_FOREIGN_BANKS_RECOVERIES_FDIC" vbProcedure="false">"c6646"</definedName>
    <definedName function="false" hidden="false" name="IQ_FOREIGN_BANKS_TRANSACTION_ACCOUNTS_FDIC" vbProcedure="false">"c6542"</definedName>
    <definedName function="false" hidden="false" name="IQ_FOREIGN_BANK_LOANS_FDIC" vbProcedure="false">"c6437"</definedName>
    <definedName function="false" hidden="false" name="IQ_FOREIGN_BRANCHES_U.S._BANKS_LOANS_FDIC" vbProcedure="false">"c6438"</definedName>
    <definedName function="false" hidden="false" name="IQ_FOREIGN_BRANCHES_US_BANKS_FDIC" vbProcedure="false">"c6392"</definedName>
    <definedName function="false" hidden="false" name="IQ_FOREIGN_BRANCHES_US_BANKS_LOANS_FDIC" vbProcedure="false">"c6438"</definedName>
    <definedName function="false" hidden="false" name="IQ_FOREIGN_COUNTRIES_BANKS_TOTAL_LOANS_FOREIGN_FDIC" vbProcedure="false">"c6445"</definedName>
    <definedName function="false" hidden="false" name="IQ_FOREIGN_DEBT_SECURITIES_FDIC" vbProcedure="false">"c6303"</definedName>
    <definedName function="false" hidden="false" name="IQ_FOREIGN_DEPOSITS_NONTRANSACTION_ACCOUNTS_FDIC" vbProcedure="false">"c6549"</definedName>
    <definedName function="false" hidden="false" name="IQ_FOREIGN_DEPOSITS_TRANSACTION_ACCOUNTS_FDIC" vbProcedure="false">"c6541"</definedName>
    <definedName function="false" hidden="false" name="IQ_FOREIGN_DEP_IB" vbProcedure="false">"c446"</definedName>
    <definedName function="false" hidden="false" name="IQ_FOREIGN_DEP_NON_IB" vbProcedure="false">"c447"</definedName>
    <definedName function="false" hidden="false" name="IQ_FOREIGN_EXCHANGE" vbProcedure="false">"c1376"</definedName>
    <definedName function="false" hidden="false" name="IQ_FOREIGN_EXCHANGE_EXPOSURES_FDIC" vbProcedure="false">"c6663"</definedName>
    <definedName function="false" hidden="false" name="IQ_FOREIGN_GOVERNMENTS_CHARGE_OFFS_FDIC" vbProcedure="false">"c6600"</definedName>
    <definedName function="false" hidden="false" name="IQ_FOREIGN_GOVERNMENTS_DEPOSITS_FOREIGN_FDIC" vbProcedure="false">"c6482"</definedName>
    <definedName function="false" hidden="false" name="IQ_FOREIGN_GOVERNMENTS_NET_CHARGE_OFFS_FDIC" vbProcedure="false">"c6638"</definedName>
    <definedName function="false" hidden="false" name="IQ_FOREIGN_GOVERNMENTS_NONTRANSACTION_ACCOUNTS_FDIC" vbProcedure="false">"c6551"</definedName>
    <definedName function="false" hidden="false" name="IQ_FOREIGN_GOVERNMENTS_RECOVERIES_FDIC" vbProcedure="false">"c6619"</definedName>
    <definedName function="false" hidden="false" name="IQ_FOREIGN_GOVERNMENTS_TOTAL_DEPOSITS_FDIC" vbProcedure="false">"c6476"</definedName>
    <definedName function="false" hidden="false" name="IQ_FOREIGN_GOVERNMENTS_TRANSACTION_ACCOUNTS_FDIC" vbProcedure="false">"c6543"</definedName>
    <definedName function="false" hidden="false" name="IQ_FOREIGN_GOVERNMENT_LOANS_FDIC" vbProcedure="false">"c6430"</definedName>
    <definedName function="false" hidden="false" name="IQ_FOREIGN_LOANS" vbProcedure="false">"c448"</definedName>
    <definedName function="false" hidden="false" name="IQ_FQ" vbProcedure="false">500</definedName>
    <definedName function="false" hidden="false" name="IQ_FUEL" vbProcedure="false">"c449"</definedName>
    <definedName function="false" hidden="false" name="IQ_FULLY_INSURED_DEPOSITS_FDIC" vbProcedure="false">"c6487"</definedName>
    <definedName function="false" hidden="false" name="IQ_FULL_TIME" vbProcedure="false">"c450"</definedName>
    <definedName function="false" hidden="false" name="IQ_FUTURES_FORWARD_CONTRACTS_NOTIONAL_AMOUNT_FDIC" vbProcedure="false">"c6518"</definedName>
    <definedName function="false" hidden="false" name="IQ_FUTURES_FORWARD_CONTRACTS_RATE_RISK_FDIC" vbProcedure="false">"c6508"</definedName>
    <definedName function="false" hidden="false" name="IQ_FWD" vbProcedure="false">"LTM"</definedName>
    <definedName function="false" hidden="false" name="IQ_FWD1" vbProcedure="false">"LTM"</definedName>
    <definedName function="false" hidden="false" name="IQ_FWD_CY" vbProcedure="false">10001</definedName>
    <definedName function="false" hidden="false" name="IQ_FWD_CY1" vbProcedure="false">10002</definedName>
    <definedName function="false" hidden="false" name="IQ_FWD_CY2" vbProcedure="false">10003</definedName>
    <definedName function="false" hidden="false" name="IQ_FWD_FY" vbProcedure="false">1001</definedName>
    <definedName function="false" hidden="false" name="IQ_FWD_FY1" vbProcedure="false">1002</definedName>
    <definedName function="false" hidden="false" name="IQ_FWD_FY2" vbProcedure="false">1003</definedName>
    <definedName function="false" hidden="false" name="IQ_FWD_Q" vbProcedure="false">501</definedName>
    <definedName function="false" hidden="false" name="IQ_FWD_Q1" vbProcedure="false">502</definedName>
    <definedName function="false" hidden="false" name="IQ_FWD_Q2" vbProcedure="false">503</definedName>
    <definedName function="false" hidden="false" name="IQ_FWD_Q3" vbProcedure="false">"504"</definedName>
    <definedName function="false" hidden="false" name="IQ_FWD_Q4" vbProcedure="false">"505"</definedName>
    <definedName function="false" hidden="false" name="IQ_FWD_Q5" vbProcedure="false">"506"</definedName>
    <definedName function="false" hidden="false" name="IQ_FWD_Q6" vbProcedure="false">"507"</definedName>
    <definedName function="false" hidden="false" name="IQ_FWD_Q7" vbProcedure="false">"508"</definedName>
    <definedName function="false" hidden="false" name="IQ_FX" vbProcedure="false">"c451"</definedName>
    <definedName function="false" hidden="false" name="IQ_FX_CONTRACTS_FDIC" vbProcedure="false">"c6517"</definedName>
    <definedName function="false" hidden="false" name="IQ_FX_CONTRACTS_SPOT_FDIC" vbProcedure="false">"c6356"</definedName>
    <definedName function="false" hidden="false" name="IQ_FY" vbProcedure="false">1000</definedName>
    <definedName function="false" hidden="false" name="IQ_FY_DATE" vbProcedure="false">"IQ_FY_DATE"</definedName>
    <definedName function="false" hidden="false" name="IQ_GAINS_SALE_ASSETS_FDIC" vbProcedure="false">"c6675"</definedName>
    <definedName function="false" hidden="false" name="IQ_GAIN_ASSETS" vbProcedure="false">"c452"</definedName>
    <definedName function="false" hidden="false" name="IQ_GAIN_ASSETS_BNK" vbProcedure="false">"c453"</definedName>
    <definedName function="false" hidden="false" name="IQ_GAIN_ASSETS_BR" vbProcedure="false">"c454"</definedName>
    <definedName function="false" hidden="false" name="IQ_GAIN_ASSETS_CF" vbProcedure="false">"c455"</definedName>
    <definedName function="false" hidden="false" name="IQ_GAIN_ASSETS_CF_BNK" vbProcedure="false">"c456"</definedName>
    <definedName function="false" hidden="false" name="IQ_GAIN_ASSETS_CF_BR" vbProcedure="false">"c457"</definedName>
    <definedName function="false" hidden="false" name="IQ_GAIN_ASSETS_CF_FIN" vbProcedure="false">"c458"</definedName>
    <definedName function="false" hidden="false" name="IQ_GAIN_ASSETS_CF_INS" vbProcedure="false">"c459"</definedName>
    <definedName function="false" hidden="false" name="IQ_GAIN_ASSETS_CF_REIT" vbProcedure="false">"c460"</definedName>
    <definedName function="false" hidden="false" name="IQ_GAIN_ASSETS_CF_UTI" vbProcedure="false">"c461"</definedName>
    <definedName function="false" hidden="false" name="IQ_GAIN_ASSETS_FIN" vbProcedure="false">"c462"</definedName>
    <definedName function="false" hidden="false" name="IQ_GAIN_ASSETS_INS" vbProcedure="false">"c463"</definedName>
    <definedName function="false" hidden="false" name="IQ_GAIN_ASSETS_REIT" vbProcedure="false">"c471"</definedName>
    <definedName function="false" hidden="false" name="IQ_GAIN_ASSETS_REV" vbProcedure="false">"c472"</definedName>
    <definedName function="false" hidden="false" name="IQ_GAIN_ASSETS_REV_BNK" vbProcedure="false">"c473"</definedName>
    <definedName function="false" hidden="false" name="IQ_GAIN_ASSETS_REV_BR" vbProcedure="false">"c474"</definedName>
    <definedName function="false" hidden="false" name="IQ_GAIN_ASSETS_REV_FIN" vbProcedure="false">"c475"</definedName>
    <definedName function="false" hidden="false" name="IQ_GAIN_ASSETS_REV_INS" vbProcedure="false">"c476"</definedName>
    <definedName function="false" hidden="false" name="IQ_GAIN_ASSETS_REV_REIT" vbProcedure="false">"c477"</definedName>
    <definedName function="false" hidden="false" name="IQ_GAIN_ASSETS_REV_UTI" vbProcedure="false">"c478"</definedName>
    <definedName function="false" hidden="false" name="IQ_GAIN_ASSETS_UTI" vbProcedure="false">"c479"</definedName>
    <definedName function="false" hidden="false" name="IQ_GAIN_INVEST" vbProcedure="false">"c1463"</definedName>
    <definedName function="false" hidden="false" name="IQ_GAIN_INVEST_BNK" vbProcedure="false">"c1582"</definedName>
    <definedName function="false" hidden="false" name="IQ_GAIN_INVEST_BR" vbProcedure="false">"c1464"</definedName>
    <definedName function="false" hidden="false" name="IQ_GAIN_INVEST_CF" vbProcedure="false">"c480"</definedName>
    <definedName function="false" hidden="false" name="IQ_GAIN_INVEST_CF_BNK" vbProcedure="false">"c481"</definedName>
    <definedName function="false" hidden="false" name="IQ_GAIN_INVEST_CF_BR" vbProcedure="false">"c482"</definedName>
    <definedName function="false" hidden="false" name="IQ_GAIN_INVEST_CF_FIN" vbProcedure="false">"c483"</definedName>
    <definedName function="false" hidden="false" name="IQ_GAIN_INVEST_CF_INS" vbProcedure="false">"c484"</definedName>
    <definedName function="false" hidden="false" name="IQ_GAIN_INVEST_CF_REIT" vbProcedure="false">"c485"</definedName>
    <definedName function="false" hidden="false" name="IQ_GAIN_INVEST_CF_UTI" vbProcedure="false">"c486"</definedName>
    <definedName function="false" hidden="false" name="IQ_GAIN_INVEST_FIN" vbProcedure="false">"c1465"</definedName>
    <definedName function="false" hidden="false" name="IQ_GAIN_INVEST_INS" vbProcedure="false">"c1466"</definedName>
    <definedName function="false" hidden="false" name="IQ_GAIN_INVEST_REC_BNK" vbProcedure="false">"c488"</definedName>
    <definedName function="false" hidden="false" name="IQ_GAIN_INVEST_REIT" vbProcedure="false">"c1467"</definedName>
    <definedName function="false" hidden="false" name="IQ_GAIN_INVEST_REV" vbProcedure="false">"c494"</definedName>
    <definedName function="false" hidden="false" name="IQ_GAIN_INVEST_REV_BNK" vbProcedure="false">"c495"</definedName>
    <definedName function="false" hidden="false" name="IQ_GAIN_INVEST_REV_BR" vbProcedure="false">"c496"</definedName>
    <definedName function="false" hidden="false" name="IQ_GAIN_INVEST_REV_FIN" vbProcedure="false">"c497"</definedName>
    <definedName function="false" hidden="false" name="IQ_GAIN_INVEST_REV_INS" vbProcedure="false">"c498"</definedName>
    <definedName function="false" hidden="false" name="IQ_GAIN_INVEST_REV_REIT" vbProcedure="false">"c499"</definedName>
    <definedName function="false" hidden="false" name="IQ_GAIN_INVEST_REV_UTI" vbProcedure="false">"c500"</definedName>
    <definedName function="false" hidden="false" name="IQ_GAIN_INVEST_UTI" vbProcedure="false">"c1468"</definedName>
    <definedName function="false" hidden="false" name="IQ_GAIN_LOANS_REC" vbProcedure="false">"c501"</definedName>
    <definedName function="false" hidden="false" name="IQ_GAIN_LOANS_RECEIV" vbProcedure="false">"c502"</definedName>
    <definedName function="false" hidden="false" name="IQ_GAIN_LOANS_RECEIV_REV_FIN" vbProcedure="false">"c503"</definedName>
    <definedName function="false" hidden="false" name="IQ_GAIN_LOANS_REV" vbProcedure="false">"c504"</definedName>
    <definedName function="false" hidden="false" name="IQ_GAIN_SALE_ASSETS" vbProcedure="false">"c1377"</definedName>
    <definedName function="false" hidden="false" name="IQ_GAIN_SALE_LOANS_FDIC" vbProcedure="false">"c6673"</definedName>
    <definedName function="false" hidden="false" name="IQ_GAIN_SALE_RE_FDIC" vbProcedure="false">"c6674"</definedName>
    <definedName function="false" hidden="false" name="IQ_GA_EXP" vbProcedure="false">"c2241"</definedName>
    <definedName function="false" hidden="false" name="IQ_GNMA_FDIC" vbProcedure="false">"c6398"</definedName>
    <definedName function="false" hidden="false" name="IQ_GOODWILL_FDIC" vbProcedure="false">"c6334"</definedName>
    <definedName function="false" hidden="false" name="IQ_GOODWILL_IMPAIRMENT_FDIC" vbProcedure="false">"c6678"</definedName>
    <definedName function="false" hidden="false" name="IQ_GOODWILL_INTAN_FDIC" vbProcedure="false">"c6333"</definedName>
    <definedName function="false" hidden="false" name="IQ_GOODWILL_NET" vbProcedure="false">"c1380"</definedName>
    <definedName function="false" hidden="false" name="IQ_GP" vbProcedure="false">"c511"</definedName>
    <definedName function="false" hidden="false" name="IQ_GPPE" vbProcedure="false">"c518"</definedName>
    <definedName function="false" hidden="false" name="IQ_GP_10YR_ANN_GROWTH" vbProcedure="false">"c512"</definedName>
    <definedName function="false" hidden="false" name="IQ_GP_1YR_ANN_GROWTH" vbProcedure="false">"c513"</definedName>
    <definedName function="false" hidden="false" name="IQ_GP_2YR_ANN_GROWTH" vbProcedure="false">"c514"</definedName>
    <definedName function="false" hidden="false" name="IQ_GP_3YR_ANN_GROWTH" vbProcedure="false">"c515"</definedName>
    <definedName function="false" hidden="false" name="IQ_GP_5YR_ANN_GROWTH" vbProcedure="false">"c516"</definedName>
    <definedName function="false" hidden="false" name="IQ_GP_7YR_ANN_GROWTH" vbProcedure="false">"c517"</definedName>
    <definedName function="false" hidden="false" name="IQ_GROSS_AH_EARNED" vbProcedure="false">"c2742"</definedName>
    <definedName function="false" hidden="false" name="IQ_GROSS_CLAIM_EXP_INCUR" vbProcedure="false">"c2755"</definedName>
    <definedName function="false" hidden="false" name="IQ_GROSS_CLAIM_EXP_PAID" vbProcedure="false">"c2758"</definedName>
    <definedName function="false" hidden="false" name="IQ_GROSS_CLAIM_EXP_RES" vbProcedure="false">"c2752"</definedName>
    <definedName function="false" hidden="false" name="IQ_GROSS_DIVID" vbProcedure="false">"c1446"</definedName>
    <definedName function="false" hidden="false" name="IQ_GROSS_EARNED" vbProcedure="false">"c2732"</definedName>
    <definedName function="false" hidden="false" name="IQ_GROSS_INTAN" vbProcedure="false">"c520"</definedName>
    <definedName function="false" hidden="false" name="IQ_GROSS_LIFE_EARNED" vbProcedure="false">"c2737"</definedName>
    <definedName function="false" hidden="false" name="IQ_GROSS_LIFE_IN_FORCE" vbProcedure="false">"c2767"</definedName>
    <definedName function="false" hidden="false" name="IQ_GROSS_LOANS" vbProcedure="false">"c521"</definedName>
    <definedName function="false" hidden="false" name="IQ_GROSS_LOANS_10YR_ANN_GROWTH" vbProcedure="false">"c522"</definedName>
    <definedName function="false" hidden="false" name="IQ_GROSS_LOANS_1YR_ANN_GROWTH" vbProcedure="false">"c523"</definedName>
    <definedName function="false" hidden="false" name="IQ_GROSS_LOANS_2YR_ANN_GROWTH" vbProcedure="false">"c524"</definedName>
    <definedName function="false" hidden="false" name="IQ_GROSS_LOANS_3YR_ANN_GROWTH" vbProcedure="false">"c525"</definedName>
    <definedName function="false" hidden="false" name="IQ_GROSS_LOANS_5YR_ANN_GROWTH" vbProcedure="false">"c526"</definedName>
    <definedName function="false" hidden="false" name="IQ_GROSS_LOANS_7YR_ANN_GROWTH" vbProcedure="false">"c527"</definedName>
    <definedName function="false" hidden="false" name="IQ_GROSS_LOANS_TOTAL_DEPOSITS" vbProcedure="false">"c528"</definedName>
    <definedName function="false" hidden="false" name="IQ_GROSS_MARGIN" vbProcedure="false">"c529"</definedName>
    <definedName function="false" hidden="false" name="IQ_GROSS_PC_EARNED" vbProcedure="false">"c2747"</definedName>
    <definedName function="false" hidden="false" name="IQ_GROSS_PROFIT" vbProcedure="false">"c1378"</definedName>
    <definedName function="false" hidden="false" name="IQ_GROSS_WRITTEN" vbProcedure="false">"c2726"</definedName>
    <definedName function="false" hidden="false" name="IQ_GW" vbProcedure="false">"c530"</definedName>
    <definedName function="false" hidden="false" name="IQ_GW_AMORT_BR" vbProcedure="false">"c532"</definedName>
    <definedName function="false" hidden="false" name="IQ_GW_AMORT_FIN" vbProcedure="false">"c540"</definedName>
    <definedName function="false" hidden="false" name="IQ_GW_AMORT_INS" vbProcedure="false">"c541"</definedName>
    <definedName function="false" hidden="false" name="IQ_GW_AMORT_REIT" vbProcedure="false">"c542"</definedName>
    <definedName function="false" hidden="false" name="IQ_GW_AMORT_UTI" vbProcedure="false">"c543"</definedName>
    <definedName function="false" hidden="false" name="IQ_GW_INTAN_AMORT" vbProcedure="false">"c1469"</definedName>
    <definedName function="false" hidden="false" name="IQ_GW_INTAN_AMORT_BNK" vbProcedure="false">"c544"</definedName>
    <definedName function="false" hidden="false" name="IQ_GW_INTAN_AMORT_BR" vbProcedure="false">"c1470"</definedName>
    <definedName function="false" hidden="false" name="IQ_GW_INTAN_AMORT_CF" vbProcedure="false">"c1471"</definedName>
    <definedName function="false" hidden="false" name="IQ_GW_INTAN_AMORT_CF_BNK" vbProcedure="false">"c1472"</definedName>
    <definedName function="false" hidden="false" name="IQ_GW_INTAN_AMORT_CF_BR" vbProcedure="false">"c1473"</definedName>
    <definedName function="false" hidden="false" name="IQ_GW_INTAN_AMORT_CF_FIN" vbProcedure="false">"c1474"</definedName>
    <definedName function="false" hidden="false" name="IQ_GW_INTAN_AMORT_CF_INS" vbProcedure="false">"c1475"</definedName>
    <definedName function="false" hidden="false" name="IQ_GW_INTAN_AMORT_CF_REIT" vbProcedure="false">"c1476"</definedName>
    <definedName function="false" hidden="false" name="IQ_GW_INTAN_AMORT_CF_UTI" vbProcedure="false">"c1477"</definedName>
    <definedName function="false" hidden="false" name="IQ_GW_INTAN_AMORT_FIN" vbProcedure="false">"c1478"</definedName>
    <definedName function="false" hidden="false" name="IQ_GW_INTAN_AMORT_INS" vbProcedure="false">"c1479"</definedName>
    <definedName function="false" hidden="false" name="IQ_GW_INTAN_AMORT_REIT" vbProcedure="false">"c1480"</definedName>
    <definedName function="false" hidden="false" name="IQ_GW_INTAN_AMORT_UTI" vbProcedure="false">"c1481"</definedName>
    <definedName function="false" hidden="false" name="IQ_HELD_MATURITY_FDIC" vbProcedure="false">"c6408"</definedName>
    <definedName function="false" hidden="false" name="IQ_HG_REV_OTHER_HOTEL_MOTEL" vbProcedure="false">"c8731"</definedName>
    <definedName function="false" hidden="false" name="IQ_HG_REV_TOTAL_CASINO_GAMING" vbProcedure="false">"c8723"</definedName>
    <definedName function="false" hidden="false" name="IQ_HG_REV_TOTAL_HOTEL_MOTEL" vbProcedure="false">"c8732"</definedName>
    <definedName function="false" hidden="false" name="IQ_HIGHPRICE" vbProcedure="false">"c545"</definedName>
    <definedName function="false" hidden="false" name="IQ_HIGH_TARGET_PRICE" vbProcedure="false">"c1651"</definedName>
    <definedName function="false" hidden="false" name="IQ_HIGH_TARGET_PRICE_REUT" vbProcedure="false">"c5317"</definedName>
    <definedName function="false" hidden="false" name="IQ_HOMEOWNERS_WRITTEN" vbProcedure="false">"c546"</definedName>
    <definedName function="false" hidden="false" name="IQ_HOME_EQUITY_LOC_NET_CHARGE_OFFS_FDIC" vbProcedure="false">"c6644"</definedName>
    <definedName function="false" hidden="false" name="IQ_HOME_EQUITY_LOC_TOTAL_CHARGE_OFFS_FDIC" vbProcedure="false">"c6606"</definedName>
    <definedName function="false" hidden="false" name="IQ_HOME_EQUITY_LOC_TOTAL_RECOVERIES_FDIC" vbProcedure="false">"c6625"</definedName>
    <definedName function="false" hidden="false" name="IQ_HOUSING_COMPLETIONS_SINGLE_FAM_APR_FC_UNUSED_UNUSED_UNUSED" vbProcedure="false">"c8422"</definedName>
    <definedName function="false" hidden="false" name="IQ_HOUSING_COMPLETIONS_SINGLE_FAM_APR_UNUSED_UNUSED_UNUSED" vbProcedure="false">"c7542"</definedName>
    <definedName function="false" hidden="false" name="IQ_HOUSING_COMPLETIONS_SINGLE_FAM_FC_UNUSED_UNUSED_UNUSED" vbProcedure="false">"c7762"</definedName>
    <definedName function="false" hidden="false" name="IQ_HOUSING_COMPLETIONS_SINGLE_FAM_POP_FC_UNUSED_UNUSED_UNUSED" vbProcedure="false">"c7982"</definedName>
    <definedName function="false" hidden="false" name="IQ_HOUSING_COMPLETIONS_SINGLE_FAM_POP_UNUSED_UNUSED_UNUSED" vbProcedure="false">"c7102"</definedName>
    <definedName function="false" hidden="false" name="IQ_HOUSING_COMPLETIONS_SINGLE_FAM_UNUSED_UNUSED_UNUSED" vbProcedure="false">"c6882"</definedName>
    <definedName function="false" hidden="false" name="IQ_HOUSING_COMPLETIONS_SINGLE_FAM_YOY_FC_UNUSED_UNUSED_UNUSED" vbProcedure="false">"c8202"</definedName>
    <definedName function="false" hidden="false" name="IQ_HOUSING_COMPLETIONS_SINGLE_FAM_YOY_UNUSED_UNUSED_UNUSED" vbProcedure="false">"c7322"</definedName>
    <definedName function="false" hidden="false" name="IQ_IMPAIRMENT_GW" vbProcedure="false">"c548"</definedName>
    <definedName function="false" hidden="false" name="IQ_IMPAIR_OIL" vbProcedure="false">"c547"</definedName>
    <definedName function="false" hidden="false" name="IQ_IMPORTS_GOODS_REAL_SAAR_APR_FC_UNUSED_UNUSED_UNUSED" vbProcedure="false">"c8523"</definedName>
    <definedName function="false" hidden="false" name="IQ_IMPORTS_GOODS_REAL_SAAR_APR_UNUSED_UNUSED_UNUSED" vbProcedure="false">"c7643"</definedName>
    <definedName function="false" hidden="false" name="IQ_IMPORTS_GOODS_REAL_SAAR_FC_UNUSED_UNUSED_UNUSED" vbProcedure="false">"c7863"</definedName>
    <definedName function="false" hidden="false" name="IQ_IMPORTS_GOODS_REAL_SAAR_POP_FC_UNUSED_UNUSED_UNUSED" vbProcedure="false">"c8083"</definedName>
    <definedName function="false" hidden="false" name="IQ_IMPORTS_GOODS_REAL_SAAR_POP_UNUSED_UNUSED_UNUSED" vbProcedure="false">"c7203"</definedName>
    <definedName function="false" hidden="false" name="IQ_IMPORTS_GOODS_REAL_SAAR_UNUSED_UNUSED_UNUSED" vbProcedure="false">"c6983"</definedName>
    <definedName function="false" hidden="false" name="IQ_IMPORTS_GOODS_REAL_SAAR_YOY_FC_UNUSED_UNUSED_UNUSED" vbProcedure="false">"c8303"</definedName>
    <definedName function="false" hidden="false" name="IQ_IMPORTS_GOODS_REAL_SAAR_YOY_UNUSED_UNUSED_UNUSED" vbProcedure="false">"c7423"</definedName>
    <definedName function="false" hidden="false" name="IQ_IMPORTS_GOODS_SERVICES_APR_FC_UNUSED_UNUSED_UNUSED" vbProcedure="false">"c8429"</definedName>
    <definedName function="false" hidden="false" name="IQ_IMPORTS_GOODS_SERVICES_APR_UNUSED_UNUSED_UNUSED" vbProcedure="false">"c7549"</definedName>
    <definedName function="false" hidden="false" name="IQ_IMPORTS_GOODS_SERVICES_FC_UNUSED_UNUSED_UNUSED" vbProcedure="false">"c7769"</definedName>
    <definedName function="false" hidden="false" name="IQ_IMPORTS_GOODS_SERVICES_POP_FC_UNUSED_UNUSED_UNUSED" vbProcedure="false">"c7989"</definedName>
    <definedName function="false" hidden="false" name="IQ_IMPORTS_GOODS_SERVICES_POP_UNUSED_UNUSED_UNUSED" vbProcedure="false">"c7109"</definedName>
    <definedName function="false" hidden="false" name="IQ_IMPORTS_GOODS_SERVICES_REAL_SAAR_APR_FC_UNUSED_UNUSED_UNUSED" vbProcedure="false">"c8524"</definedName>
    <definedName function="false" hidden="false" name="IQ_IMPORTS_GOODS_SERVICES_REAL_SAAR_APR_UNUSED_UNUSED_UNUSED" vbProcedure="false">"c7644"</definedName>
    <definedName function="false" hidden="false" name="IQ_IMPORTS_GOODS_SERVICES_REAL_SAAR_FC_UNUSED_UNUSED_UNUSED" vbProcedure="false">"c7864"</definedName>
    <definedName function="false" hidden="false" name="IQ_IMPORTS_GOODS_SERVICES_REAL_SAAR_POP_FC_UNUSED_UNUSED_UNUSED" vbProcedure="false">"c8084"</definedName>
    <definedName function="false" hidden="false" name="IQ_IMPORTS_GOODS_SERVICES_REAL_SAAR_POP_UNUSED_UNUSED_UNUSED" vbProcedure="false">"c7204"</definedName>
    <definedName function="false" hidden="false" name="IQ_IMPORTS_GOODS_SERVICES_REAL_SAAR_UNUSED_UNUSED_UNUSED" vbProcedure="false">"c6984"</definedName>
    <definedName function="false" hidden="false" name="IQ_IMPORTS_GOODS_SERVICES_REAL_SAAR_YOY_FC_UNUSED_UNUSED_UNUSED" vbProcedure="false">"c8304"</definedName>
    <definedName function="false" hidden="false" name="IQ_IMPORTS_GOODS_SERVICES_REAL_SAAR_YOY_UNUSED_UNUSED_UNUSED" vbProcedure="false">"c7424"</definedName>
    <definedName function="false" hidden="false" name="IQ_IMPORTS_GOODS_SERVICES_UNUSED_UNUSED_UNUSED" vbProcedure="false">"c6889"</definedName>
    <definedName function="false" hidden="false" name="IQ_IMPORTS_GOODS_SERVICES_YOY_FC_UNUSED_UNUSED_UNUSED" vbProcedure="false">"c8209"</definedName>
    <definedName function="false" hidden="false" name="IQ_IMPORTS_GOODS_SERVICES_YOY_UNUSED_UNUSED_UNUSED" vbProcedure="false">"c7329"</definedName>
    <definedName function="false" hidden="false" name="IQ_IMPUT_OPER_LEASE_DEPR" vbProcedure="false">"c2987"</definedName>
    <definedName function="false" hidden="false" name="IQ_IMPUT_OPER_LEASE_INT_EXP" vbProcedure="false">"c2986"</definedName>
    <definedName function="false" hidden="false" name="IQ_INCIDENTAL_CHANGES_BUSINESS_COMBINATIONS_FDIC" vbProcedure="false">"c6502"</definedName>
    <definedName function="false" hidden="false" name="IQ_INCOME_BEFORE_EXTRA_FDIC" vbProcedure="false">"c6585"</definedName>
    <definedName function="false" hidden="false" name="IQ_INCOME_EARNED_FDIC" vbProcedure="false">"c6359"</definedName>
    <definedName function="false" hidden="false" name="IQ_INCOME_TAXES_FDIC" vbProcedure="false">"c6582"</definedName>
    <definedName function="false" hidden="false" name="IQ_INC_AFTER_TAX" vbProcedure="false">"c1598"</definedName>
    <definedName function="false" hidden="false" name="IQ_INC_AVAIL_EXCL" vbProcedure="false">"c1395"</definedName>
    <definedName function="false" hidden="false" name="IQ_INC_AVAIL_INCL" vbProcedure="false">"c1396"</definedName>
    <definedName function="false" hidden="false" name="IQ_INC_BEFORE_TAX" vbProcedure="false">"c1375"</definedName>
    <definedName function="false" hidden="false" name="IQ_INC_EQUITY" vbProcedure="false">"c549"</definedName>
    <definedName function="false" hidden="false" name="IQ_INC_EQUITY_BR" vbProcedure="false">"c550"</definedName>
    <definedName function="false" hidden="false" name="IQ_INC_EQUITY_CF" vbProcedure="false">"c551"</definedName>
    <definedName function="false" hidden="false" name="IQ_INC_EQUITY_FIN" vbProcedure="false">"c552"</definedName>
    <definedName function="false" hidden="false" name="IQ_INC_EQUITY_INS" vbProcedure="false">"c553"</definedName>
    <definedName function="false" hidden="false" name="IQ_INC_EQUITY_REC_BNK" vbProcedure="false">"c554"</definedName>
    <definedName function="false" hidden="false" name="IQ_INC_EQUITY_REIT" vbProcedure="false">"c555"</definedName>
    <definedName function="false" hidden="false" name="IQ_INC_EQUITY_REV_BNK" vbProcedure="false">"c556"</definedName>
    <definedName function="false" hidden="false" name="IQ_INC_EQUITY_UTI" vbProcedure="false">"c557"</definedName>
    <definedName function="false" hidden="false" name="IQ_INC_REAL_ESTATE_REC" vbProcedure="false">"c558"</definedName>
    <definedName function="false" hidden="false" name="IQ_INC_REAL_ESTATE_REV" vbProcedure="false">"c559"</definedName>
    <definedName function="false" hidden="false" name="IQ_INC_TAX" vbProcedure="false">"c560"</definedName>
    <definedName function="false" hidden="false" name="IQ_INC_TAX_EXCL" vbProcedure="false">"c1599"</definedName>
    <definedName function="false" hidden="false" name="IQ_INC_TAX_PAY_CURRENT" vbProcedure="false">"c561"</definedName>
    <definedName function="false" hidden="false" name="IQ_INC_TRADE_ACT" vbProcedure="false">"c562"</definedName>
    <definedName function="false" hidden="false" name="IQ_INDIVIDUALS_CHARGE_OFFS_FDIC" vbProcedure="false">"c6599"</definedName>
    <definedName function="false" hidden="false" name="IQ_INDIVIDUALS_LOANS_FDIC" vbProcedure="false">"c6318"</definedName>
    <definedName function="false" hidden="false" name="IQ_INDIVIDUALS_NET_CHARGE_OFFS_FDIC" vbProcedure="false">"c6637"</definedName>
    <definedName function="false" hidden="false" name="IQ_INDIVIDUALS_OTHER_LOANS_FDIC" vbProcedure="false">"c6321"</definedName>
    <definedName function="false" hidden="false" name="IQ_INDIVIDUALS_PARTNERSHIPS_CORP_DEPOSITS_FOREIGN_FDIC" vbProcedure="false">"c6479"</definedName>
    <definedName function="false" hidden="false" name="IQ_INDIVIDUALS_PARTNERSHIPS_CORP_NONTRANSACTION_ACCOUNTS_FDIC" vbProcedure="false">"c6545"</definedName>
    <definedName function="false" hidden="false" name="IQ_INDIVIDUALS_PARTNERSHIPS_CORP_TOTAL_DEPOSITS_FDIC" vbProcedure="false">"c6471"</definedName>
    <definedName function="false" hidden="false" name="IQ_INDIVIDUALS_PARTNERSHIPS_CORP_TRANSACTION_ACCOUNTS_FDIC" vbProcedure="false">"c6537"</definedName>
    <definedName function="false" hidden="false" name="IQ_INDIVIDUALS_RECOVERIES_FDIC" vbProcedure="false">"c6618"</definedName>
    <definedName function="false" hidden="false" name="IQ_INSIDER_3MTH_BOUGHT" vbProcedure="false">"c1534"</definedName>
    <definedName function="false" hidden="false" name="IQ_INSIDER_3MTH_BOUGHT_PCT" vbProcedure="false">"c1534"</definedName>
    <definedName function="false" hidden="false" name="IQ_INSIDER_3MTH_NET" vbProcedure="false">"c1535"</definedName>
    <definedName function="false" hidden="false" name="IQ_INSIDER_3MTH_NET_PCT" vbProcedure="false">"c1535"</definedName>
    <definedName function="false" hidden="false" name="IQ_INSIDER_3MTH_SOLD" vbProcedure="false">"c1533"</definedName>
    <definedName function="false" hidden="false" name="IQ_INSIDER_3MTH_SOLD_PCT" vbProcedure="false">"c1533"</definedName>
    <definedName function="false" hidden="false" name="IQ_INSIDER_6MTH_BOUGHT" vbProcedure="false">"c1537"</definedName>
    <definedName function="false" hidden="false" name="IQ_INSIDER_6MTH_BOUGHT_PCT" vbProcedure="false">"c1537"</definedName>
    <definedName function="false" hidden="false" name="IQ_INSIDER_6MTH_NET" vbProcedure="false">"c1538"</definedName>
    <definedName function="false" hidden="false" name="IQ_INSIDER_6MTH_NET_PCT" vbProcedure="false">"c1538"</definedName>
    <definedName function="false" hidden="false" name="IQ_INSIDER_6MTH_SOLD" vbProcedure="false">"c1536"</definedName>
    <definedName function="false" hidden="false" name="IQ_INSIDER_6MTH_SOLD_PCT" vbProcedure="false">"c1536"</definedName>
    <definedName function="false" hidden="false" name="IQ_INSIDER_LOANS_FDIC" vbProcedure="false">"c6365"</definedName>
    <definedName function="false" hidden="false" name="IQ_INSIDER_OVER_TOTAL" vbProcedure="false">"c1581"</definedName>
    <definedName function="false" hidden="false" name="IQ_INSIDER_OWNER" vbProcedure="false">"c577"</definedName>
    <definedName function="false" hidden="false" name="IQ_INSIDER_PERCENT" vbProcedure="false">"c578"</definedName>
    <definedName function="false" hidden="false" name="IQ_INSIDER_SHARES" vbProcedure="false">"c579"</definedName>
    <definedName function="false" hidden="false" name="IQ_INSTITUTIONAL_OVER_TOTAL" vbProcedure="false">"c1580"</definedName>
    <definedName function="false" hidden="false" name="IQ_INSTITUTIONAL_OWNER" vbProcedure="false">"c580"</definedName>
    <definedName function="false" hidden="false" name="IQ_INSTITUTIONAL_PERCENT" vbProcedure="false">"c581"</definedName>
    <definedName function="false" hidden="false" name="IQ_INSTITUTIONAL_SHARES" vbProcedure="false">"c582"</definedName>
    <definedName function="false" hidden="false" name="IQ_INSTITUTIONS_EARNINGS_GAINS_FDIC" vbProcedure="false">"c6723"</definedName>
    <definedName function="false" hidden="false" name="IQ_INSURANCE_COMMISSION_FEES_FDIC" vbProcedure="false">"c6670"</definedName>
    <definedName function="false" hidden="false" name="IQ_INSURANCE_UNDERWRITING_INCOME_FDIC" vbProcedure="false">"c6671"</definedName>
    <definedName function="false" hidden="false" name="IQ_INSUR_RECEIV" vbProcedure="false">"c1600"</definedName>
    <definedName function="false" hidden="false" name="IQ_INS_ANNUITY_LIAB" vbProcedure="false">"c563"</definedName>
    <definedName function="false" hidden="false" name="IQ_INS_ANNUITY_REV" vbProcedure="false">"c2788"</definedName>
    <definedName function="false" hidden="false" name="IQ_INS_DIV_EXP" vbProcedure="false">"c564"</definedName>
    <definedName function="false" hidden="false" name="IQ_INS_DIV_REV" vbProcedure="false">"c565"</definedName>
    <definedName function="false" hidden="false" name="IQ_INS_IN_FORCE" vbProcedure="false">"c566"</definedName>
    <definedName function="false" hidden="false" name="IQ_INS_LIAB" vbProcedure="false">"c567"</definedName>
    <definedName function="false" hidden="false" name="IQ_INS_POLICY_EXP" vbProcedure="false">"c568"</definedName>
    <definedName function="false" hidden="false" name="IQ_INS_REV" vbProcedure="false">"c569"</definedName>
    <definedName function="false" hidden="false" name="IQ_INS_SETTLE" vbProcedure="false">"c570"</definedName>
    <definedName function="false" hidden="false" name="IQ_INS_SETTLE_BNK" vbProcedure="false">"c571"</definedName>
    <definedName function="false" hidden="false" name="IQ_INS_SETTLE_BR" vbProcedure="false">"c572"</definedName>
    <definedName function="false" hidden="false" name="IQ_INS_SETTLE_FIN" vbProcedure="false">"c573"</definedName>
    <definedName function="false" hidden="false" name="IQ_INS_SETTLE_INS" vbProcedure="false">"c574"</definedName>
    <definedName function="false" hidden="false" name="IQ_INS_SETTLE_REIT" vbProcedure="false">"c575"</definedName>
    <definedName function="false" hidden="false" name="IQ_INS_SETTLE_UTI" vbProcedure="false">"c576"</definedName>
    <definedName function="false" hidden="false" name="IQ_INTANGIBLES_NET" vbProcedure="false">"c1407"</definedName>
    <definedName function="false" hidden="false" name="IQ_INTEL_EPS_EST" vbProcedure="false">"c24729"</definedName>
    <definedName function="false" hidden="false" name="IQ_INTEREST_BEARING_BALANCES_FDIC" vbProcedure="false">"c6371"</definedName>
    <definedName function="false" hidden="false" name="IQ_INTEREST_BEARING_DEPOSITS_DOMESTIC_FDIC" vbProcedure="false">"c6478"</definedName>
    <definedName function="false" hidden="false" name="IQ_INTEREST_BEARING_DEPOSITS_FDIC" vbProcedure="false">"c6373"</definedName>
    <definedName function="false" hidden="false" name="IQ_INTEREST_BEARING_DEPOSITS_FOREIGN_FDIC" vbProcedure="false">"c6485"</definedName>
    <definedName function="false" hidden="false" name="IQ_INTEREST_CASH_DEPOSITS" vbProcedure="false">"c2255"</definedName>
    <definedName function="false" hidden="false" name="IQ_INTEREST_EXP" vbProcedure="false">"c618"</definedName>
    <definedName function="false" hidden="false" name="IQ_INTEREST_EXP_NET" vbProcedure="false">"c1450"</definedName>
    <definedName function="false" hidden="false" name="IQ_INTEREST_EXP_NON" vbProcedure="false">"c1383"</definedName>
    <definedName function="false" hidden="false" name="IQ_INTEREST_EXP_SUPPL" vbProcedure="false">"c1460"</definedName>
    <definedName function="false" hidden="false" name="IQ_INTEREST_INC" vbProcedure="false">"c1393"</definedName>
    <definedName function="false" hidden="false" name="IQ_INTEREST_INC_10K" vbProcedure="false">"IQ_INTEREST_INC_10K"</definedName>
    <definedName function="false" hidden="false" name="IQ_INTEREST_INC_10Q" vbProcedure="false">"IQ_INTEREST_INC_10Q"</definedName>
    <definedName function="false" hidden="false" name="IQ_INTEREST_INC_10Q1" vbProcedure="false">"IQ_INTEREST_INC_10Q1"</definedName>
    <definedName function="false" hidden="false" name="IQ_INTEREST_INC_NON" vbProcedure="false">"c1384"</definedName>
    <definedName function="false" hidden="false" name="IQ_INTEREST_INVEST_INC" vbProcedure="false">"c619"</definedName>
    <definedName function="false" hidden="false" name="IQ_INTEREST_LT_DEBT" vbProcedure="false">"c2086"</definedName>
    <definedName function="false" hidden="false" name="IQ_INTEREST_RATE_CONTRACTS_FDIC" vbProcedure="false">"c6512"</definedName>
    <definedName function="false" hidden="false" name="IQ_INTEREST_RATE_EXPOSURES_FDIC" vbProcedure="false">"c6662"</definedName>
    <definedName function="false" hidden="false" name="IQ_INT_BORROW" vbProcedure="false">"c583"</definedName>
    <definedName function="false" hidden="false" name="IQ_INT_DEMAND_NOTES_FDIC" vbProcedure="false">"c6567"</definedName>
    <definedName function="false" hidden="false" name="IQ_INT_DEPOSITS" vbProcedure="false">"c584"</definedName>
    <definedName function="false" hidden="false" name="IQ_INT_DIV_INC" vbProcedure="false">"c585"</definedName>
    <definedName function="false" hidden="false" name="IQ_INT_DOMESTIC_DEPOSITS_FDIC" vbProcedure="false">"c6564"</definedName>
    <definedName function="false" hidden="false" name="IQ_INT_EXP_BR" vbProcedure="false">"c586"</definedName>
    <definedName function="false" hidden="false" name="IQ_INT_EXP_COVERAGE" vbProcedure="false">"c587"</definedName>
    <definedName function="false" hidden="false" name="IQ_INT_EXP_FIN" vbProcedure="false">"c588"</definedName>
    <definedName function="false" hidden="false" name="IQ_INT_EXP_INCL_CAP" vbProcedure="false">"c2988"</definedName>
    <definedName function="false" hidden="false" name="IQ_INT_EXP_INS" vbProcedure="false">"c589"</definedName>
    <definedName function="false" hidden="false" name="IQ_INT_EXP_LTD" vbProcedure="false">"c2086"</definedName>
    <definedName function="false" hidden="false" name="IQ_INT_EXP_REIT" vbProcedure="false">"c590"</definedName>
    <definedName function="false" hidden="false" name="IQ_INT_EXP_TOTAL" vbProcedure="false">"c591"</definedName>
    <definedName function="false" hidden="false" name="IQ_INT_EXP_TOTAL_FDIC" vbProcedure="false">"c6569"</definedName>
    <definedName function="false" hidden="false" name="IQ_INT_EXP_UTI" vbProcedure="false">"c592"</definedName>
    <definedName function="false" hidden="false" name="IQ_INT_FED_FUNDS_FDIC" vbProcedure="false">"c6566"</definedName>
    <definedName function="false" hidden="false" name="IQ_INT_FOREIGN_DEPOSITS_FDIC" vbProcedure="false">"c6565"</definedName>
    <definedName function="false" hidden="false" name="IQ_INT_INC_BR" vbProcedure="false">"c593"</definedName>
    <definedName function="false" hidden="false" name="IQ_INT_INC_DEPOSITORY_INST_FDIC" vbProcedure="false">"c6558"</definedName>
    <definedName function="false" hidden="false" name="IQ_INT_INC_DOM_LOANS_FDIC" vbProcedure="false">"c6555"</definedName>
    <definedName function="false" hidden="false" name="IQ_INT_INC_FED_FUNDS_FDIC" vbProcedure="false">"c6561"</definedName>
    <definedName function="false" hidden="false" name="IQ_INT_INC_FIN" vbProcedure="false">"c594"</definedName>
    <definedName function="false" hidden="false" name="IQ_INT_INC_FOREIGN_LOANS_FDIC" vbProcedure="false">"c6556"</definedName>
    <definedName function="false" hidden="false" name="IQ_INT_INC_INVEST" vbProcedure="false">"c595"</definedName>
    <definedName function="false" hidden="false" name="IQ_INT_INC_LEASE_RECEIVABLES_FDIC" vbProcedure="false">"c6557"</definedName>
    <definedName function="false" hidden="false" name="IQ_INT_INC_LOANS" vbProcedure="false">"c596"</definedName>
    <definedName function="false" hidden="false" name="IQ_INT_INC_OTHER_FDIC" vbProcedure="false">"c6562"</definedName>
    <definedName function="false" hidden="false" name="IQ_INT_INC_REIT" vbProcedure="false">"c597"</definedName>
    <definedName function="false" hidden="false" name="IQ_INT_INC_SECURITIES_FDIC" vbProcedure="false">"c6559"</definedName>
    <definedName function="false" hidden="false" name="IQ_INT_INC_TOTAL" vbProcedure="false">"c598"</definedName>
    <definedName function="false" hidden="false" name="IQ_INT_INC_TOTAL_FDIC" vbProcedure="false">"c6563"</definedName>
    <definedName function="false" hidden="false" name="IQ_INT_INC_TRADING_ACCOUNTS_FDIC" vbProcedure="false">"c6560"</definedName>
    <definedName function="false" hidden="false" name="IQ_INT_INC_UTI" vbProcedure="false">"c599"</definedName>
    <definedName function="false" hidden="false" name="IQ_INT_INV_INC" vbProcedure="false">"c600"</definedName>
    <definedName function="false" hidden="false" name="IQ_INT_INV_INC_REIT" vbProcedure="false">"c601"</definedName>
    <definedName function="false" hidden="false" name="IQ_INT_INV_INC_UTI" vbProcedure="false">"c602"</definedName>
    <definedName function="false" hidden="false" name="IQ_INT_ON_BORROWING_COVERAGE" vbProcedure="false">"c603"</definedName>
    <definedName function="false" hidden="false" name="IQ_INT_RATE_SPREAD" vbProcedure="false">"c604"</definedName>
    <definedName function="false" hidden="false" name="IQ_INT_SUB_NOTES_FDIC" vbProcedure="false">"c6568"</definedName>
    <definedName function="false" hidden="false" name="IQ_INVENTORY" vbProcedure="false">"c622"</definedName>
    <definedName function="false" hidden="false" name="IQ_INVENTORY_TURNS" vbProcedure="false">"c623"</definedName>
    <definedName function="false" hidden="false" name="IQ_INVENTORY_UTI" vbProcedure="false">"c624"</definedName>
    <definedName function="false" hidden="false" name="IQ_INVESTMENT_BANKING_OTHER_FEES_FDIC" vbProcedure="false">"c6666"</definedName>
    <definedName function="false" hidden="false" name="IQ_INVEST_DEBT" vbProcedure="false">"c625"</definedName>
    <definedName function="false" hidden="false" name="IQ_INVEST_EQUITY_PREF" vbProcedure="false">"c626"</definedName>
    <definedName function="false" hidden="false" name="IQ_INVEST_FHLB" vbProcedure="false">"c627"</definedName>
    <definedName function="false" hidden="false" name="IQ_INVEST_LOANS_CF" vbProcedure="false">"c628"</definedName>
    <definedName function="false" hidden="false" name="IQ_INVEST_LOANS_CF_BNK" vbProcedure="false">"c629"</definedName>
    <definedName function="false" hidden="false" name="IQ_INVEST_LOANS_CF_BR" vbProcedure="false">"c630"</definedName>
    <definedName function="false" hidden="false" name="IQ_INVEST_LOANS_CF_FIN" vbProcedure="false">"c631"</definedName>
    <definedName function="false" hidden="false" name="IQ_INVEST_LOANS_CF_INS" vbProcedure="false">"c632"</definedName>
    <definedName function="false" hidden="false" name="IQ_INVEST_LOANS_CF_REIT" vbProcedure="false">"c633"</definedName>
    <definedName function="false" hidden="false" name="IQ_INVEST_LOANS_CF_UTI" vbProcedure="false">"c634"</definedName>
    <definedName function="false" hidden="false" name="IQ_INVEST_REAL_ESTATE" vbProcedure="false">"c635"</definedName>
    <definedName function="false" hidden="false" name="IQ_INVEST_SECURITY" vbProcedure="false">"c636"</definedName>
    <definedName function="false" hidden="false" name="IQ_INVEST_SECURITY_CF" vbProcedure="false">"c637"</definedName>
    <definedName function="false" hidden="false" name="IQ_INVEST_SECURITY_CF_BNK" vbProcedure="false">"c638"</definedName>
    <definedName function="false" hidden="false" name="IQ_INVEST_SECURITY_CF_BR" vbProcedure="false">"c639"</definedName>
    <definedName function="false" hidden="false" name="IQ_INVEST_SECURITY_CF_FIN" vbProcedure="false">"c640"</definedName>
    <definedName function="false" hidden="false" name="IQ_INVEST_SECURITY_CF_INS" vbProcedure="false">"c641"</definedName>
    <definedName function="false" hidden="false" name="IQ_INVEST_SECURITY_CF_REIT" vbProcedure="false">"c642"</definedName>
    <definedName function="false" hidden="false" name="IQ_INVEST_SECURITY_CF_UTI" vbProcedure="false">"c643"</definedName>
    <definedName function="false" hidden="false" name="IQ_INV_10YR_ANN_GROWTH" vbProcedure="false">"c1930"</definedName>
    <definedName function="false" hidden="false" name="IQ_INV_1YR_ANN_GROWTH" vbProcedure="false">"c1925"</definedName>
    <definedName function="false" hidden="false" name="IQ_INV_2YR_ANN_GROWTH" vbProcedure="false">"c1926"</definedName>
    <definedName function="false" hidden="false" name="IQ_INV_3YR_ANN_GROWTH" vbProcedure="false">"c1927"</definedName>
    <definedName function="false" hidden="false" name="IQ_INV_5YR_ANN_GROWTH" vbProcedure="false">"c1928"</definedName>
    <definedName function="false" hidden="false" name="IQ_INV_7YR_ANN_GROWTH" vbProcedure="false">"c1929"</definedName>
    <definedName function="false" hidden="false" name="IQ_INV_BANKING_FEE" vbProcedure="false">"c620"</definedName>
    <definedName function="false" hidden="false" name="IQ_INV_METHOD" vbProcedure="false">"c621"</definedName>
    <definedName function="false" hidden="false" name="IQ_IPRD" vbProcedure="false">"c644"</definedName>
    <definedName function="false" hidden="false" name="IQ_IRA_KEOGH_ACCOUNTS_FDIC" vbProcedure="false">"c6496"</definedName>
    <definedName function="false" hidden="false" name="IQ_ISM_SERVICES_APR_FC_UNUSED_UNUSED_UNUSED" vbProcedure="false">"c8443"</definedName>
    <definedName function="false" hidden="false" name="IQ_ISM_SERVICES_APR_UNUSED_UNUSED_UNUSED" vbProcedure="false">"c7563"</definedName>
    <definedName function="false" hidden="false" name="IQ_ISM_SERVICES_FC_UNUSED_UNUSED_UNUSED" vbProcedure="false">"c7783"</definedName>
    <definedName function="false" hidden="false" name="IQ_ISM_SERVICES_POP_FC_UNUSED_UNUSED_UNUSED" vbProcedure="false">"c8003"</definedName>
    <definedName function="false" hidden="false" name="IQ_ISM_SERVICES_POP_UNUSED_UNUSED_UNUSED" vbProcedure="false">"c7123"</definedName>
    <definedName function="false" hidden="false" name="IQ_ISM_SERVICES_UNUSED_UNUSED_UNUSED" vbProcedure="false">"c6903"</definedName>
    <definedName function="false" hidden="false" name="IQ_ISM_SERVICES_YOY_FC_UNUSED_UNUSED_UNUSED" vbProcedure="false">"c8223"</definedName>
    <definedName function="false" hidden="false" name="IQ_ISM_SERVICES_YOY_UNUSED_UNUSED_UNUSED" vbProcedure="false">"c7343"</definedName>
    <definedName function="false" hidden="false" name="IQ_ISSUED_GUARANTEED_US_FDIC" vbProcedure="false">"c6404"</definedName>
    <definedName function="false" hidden="false" name="IQ_ISS_DEBT_NET" vbProcedure="false">"c1391"</definedName>
    <definedName function="false" hidden="false" name="IQ_ISS_STOCK_NET" vbProcedure="false">"c1601"</definedName>
    <definedName function="false" hidden="false" name="IQ_JR_SUB_DEBT" vbProcedure="false">"c2534"</definedName>
    <definedName function="false" hidden="false" name="IQ_JR_SUB_DEBT_EBITDA" vbProcedure="false">"c2560"</definedName>
    <definedName function="false" hidden="false" name="IQ_JR_SUB_DEBT_EBITDA_CAPEX" vbProcedure="false">"c2561"</definedName>
    <definedName function="false" hidden="false" name="IQ_JR_SUB_DEBT_PCT" vbProcedure="false">"c2535"</definedName>
    <definedName function="false" hidden="false" name="IQ_LAND" vbProcedure="false">"c645"</definedName>
    <definedName function="false" hidden="false" name="IQ_LASTPRICINGDATE" vbProcedure="false">"c3051"</definedName>
    <definedName function="false" hidden="false" name="IQ_LASTSALEPRICE" vbProcedure="false">"c646"</definedName>
    <definedName function="false" hidden="false" name="IQ_LASTSALEPRICE_DATE" vbProcedure="false">"c2109"</definedName>
    <definedName function="false" hidden="false" name="IQ_LAST_EBITDA_MARGIN" vbProcedure="false">"IQ_LAST_EBITDA_MARGIN"</definedName>
    <definedName function="false" hidden="false" name="IQ_LAST_EBIT_MARGIN" vbProcedure="false">"IQ_LAST_EBIT_MARGIN"</definedName>
    <definedName function="false" hidden="false" name="IQ_LAST_GROSS_MARGIN" vbProcedure="false">"IQ_LAST_GROSS_MARGIN"</definedName>
    <definedName function="false" hidden="false" name="IQ_LAST_NET_INC_MARGIN" vbProcedure="false">"IQ_LAST_NET_INC_MARGIN"</definedName>
    <definedName function="false" hidden="false" name="IQ_LAST_SPLIT_DATE" vbProcedure="false">"c2095"</definedName>
    <definedName function="false" hidden="false" name="IQ_LAST_SPLIT_FACTOR" vbProcedure="false">"c2093"</definedName>
    <definedName function="false" hidden="false" name="IQ_LATEST" vbProcedure="false">"1"</definedName>
    <definedName function="false" hidden="false" name="IQ_LATESTK" vbProcedure="false">1000</definedName>
    <definedName function="false" hidden="false" name="IQ_LATESTKFR" vbProcedure="false">"100"</definedName>
    <definedName function="false" hidden="false" name="IQ_LATESTQ" vbProcedure="false">500</definedName>
    <definedName function="false" hidden="false" name="IQ_LATESTQFR" vbProcedure="false">"50"</definedName>
    <definedName function="false" hidden="false" name="IQ_LEASE_FINANCING_RECEIVABLES_CHARGE_OFFS_FDIC" vbProcedure="false">"c6602"</definedName>
    <definedName function="false" hidden="false" name="IQ_LEASE_FINANCING_RECEIVABLES_FDIC" vbProcedure="false">"c6433"</definedName>
    <definedName function="false" hidden="false" name="IQ_LEASE_FINANCING_RECEIVABLES_NET_CHARGE_OFFS_FDIC" vbProcedure="false">"c6640"</definedName>
    <definedName function="false" hidden="false" name="IQ_LEASE_FINANCING_RECEIVABLES_RECOVERIES_FDIC" vbProcedure="false">"c6621"</definedName>
    <definedName function="false" hidden="false" name="IQ_LEASE_FINANCING_RECEIVABLES_TOTAL_LOANS_FOREIGN_FDIC" vbProcedure="false">"c6449"</definedName>
    <definedName function="false" hidden="false" name="IQ_LEGAL_SETTLE" vbProcedure="false">"c647"</definedName>
    <definedName function="false" hidden="false" name="IQ_LEGAL_SETTLE_BNK" vbProcedure="false">"c648"</definedName>
    <definedName function="false" hidden="false" name="IQ_LEGAL_SETTLE_BR" vbProcedure="false">"c649"</definedName>
    <definedName function="false" hidden="false" name="IQ_LEGAL_SETTLE_FIN" vbProcedure="false">"c650"</definedName>
    <definedName function="false" hidden="false" name="IQ_LEGAL_SETTLE_INS" vbProcedure="false">"c651"</definedName>
    <definedName function="false" hidden="false" name="IQ_LEGAL_SETTLE_REIT" vbProcedure="false">"c652"</definedName>
    <definedName function="false" hidden="false" name="IQ_LEGAL_SETTLE_UTI" vbProcedure="false">"c653"</definedName>
    <definedName function="false" hidden="false" name="IQ_LEVERAGE_RATIO" vbProcedure="false">"c654"</definedName>
    <definedName function="false" hidden="false" name="IQ_LEVERED_FCF" vbProcedure="false">"c1907"</definedName>
    <definedName function="false" hidden="false" name="IQ_LFCF_10YR_ANN_GROWTH" vbProcedure="false">"c1942"</definedName>
    <definedName function="false" hidden="false" name="IQ_LFCF_1YR_ANN_GROWTH" vbProcedure="false">"c1937"</definedName>
    <definedName function="false" hidden="false" name="IQ_LFCF_2YR_ANN_GROWTH" vbProcedure="false">"c1938"</definedName>
    <definedName function="false" hidden="false" name="IQ_LFCF_3YR_ANN_GROWTH" vbProcedure="false">"c1939"</definedName>
    <definedName function="false" hidden="false" name="IQ_LFCF_5YR_ANN_GROWTH" vbProcedure="false">"c1940"</definedName>
    <definedName function="false" hidden="false" name="IQ_LFCF_7YR_ANN_GROWTH" vbProcedure="false">"c1941"</definedName>
    <definedName function="false" hidden="false" name="IQ_LFCF_MARGIN" vbProcedure="false">"c1961"</definedName>
    <definedName function="false" hidden="false" name="IQ_LH_STATUTORY_SURPLUS" vbProcedure="false">"c2771"</definedName>
    <definedName function="false" hidden="false" name="IQ_LICENSED_POPS" vbProcedure="false">"c2123"</definedName>
    <definedName function="false" hidden="false" name="IQ_LIFE_EARNED" vbProcedure="false">"c2739"</definedName>
    <definedName function="false" hidden="false" name="IQ_LIFE_INSURANCE_ASSETS_FDIC" vbProcedure="false">"c6372"</definedName>
    <definedName function="false" hidden="false" name="IQ_LIFOR" vbProcedure="false">"c655"</definedName>
    <definedName function="false" hidden="false" name="IQ_LISTING_CURRENCY" vbProcedure="false">"c2127"</definedName>
    <definedName function="false" hidden="false" name="IQ_LL" vbProcedure="false">"c656"</definedName>
    <definedName function="false" hidden="false" name="IQ_LOANS_AND_LEASES_HELD_FDIC" vbProcedure="false">"c6367"</definedName>
    <definedName function="false" hidden="false" name="IQ_LOANS_CF" vbProcedure="false">"c659"</definedName>
    <definedName function="false" hidden="false" name="IQ_LOANS_CF_BNK" vbProcedure="false">"c660"</definedName>
    <definedName function="false" hidden="false" name="IQ_LOANS_CF_BR" vbProcedure="false">"c661"</definedName>
    <definedName function="false" hidden="false" name="IQ_LOANS_CF_FIN" vbProcedure="false">"c662"</definedName>
    <definedName function="false" hidden="false" name="IQ_LOANS_CF_INS" vbProcedure="false">"c663"</definedName>
    <definedName function="false" hidden="false" name="IQ_LOANS_CF_REIT" vbProcedure="false">"c664"</definedName>
    <definedName function="false" hidden="false" name="IQ_LOANS_CF_UTI" vbProcedure="false">"c665"</definedName>
    <definedName function="false" hidden="false" name="IQ_LOANS_DEPOSITORY_INSTITUTIONS_FDIC" vbProcedure="false">"c6382"</definedName>
    <definedName function="false" hidden="false" name="IQ_LOANS_FOR_SALE" vbProcedure="false">"c666"</definedName>
    <definedName function="false" hidden="false" name="IQ_LOANS_HELD_FOREIGN_FDIC" vbProcedure="false">"c6315"</definedName>
    <definedName function="false" hidden="false" name="IQ_LOANS_LEASES_FOREIGN_FDIC" vbProcedure="false">"c6383"</definedName>
    <definedName function="false" hidden="false" name="IQ_LOANS_LEASES_GROSS_FDIC" vbProcedure="false">"c6323"</definedName>
    <definedName function="false" hidden="false" name="IQ_LOANS_LEASES_GROSS_FOREIGN_FDIC" vbProcedure="false">"c6384"</definedName>
    <definedName function="false" hidden="false" name="IQ_LOANS_LEASES_NET_FDIC" vbProcedure="false">"c6327"</definedName>
    <definedName function="false" hidden="false" name="IQ_LOANS_LEASES_NET_UNEARNED_FDIC" vbProcedure="false">"c6325"</definedName>
    <definedName function="false" hidden="false" name="IQ_LOANS_NOT_SECURED_RE_FDIC" vbProcedure="false">"c6381"</definedName>
    <definedName function="false" hidden="false" name="IQ_LOANS_PAST_DUE" vbProcedure="false">"c667"</definedName>
    <definedName function="false" hidden="false" name="IQ_LOANS_RECEIV_CURRENT" vbProcedure="false">"c668"</definedName>
    <definedName function="false" hidden="false" name="IQ_LOANS_RECEIV_LT" vbProcedure="false">"c669"</definedName>
    <definedName function="false" hidden="false" name="IQ_LOANS_RECEIV_LT_UTI" vbProcedure="false">"c670"</definedName>
    <definedName function="false" hidden="false" name="IQ_LOANS_SECURED_BY_RE_CHARGE_OFFS_FDIC" vbProcedure="false">"c6588"</definedName>
    <definedName function="false" hidden="false" name="IQ_LOANS_SECURED_BY_RE_RECOVERIES_FDIC" vbProcedure="false">"c6607"</definedName>
    <definedName function="false" hidden="false" name="IQ_LOANS_SECURED_NON_US_FDIC" vbProcedure="false">"c6380"</definedName>
    <definedName function="false" hidden="false" name="IQ_LOANS_SECURED_RE_NET_CHARGE_OFFS_FDIC" vbProcedure="false">"c6626"</definedName>
    <definedName function="false" hidden="false" name="IQ_LOANS_TO_DEPOSITORY_INSTITUTIONS_FOREIGN_FDIC" vbProcedure="false">"c6453"</definedName>
    <definedName function="false" hidden="false" name="IQ_LOANS_TO_FOREIGN_GOVERNMENTS_FDIC" vbProcedure="false">"c6448"</definedName>
    <definedName function="false" hidden="false" name="IQ_LOANS_TO_INDIVIDUALS_FOREIGN_FDIC" vbProcedure="false">"c6452"</definedName>
    <definedName function="false" hidden="false" name="IQ_LOAN_COMMITMENTS_REVOLVING_FDIC" vbProcedure="false">"c6524"</definedName>
    <definedName function="false" hidden="false" name="IQ_LOAN_LEASE_RECEIV" vbProcedure="false">"c657"</definedName>
    <definedName function="false" hidden="false" name="IQ_LOAN_LOSS" vbProcedure="false">"c1386"</definedName>
    <definedName function="false" hidden="false" name="IQ_LOAN_LOSSES_FDIC" vbProcedure="false">"c6580"</definedName>
    <definedName function="false" hidden="false" name="IQ_LOAN_LOSS_ALLOWANCE_NONCURRENT_LOANS_FDIC" vbProcedure="false">"c6740"</definedName>
    <definedName function="false" hidden="false" name="IQ_LOAN_LOSS_ALLOW_FDIC" vbProcedure="false">"c6326"</definedName>
    <definedName function="false" hidden="false" name="IQ_LOAN_SERVICE_REV" vbProcedure="false">"c658"</definedName>
    <definedName function="false" hidden="false" name="IQ_LONG_TERM_ASSETS_FDIC" vbProcedure="false">"c6361"</definedName>
    <definedName function="false" hidden="false" name="IQ_LONG_TERM_DEBT" vbProcedure="false">"c1387"</definedName>
    <definedName function="false" hidden="false" name="IQ_LONG_TERM_DEBT_OVER_TOTAL_CAP" vbProcedure="false">"c1388"</definedName>
    <definedName function="false" hidden="false" name="IQ_LONG_TERM_GROWTH" vbProcedure="false">"c671"</definedName>
    <definedName function="false" hidden="false" name="IQ_LONG_TERM_INV" vbProcedure="false">"c1389"</definedName>
    <definedName function="false" hidden="false" name="IQ_LOSS_ALLOWANCE_LOANS_FDIC" vbProcedure="false">"c6739"</definedName>
    <definedName function="false" hidden="false" name="IQ_LOSS_LOSS_EXP" vbProcedure="false">"c672"</definedName>
    <definedName function="false" hidden="false" name="IQ_LOSS_TO_NET_EARNED" vbProcedure="false">"c2751"</definedName>
    <definedName function="false" hidden="false" name="IQ_LOWPRICE" vbProcedure="false">"c673"</definedName>
    <definedName function="false" hidden="false" name="IQ_LOW_TARGET_PRICE" vbProcedure="false">"c1652"</definedName>
    <definedName function="false" hidden="false" name="IQ_LOW_TARGET_PRICE_REUT" vbProcedure="false">"c5318"</definedName>
    <definedName function="false" hidden="false" name="IQ_LTD_DUE_AFTER_FIVE" vbProcedure="false">"c704"</definedName>
    <definedName function="false" hidden="false" name="IQ_LTD_DUE_CY" vbProcedure="false">"c705"</definedName>
    <definedName function="false" hidden="false" name="IQ_LTD_DUE_CY1" vbProcedure="false">"c706"</definedName>
    <definedName function="false" hidden="false" name="IQ_LTD_DUE_CY2" vbProcedure="false">"c707"</definedName>
    <definedName function="false" hidden="false" name="IQ_LTD_DUE_CY3" vbProcedure="false">"c708"</definedName>
    <definedName function="false" hidden="false" name="IQ_LTD_DUE_CY4" vbProcedure="false">"c709"</definedName>
    <definedName function="false" hidden="false" name="IQ_LTD_DUE_NEXT_FIVE" vbProcedure="false">"c710"</definedName>
    <definedName function="false" hidden="false" name="IQ_LTM" vbProcedure="false">2000</definedName>
    <definedName function="false" hidden="false" name="IQ_LTMMONTH" vbProcedure="false">120000</definedName>
    <definedName function="false" hidden="false" name="IQ_LTM_DATE" vbProcedure="false">"IQ_LTM_DATE"</definedName>
    <definedName function="false" hidden="false" name="IQ_LTM_REVENUE_OVER_EMPLOYEES" vbProcedure="false">"c1437"</definedName>
    <definedName function="false" hidden="false" name="IQ_LT_DEBT" vbProcedure="false">"c674"</definedName>
    <definedName function="false" hidden="false" name="IQ_LT_DEBT_BNK" vbProcedure="false">"c675"</definedName>
    <definedName function="false" hidden="false" name="IQ_LT_DEBT_BR" vbProcedure="false">"c676"</definedName>
    <definedName function="false" hidden="false" name="IQ_LT_DEBT_CAPITAL" vbProcedure="false">"c677"</definedName>
    <definedName function="false" hidden="false" name="IQ_LT_DEBT_CAPITAL_LEASES" vbProcedure="false">"c2542"</definedName>
    <definedName function="false" hidden="false" name="IQ_LT_DEBT_CAPITAL_LEASES_PCT" vbProcedure="false">"c2543"</definedName>
    <definedName function="false" hidden="false" name="IQ_LT_DEBT_EQUITY" vbProcedure="false">"c678"</definedName>
    <definedName function="false" hidden="false" name="IQ_LT_DEBT_FIN" vbProcedure="false">"c679"</definedName>
    <definedName function="false" hidden="false" name="IQ_LT_DEBT_INS" vbProcedure="false">"c680"</definedName>
    <definedName function="false" hidden="false" name="IQ_LT_DEBT_ISSUED" vbProcedure="false">"c681"</definedName>
    <definedName function="false" hidden="false" name="IQ_LT_DEBT_ISSUED_BNK" vbProcedure="false">"c682"</definedName>
    <definedName function="false" hidden="false" name="IQ_LT_DEBT_ISSUED_BR" vbProcedure="false">"c683"</definedName>
    <definedName function="false" hidden="false" name="IQ_LT_DEBT_ISSUED_FIN" vbProcedure="false">"c684"</definedName>
    <definedName function="false" hidden="false" name="IQ_LT_DEBT_ISSUED_INS" vbProcedure="false">"c685"</definedName>
    <definedName function="false" hidden="false" name="IQ_LT_DEBT_ISSUED_REIT" vbProcedure="false">"c686"</definedName>
    <definedName function="false" hidden="false" name="IQ_LT_DEBT_ISSUED_UTI" vbProcedure="false">"c687"</definedName>
    <definedName function="false" hidden="false" name="IQ_LT_DEBT_REIT" vbProcedure="false">"c688"</definedName>
    <definedName function="false" hidden="false" name="IQ_LT_DEBT_REPAID" vbProcedure="false">"c689"</definedName>
    <definedName function="false" hidden="false" name="IQ_LT_DEBT_REPAID_BNK" vbProcedure="false">"c690"</definedName>
    <definedName function="false" hidden="false" name="IQ_LT_DEBT_REPAID_BR" vbProcedure="false">"c691"</definedName>
    <definedName function="false" hidden="false" name="IQ_LT_DEBT_REPAID_FIN" vbProcedure="false">"c692"</definedName>
    <definedName function="false" hidden="false" name="IQ_LT_DEBT_REPAID_INS" vbProcedure="false">"c693"</definedName>
    <definedName function="false" hidden="false" name="IQ_LT_DEBT_REPAID_REIT" vbProcedure="false">"c694"</definedName>
    <definedName function="false" hidden="false" name="IQ_LT_DEBT_REPAID_UTI" vbProcedure="false">"c695"</definedName>
    <definedName function="false" hidden="false" name="IQ_LT_DEBT_UTI" vbProcedure="false">"c696"</definedName>
    <definedName function="false" hidden="false" name="IQ_LT_INVEST" vbProcedure="false">"c697"</definedName>
    <definedName function="false" hidden="false" name="IQ_LT_INVEST_BR" vbProcedure="false">"c698"</definedName>
    <definedName function="false" hidden="false" name="IQ_LT_INVEST_FIN" vbProcedure="false">"c699"</definedName>
    <definedName function="false" hidden="false" name="IQ_LT_INVEST_REIT" vbProcedure="false">"c700"</definedName>
    <definedName function="false" hidden="false" name="IQ_LT_INVEST_UTI" vbProcedure="false">"c701"</definedName>
    <definedName function="false" hidden="false" name="IQ_LT_NOTE_RECEIV" vbProcedure="false">"c1602"</definedName>
    <definedName function="false" hidden="false" name="IQ_LT_SENIOR_DEBT" vbProcedure="false">"c702"</definedName>
    <definedName function="false" hidden="false" name="IQ_LT_SUB_DEBT" vbProcedure="false">"c703"</definedName>
    <definedName function="false" hidden="false" name="IQ_MACHINERY" vbProcedure="false">"c711"</definedName>
    <definedName function="false" hidden="false" name="IQ_MACRO_SURVEY_CONSUMER_SENTIMENT" vbProcedure="false">"c20808"</definedName>
    <definedName function="false" hidden="false" name="IQ_MAINT_CAPEX" vbProcedure="false">"c2947"</definedName>
    <definedName function="false" hidden="false" name="IQ_MAINT_REPAIR" vbProcedure="false">"c2087"</definedName>
    <definedName function="false" hidden="false" name="IQ_MARKETCAP" vbProcedure="false">"c712"</definedName>
    <definedName function="false" hidden="false" name="IQ_MARKETING" vbProcedure="false">"c2239"</definedName>
    <definedName function="false" hidden="false" name="IQ_MARKET_CAP_LFCF" vbProcedure="false">"c2209"</definedName>
    <definedName function="false" hidden="false" name="IQ_MARKTCAP" vbProcedure="false">"c258"</definedName>
    <definedName function="false" hidden="false" name="IQ_MATURITY_ONE_YEAR_LESS_FDIC" vbProcedure="false">"c6425"</definedName>
    <definedName function="false" hidden="false" name="IQ_MC_GA_MARGIN" vbProcedure="false">"c9930"</definedName>
    <definedName function="false" hidden="false" name="IQ_MC_GA_OPERATING_REV" vbProcedure="false">"c9929"</definedName>
    <definedName function="false" hidden="false" name="IQ_MC_MEDICAL_EXPENSE_RATIO" vbProcedure="false">"c9927"</definedName>
    <definedName function="false" hidden="false" name="IQ_MC_RATIO" vbProcedure="false">"c2783"</definedName>
    <definedName function="false" hidden="false" name="IQ_MC_SGA_MARGIN" vbProcedure="false">"c9932"</definedName>
    <definedName function="false" hidden="false" name="IQ_MC_SGA_OPERATING_REV" vbProcedure="false">"c9931"</definedName>
    <definedName function="false" hidden="false" name="IQ_MC_STATUTORY_SURPLUS" vbProcedure="false">"c2772"</definedName>
    <definedName function="false" hidden="false" name="IQ_MEDIAN_NEW_HOME_SALES_APR_FC_UNUSED_UNUSED_UNUSED" vbProcedure="false">"c8460"</definedName>
    <definedName function="false" hidden="false" name="IQ_MEDIAN_NEW_HOME_SALES_APR_UNUSED_UNUSED_UNUSED" vbProcedure="false">"c7580"</definedName>
    <definedName function="false" hidden="false" name="IQ_MEDIAN_NEW_HOME_SALES_FC_UNUSED_UNUSED_UNUSED" vbProcedure="false">"c7800"</definedName>
    <definedName function="false" hidden="false" name="IQ_MEDIAN_NEW_HOME_SALES_POP_FC_UNUSED_UNUSED_UNUSED" vbProcedure="false">"c8020"</definedName>
    <definedName function="false" hidden="false" name="IQ_MEDIAN_NEW_HOME_SALES_POP_UNUSED_UNUSED_UNUSED" vbProcedure="false">"c7140"</definedName>
    <definedName function="false" hidden="false" name="IQ_MEDIAN_NEW_HOME_SALES_UNUSED_UNUSED_UNUSED" vbProcedure="false">"c6920"</definedName>
    <definedName function="false" hidden="false" name="IQ_MEDIAN_NEW_HOME_SALES_YOY_FC_UNUSED_UNUSED_UNUSED" vbProcedure="false">"c8240"</definedName>
    <definedName function="false" hidden="false" name="IQ_MEDIAN_NEW_HOME_SALES_YOY_UNUSED_UNUSED_UNUSED" vbProcedure="false">"c7360"</definedName>
    <definedName function="false" hidden="false" name="IQ_MEDIAN_TARGET_PRICE" vbProcedure="false">"c1650"</definedName>
    <definedName function="false" hidden="false" name="IQ_MEDIAN_TARGET_PRICE_REUT" vbProcedure="false">"c5316"</definedName>
    <definedName function="false" hidden="false" name="IQ_MERGER" vbProcedure="false">"c713"</definedName>
    <definedName function="false" hidden="false" name="IQ_MERGER_BNK" vbProcedure="false">"c714"</definedName>
    <definedName function="false" hidden="false" name="IQ_MERGER_BR" vbProcedure="false">"c715"</definedName>
    <definedName function="false" hidden="false" name="IQ_MERGER_FIN" vbProcedure="false">"c716"</definedName>
    <definedName function="false" hidden="false" name="IQ_MERGER_INS" vbProcedure="false">"c717"</definedName>
    <definedName function="false" hidden="false" name="IQ_MERGER_REIT" vbProcedure="false">"c718"</definedName>
    <definedName function="false" hidden="false" name="IQ_MERGER_RESTRUCTURE" vbProcedure="false">"c719"</definedName>
    <definedName function="false" hidden="false" name="IQ_MERGER_RESTRUCTURE_BNK" vbProcedure="false">"c720"</definedName>
    <definedName function="false" hidden="false" name="IQ_MERGER_RESTRUCTURE_BR" vbProcedure="false">"c721"</definedName>
    <definedName function="false" hidden="false" name="IQ_MERGER_RESTRUCTURE_FIN" vbProcedure="false">"c722"</definedName>
    <definedName function="false" hidden="false" name="IQ_MERGER_RESTRUCTURE_INS" vbProcedure="false">"c723"</definedName>
    <definedName function="false" hidden="false" name="IQ_MERGER_RESTRUCTURE_REIT" vbProcedure="false">"c724"</definedName>
    <definedName function="false" hidden="false" name="IQ_MERGER_RESTRUCTURE_UTI" vbProcedure="false">"c725"</definedName>
    <definedName function="false" hidden="false" name="IQ_MERGER_UTI" vbProcedure="false">"c726"</definedName>
    <definedName function="false" hidden="false" name="IQ_MINORITY_INTEREST" vbProcedure="false">"c727"</definedName>
    <definedName function="false" hidden="false" name="IQ_MINORITY_INTEREST_BNK" vbProcedure="false">"c728"</definedName>
    <definedName function="false" hidden="false" name="IQ_MINORITY_INTEREST_BR" vbProcedure="false">"c729"</definedName>
    <definedName function="false" hidden="false" name="IQ_MINORITY_INTEREST_CF" vbProcedure="false">"c730"</definedName>
    <definedName function="false" hidden="false" name="IQ_MINORITY_INTEREST_FIN" vbProcedure="false">"c731"</definedName>
    <definedName function="false" hidden="false" name="IQ_MINORITY_INTEREST_INS" vbProcedure="false">"c732"</definedName>
    <definedName function="false" hidden="false" name="IQ_MINORITY_INTEREST_IS" vbProcedure="false">"c733"</definedName>
    <definedName function="false" hidden="false" name="IQ_MINORITY_INTEREST_REIT" vbProcedure="false">"c734"</definedName>
    <definedName function="false" hidden="false" name="IQ_MINORITY_INTEREST_TOTAL" vbProcedure="false">"c1905"</definedName>
    <definedName function="false" hidden="false" name="IQ_MINORITY_INTEREST_UTI" vbProcedure="false">"c735"</definedName>
    <definedName function="false" hidden="false" name="IQ_MISC_ADJUST_CF" vbProcedure="false">"c736"</definedName>
    <definedName function="false" hidden="false" name="IQ_MISC_EARN_ADJ" vbProcedure="false">"c1603"</definedName>
    <definedName function="false" hidden="false" name="IQ_MKTCAP_EBT_EXCL" vbProcedure="false">"c737"</definedName>
    <definedName function="false" hidden="false" name="IQ_MKTCAP_EBT_EXCL_AVG" vbProcedure="false">"c738"</definedName>
    <definedName function="false" hidden="false" name="IQ_MKTCAP_EBT_INCL_AVG" vbProcedure="false">"c739"</definedName>
    <definedName function="false" hidden="false" name="IQ_MKTCAP_TOTAL_REV" vbProcedure="false">"c740"</definedName>
    <definedName function="false" hidden="false" name="IQ_MKTCAP_TOTAL_REV_AVG" vbProcedure="false">"c741"</definedName>
    <definedName function="false" hidden="false" name="IQ_MKTCAP_TOTAL_REV_FWD" vbProcedure="false">"c742"</definedName>
    <definedName function="false" hidden="false" name="IQ_MKTCAP_TOTAL_REV_FWD_REUT" vbProcedure="false">"c4048"</definedName>
    <definedName function="false" hidden="false" name="IQ_MM_ACCOUNT" vbProcedure="false">"c743"</definedName>
    <definedName function="false" hidden="false" name="IQ_MONEY_MARKET_DEPOSIT_ACCOUNTS_FDIC" vbProcedure="false">"c6553"</definedName>
    <definedName function="false" hidden="false" name="IQ_MONTH" vbProcedure="false">15000</definedName>
    <definedName function="false" hidden="false" name="IQ_MORTGAGE_BACKED_SECURITIES_FDIC" vbProcedure="false">"c6402"</definedName>
    <definedName function="false" hidden="false" name="IQ_MORTGAGE_SERVICING_FDIC" vbProcedure="false">"c6335"</definedName>
    <definedName function="false" hidden="false" name="IQ_MORTGAGE_SERV_RIGHTS" vbProcedure="false">"c2242"</definedName>
    <definedName function="false" hidden="false" name="IQ_MORT_BANKING_FEE" vbProcedure="false">"c745"</definedName>
    <definedName function="false" hidden="false" name="IQ_MORT_BANK_ACT" vbProcedure="false">"c744"</definedName>
    <definedName function="false" hidden="false" name="IQ_MORT_INT_INC" vbProcedure="false">"c746"</definedName>
    <definedName function="false" hidden="false" name="IQ_MORT_LOANS" vbProcedure="false">"c747"</definedName>
    <definedName function="false" hidden="false" name="IQ_MORT_SECURITY" vbProcedure="false">"c748"</definedName>
    <definedName function="false" hidden="false" name="IQ_MTD" vbProcedure="false">800000</definedName>
    <definedName function="false" hidden="false" name="IQ_MULTIFAMILY_RESIDENTIAL_LOANS_FDIC" vbProcedure="false">"c6311"</definedName>
    <definedName function="false" hidden="false" name="IQ_NAMES_REVISION_DATE_" vbProcedure="false">43215.8810532407</definedName>
    <definedName function="false" hidden="false" name="IQ_NAV_ACT_OR_EST" vbProcedure="false">"c2225"</definedName>
    <definedName function="false" hidden="false" name="IQ_NAV_EST" vbProcedure="false">"c1751"</definedName>
    <definedName function="false" hidden="false" name="IQ_NAV_HIGH_EST" vbProcedure="false">"c1753"</definedName>
    <definedName function="false" hidden="false" name="IQ_NAV_LOW_EST" vbProcedure="false">"c1754"</definedName>
    <definedName function="false" hidden="false" name="IQ_NAV_MEDIAN_EST" vbProcedure="false">"c1752"</definedName>
    <definedName function="false" hidden="false" name="IQ_NAV_NUM_EST" vbProcedure="false">"c1755"</definedName>
    <definedName function="false" hidden="false" name="IQ_NAV_SHARE_ACT_OR_EST_REUT" vbProcedure="false">"c5623"</definedName>
    <definedName function="false" hidden="false" name="IQ_NAV_SHARE_EST_REUT" vbProcedure="false">"c5617"</definedName>
    <definedName function="false" hidden="false" name="IQ_NAV_SHARE_HIGH_EST_REUT" vbProcedure="false">"c5620"</definedName>
    <definedName function="false" hidden="false" name="IQ_NAV_SHARE_LOW_EST_REUT" vbProcedure="false">"c5621"</definedName>
    <definedName function="false" hidden="false" name="IQ_NAV_SHARE_MEDIAN_EST_REUT" vbProcedure="false">"c5618"</definedName>
    <definedName function="false" hidden="false" name="IQ_NAV_SHARE_NUM_EST_REUT" vbProcedure="false">"c5622"</definedName>
    <definedName function="false" hidden="false" name="IQ_NAV_SHARE_STDDEV_EST_REUT" vbProcedure="false">"c5619"</definedName>
    <definedName function="false" hidden="false" name="IQ_NAV_STDDEV_EST" vbProcedure="false">"c1756"</definedName>
    <definedName function="false" hidden="false" name="IQ_NET_CHANGE" vbProcedure="false">"c749"</definedName>
    <definedName function="false" hidden="false" name="IQ_NET_CHARGE_OFFS_FDIC" vbProcedure="false">"c6641"</definedName>
    <definedName function="false" hidden="false" name="IQ_NET_CHARGE_OFFS_LOANS_FDIC" vbProcedure="false">"c6751"</definedName>
    <definedName function="false" hidden="false" name="IQ_NET_CLAIM_EXP_INCUR" vbProcedure="false">"c2757"</definedName>
    <definedName function="false" hidden="false" name="IQ_NET_CLAIM_EXP_INCUR_CY" vbProcedure="false">"c2761"</definedName>
    <definedName function="false" hidden="false" name="IQ_NET_CLAIM_EXP_INCUR_PY" vbProcedure="false">"c2762"</definedName>
    <definedName function="false" hidden="false" name="IQ_NET_CLAIM_EXP_PAID" vbProcedure="false">"c2760"</definedName>
    <definedName function="false" hidden="false" name="IQ_NET_CLAIM_EXP_PAID_CY" vbProcedure="false">"c2763"</definedName>
    <definedName function="false" hidden="false" name="IQ_NET_CLAIM_EXP_PAID_PY" vbProcedure="false">"c2764"</definedName>
    <definedName function="false" hidden="false" name="IQ_NET_CLAIM_EXP_RES" vbProcedure="false">"c2754"</definedName>
    <definedName function="false" hidden="false" name="IQ_NET_DEBT" vbProcedure="false">"c1584"</definedName>
    <definedName function="false" hidden="false" name="IQ_NET_DEBT_ACT_OR_EST_REUT" vbProcedure="false">"c5473"</definedName>
    <definedName function="false" hidden="false" name="IQ_NET_DEBT_EBITDA" vbProcedure="false">"c750"</definedName>
    <definedName function="false" hidden="false" name="IQ_NET_DEBT_EBITDA_CAPEX" vbProcedure="false">"c2949"</definedName>
    <definedName function="false" hidden="false" name="IQ_NET_DEBT_EST_REUT" vbProcedure="false">"c3976"</definedName>
    <definedName function="false" hidden="false" name="IQ_NET_DEBT_HIGH_EST_REUT" vbProcedure="false">"c3978"</definedName>
    <definedName function="false" hidden="false" name="IQ_NET_DEBT_ISSUED" vbProcedure="false">"c751"</definedName>
    <definedName function="false" hidden="false" name="IQ_NET_DEBT_ISSUED_BNK" vbProcedure="false">"c752"</definedName>
    <definedName function="false" hidden="false" name="IQ_NET_DEBT_ISSUED_BR" vbProcedure="false">"c753"</definedName>
    <definedName function="false" hidden="false" name="IQ_NET_DEBT_ISSUED_FIN" vbProcedure="false">"c754"</definedName>
    <definedName function="false" hidden="false" name="IQ_NET_DEBT_ISSUED_INS" vbProcedure="false">"c755"</definedName>
    <definedName function="false" hidden="false" name="IQ_NET_DEBT_ISSUED_REIT" vbProcedure="false">"c756"</definedName>
    <definedName function="false" hidden="false" name="IQ_NET_DEBT_ISSUED_UTI" vbProcedure="false">"c757"</definedName>
    <definedName function="false" hidden="false" name="IQ_NET_DEBT_LOW_EST_REUT" vbProcedure="false">"c3979"</definedName>
    <definedName function="false" hidden="false" name="IQ_NET_DEBT_MEDIAN_EST_REUT" vbProcedure="false">"c3977"</definedName>
    <definedName function="false" hidden="false" name="IQ_NET_DEBT_NUM_EST_REUT" vbProcedure="false">"c3980"</definedName>
    <definedName function="false" hidden="false" name="IQ_NET_DEBT_STDDEV_EST_REUT" vbProcedure="false">"c3981"</definedName>
    <definedName function="false" hidden="false" name="IQ_NET_EARNED" vbProcedure="false">"c2734"</definedName>
    <definedName function="false" hidden="false" name="IQ_NET_INC" vbProcedure="false">"c1394"</definedName>
    <definedName function="false" hidden="false" name="IQ_NET_INCOME_FDIC" vbProcedure="false">"c6587"</definedName>
    <definedName function="false" hidden="false" name="IQ_NET_INC_10K" vbProcedure="false">"IQ_NET_INC_10K"</definedName>
    <definedName function="false" hidden="false" name="IQ_NET_INC_10Q" vbProcedure="false">"IQ_NET_INC_10Q"</definedName>
    <definedName function="false" hidden="false" name="IQ_NET_INC_10Q1" vbProcedure="false">"IQ_NET_INC_10Q1"</definedName>
    <definedName function="false" hidden="false" name="IQ_NET_INC_BEFORE" vbProcedure="false">"c1368"</definedName>
    <definedName function="false" hidden="false" name="IQ_NET_INC_CF" vbProcedure="false">"c1397"</definedName>
    <definedName function="false" hidden="false" name="IQ_NET_INC_GROWTH_1" vbProcedure="false">"IQ_NET_INC_GROWTH_1"</definedName>
    <definedName function="false" hidden="false" name="IQ_NET_INC_GROWTH_2" vbProcedure="false">"IQ_NET_INC_GROWTH_2"</definedName>
    <definedName function="false" hidden="false" name="IQ_NET_INC_MARGIN" vbProcedure="false">"c1398"</definedName>
    <definedName function="false" hidden="false" name="IQ_NET_INTEREST_EXP" vbProcedure="false">"c769"</definedName>
    <definedName function="false" hidden="false" name="IQ_NET_INTEREST_EXP_REIT" vbProcedure="false">"c770"</definedName>
    <definedName function="false" hidden="false" name="IQ_NET_INTEREST_EXP_UTI" vbProcedure="false">"c771"</definedName>
    <definedName function="false" hidden="false" name="IQ_NET_INTEREST_INC" vbProcedure="false">"c1392"</definedName>
    <definedName function="false" hidden="false" name="IQ_NET_INTEREST_INC_AFTER_LL" vbProcedure="false">"c1604"</definedName>
    <definedName function="false" hidden="false" name="IQ_NET_INTEREST_MARGIN_FDIC" vbProcedure="false">"c6726"</definedName>
    <definedName function="false" hidden="false" name="IQ_NET_INT_INC_10YR_ANN_GROWTH" vbProcedure="false">"c758"</definedName>
    <definedName function="false" hidden="false" name="IQ_NET_INT_INC_1YR_ANN_GROWTH" vbProcedure="false">"c759"</definedName>
    <definedName function="false" hidden="false" name="IQ_NET_INT_INC_2YR_ANN_GROWTH" vbProcedure="false">"c760"</definedName>
    <definedName function="false" hidden="false" name="IQ_NET_INT_INC_3YR_ANN_GROWTH" vbProcedure="false">"c761"</definedName>
    <definedName function="false" hidden="false" name="IQ_NET_INT_INC_5YR_ANN_GROWTH" vbProcedure="false">"c762"</definedName>
    <definedName function="false" hidden="false" name="IQ_NET_INT_INC_7YR_ANN_GROWTH" vbProcedure="false">"c763"</definedName>
    <definedName function="false" hidden="false" name="IQ_NET_INT_INC_BNK" vbProcedure="false">"c764"</definedName>
    <definedName function="false" hidden="false" name="IQ_NET_INT_INC_BNK_FDIC" vbProcedure="false">"c6570"</definedName>
    <definedName function="false" hidden="false" name="IQ_NET_INT_INC_BR" vbProcedure="false">"c765"</definedName>
    <definedName function="false" hidden="false" name="IQ_NET_INT_INC_FIN" vbProcedure="false">"c766"</definedName>
    <definedName function="false" hidden="false" name="IQ_NET_INT_INC_TOTAL_REV" vbProcedure="false">"c767"</definedName>
    <definedName function="false" hidden="false" name="IQ_NET_INT_MARGIN" vbProcedure="false">"c768"</definedName>
    <definedName function="false" hidden="false" name="IQ_NET_LIFE_INS_IN_FORCE" vbProcedure="false">"c2769"</definedName>
    <definedName function="false" hidden="false" name="IQ_NET_LOANS" vbProcedure="false">"c772"</definedName>
    <definedName function="false" hidden="false" name="IQ_NET_LOANS_10YR_ANN_GROWTH" vbProcedure="false">"c773"</definedName>
    <definedName function="false" hidden="false" name="IQ_NET_LOANS_1YR_ANN_GROWTH" vbProcedure="false">"c774"</definedName>
    <definedName function="false" hidden="false" name="IQ_NET_LOANS_2YR_ANN_GROWTH" vbProcedure="false">"c775"</definedName>
    <definedName function="false" hidden="false" name="IQ_NET_LOANS_3YR_ANN_GROWTH" vbProcedure="false">"c776"</definedName>
    <definedName function="false" hidden="false" name="IQ_NET_LOANS_5YR_ANN_GROWTH" vbProcedure="false">"c777"</definedName>
    <definedName function="false" hidden="false" name="IQ_NET_LOANS_7YR_ANN_GROWTH" vbProcedure="false">"c778"</definedName>
    <definedName function="false" hidden="false" name="IQ_NET_LOANS_LEASES_CORE_DEPOSITS_FDIC" vbProcedure="false">"c6743"</definedName>
    <definedName function="false" hidden="false" name="IQ_NET_LOANS_LEASES_DEPOSITS_FDIC" vbProcedure="false">"c6742"</definedName>
    <definedName function="false" hidden="false" name="IQ_NET_LOANS_TOTAL_DEPOSITS" vbProcedure="false">"c779"</definedName>
    <definedName function="false" hidden="false" name="IQ_NET_OPERATING_INCOME_ASSETS_FDIC" vbProcedure="false">"c6729"</definedName>
    <definedName function="false" hidden="false" name="IQ_NET_RENTAL_EXP_FN" vbProcedure="false">"c780"</definedName>
    <definedName function="false" hidden="false" name="IQ_NET_SECURITIZATION_INCOME_FDIC" vbProcedure="false">"c6669"</definedName>
    <definedName function="false" hidden="false" name="IQ_NET_SERVICING_FEES_FDIC" vbProcedure="false">"c6668"</definedName>
    <definedName function="false" hidden="false" name="IQ_NET_TO_GROSS_EARNED" vbProcedure="false">"c2750"</definedName>
    <definedName function="false" hidden="false" name="IQ_NET_TO_GROSS_WRITTEN" vbProcedure="false">"c2729"</definedName>
    <definedName function="false" hidden="false" name="IQ_NET_WRITTEN" vbProcedure="false">"c2728"</definedName>
    <definedName function="false" hidden="false" name="IQ_NEW_PREM" vbProcedure="false">"c2785"</definedName>
    <definedName function="false" hidden="false" name="IQ_NI" vbProcedure="false">"c781"</definedName>
    <definedName function="false" hidden="false" name="IQ_NI_10YR_ANN_GROWTH" vbProcedure="false">"c782"</definedName>
    <definedName function="false" hidden="false" name="IQ_NI_1YR_ANN_GROWTH" vbProcedure="false">"c783"</definedName>
    <definedName function="false" hidden="false" name="IQ_NI_2YR_ANN_GROWTH" vbProcedure="false">"c784"</definedName>
    <definedName function="false" hidden="false" name="IQ_NI_3YR_ANN_GROWTH" vbProcedure="false">"c785"</definedName>
    <definedName function="false" hidden="false" name="IQ_NI_5YR_ANN_GROWTH" vbProcedure="false">"c786"</definedName>
    <definedName function="false" hidden="false" name="IQ_NI_7YR_ANN_GROWTH" vbProcedure="false">"c787"</definedName>
    <definedName function="false" hidden="false" name="IQ_NI_ACT_OR_EST" vbProcedure="false">"c2222"</definedName>
    <definedName function="false" hidden="false" name="IQ_NI_ACT_OR_EST_REUT" vbProcedure="false">"c5468"</definedName>
    <definedName function="false" hidden="false" name="IQ_NI_AFTER_CAPITALIZED" vbProcedure="false">"c788"</definedName>
    <definedName function="false" hidden="false" name="IQ_NI_AVAIL_EXCL" vbProcedure="false">"c789"</definedName>
    <definedName function="false" hidden="false" name="IQ_NI_AVAIL_EXCL_MARGIN" vbProcedure="false">"c790"</definedName>
    <definedName function="false" hidden="false" name="IQ_NI_AVAIL_INCL" vbProcedure="false">"c791"</definedName>
    <definedName function="false" hidden="false" name="IQ_NI_BEFORE_CAPITALIZED" vbProcedure="false">"c792"</definedName>
    <definedName function="false" hidden="false" name="IQ_NI_CF" vbProcedure="false">"c793"</definedName>
    <definedName function="false" hidden="false" name="IQ_NI_EST" vbProcedure="false">"c1716"</definedName>
    <definedName function="false" hidden="false" name="IQ_NI_EST_REUT" vbProcedure="false">"c5368"</definedName>
    <definedName function="false" hidden="false" name="IQ_NI_GW_EST" vbProcedure="false">"c1723"</definedName>
    <definedName function="false" hidden="false" name="IQ_NI_GW_EST_REUT" vbProcedure="false">"c5375"</definedName>
    <definedName function="false" hidden="false" name="IQ_NI_GW_HIGH_EST" vbProcedure="false">"c1725"</definedName>
    <definedName function="false" hidden="false" name="IQ_NI_GW_HIGH_EST_REUT" vbProcedure="false">"c5377"</definedName>
    <definedName function="false" hidden="false" name="IQ_NI_GW_LOW_EST" vbProcedure="false">"c1726"</definedName>
    <definedName function="false" hidden="false" name="IQ_NI_GW_LOW_EST_REUT" vbProcedure="false">"c5378"</definedName>
    <definedName function="false" hidden="false" name="IQ_NI_GW_MEDIAN_EST" vbProcedure="false">"c1724"</definedName>
    <definedName function="false" hidden="false" name="IQ_NI_GW_MEDIAN_EST_REUT" vbProcedure="false">"c5376"</definedName>
    <definedName function="false" hidden="false" name="IQ_NI_GW_NUM_EST" vbProcedure="false">"c1727"</definedName>
    <definedName function="false" hidden="false" name="IQ_NI_GW_NUM_EST_REUT" vbProcedure="false">"c5379"</definedName>
    <definedName function="false" hidden="false" name="IQ_NI_GW_STDDEV_EST" vbProcedure="false">"c1728"</definedName>
    <definedName function="false" hidden="false" name="IQ_NI_GW_STDDEV_EST_REUT" vbProcedure="false">"c5380"</definedName>
    <definedName function="false" hidden="false" name="IQ_NI_HIGH_EST" vbProcedure="false">"c1718"</definedName>
    <definedName function="false" hidden="false" name="IQ_NI_HIGH_EST_REUT" vbProcedure="false">"c5370"</definedName>
    <definedName function="false" hidden="false" name="IQ_NI_LOW_EST" vbProcedure="false">"c1719"</definedName>
    <definedName function="false" hidden="false" name="IQ_NI_LOW_EST_REUT" vbProcedure="false">"c5371"</definedName>
    <definedName function="false" hidden="false" name="IQ_NI_MARGIN" vbProcedure="false">"c794"</definedName>
    <definedName function="false" hidden="false" name="IQ_NI_MEDIAN_EST" vbProcedure="false">"c1717"</definedName>
    <definedName function="false" hidden="false" name="IQ_NI_MEDIAN_EST_REUT" vbProcedure="false">"c5369"</definedName>
    <definedName function="false" hidden="false" name="IQ_NI_NORM" vbProcedure="false">"c1901"</definedName>
    <definedName function="false" hidden="false" name="IQ_NI_NORM_10YR_ANN_GROWTH" vbProcedure="false">"c1960"</definedName>
    <definedName function="false" hidden="false" name="IQ_NI_NORM_1YR_ANN_GROWTH" vbProcedure="false">"c1955"</definedName>
    <definedName function="false" hidden="false" name="IQ_NI_NORM_2YR_ANN_GROWTH" vbProcedure="false">"c1956"</definedName>
    <definedName function="false" hidden="false" name="IQ_NI_NORM_3YR_ANN_GROWTH" vbProcedure="false">"c1957"</definedName>
    <definedName function="false" hidden="false" name="IQ_NI_NORM_5YR_ANN_GROWTH" vbProcedure="false">"c1958"</definedName>
    <definedName function="false" hidden="false" name="IQ_NI_NORM_7YR_ANN_GROWTH" vbProcedure="false">"c1959"</definedName>
    <definedName function="false" hidden="false" name="IQ_NI_NORM_MARGIN" vbProcedure="false">"c1964"</definedName>
    <definedName function="false" hidden="false" name="IQ_NI_NUM_EST" vbProcedure="false">"c1720"</definedName>
    <definedName function="false" hidden="false" name="IQ_NI_NUM_EST_REUT" vbProcedure="false">"c5372"</definedName>
    <definedName function="false" hidden="false" name="IQ_NI_REPORTED_EST" vbProcedure="false">"c1730"</definedName>
    <definedName function="false" hidden="false" name="IQ_NI_REPORTED_EST_REUT" vbProcedure="false">"c5382"</definedName>
    <definedName function="false" hidden="false" name="IQ_NI_REPORTED_HIGH_EST" vbProcedure="false">"c1732"</definedName>
    <definedName function="false" hidden="false" name="IQ_NI_REPORTED_HIGH_EST_REUT" vbProcedure="false">"c5384"</definedName>
    <definedName function="false" hidden="false" name="IQ_NI_REPORTED_LOW_EST" vbProcedure="false">"c1733"</definedName>
    <definedName function="false" hidden="false" name="IQ_NI_REPORTED_LOW_EST_REUT" vbProcedure="false">"c5385"</definedName>
    <definedName function="false" hidden="false" name="IQ_NI_REPORTED_MEDIAN_EST" vbProcedure="false">"c1731"</definedName>
    <definedName function="false" hidden="false" name="IQ_NI_REPORTED_MEDIAN_EST_REUT" vbProcedure="false">"c5383"</definedName>
    <definedName function="false" hidden="false" name="IQ_NI_REPORTED_NUM_EST" vbProcedure="false">"c1734"</definedName>
    <definedName function="false" hidden="false" name="IQ_NI_REPORTED_NUM_EST_REUT" vbProcedure="false">"c5386"</definedName>
    <definedName function="false" hidden="false" name="IQ_NI_REPORTED_STDDEV_EST" vbProcedure="false">"c1735"</definedName>
    <definedName function="false" hidden="false" name="IQ_NI_REPORTED_STDDEV_EST_REUT" vbProcedure="false">"c5387"</definedName>
    <definedName function="false" hidden="false" name="IQ_NI_SFAS" vbProcedure="false">"c795"</definedName>
    <definedName function="false" hidden="false" name="IQ_NI_STDDEV_EST" vbProcedure="false">"c1721"</definedName>
    <definedName function="false" hidden="false" name="IQ_NI_STDDEV_EST_REUT" vbProcedure="false">"c5373"</definedName>
    <definedName function="false" hidden="false" name="IQ_NONCASH_PENSION_EXP" vbProcedure="false">"c3000"</definedName>
    <definedName function="false" hidden="false" name="IQ_NONCURRENT_LOANS_1_4_FAMILY_FDIC" vbProcedure="false">"c6770"</definedName>
    <definedName function="false" hidden="false" name="IQ_NONCURRENT_LOANS_COMMERCIAL_INDUSTRIAL_FDIC" vbProcedure="false">"c6773"</definedName>
    <definedName function="false" hidden="false" name="IQ_NONCURRENT_LOANS_COMMERCIAL_RE_FDIC" vbProcedure="false">"c6768"</definedName>
    <definedName function="false" hidden="false" name="IQ_NONCURRENT_LOANS_COMMERCIAL_RE_NOT_SECURED_FDIC" vbProcedure="false">"c6778"</definedName>
    <definedName function="false" hidden="false" name="IQ_NONCURRENT_LOANS_CONSTRUCTION_LAND_DEV_FDIC" vbProcedure="false">"c6767"</definedName>
    <definedName function="false" hidden="false" name="IQ_NONCURRENT_LOANS_CREDIT_CARD_FDIC" vbProcedure="false">"c6775"</definedName>
    <definedName function="false" hidden="false" name="IQ_NONCURRENT_LOANS_GUARANTEED_FDIC" vbProcedure="false">"c6358"</definedName>
    <definedName function="false" hidden="false" name="IQ_NONCURRENT_LOANS_HOME_EQUITY_FDIC" vbProcedure="false">"c6771"</definedName>
    <definedName function="false" hidden="false" name="IQ_NONCURRENT_LOANS_INDIVIDUALS_FDIC" vbProcedure="false">"c6774"</definedName>
    <definedName function="false" hidden="false" name="IQ_NONCURRENT_LOANS_LEASES_FDIC" vbProcedure="false">"c6357"</definedName>
    <definedName function="false" hidden="false" name="IQ_NONCURRENT_LOANS_MULTIFAMILY_FDIC" vbProcedure="false">"c6769"</definedName>
    <definedName function="false" hidden="false" name="IQ_NONCURRENT_LOANS_OTHER_FAMILY_FDIC" vbProcedure="false">"c6772"</definedName>
    <definedName function="false" hidden="false" name="IQ_NONCURRENT_LOANS_OTHER_INDIVIDUAL_FDIC" vbProcedure="false">"c6776"</definedName>
    <definedName function="false" hidden="false" name="IQ_NONCURRENT_LOANS_OTHER_LOANS_FDIC" vbProcedure="false">"c6777"</definedName>
    <definedName function="false" hidden="false" name="IQ_NONCURRENT_LOANS_RE_FDIC" vbProcedure="false">"c6766"</definedName>
    <definedName function="false" hidden="false" name="IQ_NONCURRENT_LOANS_TOTAL_LOANS_FDIC" vbProcedure="false">"c6765"</definedName>
    <definedName function="false" hidden="false" name="IQ_NONCURRENT_OREO_ASSETS_FDIC" vbProcedure="false">"c6741"</definedName>
    <definedName function="false" hidden="false" name="IQ_NONINTEREST_BEARING_BALANCES_FDIC" vbProcedure="false">"c6394"</definedName>
    <definedName function="false" hidden="false" name="IQ_NONINTEREST_BEARING_DEPOSITS_DOMESTIC_FDIC" vbProcedure="false">"c6477"</definedName>
    <definedName function="false" hidden="false" name="IQ_NONINTEREST_BEARING_DEPOSITS_FOREIGN_FDIC" vbProcedure="false">"c6484"</definedName>
    <definedName function="false" hidden="false" name="IQ_NONINTEREST_EXPENSE_EARNING_ASSETS_FDIC" vbProcedure="false">"c6728"</definedName>
    <definedName function="false" hidden="false" name="IQ_NONINTEREST_INCOME_EARNING_ASSETS_FDIC" vbProcedure="false">"c6727"</definedName>
    <definedName function="false" hidden="false" name="IQ_NONMORTGAGE_SERVICING_FDIC" vbProcedure="false">"c6336"</definedName>
    <definedName function="false" hidden="false" name="IQ_NONRECOURSE_DEBT" vbProcedure="false">"c2550"</definedName>
    <definedName function="false" hidden="false" name="IQ_NONRECOURSE_DEBT_PCT" vbProcedure="false">"c2551"</definedName>
    <definedName function="false" hidden="false" name="IQ_NONRES_FIXED_INVEST_PRIV_APR_FC_UNUSED_UNUSED_UNUSED" vbProcedure="false">"c8468"</definedName>
    <definedName function="false" hidden="false" name="IQ_NONRES_FIXED_INVEST_PRIV_APR_UNUSED_UNUSED_UNUSED" vbProcedure="false">"c7588"</definedName>
    <definedName function="false" hidden="false" name="IQ_NONRES_FIXED_INVEST_PRIV_FC_UNUSED_UNUSED_UNUSED" vbProcedure="false">"c7808"</definedName>
    <definedName function="false" hidden="false" name="IQ_NONRES_FIXED_INVEST_PRIV_POP_FC_UNUSED_UNUSED_UNUSED" vbProcedure="false">"c8028"</definedName>
    <definedName function="false" hidden="false" name="IQ_NONRES_FIXED_INVEST_PRIV_POP_UNUSED_UNUSED_UNUSED" vbProcedure="false">"c7148"</definedName>
    <definedName function="false" hidden="false" name="IQ_NONRES_FIXED_INVEST_PRIV_UNUSED_UNUSED_UNUSED" vbProcedure="false">"c6928"</definedName>
    <definedName function="false" hidden="false" name="IQ_NONRES_FIXED_INVEST_PRIV_YOY_FC_UNUSED_UNUSED_UNUSED" vbProcedure="false">"c8248"</definedName>
    <definedName function="false" hidden="false" name="IQ_NONRES_FIXED_INVEST_PRIV_YOY_UNUSED_UNUSED_UNUSED" vbProcedure="false">"c7368"</definedName>
    <definedName function="false" hidden="false" name="IQ_NONTRANSACTION_ACCOUNTS_FDIC" vbProcedure="false">"c6552"</definedName>
    <definedName function="false" hidden="false" name="IQ_NONUTIL_REV" vbProcedure="false">"c2089"</definedName>
    <definedName function="false" hidden="false" name="IQ_NON_ACCRUAL_LOANS" vbProcedure="false">"c796"</definedName>
    <definedName function="false" hidden="false" name="IQ_NON_CASH" vbProcedure="false">"c1399"</definedName>
    <definedName function="false" hidden="false" name="IQ_NON_CASH_ITEMS" vbProcedure="false">"c797"</definedName>
    <definedName function="false" hidden="false" name="IQ_NON_INS_EXP" vbProcedure="false">"c798"</definedName>
    <definedName function="false" hidden="false" name="IQ_NON_INS_REV" vbProcedure="false">"c799"</definedName>
    <definedName function="false" hidden="false" name="IQ_NON_INTEREST_EXP" vbProcedure="false">"c1400"</definedName>
    <definedName function="false" hidden="false" name="IQ_NON_INTEREST_INC" vbProcedure="false">"c1401"</definedName>
    <definedName function="false" hidden="false" name="IQ_NON_INT_BEAR_CD" vbProcedure="false">"c800"</definedName>
    <definedName function="false" hidden="false" name="IQ_NON_INT_EXP" vbProcedure="false">"c801"</definedName>
    <definedName function="false" hidden="false" name="IQ_NON_INT_EXP_FDIC" vbProcedure="false">"c6579"</definedName>
    <definedName function="false" hidden="false" name="IQ_NON_INT_INC" vbProcedure="false">"c802"</definedName>
    <definedName function="false" hidden="false" name="IQ_NON_INT_INC_10YR_ANN_GROWTH" vbProcedure="false">"c803"</definedName>
    <definedName function="false" hidden="false" name="IQ_NON_INT_INC_1YR_ANN_GROWTH" vbProcedure="false">"c804"</definedName>
    <definedName function="false" hidden="false" name="IQ_NON_INT_INC_2YR_ANN_GROWTH" vbProcedure="false">"c805"</definedName>
    <definedName function="false" hidden="false" name="IQ_NON_INT_INC_3YR_ANN_GROWTH" vbProcedure="false">"c806"</definedName>
    <definedName function="false" hidden="false" name="IQ_NON_INT_INC_5YR_ANN_GROWTH" vbProcedure="false">"c807"</definedName>
    <definedName function="false" hidden="false" name="IQ_NON_INT_INC_7YR_ANN_GROWTH" vbProcedure="false">"c808"</definedName>
    <definedName function="false" hidden="false" name="IQ_NON_INT_INC_FDIC" vbProcedure="false">"c6575"</definedName>
    <definedName function="false" hidden="false" name="IQ_NON_OPER_EXP" vbProcedure="false">"c809"</definedName>
    <definedName function="false" hidden="false" name="IQ_NON_OPER_INC" vbProcedure="false">"c810"</definedName>
    <definedName function="false" hidden="false" name="IQ_NON_PERFORMING_ASSETS" vbProcedure="false">"c826"</definedName>
    <definedName function="false" hidden="false" name="IQ_NON_PERFORMING_LOANS" vbProcedure="false">"c827"</definedName>
    <definedName function="false" hidden="false" name="IQ_NON_PERF_ASSETS_10YR_ANN_GROWTH" vbProcedure="false">"c811"</definedName>
    <definedName function="false" hidden="false" name="IQ_NON_PERF_ASSETS_1YR_ANN_GROWTH" vbProcedure="false">"c812"</definedName>
    <definedName function="false" hidden="false" name="IQ_NON_PERF_ASSETS_2YR_ANN_GROWTH" vbProcedure="false">"c813"</definedName>
    <definedName function="false" hidden="false" name="IQ_NON_PERF_ASSETS_3YR_ANN_GROWTH" vbProcedure="false">"c814"</definedName>
    <definedName function="false" hidden="false" name="IQ_NON_PERF_ASSETS_5YR_ANN_GROWTH" vbProcedure="false">"c815"</definedName>
    <definedName function="false" hidden="false" name="IQ_NON_PERF_ASSETS_7YR_ANN_GROWTH" vbProcedure="false">"c816"</definedName>
    <definedName function="false" hidden="false" name="IQ_NON_PERF_ASSETS_TOTAL_ASSETS" vbProcedure="false">"c817"</definedName>
    <definedName function="false" hidden="false" name="IQ_NON_PERF_LOANS_10YR_ANN_GROWTH" vbProcedure="false">"c818"</definedName>
    <definedName function="false" hidden="false" name="IQ_NON_PERF_LOANS_1YR_ANN_GROWTH" vbProcedure="false">"c819"</definedName>
    <definedName function="false" hidden="false" name="IQ_NON_PERF_LOANS_2YR_ANN_GROWTH" vbProcedure="false">"c820"</definedName>
    <definedName function="false" hidden="false" name="IQ_NON_PERF_LOANS_3YR_ANN_GROWTH" vbProcedure="false">"c821"</definedName>
    <definedName function="false" hidden="false" name="IQ_NON_PERF_LOANS_5YR_ANN_GROWTH" vbProcedure="false">"c822"</definedName>
    <definedName function="false" hidden="false" name="IQ_NON_PERF_LOANS_7YR_ANN_GROWTH" vbProcedure="false">"c823"</definedName>
    <definedName function="false" hidden="false" name="IQ_NON_PERF_LOANS_TOTAL_ASSETS" vbProcedure="false">"c824"</definedName>
    <definedName function="false" hidden="false" name="IQ_NON_PERF_LOANS_TOTAL_LOANS" vbProcedure="false">"c825"</definedName>
    <definedName function="false" hidden="false" name="IQ_NON_US_ADDRESSEES_TOTAL_LOANS_FOREIGN_FDIC" vbProcedure="false">"c6443"</definedName>
    <definedName function="false" hidden="false" name="IQ_NON_US_CHARGE_OFFS_AND_RECOVERIES_FDIC" vbProcedure="false">"c6650"</definedName>
    <definedName function="false" hidden="false" name="IQ_NON_US_CHARGE_OFFS_FDIC" vbProcedure="false">"c6648"</definedName>
    <definedName function="false" hidden="false" name="IQ_NON_US_COMMERCIAL_INDUSTRIAL_CHARGE_OFFS_FDIC" vbProcedure="false">"c6651"</definedName>
    <definedName function="false" hidden="false" name="IQ_NON_US_NET_LOANS_FDIC" vbProcedure="false">"c6376"</definedName>
    <definedName function="false" hidden="false" name="IQ_NON_US_RECOVERIES_FDIC" vbProcedure="false">"c6649"</definedName>
    <definedName function="false" hidden="false" name="IQ_NORMAL_INC_AFTER" vbProcedure="false">"c1605"</definedName>
    <definedName function="false" hidden="false" name="IQ_NORMAL_INC_AVAIL" vbProcedure="false">"c1606"</definedName>
    <definedName function="false" hidden="false" name="IQ_NORMAL_INC_BEFORE" vbProcedure="false">"c1607"</definedName>
    <definedName function="false" hidden="false" name="IQ_NORM_EPS_ACT_OR_EST" vbProcedure="false">"c2249"</definedName>
    <definedName function="false" hidden="false" name="IQ_NORM_EPS_ACT_OR_EST_REUT" vbProcedure="false">"c5472"</definedName>
    <definedName function="false" hidden="false" name="IQ_NOTES_PAY" vbProcedure="false">"c1423"</definedName>
    <definedName function="false" hidden="false" name="IQ_NOTIONAL_AMOUNT_CREDIT_DERIVATIVES_FDIC" vbProcedure="false">"c6507"</definedName>
    <definedName function="false" hidden="false" name="IQ_NOTIONAL_VALUE_EXCHANGE_SWAPS_FDIC" vbProcedure="false">"c6516"</definedName>
    <definedName function="false" hidden="false" name="IQ_NOTIONAL_VALUE_OTHER_SWAPS_FDIC" vbProcedure="false">"c6521"</definedName>
    <definedName function="false" hidden="false" name="IQ_NOTIONAL_VALUE_RATE_SWAPS_FDIC" vbProcedure="false">"c6511"</definedName>
    <definedName function="false" hidden="false" name="IQ_NOW_ACCOUNT" vbProcedure="false">"c828"</definedName>
    <definedName function="false" hidden="false" name="IQ_NPPE" vbProcedure="false">"c829"</definedName>
    <definedName function="false" hidden="false" name="IQ_NPPE_10YR_ANN_GROWTH" vbProcedure="false">"c830"</definedName>
    <definedName function="false" hidden="false" name="IQ_NPPE_1YR_ANN_GROWTH" vbProcedure="false">"c831"</definedName>
    <definedName function="false" hidden="false" name="IQ_NPPE_2YR_ANN_GROWTH" vbProcedure="false">"c832"</definedName>
    <definedName function="false" hidden="false" name="IQ_NPPE_3YR_ANN_GROWTH" vbProcedure="false">"c833"</definedName>
    <definedName function="false" hidden="false" name="IQ_NPPE_5YR_ANN_GROWTH" vbProcedure="false">"c834"</definedName>
    <definedName function="false" hidden="false" name="IQ_NPPE_7YR_ANN_GROWTH" vbProcedure="false">"c835"</definedName>
    <definedName function="false" hidden="false" name="IQ_NTM" vbProcedure="false">6000</definedName>
    <definedName function="false" hidden="false" name="IQ_NUKE" vbProcedure="false">"c836"</definedName>
    <definedName function="false" hidden="false" name="IQ_NUKE_CF" vbProcedure="false">"c837"</definedName>
    <definedName function="false" hidden="false" name="IQ_NUKE_CONTR" vbProcedure="false">"c838"</definedName>
    <definedName function="false" hidden="false" name="IQ_NUMBER_ADRHOLDERS" vbProcedure="false">"c1970"</definedName>
    <definedName function="false" hidden="false" name="IQ_NUMBER_DAYS" vbProcedure="false">"c1904"</definedName>
    <definedName function="false" hidden="false" name="IQ_NUMBER_DEPOSITS_LESS_THAN_100K_FDIC" vbProcedure="false">"c6495"</definedName>
    <definedName function="false" hidden="false" name="IQ_NUMBER_DEPOSITS_MORE_THAN_100K_FDIC" vbProcedure="false">"c6493"</definedName>
    <definedName function="false" hidden="false" name="IQ_NUMBER_SHAREHOLDERS" vbProcedure="false">"c1967"</definedName>
    <definedName function="false" hidden="false" name="IQ_NUMBER_SHAREHOLDERS_CLASSA" vbProcedure="false">"c1968"</definedName>
    <definedName function="false" hidden="false" name="IQ_NUMBER_SHAREHOLDERS_CLASSB" vbProcedure="false">"c1969"</definedName>
    <definedName function="false" hidden="false" name="IQ_NUMBER_SHAREHOLDERS_OTHER" vbProcedure="false">"c1969"</definedName>
    <definedName function="false" hidden="false" name="IQ_NUM_BRANCHES" vbProcedure="false">"c2088"</definedName>
    <definedName function="false" hidden="false" name="IQ_NUM_OFFICES" vbProcedure="false">"c2088"</definedName>
    <definedName function="false" hidden="false" name="IQ_OBLIGATIONS_OF_STATES_TOTAL_LOANS_FOREIGN_FDIC" vbProcedure="false">"c6447"</definedName>
    <definedName function="false" hidden="false" name="IQ_OBLIGATIONS_STATES_FDIC" vbProcedure="false">"c6431"</definedName>
    <definedName function="false" hidden="false" name="IQ_OCCUPY_EXP" vbProcedure="false">"c839"</definedName>
    <definedName function="false" hidden="false" name="IQ_OG_10DISC" vbProcedure="false">"c1998"</definedName>
    <definedName function="false" hidden="false" name="IQ_OG_10DISC_GAS" vbProcedure="false">"c2018"</definedName>
    <definedName function="false" hidden="false" name="IQ_OG_10DISC_OIL" vbProcedure="false">"c2008"</definedName>
    <definedName function="false" hidden="false" name="IQ_OG_ACQ_COST_PROVED" vbProcedure="false">"c1975"</definedName>
    <definedName function="false" hidden="false" name="IQ_OG_ACQ_COST_PROVED_GAS" vbProcedure="false">"c1987"</definedName>
    <definedName function="false" hidden="false" name="IQ_OG_ACQ_COST_PROVED_OIL" vbProcedure="false">"c1981"</definedName>
    <definedName function="false" hidden="false" name="IQ_OG_ACQ_COST_UNPROVED" vbProcedure="false">"c1976"</definedName>
    <definedName function="false" hidden="false" name="IQ_OG_ACQ_COST_UNPROVED_GAS" vbProcedure="false">"c1988"</definedName>
    <definedName function="false" hidden="false" name="IQ_OG_ACQ_COST_UNPROVED_OIL" vbProcedure="false">"c1982"</definedName>
    <definedName function="false" hidden="false" name="IQ_OG_AVG_DAILY_PROD_GAS" vbProcedure="false">"c2910"</definedName>
    <definedName function="false" hidden="false" name="IQ_OG_AVG_DAILY_PROD_NGL" vbProcedure="false">"c2911"</definedName>
    <definedName function="false" hidden="false" name="IQ_OG_AVG_DAILY_PROD_OIL" vbProcedure="false">"c2909"</definedName>
    <definedName function="false" hidden="false" name="IQ_OG_CLOSE_BALANCE_GAS" vbProcedure="false">"c2049"</definedName>
    <definedName function="false" hidden="false" name="IQ_OG_CLOSE_BALANCE_NGL" vbProcedure="false">"c2920"</definedName>
    <definedName function="false" hidden="false" name="IQ_OG_CLOSE_BALANCE_OIL" vbProcedure="false">"c2037"</definedName>
    <definedName function="false" hidden="false" name="IQ_OG_DCF_BEFORE_TAXES" vbProcedure="false">"c2023"</definedName>
    <definedName function="false" hidden="false" name="IQ_OG_DCF_BEFORE_TAXES_GAS" vbProcedure="false">"c2025"</definedName>
    <definedName function="false" hidden="false" name="IQ_OG_DCF_BEFORE_TAXES_OIL" vbProcedure="false">"c2024"</definedName>
    <definedName function="false" hidden="false" name="IQ_OG_DEVELOPED_RESERVES_GAS" vbProcedure="false">"c2053"</definedName>
    <definedName function="false" hidden="false" name="IQ_OG_DEVELOPED_RESERVES_NGL" vbProcedure="false">"c2922"</definedName>
    <definedName function="false" hidden="false" name="IQ_OG_DEVELOPED_RESERVES_OIL" vbProcedure="false">"c2054"</definedName>
    <definedName function="false" hidden="false" name="IQ_OG_DEVELOPMENT_COSTS" vbProcedure="false">"c1978"</definedName>
    <definedName function="false" hidden="false" name="IQ_OG_DEVELOPMENT_COSTS_GAS" vbProcedure="false">"c1990"</definedName>
    <definedName function="false" hidden="false" name="IQ_OG_DEVELOPMENT_COSTS_OIL" vbProcedure="false">"c1984"</definedName>
    <definedName function="false" hidden="false" name="IQ_OG_EQUITY_DCF" vbProcedure="false">"c2002"</definedName>
    <definedName function="false" hidden="false" name="IQ_OG_EQUITY_DCF_GAS" vbProcedure="false">"c2022"</definedName>
    <definedName function="false" hidden="false" name="IQ_OG_EQUITY_DCF_OIL" vbProcedure="false">"c2012"</definedName>
    <definedName function="false" hidden="false" name="IQ_OG_EQUTY_RESERVES_GAS" vbProcedure="false">"c2050"</definedName>
    <definedName function="false" hidden="false" name="IQ_OG_EQUTY_RESERVES_NGL" vbProcedure="false">"c2921"</definedName>
    <definedName function="false" hidden="false" name="IQ_OG_EQUTY_RESERVES_OIL" vbProcedure="false">"c2038"</definedName>
    <definedName function="false" hidden="false" name="IQ_OG_EXPLORATION_COSTS" vbProcedure="false">"c1977"</definedName>
    <definedName function="false" hidden="false" name="IQ_OG_EXPLORATION_COSTS_GAS" vbProcedure="false">"c1989"</definedName>
    <definedName function="false" hidden="false" name="IQ_OG_EXPLORATION_COSTS_OIL" vbProcedure="false">"c1983"</definedName>
    <definedName function="false" hidden="false" name="IQ_OG_EXT_DISC_GAS" vbProcedure="false">"c2043"</definedName>
    <definedName function="false" hidden="false" name="IQ_OG_EXT_DISC_NGL" vbProcedure="false">"c2914"</definedName>
    <definedName function="false" hidden="false" name="IQ_OG_EXT_DISC_OIL" vbProcedure="false">"c2031"</definedName>
    <definedName function="false" hidden="false" name="IQ_OG_FUTURE_CASH_INFLOWS" vbProcedure="false">"c1993"</definedName>
    <definedName function="false" hidden="false" name="IQ_OG_FUTURE_CASH_INFLOWS_GAS" vbProcedure="false">"c2013"</definedName>
    <definedName function="false" hidden="false" name="IQ_OG_FUTURE_CASH_INFLOWS_OIL" vbProcedure="false">"c2003"</definedName>
    <definedName function="false" hidden="false" name="IQ_OG_FUTURE_DEVELOPMENT_COSTS" vbProcedure="false">"c1995"</definedName>
    <definedName function="false" hidden="false" name="IQ_OG_FUTURE_DEVELOPMENT_COSTS_GAS" vbProcedure="false">"c2015"</definedName>
    <definedName function="false" hidden="false" name="IQ_OG_FUTURE_DEVELOPMENT_COSTS_OIL" vbProcedure="false">"c2005"</definedName>
    <definedName function="false" hidden="false" name="IQ_OG_FUTURE_INC_TAXES" vbProcedure="false">"c1997"</definedName>
    <definedName function="false" hidden="false" name="IQ_OG_FUTURE_INC_TAXES_GAS" vbProcedure="false">"c2017"</definedName>
    <definedName function="false" hidden="false" name="IQ_OG_FUTURE_INC_TAXES_OIL" vbProcedure="false">"c2007"</definedName>
    <definedName function="false" hidden="false" name="IQ_OG_FUTURE_PRODUCTION_COSTS" vbProcedure="false">"c1994"</definedName>
    <definedName function="false" hidden="false" name="IQ_OG_FUTURE_PRODUCTION_COSTS_GAS" vbProcedure="false">"c2014"</definedName>
    <definedName function="false" hidden="false" name="IQ_OG_FUTURE_PRODUCTION_COSTS_OIL" vbProcedure="false">"c2004"</definedName>
    <definedName function="false" hidden="false" name="IQ_OG_GAS_PRICE_HEDGED" vbProcedure="false">"c2056"</definedName>
    <definedName function="false" hidden="false" name="IQ_OG_GAS_PRICE_UNHEDGED" vbProcedure="false">"c2058"</definedName>
    <definedName function="false" hidden="false" name="IQ_OG_IMPROVED_RECOVERY_GAS" vbProcedure="false">"c2044"</definedName>
    <definedName function="false" hidden="false" name="IQ_OG_IMPROVED_RECOVERY_NGL" vbProcedure="false">"c2915"</definedName>
    <definedName function="false" hidden="false" name="IQ_OG_IMPROVED_RECOVERY_OIL" vbProcedure="false">"c2032"</definedName>
    <definedName function="false" hidden="false" name="IQ_OG_LIQUID_GAS_PRICE_HEDGED" vbProcedure="false">"c2233"</definedName>
    <definedName function="false" hidden="false" name="IQ_OG_LIQUID_GAS_PRICE_UNHEDGED" vbProcedure="false">"c2234"</definedName>
    <definedName function="false" hidden="false" name="IQ_OG_NET_FUTURE_CASH_FLOWS" vbProcedure="false">"c1996"</definedName>
    <definedName function="false" hidden="false" name="IQ_OG_NET_FUTURE_CASH_FLOWS_GAS" vbProcedure="false">"c2016"</definedName>
    <definedName function="false" hidden="false" name="IQ_OG_NET_FUTURE_CASH_FLOWS_OIL" vbProcedure="false">"c2006"</definedName>
    <definedName function="false" hidden="false" name="IQ_OG_OIL_PRICE_HEDGED" vbProcedure="false">"c2055"</definedName>
    <definedName function="false" hidden="false" name="IQ_OG_OIL_PRICE_UNHEDGED" vbProcedure="false">"c2057"</definedName>
    <definedName function="false" hidden="false" name="IQ_OG_OPEN_BALANCE_GAS" vbProcedure="false">"c2041"</definedName>
    <definedName function="false" hidden="false" name="IQ_OG_OPEN_BALANCE_NGL" vbProcedure="false">"c2912"</definedName>
    <definedName function="false" hidden="false" name="IQ_OG_OPEN_BALANCE_OIL" vbProcedure="false">"c2029"</definedName>
    <definedName function="false" hidden="false" name="IQ_OG_OTHER_ADJ" vbProcedure="false">"c1999"</definedName>
    <definedName function="false" hidden="false" name="IQ_OG_OTHER_ADJ_FCF" vbProcedure="false">"c1999"</definedName>
    <definedName function="false" hidden="false" name="IQ_OG_OTHER_ADJ_FCF_GAS" vbProcedure="false">"c2019"</definedName>
    <definedName function="false" hidden="false" name="IQ_OG_OTHER_ADJ_FCF_OIL" vbProcedure="false">"c2009"</definedName>
    <definedName function="false" hidden="false" name="IQ_OG_OTHER_ADJ_GAS" vbProcedure="false">"c2048"</definedName>
    <definedName function="false" hidden="false" name="IQ_OG_OTHER_ADJ_NGL" vbProcedure="false">"c2919"</definedName>
    <definedName function="false" hidden="false" name="IQ_OG_OTHER_ADJ_OIL" vbProcedure="false">"c2036"</definedName>
    <definedName function="false" hidden="false" name="IQ_OG_OTHER_COSTS" vbProcedure="false">"c1979"</definedName>
    <definedName function="false" hidden="false" name="IQ_OG_OTHER_COSTS_GAS" vbProcedure="false">"c1991"</definedName>
    <definedName function="false" hidden="false" name="IQ_OG_OTHER_COSTS_OIL" vbProcedure="false">"c1985"</definedName>
    <definedName function="false" hidden="false" name="IQ_OG_PRODUCTION_GAS" vbProcedure="false">"c2047"</definedName>
    <definedName function="false" hidden="false" name="IQ_OG_PRODUCTION_NGL" vbProcedure="false">"c2918"</definedName>
    <definedName function="false" hidden="false" name="IQ_OG_PRODUCTION_OIL" vbProcedure="false">"c2035"</definedName>
    <definedName function="false" hidden="false" name="IQ_OG_PURCHASES_GAS" vbProcedure="false">"c2045"</definedName>
    <definedName function="false" hidden="false" name="IQ_OG_PURCHASES_NGL" vbProcedure="false">"c2916"</definedName>
    <definedName function="false" hidden="false" name="IQ_OG_PURCHASES_OIL" vbProcedure="false">"c2033"</definedName>
    <definedName function="false" hidden="false" name="IQ_OG_REVISIONS_GAS" vbProcedure="false">"c2042"</definedName>
    <definedName function="false" hidden="false" name="IQ_OG_REVISIONS_NGL" vbProcedure="false">"c2913"</definedName>
    <definedName function="false" hidden="false" name="IQ_OG_REVISIONS_OIL" vbProcedure="false">"c2030"</definedName>
    <definedName function="false" hidden="false" name="IQ_OG_SALES_IN_PLACE_GAS" vbProcedure="false">"c2046"</definedName>
    <definedName function="false" hidden="false" name="IQ_OG_SALES_IN_PLACE_NGL" vbProcedure="false">"c2917"</definedName>
    <definedName function="false" hidden="false" name="IQ_OG_SALES_IN_PLACE_OIL" vbProcedure="false">"c2034"</definedName>
    <definedName function="false" hidden="false" name="IQ_OG_STANDARDIZED_DCF" vbProcedure="false">"c2000"</definedName>
    <definedName function="false" hidden="false" name="IQ_OG_STANDARDIZED_DCF_GAS" vbProcedure="false">"c2020"</definedName>
    <definedName function="false" hidden="false" name="IQ_OG_STANDARDIZED_DCF_HEDGED" vbProcedure="false">"c2001"</definedName>
    <definedName function="false" hidden="false" name="IQ_OG_STANDARDIZED_DCF_HEDGED_GAS" vbProcedure="false">"c2021"</definedName>
    <definedName function="false" hidden="false" name="IQ_OG_STANDARDIZED_DCF_HEDGED_OIL" vbProcedure="false">"c2011"</definedName>
    <definedName function="false" hidden="false" name="IQ_OG_STANDARDIZED_DCF_OIL" vbProcedure="false">"c2010"</definedName>
    <definedName function="false" hidden="false" name="IQ_OG_TAXES" vbProcedure="false">"c2026"</definedName>
    <definedName function="false" hidden="false" name="IQ_OG_TAXES_GAS" vbProcedure="false">"c2028"</definedName>
    <definedName function="false" hidden="false" name="IQ_OG_TAXES_OIL" vbProcedure="false">"c2027"</definedName>
    <definedName function="false" hidden="false" name="IQ_OG_TOTAL_COSTS" vbProcedure="false">"c1980"</definedName>
    <definedName function="false" hidden="false" name="IQ_OG_TOTAL_COSTS_GAS" vbProcedure="false">"c1992"</definedName>
    <definedName function="false" hidden="false" name="IQ_OG_TOTAL_COSTS_OIL" vbProcedure="false">"c1986"</definedName>
    <definedName function="false" hidden="false" name="IQ_OG_TOTAL_EST_PROVED_RESERVES_GAS" vbProcedure="false">"c2052"</definedName>
    <definedName function="false" hidden="false" name="IQ_OG_TOTAL_GAS_PRODUCTION" vbProcedure="false">"c2060"</definedName>
    <definedName function="false" hidden="false" name="IQ_OG_TOTAL_LIQUID_GAS_PRODUCTION" vbProcedure="false">"c2235"</definedName>
    <definedName function="false" hidden="false" name="IQ_OG_TOTAL_OIL_PRODUCTION" vbProcedure="false">"c2059"</definedName>
    <definedName function="false" hidden="false" name="IQ_OG_TOTAL_OIL_PRODUCTON" vbProcedure="false">"c2059"</definedName>
    <definedName function="false" hidden="false" name="IQ_OG_UNDEVELOPED_RESERVES_GAS" vbProcedure="false">"c2051"</definedName>
    <definedName function="false" hidden="false" name="IQ_OG_UNDEVELOPED_RESERVES_NGL" vbProcedure="false">"c2923"</definedName>
    <definedName function="false" hidden="false" name="IQ_OG_UNDEVELOPED_RESERVES_OIL" vbProcedure="false">"c2039"</definedName>
    <definedName function="false" hidden="false" name="IQ_OIL_IMPAIR" vbProcedure="false">"c840"</definedName>
    <definedName function="false" hidden="false" name="IQ_OL_COMM_AFTER_FIVE" vbProcedure="false">"c841"</definedName>
    <definedName function="false" hidden="false" name="IQ_OL_COMM_CY" vbProcedure="false">"c842"</definedName>
    <definedName function="false" hidden="false" name="IQ_OL_COMM_CY1" vbProcedure="false">"c843"</definedName>
    <definedName function="false" hidden="false" name="IQ_OL_COMM_CY2" vbProcedure="false">"c844"</definedName>
    <definedName function="false" hidden="false" name="IQ_OL_COMM_CY3" vbProcedure="false">"c845"</definedName>
    <definedName function="false" hidden="false" name="IQ_OL_COMM_CY4" vbProcedure="false">"c846"</definedName>
    <definedName function="false" hidden="false" name="IQ_OL_COMM_NEXT_FIVE" vbProcedure="false">"c847"</definedName>
    <definedName function="false" hidden="false" name="IQ_OPENED55" vbProcedure="false">1</definedName>
    <definedName function="false" hidden="false" name="IQ_OPENPRICE" vbProcedure="false">"c848"</definedName>
    <definedName function="false" hidden="false" name="IQ_OPERATIONS_EXP" vbProcedure="false">"c855"</definedName>
    <definedName function="false" hidden="false" name="IQ_OPER_INC" vbProcedure="false">"c849"</definedName>
    <definedName function="false" hidden="false" name="IQ_OPER_INC_ACT_OR_EST" vbProcedure="false">"c2220"</definedName>
    <definedName function="false" hidden="false" name="IQ_OPER_INC_ACT_OR_EST_REUT" vbProcedure="false">"c5466"</definedName>
    <definedName function="false" hidden="false" name="IQ_OPER_INC_BR" vbProcedure="false">"c850"</definedName>
    <definedName function="false" hidden="false" name="IQ_OPER_INC_EST" vbProcedure="false">"c1688"</definedName>
    <definedName function="false" hidden="false" name="IQ_OPER_INC_EST_REUT" vbProcedure="false">"c5340"</definedName>
    <definedName function="false" hidden="false" name="IQ_OPER_INC_FIN" vbProcedure="false">"c851"</definedName>
    <definedName function="false" hidden="false" name="IQ_OPER_INC_HIGH_EST" vbProcedure="false">"c1690"</definedName>
    <definedName function="false" hidden="false" name="IQ_OPER_INC_HIGH_EST_REUT" vbProcedure="false">"c5342"</definedName>
    <definedName function="false" hidden="false" name="IQ_OPER_INC_INS" vbProcedure="false">"c852"</definedName>
    <definedName function="false" hidden="false" name="IQ_OPER_INC_LOW_EST" vbProcedure="false">"c1691"</definedName>
    <definedName function="false" hidden="false" name="IQ_OPER_INC_LOW_EST_REUT" vbProcedure="false">"c5343"</definedName>
    <definedName function="false" hidden="false" name="IQ_OPER_INC_MARGIN" vbProcedure="false">"c1448"</definedName>
    <definedName function="false" hidden="false" name="IQ_OPER_INC_MEDIAN_EST" vbProcedure="false">"c1689"</definedName>
    <definedName function="false" hidden="false" name="IQ_OPER_INC_MEDIAN_EST_REUT" vbProcedure="false">"c5341"</definedName>
    <definedName function="false" hidden="false" name="IQ_OPER_INC_NUM_EST" vbProcedure="false">"c1692"</definedName>
    <definedName function="false" hidden="false" name="IQ_OPER_INC_NUM_EST_REUT" vbProcedure="false">"c5344"</definedName>
    <definedName function="false" hidden="false" name="IQ_OPER_INC_REIT" vbProcedure="false">"c853"</definedName>
    <definedName function="false" hidden="false" name="IQ_OPER_INC_STDDEV_EST" vbProcedure="false">"c1693"</definedName>
    <definedName function="false" hidden="false" name="IQ_OPER_INC_STDDEV_EST_REUT" vbProcedure="false">"c5345"</definedName>
    <definedName function="false" hidden="false" name="IQ_OPER_INC_UTI" vbProcedure="false">"c854"</definedName>
    <definedName function="false" hidden="false" name="IQ_OPTIONS_BEG_OS" vbProcedure="false">"c1572"</definedName>
    <definedName function="false" hidden="false" name="IQ_OPTIONS_CANCELLED" vbProcedure="false">"c856"</definedName>
    <definedName function="false" hidden="false" name="IQ_OPTIONS_END_OS" vbProcedure="false">"c1573"</definedName>
    <definedName function="false" hidden="false" name="IQ_OPTIONS_EXCERCISED" vbProcedure="false">"c2116"</definedName>
    <definedName function="false" hidden="false" name="IQ_OPTIONS_EXERCISED" vbProcedure="false">"c2116"</definedName>
    <definedName function="false" hidden="false" name="IQ_OPTIONS_GRANTED" vbProcedure="false">"c2673"</definedName>
    <definedName function="false" hidden="false" name="IQ_OPTIONS_ISSUED" vbProcedure="false">"c857"</definedName>
    <definedName function="false" hidden="false" name="IQ_OPTIONS_OS" vbProcedure="false">"c858"</definedName>
    <definedName function="false" hidden="false" name="IQ_OPTIONS_STRIKE_PRICE_GRANTED" vbProcedure="false">"c2678"</definedName>
    <definedName function="false" hidden="false" name="IQ_OPTIONS_STRIKE_PRICE_OS" vbProcedure="false">"c2677"</definedName>
    <definedName function="false" hidden="false" name="IQ_ORDER_BACKLOG" vbProcedure="false">"c2090"</definedName>
    <definedName function="false" hidden="false" name="IQ_OREO_1_4_RESIDENTIAL_FDIC" vbProcedure="false">"c6454"</definedName>
    <definedName function="false" hidden="false" name="IQ_OREO_COMMERCIAL_RE_FDIC" vbProcedure="false">"c6456"</definedName>
    <definedName function="false" hidden="false" name="IQ_OREO_CONSTRUCTION_DEVELOPMENT_FDIC" vbProcedure="false">"c6457"</definedName>
    <definedName function="false" hidden="false" name="IQ_OREO_FARMLAND_FDIC" vbProcedure="false">"c6458"</definedName>
    <definedName function="false" hidden="false" name="IQ_OREO_FOREIGN_FDIC" vbProcedure="false">"c6460"</definedName>
    <definedName function="false" hidden="false" name="IQ_OREO_MULTI_FAMILY_RESIDENTIAL_FDIC" vbProcedure="false">"c6455"</definedName>
    <definedName function="false" hidden="false" name="IQ_OTHER_ADJUST_GROSS_LOANS" vbProcedure="false">"c859"</definedName>
    <definedName function="false" hidden="false" name="IQ_OTHER_AMORT_BR" vbProcedure="false">"c5566"</definedName>
    <definedName function="false" hidden="false" name="IQ_OTHER_ASSETS" vbProcedure="false">"c860"</definedName>
    <definedName function="false" hidden="false" name="IQ_OTHER_ASSETS_BNK" vbProcedure="false">"c861"</definedName>
    <definedName function="false" hidden="false" name="IQ_OTHER_ASSETS_BR" vbProcedure="false">"c862"</definedName>
    <definedName function="false" hidden="false" name="IQ_OTHER_ASSETS_FDIC" vbProcedure="false">"c6338"</definedName>
    <definedName function="false" hidden="false" name="IQ_OTHER_ASSETS_FIN" vbProcedure="false">"c863"</definedName>
    <definedName function="false" hidden="false" name="IQ_OTHER_ASSETS_INS" vbProcedure="false">"c864"</definedName>
    <definedName function="false" hidden="false" name="IQ_OTHER_ASSETS_REIT" vbProcedure="false">"c865"</definedName>
    <definedName function="false" hidden="false" name="IQ_OTHER_ASSETS_SERV_RIGHTS" vbProcedure="false">"c2243"</definedName>
    <definedName function="false" hidden="false" name="IQ_OTHER_ASSETS_UTI" vbProcedure="false">"c866"</definedName>
    <definedName function="false" hidden="false" name="IQ_OTHER_BEARING_LIAB" vbProcedure="false">"c1608"</definedName>
    <definedName function="false" hidden="false" name="IQ_OTHER_BENEFITS_OBLIGATION" vbProcedure="false">"c867"</definedName>
    <definedName function="false" hidden="false" name="IQ_OTHER_BORROWED_FUNDS_FDIC" vbProcedure="false">"c6345"</definedName>
    <definedName function="false" hidden="false" name="IQ_OTHER_CA" vbProcedure="false">"c868"</definedName>
    <definedName function="false" hidden="false" name="IQ_OTHER_CA_SUPPL" vbProcedure="false">"c869"</definedName>
    <definedName function="false" hidden="false" name="IQ_OTHER_CA_SUPPL_BNK" vbProcedure="false">"c870"</definedName>
    <definedName function="false" hidden="false" name="IQ_OTHER_CA_SUPPL_BR" vbProcedure="false">"c871"</definedName>
    <definedName function="false" hidden="false" name="IQ_OTHER_CA_SUPPL_FIN" vbProcedure="false">"c872"</definedName>
    <definedName function="false" hidden="false" name="IQ_OTHER_CA_SUPPL_INS" vbProcedure="false">"c873"</definedName>
    <definedName function="false" hidden="false" name="IQ_OTHER_CA_SUPPL_REIT" vbProcedure="false">"c874"</definedName>
    <definedName function="false" hidden="false" name="IQ_OTHER_CA_SUPPL_UTI" vbProcedure="false">"c875"</definedName>
    <definedName function="false" hidden="false" name="IQ_OTHER_CA_UTI" vbProcedure="false">"c876"</definedName>
    <definedName function="false" hidden="false" name="IQ_OTHER_CL" vbProcedure="false">"c877"</definedName>
    <definedName function="false" hidden="false" name="IQ_OTHER_CL_SUPPL" vbProcedure="false">"c878"</definedName>
    <definedName function="false" hidden="false" name="IQ_OTHER_CL_SUPPL_BNK" vbProcedure="false">"c879"</definedName>
    <definedName function="false" hidden="false" name="IQ_OTHER_CL_SUPPL_BR" vbProcedure="false">"c880"</definedName>
    <definedName function="false" hidden="false" name="IQ_OTHER_CL_SUPPL_FIN" vbProcedure="false">"c881"</definedName>
    <definedName function="false" hidden="false" name="IQ_OTHER_CL_SUPPL_REIT" vbProcedure="false">"c882"</definedName>
    <definedName function="false" hidden="false" name="IQ_OTHER_CL_SUPPL_UTI" vbProcedure="false">"c883"</definedName>
    <definedName function="false" hidden="false" name="IQ_OTHER_CL_UTI" vbProcedure="false">"c884"</definedName>
    <definedName function="false" hidden="false" name="IQ_OTHER_COMPREHENSIVE_INCOME_FDIC" vbProcedure="false">"c6503"</definedName>
    <definedName function="false" hidden="false" name="IQ_OTHER_CURRENT_ASSETS" vbProcedure="false">"c1403"</definedName>
    <definedName function="false" hidden="false" name="IQ_OTHER_CURRENT_LIAB" vbProcedure="false">"c1404"</definedName>
    <definedName function="false" hidden="false" name="IQ_OTHER_DEBT" vbProcedure="false">"c2507"</definedName>
    <definedName function="false" hidden="false" name="IQ_OTHER_DEBT_PCT" vbProcedure="false">"c2508"</definedName>
    <definedName function="false" hidden="false" name="IQ_OTHER_DEP" vbProcedure="false">"c885"</definedName>
    <definedName function="false" hidden="false" name="IQ_OTHER_DEPOSITORY_INSTITUTIONS_LOANS_FDIC" vbProcedure="false">"c6436"</definedName>
    <definedName function="false" hidden="false" name="IQ_OTHER_DEPOSITORY_INSTITUTIONS_TOTAL_LOANS_FOREIGN_FDIC" vbProcedure="false">"c6442"</definedName>
    <definedName function="false" hidden="false" name="IQ_OTHER_DOMESTIC_DEBT_SECURITIES_FDIC" vbProcedure="false">"c6302"</definedName>
    <definedName function="false" hidden="false" name="IQ_OTHER_EARNING" vbProcedure="false">"c1609"</definedName>
    <definedName function="false" hidden="false" name="IQ_OTHER_EQUITY" vbProcedure="false">"c886"</definedName>
    <definedName function="false" hidden="false" name="IQ_OTHER_EQUITY_BNK" vbProcedure="false">"c887"</definedName>
    <definedName function="false" hidden="false" name="IQ_OTHER_EQUITY_BR" vbProcedure="false">"c888"</definedName>
    <definedName function="false" hidden="false" name="IQ_OTHER_EQUITY_FIN" vbProcedure="false">"c889"</definedName>
    <definedName function="false" hidden="false" name="IQ_OTHER_EQUITY_INS" vbProcedure="false">"c890"</definedName>
    <definedName function="false" hidden="false" name="IQ_OTHER_EQUITY_REIT" vbProcedure="false">"c891"</definedName>
    <definedName function="false" hidden="false" name="IQ_OTHER_EQUITY_UTI" vbProcedure="false">"c892"</definedName>
    <definedName function="false" hidden="false" name="IQ_OTHER_FINANCE_ACT" vbProcedure="false">"c893"</definedName>
    <definedName function="false" hidden="false" name="IQ_OTHER_FINANCE_ACT_BNK" vbProcedure="false">"c894"</definedName>
    <definedName function="false" hidden="false" name="IQ_OTHER_FINANCE_ACT_BR" vbProcedure="false">"c895"</definedName>
    <definedName function="false" hidden="false" name="IQ_OTHER_FINANCE_ACT_FIN" vbProcedure="false">"c896"</definedName>
    <definedName function="false" hidden="false" name="IQ_OTHER_FINANCE_ACT_INS" vbProcedure="false">"c897"</definedName>
    <definedName function="false" hidden="false" name="IQ_OTHER_FINANCE_ACT_REIT" vbProcedure="false">"c898"</definedName>
    <definedName function="false" hidden="false" name="IQ_OTHER_FINANCE_ACT_SUPPL" vbProcedure="false">"c899"</definedName>
    <definedName function="false" hidden="false" name="IQ_OTHER_FINANCE_ACT_SUPPL_BNK" vbProcedure="false">"c900"</definedName>
    <definedName function="false" hidden="false" name="IQ_OTHER_FINANCE_ACT_SUPPL_BR" vbProcedure="false">"c901"</definedName>
    <definedName function="false" hidden="false" name="IQ_OTHER_FINANCE_ACT_SUPPL_FIN" vbProcedure="false">"c902"</definedName>
    <definedName function="false" hidden="false" name="IQ_OTHER_FINANCE_ACT_SUPPL_INS" vbProcedure="false">"c903"</definedName>
    <definedName function="false" hidden="false" name="IQ_OTHER_FINANCE_ACT_SUPPL_REIT" vbProcedure="false">"c904"</definedName>
    <definedName function="false" hidden="false" name="IQ_OTHER_FINANCE_ACT_SUPPL_UTI" vbProcedure="false">"c905"</definedName>
    <definedName function="false" hidden="false" name="IQ_OTHER_FINANCE_ACT_UTI" vbProcedure="false">"c906"</definedName>
    <definedName function="false" hidden="false" name="IQ_OTHER_INSURANCE_FEES_FDIC" vbProcedure="false">"c6672"</definedName>
    <definedName function="false" hidden="false" name="IQ_OTHER_INTAN" vbProcedure="false">"c907"</definedName>
    <definedName function="false" hidden="false" name="IQ_OTHER_INTANGIBLE_FDIC" vbProcedure="false">"c6337"</definedName>
    <definedName function="false" hidden="false" name="IQ_OTHER_INTAN_BNK" vbProcedure="false">"c908"</definedName>
    <definedName function="false" hidden="false" name="IQ_OTHER_INTAN_BR" vbProcedure="false">"c909"</definedName>
    <definedName function="false" hidden="false" name="IQ_OTHER_INTAN_FIN" vbProcedure="false">"c910"</definedName>
    <definedName function="false" hidden="false" name="IQ_OTHER_INTAN_INS" vbProcedure="false">"c911"</definedName>
    <definedName function="false" hidden="false" name="IQ_OTHER_INTAN_REIT" vbProcedure="false">"c912"</definedName>
    <definedName function="false" hidden="false" name="IQ_OTHER_INTAN_UTI" vbProcedure="false">"c913"</definedName>
    <definedName function="false" hidden="false" name="IQ_OTHER_INV" vbProcedure="false">"c914"</definedName>
    <definedName function="false" hidden="false" name="IQ_OTHER_INVEST" vbProcedure="false">"c915"</definedName>
    <definedName function="false" hidden="false" name="IQ_OTHER_INVESTING" vbProcedure="false">"c1408"</definedName>
    <definedName function="false" hidden="false" name="IQ_OTHER_INVEST_ACT" vbProcedure="false">"c916"</definedName>
    <definedName function="false" hidden="false" name="IQ_OTHER_INVEST_ACT_BNK" vbProcedure="false">"c917"</definedName>
    <definedName function="false" hidden="false" name="IQ_OTHER_INVEST_ACT_BR" vbProcedure="false">"c918"</definedName>
    <definedName function="false" hidden="false" name="IQ_OTHER_INVEST_ACT_FIN" vbProcedure="false">"c919"</definedName>
    <definedName function="false" hidden="false" name="IQ_OTHER_INVEST_ACT_INS" vbProcedure="false">"c920"</definedName>
    <definedName function="false" hidden="false" name="IQ_OTHER_INVEST_ACT_REIT" vbProcedure="false">"c921"</definedName>
    <definedName function="false" hidden="false" name="IQ_OTHER_INVEST_ACT_SUPPL" vbProcedure="false">"c922"</definedName>
    <definedName function="false" hidden="false" name="IQ_OTHER_INVEST_ACT_SUPPL_BNK" vbProcedure="false">"c923"</definedName>
    <definedName function="false" hidden="false" name="IQ_OTHER_INVEST_ACT_SUPPL_BR" vbProcedure="false">"c924"</definedName>
    <definedName function="false" hidden="false" name="IQ_OTHER_INVEST_ACT_SUPPL_FIN" vbProcedure="false">"c925"</definedName>
    <definedName function="false" hidden="false" name="IQ_OTHER_INVEST_ACT_SUPPL_INS" vbProcedure="false">"c926"</definedName>
    <definedName function="false" hidden="false" name="IQ_OTHER_INVEST_ACT_SUPPL_REIT" vbProcedure="false">"c927"</definedName>
    <definedName function="false" hidden="false" name="IQ_OTHER_INVEST_ACT_SUPPL_UTI" vbProcedure="false">"c928"</definedName>
    <definedName function="false" hidden="false" name="IQ_OTHER_INVEST_ACT_UTI" vbProcedure="false">"c929"</definedName>
    <definedName function="false" hidden="false" name="IQ_OTHER_LIAB" vbProcedure="false">"c930"</definedName>
    <definedName function="false" hidden="false" name="IQ_OTHER_LIABILITIES_FDIC" vbProcedure="false">"c6347"</definedName>
    <definedName function="false" hidden="false" name="IQ_OTHER_LIAB_BNK" vbProcedure="false">"c931"</definedName>
    <definedName function="false" hidden="false" name="IQ_OTHER_LIAB_BR" vbProcedure="false">"c932"</definedName>
    <definedName function="false" hidden="false" name="IQ_OTHER_LIAB_FIN" vbProcedure="false">"c933"</definedName>
    <definedName function="false" hidden="false" name="IQ_OTHER_LIAB_INS" vbProcedure="false">"c934"</definedName>
    <definedName function="false" hidden="false" name="IQ_OTHER_LIAB_LT" vbProcedure="false">"c935"</definedName>
    <definedName function="false" hidden="false" name="IQ_OTHER_LIAB_LT_BNK" vbProcedure="false">"c936"</definedName>
    <definedName function="false" hidden="false" name="IQ_OTHER_LIAB_LT_BR" vbProcedure="false">"c937"</definedName>
    <definedName function="false" hidden="false" name="IQ_OTHER_LIAB_LT_FIN" vbProcedure="false">"c938"</definedName>
    <definedName function="false" hidden="false" name="IQ_OTHER_LIAB_LT_INS" vbProcedure="false">"c939"</definedName>
    <definedName function="false" hidden="false" name="IQ_OTHER_LIAB_LT_REIT" vbProcedure="false">"c940"</definedName>
    <definedName function="false" hidden="false" name="IQ_OTHER_LIAB_LT_UTI" vbProcedure="false">"c941"</definedName>
    <definedName function="false" hidden="false" name="IQ_OTHER_LIAB_REIT" vbProcedure="false">"c942"</definedName>
    <definedName function="false" hidden="false" name="IQ_OTHER_LIAB_UTI" vbProcedure="false">"c943"</definedName>
    <definedName function="false" hidden="false" name="IQ_OTHER_LIAB_WRITTEN" vbProcedure="false">"c944"</definedName>
    <definedName function="false" hidden="false" name="IQ_OTHER_LOANS" vbProcedure="false">"c945"</definedName>
    <definedName function="false" hidden="false" name="IQ_OTHER_LOANS_CHARGE_OFFS_FDIC" vbProcedure="false">"c6601"</definedName>
    <definedName function="false" hidden="false" name="IQ_OTHER_LOANS_FOREIGN_FDIC" vbProcedure="false">"c6446"</definedName>
    <definedName function="false" hidden="false" name="IQ_OTHER_LOANS_LEASES_FDIC" vbProcedure="false">"c6322"</definedName>
    <definedName function="false" hidden="false" name="IQ_OTHER_LOANS_NET_CHARGE_OFFS_FDIC" vbProcedure="false">"c6639"</definedName>
    <definedName function="false" hidden="false" name="IQ_OTHER_LOANS_RECOVERIES_FDIC" vbProcedure="false">"c6620"</definedName>
    <definedName function="false" hidden="false" name="IQ_OTHER_LOANS_TOTAL_FDIC" vbProcedure="false">"c6432"</definedName>
    <definedName function="false" hidden="false" name="IQ_OTHER_LONG_TERM" vbProcedure="false">"c1409"</definedName>
    <definedName function="false" hidden="false" name="IQ_OTHER_LT_ASSETS" vbProcedure="false">"c946"</definedName>
    <definedName function="false" hidden="false" name="IQ_OTHER_LT_ASSETS_BNK" vbProcedure="false">"c947"</definedName>
    <definedName function="false" hidden="false" name="IQ_OTHER_LT_ASSETS_BR" vbProcedure="false">"c948"</definedName>
    <definedName function="false" hidden="false" name="IQ_OTHER_LT_ASSETS_FIN" vbProcedure="false">"c949"</definedName>
    <definedName function="false" hidden="false" name="IQ_OTHER_LT_ASSETS_INS" vbProcedure="false">"c950"</definedName>
    <definedName function="false" hidden="false" name="IQ_OTHER_LT_ASSETS_REIT" vbProcedure="false">"c951"</definedName>
    <definedName function="false" hidden="false" name="IQ_OTHER_LT_ASSETS_UTI" vbProcedure="false">"c952"</definedName>
    <definedName function="false" hidden="false" name="IQ_OTHER_MINING_REVENUE_COAL" vbProcedure="false">"c15931"</definedName>
    <definedName function="false" hidden="false" name="IQ_OTHER_NET" vbProcedure="false">"c1453"</definedName>
    <definedName function="false" hidden="false" name="IQ_OTHER_NON_INT_EXP" vbProcedure="false">"c953"</definedName>
    <definedName function="false" hidden="false" name="IQ_OTHER_NON_INT_EXPENSE_FDIC" vbProcedure="false">"c6679"</definedName>
    <definedName function="false" hidden="false" name="IQ_OTHER_NON_INT_EXP_FDIC" vbProcedure="false">"c6578"</definedName>
    <definedName function="false" hidden="false" name="IQ_OTHER_NON_INT_EXP_TOTAL" vbProcedure="false">"c954"</definedName>
    <definedName function="false" hidden="false" name="IQ_OTHER_NON_INT_INC" vbProcedure="false">"c955"</definedName>
    <definedName function="false" hidden="false" name="IQ_OTHER_NON_INT_INC_FDIC" vbProcedure="false">"c6676"</definedName>
    <definedName function="false" hidden="false" name="IQ_OTHER_NON_OPER_EXP" vbProcedure="false">"c956"</definedName>
    <definedName function="false" hidden="false" name="IQ_OTHER_NON_OPER_EXP_BR" vbProcedure="false">"c957"</definedName>
    <definedName function="false" hidden="false" name="IQ_OTHER_NON_OPER_EXP_FIN" vbProcedure="false">"c958"</definedName>
    <definedName function="false" hidden="false" name="IQ_OTHER_NON_OPER_EXP_INS" vbProcedure="false">"c959"</definedName>
    <definedName function="false" hidden="false" name="IQ_OTHER_NON_OPER_EXP_REIT" vbProcedure="false">"c960"</definedName>
    <definedName function="false" hidden="false" name="IQ_OTHER_NON_OPER_EXP_SUPPL" vbProcedure="false">"c961"</definedName>
    <definedName function="false" hidden="false" name="IQ_OTHER_NON_OPER_EXP_SUPPL_BR" vbProcedure="false">"c962"</definedName>
    <definedName function="false" hidden="false" name="IQ_OTHER_NON_OPER_EXP_SUPPL_FIN" vbProcedure="false">"c963"</definedName>
    <definedName function="false" hidden="false" name="IQ_OTHER_NON_OPER_EXP_SUPPL_INS" vbProcedure="false">"c964"</definedName>
    <definedName function="false" hidden="false" name="IQ_OTHER_NON_OPER_EXP_SUPPL_REIT" vbProcedure="false">"c965"</definedName>
    <definedName function="false" hidden="false" name="IQ_OTHER_NON_OPER_EXP_SUPPL_UTI" vbProcedure="false">"c966"</definedName>
    <definedName function="false" hidden="false" name="IQ_OTHER_NON_OPER_EXP_UTI" vbProcedure="false">"c967"</definedName>
    <definedName function="false" hidden="false" name="IQ_OTHER_OFF_BS_LIAB_FDIC" vbProcedure="false">"c6533"</definedName>
    <definedName function="false" hidden="false" name="IQ_OTHER_OPER" vbProcedure="false">"c982"</definedName>
    <definedName function="false" hidden="false" name="IQ_OTHER_OPER_ACT" vbProcedure="false">"c983"</definedName>
    <definedName function="false" hidden="false" name="IQ_OTHER_OPER_ACT_BNK" vbProcedure="false">"c984"</definedName>
    <definedName function="false" hidden="false" name="IQ_OTHER_OPER_ACT_BR" vbProcedure="false">"c985"</definedName>
    <definedName function="false" hidden="false" name="IQ_OTHER_OPER_ACT_FIN" vbProcedure="false">"c986"</definedName>
    <definedName function="false" hidden="false" name="IQ_OTHER_OPER_ACT_INS" vbProcedure="false">"c987"</definedName>
    <definedName function="false" hidden="false" name="IQ_OTHER_OPER_ACT_REIT" vbProcedure="false">"c988"</definedName>
    <definedName function="false" hidden="false" name="IQ_OTHER_OPER_ACT_UTI" vbProcedure="false">"c989"</definedName>
    <definedName function="false" hidden="false" name="IQ_OTHER_OPER_BR" vbProcedure="false">"c990"</definedName>
    <definedName function="false" hidden="false" name="IQ_OTHER_OPER_FIN" vbProcedure="false">"c991"</definedName>
    <definedName function="false" hidden="false" name="IQ_OTHER_OPER_INS" vbProcedure="false">"c992"</definedName>
    <definedName function="false" hidden="false" name="IQ_OTHER_OPER_REIT" vbProcedure="false">"c993"</definedName>
    <definedName function="false" hidden="false" name="IQ_OTHER_OPER_SUPPL_BR" vbProcedure="false">"c994"</definedName>
    <definedName function="false" hidden="false" name="IQ_OTHER_OPER_SUPPL_FIN" vbProcedure="false">"c995"</definedName>
    <definedName function="false" hidden="false" name="IQ_OTHER_OPER_SUPPL_INS" vbProcedure="false">"c996"</definedName>
    <definedName function="false" hidden="false" name="IQ_OTHER_OPER_SUPPL_REIT" vbProcedure="false">"c997"</definedName>
    <definedName function="false" hidden="false" name="IQ_OTHER_OPER_SUPPL_UTI" vbProcedure="false">"c998"</definedName>
    <definedName function="false" hidden="false" name="IQ_OTHER_OPER_TOT_BNK" vbProcedure="false">"c999"</definedName>
    <definedName function="false" hidden="false" name="IQ_OTHER_OPER_TOT_BR" vbProcedure="false">"c1000"</definedName>
    <definedName function="false" hidden="false" name="IQ_OTHER_OPER_TOT_FIN" vbProcedure="false">"c1001"</definedName>
    <definedName function="false" hidden="false" name="IQ_OTHER_OPER_TOT_INS" vbProcedure="false">"c1002"</definedName>
    <definedName function="false" hidden="false" name="IQ_OTHER_OPER_TOT_REIT" vbProcedure="false">"c1003"</definedName>
    <definedName function="false" hidden="false" name="IQ_OTHER_OPER_TOT_UTI" vbProcedure="false">"c1004"</definedName>
    <definedName function="false" hidden="false" name="IQ_OTHER_OPER_UTI" vbProcedure="false">"c1005"</definedName>
    <definedName function="false" hidden="false" name="IQ_OTHER_OPTIONS_BEG_OS" vbProcedure="false">"c2686"</definedName>
    <definedName function="false" hidden="false" name="IQ_OTHER_OPTIONS_CANCELLED" vbProcedure="false">"c2689"</definedName>
    <definedName function="false" hidden="false" name="IQ_OTHER_OPTIONS_END_OS" vbProcedure="false">"c2690"</definedName>
    <definedName function="false" hidden="false" name="IQ_OTHER_OPTIONS_EXERCISED" vbProcedure="false">"c2688"</definedName>
    <definedName function="false" hidden="false" name="IQ_OTHER_OPTIONS_GRANTED" vbProcedure="false">"c2687"</definedName>
    <definedName function="false" hidden="false" name="IQ_OTHER_OPTIONS_STRIKE_PRICE_OS" vbProcedure="false">"c2691"</definedName>
    <definedName function="false" hidden="false" name="IQ_OTHER_OUTSTANDING_BS_DATE" vbProcedure="false">"c1972"</definedName>
    <definedName function="false" hidden="false" name="IQ_OTHER_OUTSTANDING_FILING_DATE" vbProcedure="false">"c1974"</definedName>
    <definedName function="false" hidden="false" name="IQ_OTHER_PC_WRITTEN" vbProcedure="false">"c1006"</definedName>
    <definedName function="false" hidden="false" name="IQ_OTHER_REAL_ESTATE" vbProcedure="false">"c1007"</definedName>
    <definedName function="false" hidden="false" name="IQ_OTHER_RECEIV" vbProcedure="false">"c1008"</definedName>
    <definedName function="false" hidden="false" name="IQ_OTHER_RECEIV_INS" vbProcedure="false">"c1009"</definedName>
    <definedName function="false" hidden="false" name="IQ_OTHER_REV" vbProcedure="false">"c1010"</definedName>
    <definedName function="false" hidden="false" name="IQ_OTHER_REVENUE" vbProcedure="false">"c1410"</definedName>
    <definedName function="false" hidden="false" name="IQ_OTHER_REV_BR" vbProcedure="false">"c1011"</definedName>
    <definedName function="false" hidden="false" name="IQ_OTHER_REV_FIN" vbProcedure="false">"c1012"</definedName>
    <definedName function="false" hidden="false" name="IQ_OTHER_REV_INS" vbProcedure="false">"c1013"</definedName>
    <definedName function="false" hidden="false" name="IQ_OTHER_REV_REIT" vbProcedure="false">"c1014"</definedName>
    <definedName function="false" hidden="false" name="IQ_OTHER_REV_SUPPL" vbProcedure="false">"c1015"</definedName>
    <definedName function="false" hidden="false" name="IQ_OTHER_REV_SUPPL_BR" vbProcedure="false">"c1016"</definedName>
    <definedName function="false" hidden="false" name="IQ_OTHER_REV_SUPPL_FIN" vbProcedure="false">"c1017"</definedName>
    <definedName function="false" hidden="false" name="IQ_OTHER_REV_SUPPL_INS" vbProcedure="false">"c1018"</definedName>
    <definedName function="false" hidden="false" name="IQ_OTHER_REV_SUPPL_REIT" vbProcedure="false">"c1019"</definedName>
    <definedName function="false" hidden="false" name="IQ_OTHER_REV_SUPPL_UTI" vbProcedure="false">"c1020"</definedName>
    <definedName function="false" hidden="false" name="IQ_OTHER_REV_UTI" vbProcedure="false">"c1021"</definedName>
    <definedName function="false" hidden="false" name="IQ_OTHER_RE_OWNED_FDIC" vbProcedure="false">"c6330"</definedName>
    <definedName function="false" hidden="false" name="IQ_OTHER_SAVINGS_DEPOSITS_FDIC" vbProcedure="false">"c6554"</definedName>
    <definedName function="false" hidden="false" name="IQ_OTHER_STRIKE_PRICE_GRANTED" vbProcedure="false">"c2692"</definedName>
    <definedName function="false" hidden="false" name="IQ_OTHER_TRANSACTIONS_FDIC" vbProcedure="false">"c6504"</definedName>
    <definedName function="false" hidden="false" name="IQ_OTHER_UNDRAWN" vbProcedure="false">"c2522"</definedName>
    <definedName function="false" hidden="false" name="IQ_OTHER_UNUSED_COMMITMENTS_FDIC" vbProcedure="false">"c6530"</definedName>
    <definedName function="false" hidden="false" name="IQ_OTHER_UNUSUAL" vbProcedure="false">"c1488"</definedName>
    <definedName function="false" hidden="false" name="IQ_OTHER_UNUSUAL_BNK" vbProcedure="false">"c1560"</definedName>
    <definedName function="false" hidden="false" name="IQ_OTHER_UNUSUAL_BR" vbProcedure="false">"c1561"</definedName>
    <definedName function="false" hidden="false" name="IQ_OTHER_UNUSUAL_FIN" vbProcedure="false">"c1562"</definedName>
    <definedName function="false" hidden="false" name="IQ_OTHER_UNUSUAL_INS" vbProcedure="false">"c1563"</definedName>
    <definedName function="false" hidden="false" name="IQ_OTHER_UNUSUAL_REIT" vbProcedure="false">"c1564"</definedName>
    <definedName function="false" hidden="false" name="IQ_OTHER_UNUSUAL_SUPPL" vbProcedure="false">"c1494"</definedName>
    <definedName function="false" hidden="false" name="IQ_OTHER_UNUSUAL_SUPPL_BNK" vbProcedure="false">"c1495"</definedName>
    <definedName function="false" hidden="false" name="IQ_OTHER_UNUSUAL_SUPPL_BR" vbProcedure="false">"c1496"</definedName>
    <definedName function="false" hidden="false" name="IQ_OTHER_UNUSUAL_SUPPL_FIN" vbProcedure="false">"c1497"</definedName>
    <definedName function="false" hidden="false" name="IQ_OTHER_UNUSUAL_SUPPL_INS" vbProcedure="false">"c1498"</definedName>
    <definedName function="false" hidden="false" name="IQ_OTHER_UNUSUAL_SUPPL_REIT" vbProcedure="false">"c1499"</definedName>
    <definedName function="false" hidden="false" name="IQ_OTHER_UNUSUAL_SUPPL_UTI" vbProcedure="false">"c1500"</definedName>
    <definedName function="false" hidden="false" name="IQ_OTHER_UNUSUAL_UTI" vbProcedure="false">"c1565"</definedName>
    <definedName function="false" hidden="false" name="IQ_OTHER_WARRANTS_BEG_OS" vbProcedure="false">"c2712"</definedName>
    <definedName function="false" hidden="false" name="IQ_OTHER_WARRANTS_CANCELLED" vbProcedure="false">"c2715"</definedName>
    <definedName function="false" hidden="false" name="IQ_OTHER_WARRANTS_END_OS" vbProcedure="false">"c2716"</definedName>
    <definedName function="false" hidden="false" name="IQ_OTHER_WARRANTS_EXERCISED" vbProcedure="false">"c2714"</definedName>
    <definedName function="false" hidden="false" name="IQ_OTHER_WARRANTS_ISSUED" vbProcedure="false">"c2713"</definedName>
    <definedName function="false" hidden="false" name="IQ_OTHER_WARRANTS_STRIKE_PRICE_ISSUED" vbProcedure="false">"c2718"</definedName>
    <definedName function="false" hidden="false" name="IQ_OTHER_WARRANTS_STRIKE_PRICE_OS" vbProcedure="false">"c2717"</definedName>
    <definedName function="false" hidden="false" name="IQ_OUTSTANDING_BS_DATE" vbProcedure="false">"c2128"</definedName>
    <definedName function="false" hidden="false" name="IQ_OUTSTANDING_FILING_DATE" vbProcedure="false">"c2127"</definedName>
    <definedName function="false" hidden="false" name="IQ_OUTSTANDING_FILING_DATE_TOTAL" vbProcedure="false">"c2107"</definedName>
    <definedName function="false" hidden="false" name="IQ_OVER_FIFETEEN_YEAR_MORTGAGE_PASS_THROUGHS_FDIC" vbProcedure="false">"c6416"</definedName>
    <definedName function="false" hidden="false" name="IQ_OVER_FIFTEEN_YEAR_FIXED_AND_FLOATING_RATE_FDIC" vbProcedure="false">"c6424"</definedName>
    <definedName function="false" hidden="false" name="IQ_OVER_THREE_YEARS_FDIC" vbProcedure="false">"c6418"</definedName>
    <definedName function="false" hidden="false" name="IQ_PARTICIPATION_POOLS_RESIDENTIAL_MORTGAGES_FDIC" vbProcedure="false">"c6403"</definedName>
    <definedName function="false" hidden="false" name="IQ_PART_TIME" vbProcedure="false">"c1024"</definedName>
    <definedName function="false" hidden="false" name="IQ_PAST_DUE_30_1_4_FAMILY_LOANS_FDIC" vbProcedure="false">"c6693"</definedName>
    <definedName function="false" hidden="false" name="IQ_PAST_DUE_30_AUTO_LOANS_FDIC" vbProcedure="false">"c6687"</definedName>
    <definedName function="false" hidden="false" name="IQ_PAST_DUE_30_CL_LOANS_FDIC" vbProcedure="false">"c6688"</definedName>
    <definedName function="false" hidden="false" name="IQ_PAST_DUE_30_CREDIT_CARDS_RECEIVABLES_FDIC" vbProcedure="false">"c6690"</definedName>
    <definedName function="false" hidden="false" name="IQ_PAST_DUE_30_HOME_EQUITY_LINES_FDIC" vbProcedure="false">"c6691"</definedName>
    <definedName function="false" hidden="false" name="IQ_PAST_DUE_30_OTHER_CONSUMER_LOANS_FDIC" vbProcedure="false">"c6689"</definedName>
    <definedName function="false" hidden="false" name="IQ_PAST_DUE_30_OTHER_LOANS_FDIC" vbProcedure="false">"c6692"</definedName>
    <definedName function="false" hidden="false" name="IQ_PAST_DUE_90_1_4_FAMILY_LOANS_FDIC" vbProcedure="false">"c6700"</definedName>
    <definedName function="false" hidden="false" name="IQ_PAST_DUE_90_AUTO_LOANS_FDIC" vbProcedure="false">"c6694"</definedName>
    <definedName function="false" hidden="false" name="IQ_PAST_DUE_90_CL_LOANS_FDIC" vbProcedure="false">"c6695"</definedName>
    <definedName function="false" hidden="false" name="IQ_PAST_DUE_90_CREDIT_CARDS_RECEIVABLES_FDIC" vbProcedure="false">"c6697"</definedName>
    <definedName function="false" hidden="false" name="IQ_PAST_DUE_90_HOME_EQUITY_LINES_FDIC" vbProcedure="false">"c6698"</definedName>
    <definedName function="false" hidden="false" name="IQ_PAST_DUE_90_OTHER_CONSUMER_LOANS_FDIC" vbProcedure="false">"c6696"</definedName>
    <definedName function="false" hidden="false" name="IQ_PAST_DUE_90_OTHER_LOANS_FDIC" vbProcedure="false">"c6699"</definedName>
    <definedName function="false" hidden="false" name="IQ_PAYOUT_RATIO" vbProcedure="false">"c1900"</definedName>
    <definedName function="false" hidden="false" name="IQ_PAY_ACCRUED" vbProcedure="false">"c1457"</definedName>
    <definedName function="false" hidden="false" name="IQ_PBV" vbProcedure="false">"c1025"</definedName>
    <definedName function="false" hidden="false" name="IQ_PBV_AVG" vbProcedure="false">"c1026"</definedName>
    <definedName function="false" hidden="false" name="IQ_PC_EARNED" vbProcedure="false">"c2749"</definedName>
    <definedName function="false" hidden="false" name="IQ_PC_GAAP_COMBINED_RATIO" vbProcedure="false">"c2781"</definedName>
    <definedName function="false" hidden="false" name="IQ_PC_GAAP_COMBINED_RATIO_EXCL_CL" vbProcedure="false">"c2782"</definedName>
    <definedName function="false" hidden="false" name="IQ_PC_GAAP_EXPENSE_RATIO" vbProcedure="false">"c2780"</definedName>
    <definedName function="false" hidden="false" name="IQ_PC_GAAP_LOSS" vbProcedure="false">"c2779"</definedName>
    <definedName function="false" hidden="false" name="IQ_PC_POLICY_BENEFITS_EXP" vbProcedure="false">"c2790"</definedName>
    <definedName function="false" hidden="false" name="IQ_PC_STATUTORY_SURPLUS" vbProcedure="false">"c2770"</definedName>
    <definedName function="false" hidden="false" name="IQ_PC_STAT_COMBINED_RATIO" vbProcedure="false">"c2778"</definedName>
    <definedName function="false" hidden="false" name="IQ_PC_STAT_COMBINED_RATIO_EXCL_DIV" vbProcedure="false">"c2777"</definedName>
    <definedName function="false" hidden="false" name="IQ_PC_STAT_DIVIDEND_RATIO" vbProcedure="false">"c2776"</definedName>
    <definedName function="false" hidden="false" name="IQ_PC_STAT_EXPENSE_RATIO" vbProcedure="false">"c2775"</definedName>
    <definedName function="false" hidden="false" name="IQ_PC_STAT_LOSS_RATIO" vbProcedure="false">"c2774"</definedName>
    <definedName function="false" hidden="false" name="IQ_PC_WRITTEN" vbProcedure="false">"c1027"</definedName>
    <definedName function="false" hidden="false" name="IQ_PEG_FWD" vbProcedure="false">"c1863"</definedName>
    <definedName function="false" hidden="false" name="IQ_PEG_FWD_REUT" vbProcedure="false">"c4052"</definedName>
    <definedName function="false" hidden="false" name="IQ_PENSION" vbProcedure="false">"c1031"</definedName>
    <definedName function="false" hidden="false" name="IQ_PERCENT_CHANGE_EST_5YR_GROWTH_RATE_12MONTHS" vbProcedure="false">"c1852"</definedName>
    <definedName function="false" hidden="false" name="IQ_PERCENT_CHANGE_EST_5YR_GROWTH_RATE_12MONTHS_REUT" vbProcedure="false">"c3959"</definedName>
    <definedName function="false" hidden="false" name="IQ_PERCENT_CHANGE_EST_5YR_GROWTH_RATE_18MONTHS" vbProcedure="false">"c1853"</definedName>
    <definedName function="false" hidden="false" name="IQ_PERCENT_CHANGE_EST_5YR_GROWTH_RATE_18MONTHS_REUT" vbProcedure="false">"c3960"</definedName>
    <definedName function="false" hidden="false" name="IQ_PERCENT_CHANGE_EST_5YR_GROWTH_RATE_3MONTHS" vbProcedure="false">"c1849"</definedName>
    <definedName function="false" hidden="false" name="IQ_PERCENT_CHANGE_EST_5YR_GROWTH_RATE_3MONTHS_REUT" vbProcedure="false">"c3956"</definedName>
    <definedName function="false" hidden="false" name="IQ_PERCENT_CHANGE_EST_5YR_GROWTH_RATE_6MONTHS" vbProcedure="false">"c1850"</definedName>
    <definedName function="false" hidden="false" name="IQ_PERCENT_CHANGE_EST_5YR_GROWTH_RATE_6MONTHS_REUT" vbProcedure="false">"c3957"</definedName>
    <definedName function="false" hidden="false" name="IQ_PERCENT_CHANGE_EST_5YR_GROWTH_RATE_9MONTHS" vbProcedure="false">"c1851"</definedName>
    <definedName function="false" hidden="false" name="IQ_PERCENT_CHANGE_EST_5YR_GROWTH_RATE_9MONTHS_REUT" vbProcedure="false">"c3958"</definedName>
    <definedName function="false" hidden="false" name="IQ_PERCENT_CHANGE_EST_5YR_GROWTH_RATE_DAY" vbProcedure="false">"c1846"</definedName>
    <definedName function="false" hidden="false" name="IQ_PERCENT_CHANGE_EST_5YR_GROWTH_RATE_DAY_REUT" vbProcedure="false">"c3954"</definedName>
    <definedName function="false" hidden="false" name="IQ_PERCENT_CHANGE_EST_5YR_GROWTH_RATE_MONTH" vbProcedure="false">"c1848"</definedName>
    <definedName function="false" hidden="false" name="IQ_PERCENT_CHANGE_EST_5YR_GROWTH_RATE_MONTH_REUT" vbProcedure="false">"c3955"</definedName>
    <definedName function="false" hidden="false" name="IQ_PERCENT_CHANGE_EST_5YR_GROWTH_RATE_WEEK" vbProcedure="false">"c1847"</definedName>
    <definedName function="false" hidden="false" name="IQ_PERCENT_CHANGE_EST_5YR_GROWTH_RATE_WEEK_REUT" vbProcedure="false">"c5435"</definedName>
    <definedName function="false" hidden="false" name="IQ_PERCENT_CHANGE_EST_CFPS_12MONTHS" vbProcedure="false">"c1812"</definedName>
    <definedName function="false" hidden="false" name="IQ_PERCENT_CHANGE_EST_CFPS_12MONTHS_REUT" vbProcedure="false">"c3924"</definedName>
    <definedName function="false" hidden="false" name="IQ_PERCENT_CHANGE_EST_CFPS_18MONTHS" vbProcedure="false">"c1813"</definedName>
    <definedName function="false" hidden="false" name="IQ_PERCENT_CHANGE_EST_CFPS_18MONTHS_REUT" vbProcedure="false">"c3925"</definedName>
    <definedName function="false" hidden="false" name="IQ_PERCENT_CHANGE_EST_CFPS_3MONTHS" vbProcedure="false">"c1809"</definedName>
    <definedName function="false" hidden="false" name="IQ_PERCENT_CHANGE_EST_CFPS_3MONTHS_REUT" vbProcedure="false">"c3921"</definedName>
    <definedName function="false" hidden="false" name="IQ_PERCENT_CHANGE_EST_CFPS_6MONTHS" vbProcedure="false">"c1810"</definedName>
    <definedName function="false" hidden="false" name="IQ_PERCENT_CHANGE_EST_CFPS_6MONTHS_REUT" vbProcedure="false">"c3922"</definedName>
    <definedName function="false" hidden="false" name="IQ_PERCENT_CHANGE_EST_CFPS_9MONTHS" vbProcedure="false">"c1811"</definedName>
    <definedName function="false" hidden="false" name="IQ_PERCENT_CHANGE_EST_CFPS_9MONTHS_REUT" vbProcedure="false">"c3923"</definedName>
    <definedName function="false" hidden="false" name="IQ_PERCENT_CHANGE_EST_CFPS_DAY" vbProcedure="false">"c1806"</definedName>
    <definedName function="false" hidden="false" name="IQ_PERCENT_CHANGE_EST_CFPS_DAY_REUT" vbProcedure="false">"c3919"</definedName>
    <definedName function="false" hidden="false" name="IQ_PERCENT_CHANGE_EST_CFPS_MONTH" vbProcedure="false">"c1808"</definedName>
    <definedName function="false" hidden="false" name="IQ_PERCENT_CHANGE_EST_CFPS_MONTH_REUT" vbProcedure="false">"c3920"</definedName>
    <definedName function="false" hidden="false" name="IQ_PERCENT_CHANGE_EST_CFPS_WEEK" vbProcedure="false">"c1807"</definedName>
    <definedName function="false" hidden="false" name="IQ_PERCENT_CHANGE_EST_CFPS_WEEK_REUT" vbProcedure="false">"c3962"</definedName>
    <definedName function="false" hidden="false" name="IQ_PERCENT_CHANGE_EST_DPS_12MONTHS" vbProcedure="false">"c1820"</definedName>
    <definedName function="false" hidden="false" name="IQ_PERCENT_CHANGE_EST_DPS_12MONTHS_REUT" vbProcedure="false">"c3931"</definedName>
    <definedName function="false" hidden="false" name="IQ_PERCENT_CHANGE_EST_DPS_18MONTHS" vbProcedure="false">"c1821"</definedName>
    <definedName function="false" hidden="false" name="IQ_PERCENT_CHANGE_EST_DPS_18MONTHS_REUT" vbProcedure="false">"c3932"</definedName>
    <definedName function="false" hidden="false" name="IQ_PERCENT_CHANGE_EST_DPS_3MONTHS" vbProcedure="false">"c1817"</definedName>
    <definedName function="false" hidden="false" name="IQ_PERCENT_CHANGE_EST_DPS_3MONTHS_REUT" vbProcedure="false">"c3928"</definedName>
    <definedName function="false" hidden="false" name="IQ_PERCENT_CHANGE_EST_DPS_6MONTHS" vbProcedure="false">"c1818"</definedName>
    <definedName function="false" hidden="false" name="IQ_PERCENT_CHANGE_EST_DPS_6MONTHS_REUT" vbProcedure="false">"c3929"</definedName>
    <definedName function="false" hidden="false" name="IQ_PERCENT_CHANGE_EST_DPS_9MONTHS" vbProcedure="false">"c1819"</definedName>
    <definedName function="false" hidden="false" name="IQ_PERCENT_CHANGE_EST_DPS_9MONTHS_REUT" vbProcedure="false">"c3930"</definedName>
    <definedName function="false" hidden="false" name="IQ_PERCENT_CHANGE_EST_DPS_DAY" vbProcedure="false">"c1814"</definedName>
    <definedName function="false" hidden="false" name="IQ_PERCENT_CHANGE_EST_DPS_DAY_REUT" vbProcedure="false">"c3926"</definedName>
    <definedName function="false" hidden="false" name="IQ_PERCENT_CHANGE_EST_DPS_MONTH" vbProcedure="false">"c1816"</definedName>
    <definedName function="false" hidden="false" name="IQ_PERCENT_CHANGE_EST_DPS_MONTH_REUT" vbProcedure="false">"c3927"</definedName>
    <definedName function="false" hidden="false" name="IQ_PERCENT_CHANGE_EST_DPS_WEEK" vbProcedure="false">"c1815"</definedName>
    <definedName function="false" hidden="false" name="IQ_PERCENT_CHANGE_EST_DPS_WEEK_REUT" vbProcedure="false">"c3963"</definedName>
    <definedName function="false" hidden="false" name="IQ_PERCENT_CHANGE_EST_EBITDA_12MONTHS" vbProcedure="false">"c1804"</definedName>
    <definedName function="false" hidden="false" name="IQ_PERCENT_CHANGE_EST_EBITDA_12MONTHS_REUT" vbProcedure="false">"c3917"</definedName>
    <definedName function="false" hidden="false" name="IQ_PERCENT_CHANGE_EST_EBITDA_18MONTHS" vbProcedure="false">"c1805"</definedName>
    <definedName function="false" hidden="false" name="IQ_PERCENT_CHANGE_EST_EBITDA_18MONTHS_REUT" vbProcedure="false">"c3918"</definedName>
    <definedName function="false" hidden="false" name="IQ_PERCENT_CHANGE_EST_EBITDA_3MONTHS" vbProcedure="false">"c1801"</definedName>
    <definedName function="false" hidden="false" name="IQ_PERCENT_CHANGE_EST_EBITDA_3MONTHS_REUT" vbProcedure="false">"c3914"</definedName>
    <definedName function="false" hidden="false" name="IQ_PERCENT_CHANGE_EST_EBITDA_6MONTHS" vbProcedure="false">"c1802"</definedName>
    <definedName function="false" hidden="false" name="IQ_PERCENT_CHANGE_EST_EBITDA_6MONTHS_REUT" vbProcedure="false">"c3915"</definedName>
    <definedName function="false" hidden="false" name="IQ_PERCENT_CHANGE_EST_EBITDA_9MONTHS" vbProcedure="false">"c1803"</definedName>
    <definedName function="false" hidden="false" name="IQ_PERCENT_CHANGE_EST_EBITDA_9MONTHS_REUT" vbProcedure="false">"c3916"</definedName>
    <definedName function="false" hidden="false" name="IQ_PERCENT_CHANGE_EST_EBITDA_DAY" vbProcedure="false">"c1798"</definedName>
    <definedName function="false" hidden="false" name="IQ_PERCENT_CHANGE_EST_EBITDA_DAY_REUT" vbProcedure="false">"c3912"</definedName>
    <definedName function="false" hidden="false" name="IQ_PERCENT_CHANGE_EST_EBITDA_MONTH" vbProcedure="false">"c1800"</definedName>
    <definedName function="false" hidden="false" name="IQ_PERCENT_CHANGE_EST_EBITDA_MONTH_REUT" vbProcedure="false">"c3913"</definedName>
    <definedName function="false" hidden="false" name="IQ_PERCENT_CHANGE_EST_EBITDA_WEEK" vbProcedure="false">"c1799"</definedName>
    <definedName function="false" hidden="false" name="IQ_PERCENT_CHANGE_EST_EBITDA_WEEK_REUT" vbProcedure="false">"c3961"</definedName>
    <definedName function="false" hidden="false" name="IQ_PERCENT_CHANGE_EST_EPS_12MONTHS" vbProcedure="false">"c1788"</definedName>
    <definedName function="false" hidden="false" name="IQ_PERCENT_CHANGE_EST_EPS_12MONTHS_REUT" vbProcedure="false">"c3902"</definedName>
    <definedName function="false" hidden="false" name="IQ_PERCENT_CHANGE_EST_EPS_18MONTHS" vbProcedure="false">"c1789"</definedName>
    <definedName function="false" hidden="false" name="IQ_PERCENT_CHANGE_EST_EPS_18MONTHS_REUT" vbProcedure="false">"c3903"</definedName>
    <definedName function="false" hidden="false" name="IQ_PERCENT_CHANGE_EST_EPS_3MONTHS" vbProcedure="false">"c1785"</definedName>
    <definedName function="false" hidden="false" name="IQ_PERCENT_CHANGE_EST_EPS_3MONTHS_REUT" vbProcedure="false">"c3899"</definedName>
    <definedName function="false" hidden="false" name="IQ_PERCENT_CHANGE_EST_EPS_6MONTHS" vbProcedure="false">"c1786"</definedName>
    <definedName function="false" hidden="false" name="IQ_PERCENT_CHANGE_EST_EPS_6MONTHS_REUT" vbProcedure="false">"c3900"</definedName>
    <definedName function="false" hidden="false" name="IQ_PERCENT_CHANGE_EST_EPS_9MONTHS" vbProcedure="false">"c1787"</definedName>
    <definedName function="false" hidden="false" name="IQ_PERCENT_CHANGE_EST_EPS_9MONTHS_REUT" vbProcedure="false">"c3901"</definedName>
    <definedName function="false" hidden="false" name="IQ_PERCENT_CHANGE_EST_EPS_DAY" vbProcedure="false">"c1782"</definedName>
    <definedName function="false" hidden="false" name="IQ_PERCENT_CHANGE_EST_EPS_DAY_REUT" vbProcedure="false">"c3896"</definedName>
    <definedName function="false" hidden="false" name="IQ_PERCENT_CHANGE_EST_EPS_MONTH" vbProcedure="false">"c1784"</definedName>
    <definedName function="false" hidden="false" name="IQ_PERCENT_CHANGE_EST_EPS_MONTH_REUT" vbProcedure="false">"c3898"</definedName>
    <definedName function="false" hidden="false" name="IQ_PERCENT_CHANGE_EST_EPS_WEEK" vbProcedure="false">"c1783"</definedName>
    <definedName function="false" hidden="false" name="IQ_PERCENT_CHANGE_EST_EPS_WEEK_REUT" vbProcedure="false">"c3897"</definedName>
    <definedName function="false" hidden="false" name="IQ_PERCENT_CHANGE_EST_FFO_12MONTHS" vbProcedure="false">"c1828"</definedName>
    <definedName function="false" hidden="false" name="IQ_PERCENT_CHANGE_EST_FFO_12MONTHS_CIQ" vbProcedure="false">"c3769"</definedName>
    <definedName function="false" hidden="false" name="IQ_PERCENT_CHANGE_EST_FFO_12MONTHS_REUT" vbProcedure="false">"c3938"</definedName>
    <definedName function="false" hidden="false" name="IQ_PERCENT_CHANGE_EST_FFO_12MONTHS_THOM" vbProcedure="false">"c5248"</definedName>
    <definedName function="false" hidden="false" name="IQ_PERCENT_CHANGE_EST_FFO_18MONTHS" vbProcedure="false">"c1829"</definedName>
    <definedName function="false" hidden="false" name="IQ_PERCENT_CHANGE_EST_FFO_18MONTHS_CIQ" vbProcedure="false">"c3770"</definedName>
    <definedName function="false" hidden="false" name="IQ_PERCENT_CHANGE_EST_FFO_18MONTHS_REUT" vbProcedure="false">"c3939"</definedName>
    <definedName function="false" hidden="false" name="IQ_PERCENT_CHANGE_EST_FFO_18MONTHS_THOM" vbProcedure="false">"c5249"</definedName>
    <definedName function="false" hidden="false" name="IQ_PERCENT_CHANGE_EST_FFO_3MONTHS" vbProcedure="false">"c1825"</definedName>
    <definedName function="false" hidden="false" name="IQ_PERCENT_CHANGE_EST_FFO_3MONTHS_CIQ" vbProcedure="false">"c3766"</definedName>
    <definedName function="false" hidden="false" name="IQ_PERCENT_CHANGE_EST_FFO_3MONTHS_REUT" vbProcedure="false">"c3935"</definedName>
    <definedName function="false" hidden="false" name="IQ_PERCENT_CHANGE_EST_FFO_3MONTHS_THOM" vbProcedure="false">"c5245"</definedName>
    <definedName function="false" hidden="false" name="IQ_PERCENT_CHANGE_EST_FFO_6MONTHS" vbProcedure="false">"c1826"</definedName>
    <definedName function="false" hidden="false" name="IQ_PERCENT_CHANGE_EST_FFO_6MONTHS_CIQ" vbProcedure="false">"c3767"</definedName>
    <definedName function="false" hidden="false" name="IQ_PERCENT_CHANGE_EST_FFO_6MONTHS_REUT" vbProcedure="false">"c3936"</definedName>
    <definedName function="false" hidden="false" name="IQ_PERCENT_CHANGE_EST_FFO_6MONTHS_THOM" vbProcedure="false">"c5246"</definedName>
    <definedName function="false" hidden="false" name="IQ_PERCENT_CHANGE_EST_FFO_9MONTHS" vbProcedure="false">"c1827"</definedName>
    <definedName function="false" hidden="false" name="IQ_PERCENT_CHANGE_EST_FFO_9MONTHS_CIQ" vbProcedure="false">"c3768"</definedName>
    <definedName function="false" hidden="false" name="IQ_PERCENT_CHANGE_EST_FFO_9MONTHS_REUT" vbProcedure="false">"c3937"</definedName>
    <definedName function="false" hidden="false" name="IQ_PERCENT_CHANGE_EST_FFO_9MONTHS_THOM" vbProcedure="false">"c5247"</definedName>
    <definedName function="false" hidden="false" name="IQ_PERCENT_CHANGE_EST_FFO_DAY" vbProcedure="false">"c1822"</definedName>
    <definedName function="false" hidden="false" name="IQ_PERCENT_CHANGE_EST_FFO_DAY_CIQ" vbProcedure="false">"c3764"</definedName>
    <definedName function="false" hidden="false" name="IQ_PERCENT_CHANGE_EST_FFO_DAY_REUT" vbProcedure="false">"c3933"</definedName>
    <definedName function="false" hidden="false" name="IQ_PERCENT_CHANGE_EST_FFO_DAY_THOM" vbProcedure="false">"c5243"</definedName>
    <definedName function="false" hidden="false" name="IQ_PERCENT_CHANGE_EST_FFO_MONTH" vbProcedure="false">"c1824"</definedName>
    <definedName function="false" hidden="false" name="IQ_PERCENT_CHANGE_EST_FFO_MONTH_CIQ" vbProcedure="false">"c3765"</definedName>
    <definedName function="false" hidden="false" name="IQ_PERCENT_CHANGE_EST_FFO_MONTH_REUT" vbProcedure="false">"c3934"</definedName>
    <definedName function="false" hidden="false" name="IQ_PERCENT_CHANGE_EST_FFO_MONTH_THOM" vbProcedure="false">"c5244"</definedName>
    <definedName function="false" hidden="false" name="IQ_PERCENT_CHANGE_EST_FFO_SHARE_SHARE_12MONTHS" vbProcedure="false">"c1828"</definedName>
    <definedName function="false" hidden="false" name="IQ_PERCENT_CHANGE_EST_FFO_SHARE_SHARE_12MONTHS_CIQ" vbProcedure="false">"c3769"</definedName>
    <definedName function="false" hidden="false" name="IQ_PERCENT_CHANGE_EST_FFO_SHARE_SHARE_12MONTHS_REUT" vbProcedure="false">"c3938"</definedName>
    <definedName function="false" hidden="false" name="IQ_PERCENT_CHANGE_EST_FFO_SHARE_SHARE_12MONTHS_THOM" vbProcedure="false">"c5248"</definedName>
    <definedName function="false" hidden="false" name="IQ_PERCENT_CHANGE_EST_FFO_SHARE_SHARE_18MONTHS" vbProcedure="false">"c1829"</definedName>
    <definedName function="false" hidden="false" name="IQ_PERCENT_CHANGE_EST_FFO_SHARE_SHARE_18MONTHS_CIQ" vbProcedure="false">"c3770"</definedName>
    <definedName function="false" hidden="false" name="IQ_PERCENT_CHANGE_EST_FFO_SHARE_SHARE_18MONTHS_REUT" vbProcedure="false">"c3939"</definedName>
    <definedName function="false" hidden="false" name="IQ_PERCENT_CHANGE_EST_FFO_SHARE_SHARE_18MONTHS_THOM" vbProcedure="false">"c5249"</definedName>
    <definedName function="false" hidden="false" name="IQ_PERCENT_CHANGE_EST_FFO_SHARE_SHARE_3MONTHS" vbProcedure="false">"c1825"</definedName>
    <definedName function="false" hidden="false" name="IQ_PERCENT_CHANGE_EST_FFO_SHARE_SHARE_3MONTHS_CIQ" vbProcedure="false">"c3766"</definedName>
    <definedName function="false" hidden="false" name="IQ_PERCENT_CHANGE_EST_FFO_SHARE_SHARE_3MONTHS_REUT" vbProcedure="false">"c3935"</definedName>
    <definedName function="false" hidden="false" name="IQ_PERCENT_CHANGE_EST_FFO_SHARE_SHARE_3MONTHS_THOM" vbProcedure="false">"c5245"</definedName>
    <definedName function="false" hidden="false" name="IQ_PERCENT_CHANGE_EST_FFO_SHARE_SHARE_6MONTHS" vbProcedure="false">"c1826"</definedName>
    <definedName function="false" hidden="false" name="IQ_PERCENT_CHANGE_EST_FFO_SHARE_SHARE_6MONTHS_CIQ" vbProcedure="false">"c3767"</definedName>
    <definedName function="false" hidden="false" name="IQ_PERCENT_CHANGE_EST_FFO_SHARE_SHARE_6MONTHS_REUT" vbProcedure="false">"c3936"</definedName>
    <definedName function="false" hidden="false" name="IQ_PERCENT_CHANGE_EST_FFO_SHARE_SHARE_6MONTHS_THOM" vbProcedure="false">"c5246"</definedName>
    <definedName function="false" hidden="false" name="IQ_PERCENT_CHANGE_EST_FFO_SHARE_SHARE_9MONTHS" vbProcedure="false">"c1827"</definedName>
    <definedName function="false" hidden="false" name="IQ_PERCENT_CHANGE_EST_FFO_SHARE_SHARE_9MONTHS_CIQ" vbProcedure="false">"c3768"</definedName>
    <definedName function="false" hidden="false" name="IQ_PERCENT_CHANGE_EST_FFO_SHARE_SHARE_9MONTHS_REUT" vbProcedure="false">"c3937"</definedName>
    <definedName function="false" hidden="false" name="IQ_PERCENT_CHANGE_EST_FFO_SHARE_SHARE_9MONTHS_THOM" vbProcedure="false">"c5247"</definedName>
    <definedName function="false" hidden="false" name="IQ_PERCENT_CHANGE_EST_FFO_SHARE_SHARE_DAY" vbProcedure="false">"c1822"</definedName>
    <definedName function="false" hidden="false" name="IQ_PERCENT_CHANGE_EST_FFO_SHARE_SHARE_DAY_CIQ" vbProcedure="false">"c3764"</definedName>
    <definedName function="false" hidden="false" name="IQ_PERCENT_CHANGE_EST_FFO_SHARE_SHARE_DAY_REUT" vbProcedure="false">"c3933"</definedName>
    <definedName function="false" hidden="false" name="IQ_PERCENT_CHANGE_EST_FFO_SHARE_SHARE_DAY_THOM" vbProcedure="false">"c5243"</definedName>
    <definedName function="false" hidden="false" name="IQ_PERCENT_CHANGE_EST_FFO_SHARE_SHARE_MONTH" vbProcedure="false">"c1824"</definedName>
    <definedName function="false" hidden="false" name="IQ_PERCENT_CHANGE_EST_FFO_SHARE_SHARE_MONTH_CIQ" vbProcedure="false">"c3765"</definedName>
    <definedName function="false" hidden="false" name="IQ_PERCENT_CHANGE_EST_FFO_SHARE_SHARE_MONTH_REUT" vbProcedure="false">"c3934"</definedName>
    <definedName function="false" hidden="false" name="IQ_PERCENT_CHANGE_EST_FFO_SHARE_SHARE_MONTH_THOM" vbProcedure="false">"c5244"</definedName>
    <definedName function="false" hidden="false" name="IQ_PERCENT_CHANGE_EST_FFO_SHARE_SHARE_WEEK" vbProcedure="false">"c1823"</definedName>
    <definedName function="false" hidden="false" name="IQ_PERCENT_CHANGE_EST_FFO_SHARE_SHARE_WEEK_CIQ" vbProcedure="false">"c3795"</definedName>
    <definedName function="false" hidden="false" name="IQ_PERCENT_CHANGE_EST_FFO_SHARE_SHARE_WEEK_REUT" vbProcedure="false">"c3964"</definedName>
    <definedName function="false" hidden="false" name="IQ_PERCENT_CHANGE_EST_FFO_SHARE_SHARE_WEEK_THOM" vbProcedure="false">"c5274"</definedName>
    <definedName function="false" hidden="false" name="IQ_PERCENT_CHANGE_EST_FFO_WEEK" vbProcedure="false">"c1823"</definedName>
    <definedName function="false" hidden="false" name="IQ_PERCENT_CHANGE_EST_FFO_WEEK_CIQ" vbProcedure="false">"c3795"</definedName>
    <definedName function="false" hidden="false" name="IQ_PERCENT_CHANGE_EST_FFO_WEEK_REUT" vbProcedure="false">"c3964"</definedName>
    <definedName function="false" hidden="false" name="IQ_PERCENT_CHANGE_EST_FFO_WEEK_THOM" vbProcedure="false">"c5274"</definedName>
    <definedName function="false" hidden="false" name="IQ_PERCENT_CHANGE_EST_PRICE_TARGET_12MONTHS" vbProcedure="false">"c1844"</definedName>
    <definedName function="false" hidden="false" name="IQ_PERCENT_CHANGE_EST_PRICE_TARGET_12MONTHS_REUT" vbProcedure="false">"c3952"</definedName>
    <definedName function="false" hidden="false" name="IQ_PERCENT_CHANGE_EST_PRICE_TARGET_18MONTHS" vbProcedure="false">"c1845"</definedName>
    <definedName function="false" hidden="false" name="IQ_PERCENT_CHANGE_EST_PRICE_TARGET_18MONTHS_REUT" vbProcedure="false">"c3953"</definedName>
    <definedName function="false" hidden="false" name="IQ_PERCENT_CHANGE_EST_PRICE_TARGET_3MONTHS" vbProcedure="false">"c1841"</definedName>
    <definedName function="false" hidden="false" name="IQ_PERCENT_CHANGE_EST_PRICE_TARGET_3MONTHS_REUT" vbProcedure="false">"c3949"</definedName>
    <definedName function="false" hidden="false" name="IQ_PERCENT_CHANGE_EST_PRICE_TARGET_6MONTHS" vbProcedure="false">"c1842"</definedName>
    <definedName function="false" hidden="false" name="IQ_PERCENT_CHANGE_EST_PRICE_TARGET_6MONTHS_REUT" vbProcedure="false">"c3950"</definedName>
    <definedName function="false" hidden="false" name="IQ_PERCENT_CHANGE_EST_PRICE_TARGET_9MONTHS" vbProcedure="false">"c1843"</definedName>
    <definedName function="false" hidden="false" name="IQ_PERCENT_CHANGE_EST_PRICE_TARGET_9MONTHS_REUT" vbProcedure="false">"c3951"</definedName>
    <definedName function="false" hidden="false" name="IQ_PERCENT_CHANGE_EST_PRICE_TARGET_DAY" vbProcedure="false">"c1838"</definedName>
    <definedName function="false" hidden="false" name="IQ_PERCENT_CHANGE_EST_PRICE_TARGET_DAY_REUT" vbProcedure="false">"c3947"</definedName>
    <definedName function="false" hidden="false" name="IQ_PERCENT_CHANGE_EST_PRICE_TARGET_MONTH" vbProcedure="false">"c1840"</definedName>
    <definedName function="false" hidden="false" name="IQ_PERCENT_CHANGE_EST_PRICE_TARGET_MONTH_REUT" vbProcedure="false">"c3948"</definedName>
    <definedName function="false" hidden="false" name="IQ_PERCENT_CHANGE_EST_PRICE_TARGET_WEEK" vbProcedure="false">"c1839"</definedName>
    <definedName function="false" hidden="false" name="IQ_PERCENT_CHANGE_EST_PRICE_TARGET_WEEK_REUT" vbProcedure="false">"c3967"</definedName>
    <definedName function="false" hidden="false" name="IQ_PERCENT_CHANGE_EST_RECO_12MONTHS" vbProcedure="false">"c1836"</definedName>
    <definedName function="false" hidden="false" name="IQ_PERCENT_CHANGE_EST_RECO_12MONTHS_REUT" vbProcedure="false">"c3945"</definedName>
    <definedName function="false" hidden="false" name="IQ_PERCENT_CHANGE_EST_RECO_18MONTHS" vbProcedure="false">"c1837"</definedName>
    <definedName function="false" hidden="false" name="IQ_PERCENT_CHANGE_EST_RECO_18MONTHS_REUT" vbProcedure="false">"c3946"</definedName>
    <definedName function="false" hidden="false" name="IQ_PERCENT_CHANGE_EST_RECO_3MONTHS" vbProcedure="false">"c1833"</definedName>
    <definedName function="false" hidden="false" name="IQ_PERCENT_CHANGE_EST_RECO_3MONTHS_REUT" vbProcedure="false">"c3942"</definedName>
    <definedName function="false" hidden="false" name="IQ_PERCENT_CHANGE_EST_RECO_6MONTHS" vbProcedure="false">"c1834"</definedName>
    <definedName function="false" hidden="false" name="IQ_PERCENT_CHANGE_EST_RECO_6MONTHS_REUT" vbProcedure="false">"c3943"</definedName>
    <definedName function="false" hidden="false" name="IQ_PERCENT_CHANGE_EST_RECO_9MONTHS" vbProcedure="false">"c1835"</definedName>
    <definedName function="false" hidden="false" name="IQ_PERCENT_CHANGE_EST_RECO_9MONTHS_REUT" vbProcedure="false">"c3944"</definedName>
    <definedName function="false" hidden="false" name="IQ_PERCENT_CHANGE_EST_RECO_DAY" vbProcedure="false">"c1830"</definedName>
    <definedName function="false" hidden="false" name="IQ_PERCENT_CHANGE_EST_RECO_DAY_REUT" vbProcedure="false">"c3940"</definedName>
    <definedName function="false" hidden="false" name="IQ_PERCENT_CHANGE_EST_RECO_MONTH" vbProcedure="false">"c1832"</definedName>
    <definedName function="false" hidden="false" name="IQ_PERCENT_CHANGE_EST_RECO_MONTH_REUT" vbProcedure="false">"c3941"</definedName>
    <definedName function="false" hidden="false" name="IQ_PERCENT_CHANGE_EST_RECO_WEEK" vbProcedure="false">"c1831"</definedName>
    <definedName function="false" hidden="false" name="IQ_PERCENT_CHANGE_EST_RECO_WEEK_REUT" vbProcedure="false">"c3966"</definedName>
    <definedName function="false" hidden="false" name="IQ_PERCENT_CHANGE_EST_REV_12MONTHS" vbProcedure="false">"c1796"</definedName>
    <definedName function="false" hidden="false" name="IQ_PERCENT_CHANGE_EST_REV_12MONTHS_REUT" vbProcedure="false">"c3910"</definedName>
    <definedName function="false" hidden="false" name="IQ_PERCENT_CHANGE_EST_REV_18MONTHS" vbProcedure="false">"c1797"</definedName>
    <definedName function="false" hidden="false" name="IQ_PERCENT_CHANGE_EST_REV_18MONTHS_REUT" vbProcedure="false">"c3911"</definedName>
    <definedName function="false" hidden="false" name="IQ_PERCENT_CHANGE_EST_REV_3MONTHS" vbProcedure="false">"c1793"</definedName>
    <definedName function="false" hidden="false" name="IQ_PERCENT_CHANGE_EST_REV_3MONTHS_REUT" vbProcedure="false">"c3907"</definedName>
    <definedName function="false" hidden="false" name="IQ_PERCENT_CHANGE_EST_REV_6MONTHS" vbProcedure="false">"c1794"</definedName>
    <definedName function="false" hidden="false" name="IQ_PERCENT_CHANGE_EST_REV_6MONTHS_REUT" vbProcedure="false">"c3908"</definedName>
    <definedName function="false" hidden="false" name="IQ_PERCENT_CHANGE_EST_REV_9MONTHS" vbProcedure="false">"c1795"</definedName>
    <definedName function="false" hidden="false" name="IQ_PERCENT_CHANGE_EST_REV_9MONTHS_REUT" vbProcedure="false">"c3909"</definedName>
    <definedName function="false" hidden="false" name="IQ_PERCENT_CHANGE_EST_REV_DAY" vbProcedure="false">"c1790"</definedName>
    <definedName function="false" hidden="false" name="IQ_PERCENT_CHANGE_EST_REV_DAY_REUT" vbProcedure="false">"c3904"</definedName>
    <definedName function="false" hidden="false" name="IQ_PERCENT_CHANGE_EST_REV_MONTH" vbProcedure="false">"c1792"</definedName>
    <definedName function="false" hidden="false" name="IQ_PERCENT_CHANGE_EST_REV_MONTH_REUT" vbProcedure="false">"c3906"</definedName>
    <definedName function="false" hidden="false" name="IQ_PERCENT_CHANGE_EST_REV_WEEK" vbProcedure="false">"c1791"</definedName>
    <definedName function="false" hidden="false" name="IQ_PERCENT_CHANGE_EST_REV_WEEK_REUT" vbProcedure="false">"c3905"</definedName>
    <definedName function="false" hidden="false" name="IQ_PERCENT_INSURED_FDIC" vbProcedure="false">"c6374"</definedName>
    <definedName function="false" hidden="false" name="IQ_PERIODDATE" vbProcedure="false">"c1414"</definedName>
    <definedName function="false" hidden="false" name="IQ_PERIODDATE_BS" vbProcedure="false">"c1032"</definedName>
    <definedName function="false" hidden="false" name="IQ_PERIODDATE_CF" vbProcedure="false">"c1033"</definedName>
    <definedName function="false" hidden="false" name="IQ_PERIODDATE_FDIC" vbProcedure="false">"c13646"</definedName>
    <definedName function="false" hidden="false" name="IQ_PERIODDATE_IS" vbProcedure="false">"c1034"</definedName>
    <definedName function="false" hidden="false" name="IQ_PERIODLENGTH_CF" vbProcedure="false">"c1502"</definedName>
    <definedName function="false" hidden="false" name="IQ_PERIODLENGTH_IS" vbProcedure="false">"c1503"</definedName>
    <definedName function="false" hidden="false" name="IQ_PERTYPE" vbProcedure="false">"c1611"</definedName>
    <definedName function="false" hidden="false" name="IQ_PE_EXCL" vbProcedure="false">"c1028"</definedName>
    <definedName function="false" hidden="false" name="IQ_PE_EXCL_AVG" vbProcedure="false">"c1029"</definedName>
    <definedName function="false" hidden="false" name="IQ_PE_EXCL_FWD" vbProcedure="false">"c1030"</definedName>
    <definedName function="false" hidden="false" name="IQ_PE_EXCL_FWD_REUT" vbProcedure="false">"c4049"</definedName>
    <definedName function="false" hidden="false" name="IQ_PE_NORMALIZED" vbProcedure="false">"c2207"</definedName>
    <definedName function="false" hidden="false" name="IQ_PE_RATIO" vbProcedure="false">"c1610"</definedName>
    <definedName function="false" hidden="false" name="IQ_PLEDGED_SECURITIES_FDIC" vbProcedure="false">"c6401"</definedName>
    <definedName function="false" hidden="false" name="IQ_PLL" vbProcedure="false">"c2114"</definedName>
    <definedName function="false" hidden="false" name="IQ_POLICY_BENEFITS" vbProcedure="false">"c1036"</definedName>
    <definedName function="false" hidden="false" name="IQ_POLICY_COST" vbProcedure="false">"c1037"</definedName>
    <definedName function="false" hidden="false" name="IQ_POLICY_LIAB" vbProcedure="false">"c1612"</definedName>
    <definedName function="false" hidden="false" name="IQ_POLICY_LOANS" vbProcedure="false">"c1038"</definedName>
    <definedName function="false" hidden="false" name="IQ_POSTPAID_CHURN" vbProcedure="false">"c2121"</definedName>
    <definedName function="false" hidden="false" name="IQ_POSTPAID_SUBS" vbProcedure="false">"c2118"</definedName>
    <definedName function="false" hidden="false" name="IQ_POST_RETIRE_EXP" vbProcedure="false">"c1039"</definedName>
    <definedName function="false" hidden="false" name="IQ_POTENTIAL_UPSIDE" vbProcedure="false">"c1855"</definedName>
    <definedName function="false" hidden="false" name="IQ_POTENTIAL_UPSIDE_REUT" vbProcedure="false">"c3968"</definedName>
    <definedName function="false" hidden="false" name="IQ_PREFERRED_FDIC" vbProcedure="false">"c6349"</definedName>
    <definedName function="false" hidden="false" name="IQ_PREF_CONVERT" vbProcedure="false">"c1041"</definedName>
    <definedName function="false" hidden="false" name="IQ_PREF_DIVID" vbProcedure="false">"c1461"</definedName>
    <definedName function="false" hidden="false" name="IQ_PREF_DIV_CF" vbProcedure="false">"c1042"</definedName>
    <definedName function="false" hidden="false" name="IQ_PREF_DIV_OTHER" vbProcedure="false">"c1043"</definedName>
    <definedName function="false" hidden="false" name="IQ_PREF_EQUITY" vbProcedure="false">"c1044"</definedName>
    <definedName function="false" hidden="false" name="IQ_PREF_ISSUED" vbProcedure="false">"c1045"</definedName>
    <definedName function="false" hidden="false" name="IQ_PREF_ISSUED_BNK" vbProcedure="false">"c1046"</definedName>
    <definedName function="false" hidden="false" name="IQ_PREF_ISSUED_BR" vbProcedure="false">"c1047"</definedName>
    <definedName function="false" hidden="false" name="IQ_PREF_ISSUED_FIN" vbProcedure="false">"c1048"</definedName>
    <definedName function="false" hidden="false" name="IQ_PREF_ISSUED_INS" vbProcedure="false">"c1049"</definedName>
    <definedName function="false" hidden="false" name="IQ_PREF_ISSUED_REIT" vbProcedure="false">"c1050"</definedName>
    <definedName function="false" hidden="false" name="IQ_PREF_ISSUED_UTI" vbProcedure="false">"c1051"</definedName>
    <definedName function="false" hidden="false" name="IQ_PREF_NON_REDEEM" vbProcedure="false">"c1052"</definedName>
    <definedName function="false" hidden="false" name="IQ_PREF_OTHER" vbProcedure="false">"c1053"</definedName>
    <definedName function="false" hidden="false" name="IQ_PREF_OTHER_BNK" vbProcedure="false">"c1054"</definedName>
    <definedName function="false" hidden="false" name="IQ_PREF_OTHER_BR" vbProcedure="false">"c1055"</definedName>
    <definedName function="false" hidden="false" name="IQ_PREF_OTHER_FIN" vbProcedure="false">"c1056"</definedName>
    <definedName function="false" hidden="false" name="IQ_PREF_OTHER_INS" vbProcedure="false">"c1057"</definedName>
    <definedName function="false" hidden="false" name="IQ_PREF_OTHER_REIT" vbProcedure="false">"c1058"</definedName>
    <definedName function="false" hidden="false" name="IQ_PREF_REDEEM" vbProcedure="false">"c1059"</definedName>
    <definedName function="false" hidden="false" name="IQ_PREF_REP" vbProcedure="false">"c1060"</definedName>
    <definedName function="false" hidden="false" name="IQ_PREF_REP_BNK" vbProcedure="false">"c1061"</definedName>
    <definedName function="false" hidden="false" name="IQ_PREF_REP_BR" vbProcedure="false">"c1062"</definedName>
    <definedName function="false" hidden="false" name="IQ_PREF_REP_FIN" vbProcedure="false">"c1063"</definedName>
    <definedName function="false" hidden="false" name="IQ_PREF_REP_INS" vbProcedure="false">"c1064"</definedName>
    <definedName function="false" hidden="false" name="IQ_PREF_REP_REIT" vbProcedure="false">"c1065"</definedName>
    <definedName function="false" hidden="false" name="IQ_PREF_REP_UTI" vbProcedure="false">"c1066"</definedName>
    <definedName function="false" hidden="false" name="IQ_PREF_STOCK" vbProcedure="false">"c1416"</definedName>
    <definedName function="false" hidden="false" name="IQ_PREF_TOT" vbProcedure="false">"c1415"</definedName>
    <definedName function="false" hidden="false" name="IQ_PREMISES_EQUIPMENT_FDIC" vbProcedure="false">"c6577"</definedName>
    <definedName function="false" hidden="false" name="IQ_PREMIUMS_ANNUITY_REV" vbProcedure="false">"c1067"</definedName>
    <definedName function="false" hidden="false" name="IQ_PREPAID_CHURN" vbProcedure="false">"c2120"</definedName>
    <definedName function="false" hidden="false" name="IQ_PREPAID_EXP" vbProcedure="false">"c1068"</definedName>
    <definedName function="false" hidden="false" name="IQ_PREPAID_EXPEN" vbProcedure="false">"c1418"</definedName>
    <definedName function="false" hidden="false" name="IQ_PREPAID_SUBS" vbProcedure="false">"c2117"</definedName>
    <definedName function="false" hidden="false" name="IQ_PRETAX_GW_INC_EST" vbProcedure="false">"c1702"</definedName>
    <definedName function="false" hidden="false" name="IQ_PRETAX_GW_INC_EST_REUT" vbProcedure="false">"c5354"</definedName>
    <definedName function="false" hidden="false" name="IQ_PRETAX_GW_INC_HIGH_EST" vbProcedure="false">"c1704"</definedName>
    <definedName function="false" hidden="false" name="IQ_PRETAX_GW_INC_HIGH_EST_REUT" vbProcedure="false">"c5356"</definedName>
    <definedName function="false" hidden="false" name="IQ_PRETAX_GW_INC_LOW_EST" vbProcedure="false">"c1705"</definedName>
    <definedName function="false" hidden="false" name="IQ_PRETAX_GW_INC_LOW_EST_REUT" vbProcedure="false">"c5357"</definedName>
    <definedName function="false" hidden="false" name="IQ_PRETAX_GW_INC_MEDIAN_EST" vbProcedure="false">"c1703"</definedName>
    <definedName function="false" hidden="false" name="IQ_PRETAX_GW_INC_MEDIAN_EST_REUT" vbProcedure="false">"c5355"</definedName>
    <definedName function="false" hidden="false" name="IQ_PRETAX_GW_INC_NUM_EST" vbProcedure="false">"c1706"</definedName>
    <definedName function="false" hidden="false" name="IQ_PRETAX_GW_INC_NUM_EST_REUT" vbProcedure="false">"c5358"</definedName>
    <definedName function="false" hidden="false" name="IQ_PRETAX_GW_INC_STDDEV_EST" vbProcedure="false">"c1707"</definedName>
    <definedName function="false" hidden="false" name="IQ_PRETAX_GW_INC_STDDEV_EST_REUT" vbProcedure="false">"c5359"</definedName>
    <definedName function="false" hidden="false" name="IQ_PRETAX_INC" vbProcedure="false">"IQ_PRETAX_INC"</definedName>
    <definedName function="false" hidden="false" name="IQ_PRETAX_INC_10K" vbProcedure="false">"IQ_PRETAX_INC_10K"</definedName>
    <definedName function="false" hidden="false" name="IQ_PRETAX_INC_10Q" vbProcedure="false">"IQ_PRETAX_INC_10Q"</definedName>
    <definedName function="false" hidden="false" name="IQ_PRETAX_INC_10Q1" vbProcedure="false">"IQ_PRETAX_INC_10Q1"</definedName>
    <definedName function="false" hidden="false" name="IQ_PRETAX_INC_EST" vbProcedure="false">"c1695"</definedName>
    <definedName function="false" hidden="false" name="IQ_PRETAX_INC_EST_REUT" vbProcedure="false">"c5347"</definedName>
    <definedName function="false" hidden="false" name="IQ_PRETAX_INC_HIGH_EST" vbProcedure="false">"c1697"</definedName>
    <definedName function="false" hidden="false" name="IQ_PRETAX_INC_HIGH_EST_REUT" vbProcedure="false">"c5349"</definedName>
    <definedName function="false" hidden="false" name="IQ_PRETAX_INC_LOW_EST" vbProcedure="false">"c1698"</definedName>
    <definedName function="false" hidden="false" name="IQ_PRETAX_INC_LOW_EST_REUT" vbProcedure="false">"c5350"</definedName>
    <definedName function="false" hidden="false" name="IQ_PRETAX_INC_MEDIAN_EST" vbProcedure="false">"c1696"</definedName>
    <definedName function="false" hidden="false" name="IQ_PRETAX_INC_MEDIAN_EST_REUT" vbProcedure="false">"c5348"</definedName>
    <definedName function="false" hidden="false" name="IQ_PRETAX_INC_NUM_EST" vbProcedure="false">"c1699"</definedName>
    <definedName function="false" hidden="false" name="IQ_PRETAX_INC_NUM_EST_REUT" vbProcedure="false">"c5351"</definedName>
    <definedName function="false" hidden="false" name="IQ_PRETAX_INC_STDDEV_EST" vbProcedure="false">"c1700"</definedName>
    <definedName function="false" hidden="false" name="IQ_PRETAX_INC_STDDEV_EST_REUT" vbProcedure="false">"c5352"</definedName>
    <definedName function="false" hidden="false" name="IQ_PRETAX_REPORT_INC_EST" vbProcedure="false">"c1709"</definedName>
    <definedName function="false" hidden="false" name="IQ_PRETAX_REPORT_INC_EST_REUT" vbProcedure="false">"c5361"</definedName>
    <definedName function="false" hidden="false" name="IQ_PRETAX_REPORT_INC_HIGH_EST" vbProcedure="false">"c1711"</definedName>
    <definedName function="false" hidden="false" name="IQ_PRETAX_REPORT_INC_HIGH_EST_REUT" vbProcedure="false">"c5363"</definedName>
    <definedName function="false" hidden="false" name="IQ_PRETAX_REPORT_INC_LOW_EST" vbProcedure="false">"c1712"</definedName>
    <definedName function="false" hidden="false" name="IQ_PRETAX_REPORT_INC_LOW_EST_REUT" vbProcedure="false">"c5364"</definedName>
    <definedName function="false" hidden="false" name="IQ_PRETAX_REPORT_INC_MEDIAN_EST" vbProcedure="false">"c1710"</definedName>
    <definedName function="false" hidden="false" name="IQ_PRETAX_REPORT_INC_MEDIAN_EST_REUT" vbProcedure="false">"c5362"</definedName>
    <definedName function="false" hidden="false" name="IQ_PRETAX_REPORT_INC_NUM_EST" vbProcedure="false">"c1713"</definedName>
    <definedName function="false" hidden="false" name="IQ_PRETAX_REPORT_INC_NUM_EST_REUT" vbProcedure="false">"c5365"</definedName>
    <definedName function="false" hidden="false" name="IQ_PRETAX_REPORT_INC_STDDEV_EST" vbProcedure="false">"c1714"</definedName>
    <definedName function="false" hidden="false" name="IQ_PRETAX_REPORT_INC_STDDEV_EST_REUT" vbProcedure="false">"c5366"</definedName>
    <definedName function="false" hidden="false" name="IQ_PRETAX_RETURN_ASSETS_FDIC" vbProcedure="false">"c6731"</definedName>
    <definedName function="false" hidden="false" name="IQ_PRE_OPEN_COST" vbProcedure="false">"c1040"</definedName>
    <definedName function="false" hidden="false" name="IQ_PRE_TAX_ACT_OR_EST" vbProcedure="false">"c2221"</definedName>
    <definedName function="false" hidden="false" name="IQ_PRE_TAX_ACT_OR_EST_REUT" vbProcedure="false">"c5467"</definedName>
    <definedName function="false" hidden="false" name="IQ_PRE_TAX_INCOME_FDIC" vbProcedure="false">"c6581"</definedName>
    <definedName function="false" hidden="false" name="IQ_PRICEDATE" vbProcedure="false">"c1069"</definedName>
    <definedName function="false" hidden="false" name="IQ_PRICEDATETIME" vbProcedure="false">"IQ_PRICEDATETIME"</definedName>
    <definedName function="false" hidden="false" name="IQ_PRICE_CFPS_FWD" vbProcedure="false">"c2237"</definedName>
    <definedName function="false" hidden="false" name="IQ_PRICE_CFPS_FWD_REUT" vbProcedure="false">"c4053"</definedName>
    <definedName function="false" hidden="false" name="IQ_PRICE_OVER_BVPS" vbProcedure="false">"c1412"</definedName>
    <definedName function="false" hidden="false" name="IQ_PRICE_OVER_EPS_EST" vbProcedure="false">"IQ_PRICE_OVER_EPS_EST"</definedName>
    <definedName function="false" hidden="false" name="IQ_PRICE_OVER_EPS_EST_1" vbProcedure="false">"IQ_PRICE_OVER_EPS_EST_1"</definedName>
    <definedName function="false" hidden="false" name="IQ_PRICE_OVER_LTM_EPS" vbProcedure="false">"c1413"</definedName>
    <definedName function="false" hidden="false" name="IQ_PRICE_TARGET" vbProcedure="false">"c82"</definedName>
    <definedName function="false" hidden="false" name="IQ_PRICE_TARGET_BOTTOM_UP_REUT" vbProcedure="false">"c5494"</definedName>
    <definedName function="false" hidden="false" name="IQ_PRICE_TARGET_REUT" vbProcedure="false">"c3631"</definedName>
    <definedName function="false" hidden="false" name="IQ_PRICING_DATE" vbProcedure="false">"c1613"</definedName>
    <definedName function="false" hidden="false" name="IQ_PRIMARY_EPS_TYPE_REUT" vbProcedure="false">"c5481"</definedName>
    <definedName function="false" hidden="false" name="IQ_PRIMARY_EPS_TYPE_THOM" vbProcedure="false">"c5297"</definedName>
    <definedName function="false" hidden="false" name="IQ_PRIMARY_INDUSTRY" vbProcedure="false">"c1070"</definedName>
    <definedName function="false" hidden="false" name="IQ_PRIVATELY_ISSUED_MORTGAGE_BACKED_SECURITIES_FDIC" vbProcedure="false">"c6407"</definedName>
    <definedName function="false" hidden="false" name="IQ_PRIVATELY_ISSUED_MORTGAGE_PASS_THROUGHS_FDIC" vbProcedure="false">"c6405"</definedName>
    <definedName function="false" hidden="false" name="IQ_PRIVATE_CONST_TOTAL_APR_FC_UNUSED_UNUSED_UNUSED" vbProcedure="false">"c8559"</definedName>
    <definedName function="false" hidden="false" name="IQ_PRIVATE_CONST_TOTAL_APR_UNUSED_UNUSED_UNUSED" vbProcedure="false">"c7679"</definedName>
    <definedName function="false" hidden="false" name="IQ_PRIVATE_CONST_TOTAL_FC_UNUSED_UNUSED_UNUSED" vbProcedure="false">"c7899"</definedName>
    <definedName function="false" hidden="false" name="IQ_PRIVATE_CONST_TOTAL_POP_FC_UNUSED_UNUSED_UNUSED" vbProcedure="false">"c8119"</definedName>
    <definedName function="false" hidden="false" name="IQ_PRIVATE_CONST_TOTAL_POP_UNUSED_UNUSED_UNUSED" vbProcedure="false">"c7239"</definedName>
    <definedName function="false" hidden="false" name="IQ_PRIVATE_CONST_TOTAL_UNUSED_UNUSED_UNUSED" vbProcedure="false">"c7019"</definedName>
    <definedName function="false" hidden="false" name="IQ_PRIVATE_CONST_TOTAL_YOY_FC_UNUSED_UNUSED_UNUSED" vbProcedure="false">"c8339"</definedName>
    <definedName function="false" hidden="false" name="IQ_PRIVATE_CONST_TOTAL_YOY_UNUSED_UNUSED_UNUSED" vbProcedure="false">"c7459"</definedName>
    <definedName function="false" hidden="false" name="IQ_PRIVATE_RES_CONST_REAL_APR_FC_UNUSED_UNUSED_UNUSED" vbProcedure="false">"c8535"</definedName>
    <definedName function="false" hidden="false" name="IQ_PRIVATE_RES_CONST_REAL_APR_UNUSED_UNUSED_UNUSED" vbProcedure="false">"c7655"</definedName>
    <definedName function="false" hidden="false" name="IQ_PRIVATE_RES_CONST_REAL_FC_UNUSED_UNUSED_UNUSED" vbProcedure="false">"c7875"</definedName>
    <definedName function="false" hidden="false" name="IQ_PRIVATE_RES_CONST_REAL_POP_FC_UNUSED_UNUSED_UNUSED" vbProcedure="false">"c8095"</definedName>
    <definedName function="false" hidden="false" name="IQ_PRIVATE_RES_CONST_REAL_POP_UNUSED_UNUSED_UNUSED" vbProcedure="false">"c7215"</definedName>
    <definedName function="false" hidden="false" name="IQ_PRIVATE_RES_CONST_REAL_UNUSED_UNUSED_UNUSED" vbProcedure="false">"c6995"</definedName>
    <definedName function="false" hidden="false" name="IQ_PRIVATE_RES_CONST_REAL_YOY_FC_UNUSED_UNUSED_UNUSED" vbProcedure="false">"c8315"</definedName>
    <definedName function="false" hidden="false" name="IQ_PRIVATE_RES_CONST_REAL_YOY_UNUSED_UNUSED_UNUSED" vbProcedure="false">"c7435"</definedName>
    <definedName function="false" hidden="false" name="IQ_PROFESSIONAL" vbProcedure="false">"c1071"</definedName>
    <definedName function="false" hidden="false" name="IQ_PROFESSIONAL_TITLE" vbProcedure="false">"c1072"</definedName>
    <definedName function="false" hidden="false" name="IQ_PROJECTED_PENSION_OBLIGATION" vbProcedure="false">"c1292"</definedName>
    <definedName function="false" hidden="false" name="IQ_PROJECTED_PENSION_OBLIGATION_DOMESTIC" vbProcedure="false">"c2656"</definedName>
    <definedName function="false" hidden="false" name="IQ_PROJECTED_PENSION_OBLIGATION_FOREIGN" vbProcedure="false">"c2664"</definedName>
    <definedName function="false" hidden="false" name="IQ_PROPERTY_EXP" vbProcedure="false">"c1073"</definedName>
    <definedName function="false" hidden="false" name="IQ_PROPERTY_GROSS" vbProcedure="false">"c1379"</definedName>
    <definedName function="false" hidden="false" name="IQ_PROPERTY_MGMT_FEE" vbProcedure="false">"c1074"</definedName>
    <definedName function="false" hidden="false" name="IQ_PROPERTY_NET" vbProcedure="false">"c1402"</definedName>
    <definedName function="false" hidden="false" name="IQ_PROVISION_10YR_ANN_GROWTH" vbProcedure="false">"c1077"</definedName>
    <definedName function="false" hidden="false" name="IQ_PROVISION_1YR_ANN_GROWTH" vbProcedure="false">"c1078"</definedName>
    <definedName function="false" hidden="false" name="IQ_PROVISION_2YR_ANN_GROWTH" vbProcedure="false">"c1079"</definedName>
    <definedName function="false" hidden="false" name="IQ_PROVISION_3YR_ANN_GROWTH" vbProcedure="false">"c1080"</definedName>
    <definedName function="false" hidden="false" name="IQ_PROVISION_5YR_ANN_GROWTH" vbProcedure="false">"c1081"</definedName>
    <definedName function="false" hidden="false" name="IQ_PROVISION_7YR_ANN_GROWTH" vbProcedure="false">"c1082"</definedName>
    <definedName function="false" hidden="false" name="IQ_PROVISION_CHARGE_OFFS" vbProcedure="false">"c1083"</definedName>
    <definedName function="false" hidden="false" name="IQ_PROV_BAD_DEBTS" vbProcedure="false">"c1075"</definedName>
    <definedName function="false" hidden="false" name="IQ_PROV_BAD_DEBTS_CF" vbProcedure="false">"c1076"</definedName>
    <definedName function="false" hidden="false" name="IQ_PRO_FORMA_BASIC_EPS" vbProcedure="false">"c1614"</definedName>
    <definedName function="false" hidden="false" name="IQ_PRO_FORMA_DILUT_EPS" vbProcedure="false">"c1615"</definedName>
    <definedName function="false" hidden="false" name="IQ_PRO_FORMA_NET_INC" vbProcedure="false">"c1452"</definedName>
    <definedName function="false" hidden="false" name="IQ_PTBV" vbProcedure="false">"c1084"</definedName>
    <definedName function="false" hidden="false" name="IQ_PTBV_AVG" vbProcedure="false">"c1085"</definedName>
    <definedName function="false" hidden="false" name="IQ_PURCHASED_OPTION_CONTRACTS_FDIC" vbProcedure="false">"c6510"</definedName>
    <definedName function="false" hidden="false" name="IQ_PURCHASED_OPTION_CONTRACTS_FX_RISK_FDIC" vbProcedure="false">"c6515"</definedName>
    <definedName function="false" hidden="false" name="IQ_PURCHASED_OPTION_CONTRACTS_NON_FX_IR_FDIC" vbProcedure="false">"c6520"</definedName>
    <definedName function="false" hidden="false" name="IQ_PURCHASES_EQUIP_NONRES_SAAR_APR_FC_UNUSED_UNUSED_UNUSED" vbProcedure="false">"c8491"</definedName>
    <definedName function="false" hidden="false" name="IQ_PURCHASES_EQUIP_NONRES_SAAR_APR_UNUSED_UNUSED_UNUSED" vbProcedure="false">"c7611"</definedName>
    <definedName function="false" hidden="false" name="IQ_PURCHASES_EQUIP_NONRES_SAAR_FC_UNUSED_UNUSED_UNUSED" vbProcedure="false">"c7831"</definedName>
    <definedName function="false" hidden="false" name="IQ_PURCHASES_EQUIP_NONRES_SAAR_POP_FC_UNUSED_UNUSED_UNUSED" vbProcedure="false">"c8051"</definedName>
    <definedName function="false" hidden="false" name="IQ_PURCHASES_EQUIP_NONRES_SAAR_POP_UNUSED_UNUSED_UNUSED" vbProcedure="false">"c7171"</definedName>
    <definedName function="false" hidden="false" name="IQ_PURCHASES_EQUIP_NONRES_SAAR_UNUSED_UNUSED_UNUSED" vbProcedure="false">"c6951"</definedName>
    <definedName function="false" hidden="false" name="IQ_PURCHASES_EQUIP_NONRES_SAAR_YOY_FC_UNUSED_UNUSED_UNUSED" vbProcedure="false">"c8271"</definedName>
    <definedName function="false" hidden="false" name="IQ_PURCHASES_EQUIP_NONRES_SAAR_YOY_UNUSED_UNUSED_UNUSED" vbProcedure="false">"c7391"</definedName>
    <definedName function="false" hidden="false" name="IQ_PURCHASE_FOREIGN_CURRENCIES_FDIC" vbProcedure="false">"c6513"</definedName>
    <definedName function="false" hidden="false" name="IQ_QTD" vbProcedure="false">750000</definedName>
    <definedName function="false" hidden="false" name="IQ_QUICK_RATIO" vbProcedure="false">"c1086"</definedName>
    <definedName function="false" hidden="false" name="IQ_RATE_COMP_GROWTH_DOMESTIC" vbProcedure="false">"c1087"</definedName>
    <definedName function="false" hidden="false" name="IQ_RATE_COMP_GROWTH_FOREIGN" vbProcedure="false">"c1088"</definedName>
    <definedName function="false" hidden="false" name="IQ_RAW_INV" vbProcedure="false">"c1089"</definedName>
    <definedName function="false" hidden="false" name="IQ_RC" vbProcedure="false">"c2497"</definedName>
    <definedName function="false" hidden="false" name="IQ_RC_PCT" vbProcedure="false">"c2498"</definedName>
    <definedName function="false" hidden="false" name="IQ_RD_EXP" vbProcedure="false">"c1090"</definedName>
    <definedName function="false" hidden="false" name="IQ_RD_EXP_FN" vbProcedure="false">"c1091"</definedName>
    <definedName function="false" hidden="false" name="IQ_RE" vbProcedure="false">"c1092"</definedName>
    <definedName function="false" hidden="false" name="IQ_REAL_ESTATE" vbProcedure="false">"c1093"</definedName>
    <definedName function="false" hidden="false" name="IQ_REAL_ESTATE_ASSETS" vbProcedure="false">"c1094"</definedName>
    <definedName function="false" hidden="false" name="IQ_RECOVERIES_1_4_FAMILY_LOANS_FDIC" vbProcedure="false">"c6707"</definedName>
    <definedName function="false" hidden="false" name="IQ_RECOVERIES_AUTO_LOANS_FDIC" vbProcedure="false">"c6701"</definedName>
    <definedName function="false" hidden="false" name="IQ_RECOVERIES_CL_LOANS_FDIC" vbProcedure="false">"c6702"</definedName>
    <definedName function="false" hidden="false" name="IQ_RECOVERIES_CREDIT_CARDS_RECEIVABLES_FDIC" vbProcedure="false">"c6704"</definedName>
    <definedName function="false" hidden="false" name="IQ_RECOVERIES_HOME_EQUITY_LINES_FDIC" vbProcedure="false">"c6705"</definedName>
    <definedName function="false" hidden="false" name="IQ_RECOVERIES_OTHER_CONSUMER_LOANS_FDIC" vbProcedure="false">"c6703"</definedName>
    <definedName function="false" hidden="false" name="IQ_RECOVERIES_OTHER_LOANS_FDIC" vbProcedure="false">"c6706"</definedName>
    <definedName function="false" hidden="false" name="IQ_REDEEM_PREF_STOCK" vbProcedure="false">"c1417"</definedName>
    <definedName function="false" hidden="false" name="IQ_REG_ASSETS" vbProcedure="false">"c1095"</definedName>
    <definedName function="false" hidden="false" name="IQ_REINSURANCE" vbProcedure="false">"c1100"</definedName>
    <definedName function="false" hidden="false" name="IQ_REINSUR_PAY" vbProcedure="false">"c1096"</definedName>
    <definedName function="false" hidden="false" name="IQ_REINSUR_PAY_CF" vbProcedure="false">"c1097"</definedName>
    <definedName function="false" hidden="false" name="IQ_REINSUR_RECOVER" vbProcedure="false">"c1098"</definedName>
    <definedName function="false" hidden="false" name="IQ_REINSUR_RECOVER_CF" vbProcedure="false">"c1099"</definedName>
    <definedName function="false" hidden="false" name="IQ_RELATED_PLANS_FDIC" vbProcedure="false">"c6320"</definedName>
    <definedName function="false" hidden="false" name="IQ_RENTAL_REV" vbProcedure="false">"c1101"</definedName>
    <definedName function="false" hidden="false" name="IQ_RESEARCH_DEV" vbProcedure="false">"c1419"</definedName>
    <definedName function="false" hidden="false" name="IQ_RESIDENTIAL_LOANS" vbProcedure="false">"c1102"</definedName>
    <definedName function="false" hidden="false" name="IQ_RESTATEMENTS_NET_FDIC" vbProcedure="false">"c6500"</definedName>
    <definedName function="false" hidden="false" name="IQ_RESTATEMENT_BS" vbProcedure="false">"c1643"</definedName>
    <definedName function="false" hidden="false" name="IQ_RESTATEMENT_CF" vbProcedure="false">"c1644"</definedName>
    <definedName function="false" hidden="false" name="IQ_RESTATEMENT_IS" vbProcedure="false">"c1642"</definedName>
    <definedName function="false" hidden="false" name="IQ_RESTRICTED_CASH" vbProcedure="false">"c1103"</definedName>
    <definedName function="false" hidden="false" name="IQ_RESTRUCTURE" vbProcedure="false">"c1104"</definedName>
    <definedName function="false" hidden="false" name="IQ_RESTRUCTURED_LOANS" vbProcedure="false">"c1112"</definedName>
    <definedName function="false" hidden="false" name="IQ_RESTRUCTURED_LOANS_1_4_RESIDENTIAL_FDIC" vbProcedure="false">"c6378"</definedName>
    <definedName function="false" hidden="false" name="IQ_RESTRUCTURED_LOANS_LEASES_FDIC" vbProcedure="false">"c6377"</definedName>
    <definedName function="false" hidden="false" name="IQ_RESTRUCTURED_LOANS_NON_1_4_FDIC" vbProcedure="false">"c6379"</definedName>
    <definedName function="false" hidden="false" name="IQ_RESTRUCTURE_BNK" vbProcedure="false">"c1105"</definedName>
    <definedName function="false" hidden="false" name="IQ_RESTRUCTURE_BR" vbProcedure="false">"c1106"</definedName>
    <definedName function="false" hidden="false" name="IQ_RESTRUCTURE_CF" vbProcedure="false">"c1107"</definedName>
    <definedName function="false" hidden="false" name="IQ_RESTRUCTURE_FIN" vbProcedure="false">"c1108"</definedName>
    <definedName function="false" hidden="false" name="IQ_RESTRUCTURE_INS" vbProcedure="false">"c1109"</definedName>
    <definedName function="false" hidden="false" name="IQ_RESTRUCTURE_REIT" vbProcedure="false">"c1110"</definedName>
    <definedName function="false" hidden="false" name="IQ_RESTRUCTURE_UTI" vbProcedure="false">"c1111"</definedName>
    <definedName function="false" hidden="false" name="IQ_RES_CONST_REAL_APR_FC_UNUSED_UNUSED_UNUSED" vbProcedure="false">"c8536"</definedName>
    <definedName function="false" hidden="false" name="IQ_RES_CONST_REAL_APR_UNUSED_UNUSED_UNUSED" vbProcedure="false">"c7656"</definedName>
    <definedName function="false" hidden="false" name="IQ_RES_CONST_REAL_FC_UNUSED_UNUSED_UNUSED" vbProcedure="false">"c7876"</definedName>
    <definedName function="false" hidden="false" name="IQ_RES_CONST_REAL_POP_FC_UNUSED_UNUSED_UNUSED" vbProcedure="false">"c8096"</definedName>
    <definedName function="false" hidden="false" name="IQ_RES_CONST_REAL_POP_UNUSED_UNUSED_UNUSED" vbProcedure="false">"c7216"</definedName>
    <definedName function="false" hidden="false" name="IQ_RES_CONST_REAL_SAAR_APR_FC_UNUSED_UNUSED_UNUSED" vbProcedure="false">"c8537"</definedName>
    <definedName function="false" hidden="false" name="IQ_RES_CONST_REAL_SAAR_APR_UNUSED_UNUSED_UNUSED" vbProcedure="false">"c7657"</definedName>
    <definedName function="false" hidden="false" name="IQ_RES_CONST_REAL_SAAR_FC_UNUSED_UNUSED_UNUSED" vbProcedure="false">"c7877"</definedName>
    <definedName function="false" hidden="false" name="IQ_RES_CONST_REAL_SAAR_POP_FC_UNUSED_UNUSED_UNUSED" vbProcedure="false">"c8097"</definedName>
    <definedName function="false" hidden="false" name="IQ_RES_CONST_REAL_SAAR_POP_UNUSED_UNUSED_UNUSED" vbProcedure="false">"c7217"</definedName>
    <definedName function="false" hidden="false" name="IQ_RES_CONST_REAL_SAAR_UNUSED_UNUSED_UNUSED" vbProcedure="false">"c6997"</definedName>
    <definedName function="false" hidden="false" name="IQ_RES_CONST_REAL_SAAR_YOY_FC_UNUSED_UNUSED_UNUSED" vbProcedure="false">"c8317"</definedName>
    <definedName function="false" hidden="false" name="IQ_RES_CONST_REAL_SAAR_YOY_UNUSED_UNUSED_UNUSED" vbProcedure="false">"c7437"</definedName>
    <definedName function="false" hidden="false" name="IQ_RES_CONST_REAL_UNUSED_UNUSED_UNUSED" vbProcedure="false">"c6996"</definedName>
    <definedName function="false" hidden="false" name="IQ_RES_CONST_REAL_YOY_FC_UNUSED_UNUSED_UNUSED" vbProcedure="false">"c8316"</definedName>
    <definedName function="false" hidden="false" name="IQ_RES_CONST_REAL_YOY_UNUSED_UNUSED_UNUSED" vbProcedure="false">"c7436"</definedName>
    <definedName function="false" hidden="false" name="IQ_RES_CONST_SAAR_APR_FC_UNUSED_UNUSED_UNUSED" vbProcedure="false">"c8540"</definedName>
    <definedName function="false" hidden="false" name="IQ_RES_CONST_SAAR_APR_UNUSED_UNUSED_UNUSED" vbProcedure="false">"c7660"</definedName>
    <definedName function="false" hidden="false" name="IQ_RES_CONST_SAAR_FC_UNUSED_UNUSED_UNUSED" vbProcedure="false">"c7880"</definedName>
    <definedName function="false" hidden="false" name="IQ_RES_CONST_SAAR_POP_FC_UNUSED_UNUSED_UNUSED" vbProcedure="false">"c8100"</definedName>
    <definedName function="false" hidden="false" name="IQ_RES_CONST_SAAR_POP_UNUSED_UNUSED_UNUSED" vbProcedure="false">"c7220"</definedName>
    <definedName function="false" hidden="false" name="IQ_RES_CONST_SAAR_UNUSED_UNUSED_UNUSED" vbProcedure="false">"c7000"</definedName>
    <definedName function="false" hidden="false" name="IQ_RES_CONST_SAAR_YOY_FC_UNUSED_UNUSED_UNUSED" vbProcedure="false">"c8320"</definedName>
    <definedName function="false" hidden="false" name="IQ_RES_CONST_SAAR_YOY_UNUSED_UNUSED_UNUSED" vbProcedure="false">"c7440"</definedName>
    <definedName function="false" hidden="false" name="IQ_RETAIL_ACQUIRED_FRANCHISE_STORES" vbProcedure="false">"c2903"</definedName>
    <definedName function="false" hidden="false" name="IQ_RETAIL_ACQUIRED_OWNED_STORES" vbProcedure="false">"c2895"</definedName>
    <definedName function="false" hidden="false" name="IQ_RETAIL_ACQUIRED_STORES" vbProcedure="false">"c2887"</definedName>
    <definedName function="false" hidden="false" name="IQ_RETAIL_AVG_STORE_SIZE_GROSS" vbProcedure="false">"c2066"</definedName>
    <definedName function="false" hidden="false" name="IQ_RETAIL_AVG_STORE_SIZE_NET" vbProcedure="false">"c2067"</definedName>
    <definedName function="false" hidden="false" name="IQ_RETAIL_AVG_WK_SALES" vbProcedure="false">"c2891"</definedName>
    <definedName function="false" hidden="false" name="IQ_RETAIL_AVG_WK_SALES_FRANCHISE" vbProcedure="false">"c2899"</definedName>
    <definedName function="false" hidden="false" name="IQ_RETAIL_AVG_WK_SALES_OWNED" vbProcedure="false">"c2907"</definedName>
    <definedName function="false" hidden="false" name="IQ_RETAIL_CLOSED_FRANCHISE_STORES" vbProcedure="false">"c2896"</definedName>
    <definedName function="false" hidden="false" name="IQ_RETAIL_CLOSED_OWNED_STORES" vbProcedure="false">"c2904"</definedName>
    <definedName function="false" hidden="false" name="IQ_RETAIL_CLOSED_STORES" vbProcedure="false">"c2063"</definedName>
    <definedName function="false" hidden="false" name="IQ_RETAIL_DEPOSITS_FDIC" vbProcedure="false">"c6488"</definedName>
    <definedName function="false" hidden="false" name="IQ_RETAIL_FRANCHISE_STORES_BEG" vbProcedure="false">"c2893"</definedName>
    <definedName function="false" hidden="false" name="IQ_RETAIL_OPENED_FRANCHISE_STORES" vbProcedure="false">"c2894"</definedName>
    <definedName function="false" hidden="false" name="IQ_RETAIL_OPENED_OWNED_STORES" vbProcedure="false">"c2902"</definedName>
    <definedName function="false" hidden="false" name="IQ_RETAIL_OPENED_STORES" vbProcedure="false">"c2062"</definedName>
    <definedName function="false" hidden="false" name="IQ_RETAIL_OWNED_STORES_BEG" vbProcedure="false">"c2901"</definedName>
    <definedName function="false" hidden="false" name="IQ_RETAIL_SALES_SQFT_ALL_GROSS" vbProcedure="false">"c2138"</definedName>
    <definedName function="false" hidden="false" name="IQ_RETAIL_SALES_SQFT_ALL_NET" vbProcedure="false">"c2139"</definedName>
    <definedName function="false" hidden="false" name="IQ_RETAIL_SALES_SQFT_COMPARABLE_GROSS" vbProcedure="false">"c2136"</definedName>
    <definedName function="false" hidden="false" name="IQ_RETAIL_SALES_SQFT_COMPARABLE_NET" vbProcedure="false">"c2137"</definedName>
    <definedName function="false" hidden="false" name="IQ_RETAIL_SALES_SQFT_OWNED_GROSS" vbProcedure="false">"c2134"</definedName>
    <definedName function="false" hidden="false" name="IQ_RETAIL_SALES_SQFT_OWNED_NET" vbProcedure="false">"c2135"</definedName>
    <definedName function="false" hidden="false" name="IQ_RETAIL_SOLD_FRANCHISE_STORES" vbProcedure="false">"c2897"</definedName>
    <definedName function="false" hidden="false" name="IQ_RETAIL_SOLD_OWNED_STORES" vbProcedure="false">"c2905"</definedName>
    <definedName function="false" hidden="false" name="IQ_RETAIL_SOLD_STORES" vbProcedure="false">"c2889"</definedName>
    <definedName function="false" hidden="false" name="IQ_RETAIL_SQ_FOOTAGE" vbProcedure="false">"c2064"</definedName>
    <definedName function="false" hidden="false" name="IQ_RETAIL_STORES_BEG" vbProcedure="false">"c2885"</definedName>
    <definedName function="false" hidden="false" name="IQ_RETAIL_STORE_SELLING_AREA" vbProcedure="false">"c2065"</definedName>
    <definedName function="false" hidden="false" name="IQ_RETAIL_TOTAL_FRANCHISE_STORES" vbProcedure="false">"c2898"</definedName>
    <definedName function="false" hidden="false" name="IQ_RETAIL_TOTAL_OWNED_STORES" vbProcedure="false">"c2906"</definedName>
    <definedName function="false" hidden="false" name="IQ_RETAIL_TOTAL_STORES" vbProcedure="false">"c2061"</definedName>
    <definedName function="false" hidden="false" name="IQ_RETAINED_EARN" vbProcedure="false">"c1420"</definedName>
    <definedName function="false" hidden="false" name="IQ_RETAINED_EARNINGS_AVERAGE_EQUITY_FDIC" vbProcedure="false">"c6733"</definedName>
    <definedName function="false" hidden="false" name="IQ_RETURN_ASSETS" vbProcedure="false">"c1113"</definedName>
    <definedName function="false" hidden="false" name="IQ_RETURN_ASSETS_ACT_OR_EST_REUT" vbProcedure="false">"c5475"</definedName>
    <definedName function="false" hidden="false" name="IQ_RETURN_ASSETS_BANK" vbProcedure="false">"c1114"</definedName>
    <definedName function="false" hidden="false" name="IQ_RETURN_ASSETS_BROK" vbProcedure="false">"c1115"</definedName>
    <definedName function="false" hidden="false" name="IQ_RETURN_ASSETS_EST_REUT" vbProcedure="false">"c3990"</definedName>
    <definedName function="false" hidden="false" name="IQ_RETURN_ASSETS_FDIC" vbProcedure="false">"c6730"</definedName>
    <definedName function="false" hidden="false" name="IQ_RETURN_ASSETS_FS" vbProcedure="false">"c1116"</definedName>
    <definedName function="false" hidden="false" name="IQ_RETURN_ASSETS_HIGH_EST_REUT" vbProcedure="false">"c3992"</definedName>
    <definedName function="false" hidden="false" name="IQ_RETURN_ASSETS_LOW_EST_REUT" vbProcedure="false">"c3993"</definedName>
    <definedName function="false" hidden="false" name="IQ_RETURN_ASSETS_MEDIAN_EST_REUT" vbProcedure="false">"c3991"</definedName>
    <definedName function="false" hidden="false" name="IQ_RETURN_ASSETS_NUM_EST_REUT" vbProcedure="false">"c3994"</definedName>
    <definedName function="false" hidden="false" name="IQ_RETURN_ASSETS_STDDEV_EST_REUT" vbProcedure="false">"c3995"</definedName>
    <definedName function="false" hidden="false" name="IQ_RETURN_CAPITAL" vbProcedure="false">"c1117"</definedName>
    <definedName function="false" hidden="false" name="IQ_RETURN_EQUITY" vbProcedure="false">"c1118"</definedName>
    <definedName function="false" hidden="false" name="IQ_RETURN_EQUITY_ACT_OR_EST_REUT" vbProcedure="false">"c5476"</definedName>
    <definedName function="false" hidden="false" name="IQ_RETURN_EQUITY_BANK" vbProcedure="false">"c1119"</definedName>
    <definedName function="false" hidden="false" name="IQ_RETURN_EQUITY_BROK" vbProcedure="false">"c1120"</definedName>
    <definedName function="false" hidden="false" name="IQ_RETURN_EQUITY_EST_REUT" vbProcedure="false">"c3983"</definedName>
    <definedName function="false" hidden="false" name="IQ_RETURN_EQUITY_FDIC" vbProcedure="false">"c6732"</definedName>
    <definedName function="false" hidden="false" name="IQ_RETURN_EQUITY_FS" vbProcedure="false">"c1121"</definedName>
    <definedName function="false" hidden="false" name="IQ_RETURN_EQUITY_HIGH_EST_REUT" vbProcedure="false">"c3985"</definedName>
    <definedName function="false" hidden="false" name="IQ_RETURN_EQUITY_LOW_EST_REUT" vbProcedure="false">"c3986"</definedName>
    <definedName function="false" hidden="false" name="IQ_RETURN_EQUITY_MEDIAN_EST_REUT" vbProcedure="false">"c3984"</definedName>
    <definedName function="false" hidden="false" name="IQ_RETURN_EQUITY_NUM_EST_REUT" vbProcedure="false">"c3987"</definedName>
    <definedName function="false" hidden="false" name="IQ_RETURN_EQUITY_STDDEV_EST_REUT" vbProcedure="false">"c3988"</definedName>
    <definedName function="false" hidden="false" name="IQ_RETURN_INVESTMENT" vbProcedure="false">"c1421"</definedName>
    <definedName function="false" hidden="false" name="IQ_REV" vbProcedure="false">"c1122"</definedName>
    <definedName function="false" hidden="false" name="IQ_REVALUATION_GAINS_FDIC" vbProcedure="false">"c6428"</definedName>
    <definedName function="false" hidden="false" name="IQ_REVALUATION_LOSSES_FDIC" vbProcedure="false">"c6429"</definedName>
    <definedName function="false" hidden="false" name="IQ_REVENUE" vbProcedure="false">"c1422"</definedName>
    <definedName function="false" hidden="false" name="IQ_REVENUE_10K" vbProcedure="false">"IQ_REVENUE_10K"</definedName>
    <definedName function="false" hidden="false" name="IQ_REVENUE_10Q" vbProcedure="false">"IQ_REVENUE_10Q"</definedName>
    <definedName function="false" hidden="false" name="IQ_REVENUE_10Q1" vbProcedure="false">"IQ_REVENUE_10Q1"</definedName>
    <definedName function="false" hidden="false" name="IQ_REVENUE_ACT_OR_EST" vbProcedure="false">"c2214"</definedName>
    <definedName function="false" hidden="false" name="IQ_REVENUE_ACT_OR_EST_REUT" vbProcedure="false">"c5461"</definedName>
    <definedName function="false" hidden="false" name="IQ_REVENUE_EST" vbProcedure="false">"c1126"</definedName>
    <definedName function="false" hidden="false" name="IQ_REVENUE_EST_1" vbProcedure="false">"IQ_REVENUE_EST_1"</definedName>
    <definedName function="false" hidden="false" name="IQ_REVENUE_EST_BOTTOM_UP_REUT" vbProcedure="false">"c5496"</definedName>
    <definedName function="false" hidden="false" name="IQ_REVENUE_EST_REUT" vbProcedure="false">"c3634"</definedName>
    <definedName function="false" hidden="false" name="IQ_REVENUE_GROWTH_1" vbProcedure="false">"IQ_REVENUE_GROWTH_1"</definedName>
    <definedName function="false" hidden="false" name="IQ_REVENUE_GROWTH_2" vbProcedure="false">"IQ_REVENUE_GROWTH_2"</definedName>
    <definedName function="false" hidden="false" name="IQ_REVENUE_HIGH_EST" vbProcedure="false">"c1127"</definedName>
    <definedName function="false" hidden="false" name="IQ_REVENUE_HIGH_EST_REUT" vbProcedure="false">"c3636"</definedName>
    <definedName function="false" hidden="false" name="IQ_REVENUE_LOW_EST" vbProcedure="false">"c1128"</definedName>
    <definedName function="false" hidden="false" name="IQ_REVENUE_LOW_EST_REUT" vbProcedure="false">"c3637"</definedName>
    <definedName function="false" hidden="false" name="IQ_REVENUE_MEDIAN_EST" vbProcedure="false">"c1662"</definedName>
    <definedName function="false" hidden="false" name="IQ_REVENUE_MEDIAN_EST_REUT" vbProcedure="false">"c3635"</definedName>
    <definedName function="false" hidden="false" name="IQ_REVENUE_NO_EST" vbProcedure="false">"c263"</definedName>
    <definedName function="false" hidden="false" name="IQ_REVENUE_NUM_EST" vbProcedure="false">"c1129"</definedName>
    <definedName function="false" hidden="false" name="IQ_REVENUE_NUM_EST_REUT" vbProcedure="false">"c3638"</definedName>
    <definedName function="false" hidden="false" name="IQ_REVISION_DATE_" vbProcedure="false">39198.8768865741</definedName>
    <definedName function="false" hidden="false" name="IQ_REV_BEFORE_LL" vbProcedure="false">"c1123"</definedName>
    <definedName function="false" hidden="false" name="IQ_REV_STDDEV_EST" vbProcedure="false">"c1124"</definedName>
    <definedName function="false" hidden="false" name="IQ_REV_STDDEV_EST_REUT" vbProcedure="false">"c3639"</definedName>
    <definedName function="false" hidden="false" name="IQ_REV_UTI" vbProcedure="false">"c1125"</definedName>
    <definedName function="false" hidden="false" name="IQ_RE_FORECLOSURE_FDIC" vbProcedure="false">"c6332"</definedName>
    <definedName function="false" hidden="false" name="IQ_RE_INVEST_FDIC" vbProcedure="false">"c6331"</definedName>
    <definedName function="false" hidden="false" name="IQ_RE_LOANS_DOMESTIC_CHARGE_OFFS_FDIC" vbProcedure="false">"c6589"</definedName>
    <definedName function="false" hidden="false" name="IQ_RE_LOANS_DOMESTIC_FDIC" vbProcedure="false">"c6309"</definedName>
    <definedName function="false" hidden="false" name="IQ_RE_LOANS_DOMESTIC_NET_CHARGE_OFFS_FDIC" vbProcedure="false">"c6627"</definedName>
    <definedName function="false" hidden="false" name="IQ_RE_LOANS_DOMESTIC_RECOVERIES_FDIC" vbProcedure="false">"c6608"</definedName>
    <definedName function="false" hidden="false" name="IQ_RE_LOANS_FDIC" vbProcedure="false">"c6308"</definedName>
    <definedName function="false" hidden="false" name="IQ_RE_LOANS_FOREIGN_CHARGE_OFFS_FDIC" vbProcedure="false">"c6595"</definedName>
    <definedName function="false" hidden="false" name="IQ_RE_LOANS_FOREIGN_NET_CHARGE_OFFS_FDIC" vbProcedure="false">"c6633"</definedName>
    <definedName function="false" hidden="false" name="IQ_RE_LOANS_FOREIGN_RECOVERIES_FDIC" vbProcedure="false">"c6614"</definedName>
    <definedName function="false" hidden="false" name="IQ_RISK_ADJ_BANK_ASSETS" vbProcedure="false">"c2670"</definedName>
    <definedName function="false" hidden="false" name="IQ_RISK_WEIGHTED_ASSETS_FDIC" vbProcedure="false">"c6370"</definedName>
    <definedName function="false" hidden="false" name="IQ_ROYALTY_REVENUE_COAL" vbProcedure="false">"c15932"</definedName>
    <definedName function="false" hidden="false" name="IQ_SALARY" vbProcedure="false">"c1130"</definedName>
    <definedName function="false" hidden="false" name="IQ_SALARY_FDIC" vbProcedure="false">"c6576"</definedName>
    <definedName function="false" hidden="false" name="IQ_SALES_MARKETING" vbProcedure="false">"c2240"</definedName>
    <definedName function="false" hidden="false" name="IQ_SALE_CONVERSION_RETIREMENT_STOCK_FDIC" vbProcedure="false">"c6661"</definedName>
    <definedName function="false" hidden="false" name="IQ_SALE_INTAN_CF" vbProcedure="false">"c1131"</definedName>
    <definedName function="false" hidden="false" name="IQ_SALE_INTAN_CF_BNK" vbProcedure="false">"c1132"</definedName>
    <definedName function="false" hidden="false" name="IQ_SALE_INTAN_CF_BR" vbProcedure="false">"c1133"</definedName>
    <definedName function="false" hidden="false" name="IQ_SALE_INTAN_CF_FIN" vbProcedure="false">"c1134"</definedName>
    <definedName function="false" hidden="false" name="IQ_SALE_INTAN_CF_INS" vbProcedure="false">"c1135"</definedName>
    <definedName function="false" hidden="false" name="IQ_SALE_INTAN_CF_REIT" vbProcedure="false">"c1627"</definedName>
    <definedName function="false" hidden="false" name="IQ_SALE_INTAN_CF_UTI" vbProcedure="false">"c1136"</definedName>
    <definedName function="false" hidden="false" name="IQ_SALE_PPE_CF" vbProcedure="false">"c1137"</definedName>
    <definedName function="false" hidden="false" name="IQ_SALE_PPE_CF_BNK" vbProcedure="false">"c1138"</definedName>
    <definedName function="false" hidden="false" name="IQ_SALE_PPE_CF_BR" vbProcedure="false">"c1139"</definedName>
    <definedName function="false" hidden="false" name="IQ_SALE_PPE_CF_FIN" vbProcedure="false">"c1140"</definedName>
    <definedName function="false" hidden="false" name="IQ_SALE_PPE_CF_INS" vbProcedure="false">"c1141"</definedName>
    <definedName function="false" hidden="false" name="IQ_SALE_PPE_CF_UTI" vbProcedure="false">"c1142"</definedName>
    <definedName function="false" hidden="false" name="IQ_SALE_REAL_ESTATE_CF" vbProcedure="false">"c1143"</definedName>
    <definedName function="false" hidden="false" name="IQ_SALE_REAL_ESTATE_CF_BNK" vbProcedure="false">"c1144"</definedName>
    <definedName function="false" hidden="false" name="IQ_SALE_REAL_ESTATE_CF_BR" vbProcedure="false">"c1145"</definedName>
    <definedName function="false" hidden="false" name="IQ_SALE_REAL_ESTATE_CF_FIN" vbProcedure="false">"c1146"</definedName>
    <definedName function="false" hidden="false" name="IQ_SALE_REAL_ESTATE_CF_INS" vbProcedure="false">"c1147"</definedName>
    <definedName function="false" hidden="false" name="IQ_SALE_REAL_ESTATE_CF_UTI" vbProcedure="false">"c1148"</definedName>
    <definedName function="false" hidden="false" name="IQ_SALE_RE_ASSETS" vbProcedure="false">"c1629"</definedName>
    <definedName function="false" hidden="false" name="IQ_SAME_STORE" vbProcedure="false">"c1149"</definedName>
    <definedName function="false" hidden="false" name="IQ_SAME_STORE_FRANCHISE" vbProcedure="false">"c2900"</definedName>
    <definedName function="false" hidden="false" name="IQ_SAME_STORE_OWNED" vbProcedure="false">"c2908"</definedName>
    <definedName function="false" hidden="false" name="IQ_SAME_STORE_TOTAL" vbProcedure="false">"c2892"</definedName>
    <definedName function="false" hidden="false" name="IQ_SAVING_DEP" vbProcedure="false">"c1150"</definedName>
    <definedName function="false" hidden="false" name="IQ_SECURED_1_4_FAMILY_RESIDENTIAL_CHARGE_OFFS_FDIC" vbProcedure="false">"c6590"</definedName>
    <definedName function="false" hidden="false" name="IQ_SECURED_1_4_FAMILY_RESIDENTIAL_NET_CHARGE_OFFS_FDIC" vbProcedure="false">"c6628"</definedName>
    <definedName function="false" hidden="false" name="IQ_SECURED_1_4_FAMILY_RESIDENTIAL_RECOVERIES_FDIC" vbProcedure="false">"c6609"</definedName>
    <definedName function="false" hidden="false" name="IQ_SECURED_DEBT" vbProcedure="false">"c2546"</definedName>
    <definedName function="false" hidden="false" name="IQ_SECURED_DEBT_PCT" vbProcedure="false">"c2547"</definedName>
    <definedName function="false" hidden="false" name="IQ_SECURED_FARMLAND_CHARGE_OFFS_FDIC" vbProcedure="false">"c6593"</definedName>
    <definedName function="false" hidden="false" name="IQ_SECURED_FARMLAND_NET_CHARGE_OFFS_FDIC" vbProcedure="false">"c6631"</definedName>
    <definedName function="false" hidden="false" name="IQ_SECURED_FARMLAND_RECOVERIES_FDIC" vbProcedure="false">"c6612"</definedName>
    <definedName function="false" hidden="false" name="IQ_SECURED_MULTIFAMILY_RESIDENTIAL_CHARGE_OFFS_FDIC" vbProcedure="false">"c6591"</definedName>
    <definedName function="false" hidden="false" name="IQ_SECURED_MULTIFAMILY_RESIDENTIAL_NET_CHARGE_OFFS_FDIC" vbProcedure="false">"c6629"</definedName>
    <definedName function="false" hidden="false" name="IQ_SECURED_MULTIFAMILY_RESIDENTIAL_RECOVERIES_FDIC" vbProcedure="false">"c6610"</definedName>
    <definedName function="false" hidden="false" name="IQ_SECURED_NONFARM_NONRESIDENTIAL_CHARGE_OFFS_FDIC" vbProcedure="false">"c6592"</definedName>
    <definedName function="false" hidden="false" name="IQ_SECURED_NONFARM_NONRESIDENTIAL_NET_CHARGE_OFFS_FDIC" vbProcedure="false">"c6630"</definedName>
    <definedName function="false" hidden="false" name="IQ_SECURED_NONFARM_NONRESIDENTIAL_RECOVERIES_FDIC" vbProcedure="false">"c6611"</definedName>
    <definedName function="false" hidden="false" name="IQ_SECURITIES_GAINS_FDIC" vbProcedure="false">"c6584"</definedName>
    <definedName function="false" hidden="false" name="IQ_SECURITIES_ISSUED_STATES_FDIC" vbProcedure="false">"c6300"</definedName>
    <definedName function="false" hidden="false" name="IQ_SECURITIES_LENT_FDIC" vbProcedure="false">"c6532"</definedName>
    <definedName function="false" hidden="false" name="IQ_SECURITIES_UNDERWRITING_FDIC" vbProcedure="false">"c6529"</definedName>
    <definedName function="false" hidden="false" name="IQ_SECURITY_BORROW" vbProcedure="false">"c1152"</definedName>
    <definedName function="false" hidden="false" name="IQ_SECURITY_OWN" vbProcedure="false">"c1153"</definedName>
    <definedName function="false" hidden="false" name="IQ_SECURITY_RESELL" vbProcedure="false">"c1154"</definedName>
    <definedName function="false" hidden="false" name="IQ_SECUR_RECEIV" vbProcedure="false">"c1151"</definedName>
    <definedName function="false" hidden="false" name="IQ_SEMI_BACKLOG_UNITS" vbProcedure="false">"c10005"</definedName>
    <definedName function="false" hidden="false" name="IQ_SEMI_BOOKINGS_AVG_PRICE" vbProcedure="false">"c10002"</definedName>
    <definedName function="false" hidden="false" name="IQ_SEMI_BOOKINGS_UNITS" vbProcedure="false">"c10001"</definedName>
    <definedName function="false" hidden="false" name="IQ_SEMI_BOOKINGS_VALUE" vbProcedure="false">"c10003"</definedName>
    <definedName function="false" hidden="false" name="IQ_SEMI_BOOKINGS_VALUE_CHANGE" vbProcedure="false">"c10004"</definedName>
    <definedName function="false" hidden="false" name="IQ_SEPARATE_ACCT_ASSETS" vbProcedure="false">"c1155"</definedName>
    <definedName function="false" hidden="false" name="IQ_SEPARATE_ACCT_LIAB" vbProcedure="false">"c1156"</definedName>
    <definedName function="false" hidden="false" name="IQ_SERVICE_CHARGES_FDIC" vbProcedure="false">"c6572"</definedName>
    <definedName function="false" hidden="false" name="IQ_SERV_CHARGE_DEPOSITS" vbProcedure="false">"c1157"</definedName>
    <definedName function="false" hidden="false" name="IQ_SGA" vbProcedure="false">"c1158"</definedName>
    <definedName function="false" hidden="false" name="IQ_SGA_BNK" vbProcedure="false">"c1159"</definedName>
    <definedName function="false" hidden="false" name="IQ_SGA_INS" vbProcedure="false">"c1160"</definedName>
    <definedName function="false" hidden="false" name="IQ_SGA_MARGIN" vbProcedure="false">"c1898"</definedName>
    <definedName function="false" hidden="false" name="IQ_SGA_REIT" vbProcedure="false">"c1161"</definedName>
    <definedName function="false" hidden="false" name="IQ_SGA_SUPPL" vbProcedure="false">"c1162"</definedName>
    <definedName function="false" hidden="false" name="IQ_SGA_UTI" vbProcedure="false">"c1163"</definedName>
    <definedName function="false" hidden="false" name="IQ_SHAREOUTSTANDING" vbProcedure="false">"c1347"</definedName>
    <definedName function="false" hidden="false" name="IQ_SHARESOUTSTANDING" vbProcedure="false">"c1164"</definedName>
    <definedName function="false" hidden="false" name="IQ_SHORT_INTEREST" vbProcedure="false">"c1165"</definedName>
    <definedName function="false" hidden="false" name="IQ_SHORT_INTEREST_OVER_FLOAT" vbProcedure="false">"c1577"</definedName>
    <definedName function="false" hidden="false" name="IQ_SHORT_INTEREST_PERCENT" vbProcedure="false">"c1576"</definedName>
    <definedName function="false" hidden="false" name="IQ_SHORT_TERM_INVEST" vbProcedure="false">"c1425"</definedName>
    <definedName function="false" hidden="false" name="IQ_SMALL_INT_BEAR_CD" vbProcedure="false">"c1166"</definedName>
    <definedName function="false" hidden="false" name="IQ_SOFTWARE" vbProcedure="false">"c1167"</definedName>
    <definedName function="false" hidden="false" name="IQ_SOURCE" vbProcedure="false">"c1168"</definedName>
    <definedName function="false" hidden="false" name="IQ_SPECIAL_DIV_CF" vbProcedure="false">"c1169"</definedName>
    <definedName function="false" hidden="false" name="IQ_SPECIAL_DIV_CF_BNK" vbProcedure="false">"c1170"</definedName>
    <definedName function="false" hidden="false" name="IQ_SPECIAL_DIV_CF_BR" vbProcedure="false">"c1171"</definedName>
    <definedName function="false" hidden="false" name="IQ_SPECIAL_DIV_CF_FIN" vbProcedure="false">"c1172"</definedName>
    <definedName function="false" hidden="false" name="IQ_SPECIAL_DIV_CF_INS" vbProcedure="false">"c1173"</definedName>
    <definedName function="false" hidden="false" name="IQ_SPECIAL_DIV_CF_REIT" vbProcedure="false">"c1174"</definedName>
    <definedName function="false" hidden="false" name="IQ_SPECIAL_DIV_CF_UTI" vbProcedure="false">"c1175"</definedName>
    <definedName function="false" hidden="false" name="IQ_SPECIAL_DIV_SHARE" vbProcedure="false">"c3007"</definedName>
    <definedName function="false" hidden="false" name="IQ_SP_ISSUE_LC_ACTION" vbProcedure="false">"c2644"</definedName>
    <definedName function="false" hidden="false" name="IQ_SP_ISSUE_LC_DATE" vbProcedure="false">"c2643"</definedName>
    <definedName function="false" hidden="false" name="IQ_SP_ISSUE_LC_LT" vbProcedure="false">"c2645"</definedName>
    <definedName function="false" hidden="false" name="IQ_SR_BONDS_NOTES" vbProcedure="false">"c2501"</definedName>
    <definedName function="false" hidden="false" name="IQ_SR_BONDS_NOTES_PCT" vbProcedure="false">"c2502"</definedName>
    <definedName function="false" hidden="false" name="IQ_SR_DEBT" vbProcedure="false">"c2526"</definedName>
    <definedName function="false" hidden="false" name="IQ_SR_DEBT_EBITDA" vbProcedure="false">"c2552"</definedName>
    <definedName function="false" hidden="false" name="IQ_SR_DEBT_EBITDA_CAPEX" vbProcedure="false">"c2553"</definedName>
    <definedName function="false" hidden="false" name="IQ_SR_DEBT_PCT" vbProcedure="false">"c2527"</definedName>
    <definedName function="false" hidden="false" name="IQ_SR_SUB_DEBT" vbProcedure="false">"c2530"</definedName>
    <definedName function="false" hidden="false" name="IQ_SR_SUB_DEBT_EBITDA" vbProcedure="false">"c2556"</definedName>
    <definedName function="false" hidden="false" name="IQ_SR_SUB_DEBT_EBITDA_CAPEX" vbProcedure="false">"c2557"</definedName>
    <definedName function="false" hidden="false" name="IQ_SR_SUB_DEBT_PCT" vbProcedure="false">"c2531"</definedName>
    <definedName function="false" hidden="false" name="IQ_STATE" vbProcedure="false">"c1200"</definedName>
    <definedName function="false" hidden="false" name="IQ_STATES_NONTRANSACTION_ACCOUNTS_FDIC" vbProcedure="false">"c6547"</definedName>
    <definedName function="false" hidden="false" name="IQ_STATES_TOTAL_DEPOSITS_FDIC" vbProcedure="false">"c6473"</definedName>
    <definedName function="false" hidden="false" name="IQ_STATES_TRANSACTION_ACCOUNTS_FDIC" vbProcedure="false">"c6539"</definedName>
    <definedName function="false" hidden="false" name="IQ_STATUTORY_SURPLUS" vbProcedure="false">"c1201"</definedName>
    <definedName function="false" hidden="false" name="IQ_STOCK_BASED" vbProcedure="false">"c1202"</definedName>
    <definedName function="false" hidden="false" name="IQ_STOCK_BASED_AT" vbProcedure="false">"c2999"</definedName>
    <definedName function="false" hidden="false" name="IQ_STOCK_BASED_CF" vbProcedure="false">"c1203"</definedName>
    <definedName function="false" hidden="false" name="IQ_STOCK_BASED_COGS" vbProcedure="false">"c2990"</definedName>
    <definedName function="false" hidden="false" name="IQ_STOCK_BASED_COGS_FIN" vbProcedure="false">"c2998"</definedName>
    <definedName function="false" hidden="false" name="IQ_STOCK_BASED_COGS_UTIL" vbProcedure="false">"c2997"</definedName>
    <definedName function="false" hidden="false" name="IQ_STOCK_BASED_GA" vbProcedure="false">"c2993"</definedName>
    <definedName function="false" hidden="false" name="IQ_STOCK_BASED_OTHER" vbProcedure="false">"c2995"</definedName>
    <definedName function="false" hidden="false" name="IQ_STOCK_BASED_RD" vbProcedure="false">"c2991"</definedName>
    <definedName function="false" hidden="false" name="IQ_STOCK_BASED_SGA" vbProcedure="false">"c2994"</definedName>
    <definedName function="false" hidden="false" name="IQ_STOCK_BASED_SM" vbProcedure="false">"c2992"</definedName>
    <definedName function="false" hidden="false" name="IQ_STOCK_BASED_TOTAL" vbProcedure="false">"c3040"</definedName>
    <definedName function="false" hidden="false" name="IQ_STRIKE_PRICE_ISSUED" vbProcedure="false">"c1645"</definedName>
    <definedName function="false" hidden="false" name="IQ_STRIKE_PRICE_OS" vbProcedure="false">"c1646"</definedName>
    <definedName function="false" hidden="false" name="IQ_ST_DEBT" vbProcedure="false">"c1176"</definedName>
    <definedName function="false" hidden="false" name="IQ_ST_DEBT_BNK" vbProcedure="false">"c1177"</definedName>
    <definedName function="false" hidden="false" name="IQ_ST_DEBT_BR" vbProcedure="false">"c1178"</definedName>
    <definedName function="false" hidden="false" name="IQ_ST_DEBT_FIN" vbProcedure="false">"c1179"</definedName>
    <definedName function="false" hidden="false" name="IQ_ST_DEBT_INS" vbProcedure="false">"c1180"</definedName>
    <definedName function="false" hidden="false" name="IQ_ST_DEBT_ISSUED" vbProcedure="false">"c1181"</definedName>
    <definedName function="false" hidden="false" name="IQ_ST_DEBT_ISSUED_BNK" vbProcedure="false">"c1182"</definedName>
    <definedName function="false" hidden="false" name="IQ_ST_DEBT_ISSUED_BR" vbProcedure="false">"c1183"</definedName>
    <definedName function="false" hidden="false" name="IQ_ST_DEBT_ISSUED_FIN" vbProcedure="false">"c1184"</definedName>
    <definedName function="false" hidden="false" name="IQ_ST_DEBT_ISSUED_INS" vbProcedure="false">"c1185"</definedName>
    <definedName function="false" hidden="false" name="IQ_ST_DEBT_ISSUED_REIT" vbProcedure="false">"c1186"</definedName>
    <definedName function="false" hidden="false" name="IQ_ST_DEBT_ISSUED_UTI" vbProcedure="false">"c1187"</definedName>
    <definedName function="false" hidden="false" name="IQ_ST_DEBT_PCT" vbProcedure="false">"c2539"</definedName>
    <definedName function="false" hidden="false" name="IQ_ST_DEBT_REIT" vbProcedure="false">"c1188"</definedName>
    <definedName function="false" hidden="false" name="IQ_ST_DEBT_REPAID" vbProcedure="false">"c1189"</definedName>
    <definedName function="false" hidden="false" name="IQ_ST_DEBT_REPAID_BNK" vbProcedure="false">"c1190"</definedName>
    <definedName function="false" hidden="false" name="IQ_ST_DEBT_REPAID_BR" vbProcedure="false">"c1191"</definedName>
    <definedName function="false" hidden="false" name="IQ_ST_DEBT_REPAID_FIN" vbProcedure="false">"c1192"</definedName>
    <definedName function="false" hidden="false" name="IQ_ST_DEBT_REPAID_INS" vbProcedure="false">"c1193"</definedName>
    <definedName function="false" hidden="false" name="IQ_ST_DEBT_REPAID_REIT" vbProcedure="false">"c1194"</definedName>
    <definedName function="false" hidden="false" name="IQ_ST_DEBT_REPAID_UTI" vbProcedure="false">"c1195"</definedName>
    <definedName function="false" hidden="false" name="IQ_ST_DEBT_UTI" vbProcedure="false">"c1196"</definedName>
    <definedName function="false" hidden="false" name="IQ_ST_INVEST" vbProcedure="false">"c1197"</definedName>
    <definedName function="false" hidden="false" name="IQ_ST_INVEST_UTI" vbProcedure="false">"c1198"</definedName>
    <definedName function="false" hidden="false" name="IQ_ST_NOTE_RECEIV" vbProcedure="false">"c1199"</definedName>
    <definedName function="false" hidden="false" name="IQ_SUB_BONDS_NOTES" vbProcedure="false">"c2503"</definedName>
    <definedName function="false" hidden="false" name="IQ_SUB_BONDS_NOTES_PCT" vbProcedure="false">"c2504"</definedName>
    <definedName function="false" hidden="false" name="IQ_SUB_DEBT" vbProcedure="false">"c2532"</definedName>
    <definedName function="false" hidden="false" name="IQ_SUB_DEBT_EBITDA" vbProcedure="false">"c2558"</definedName>
    <definedName function="false" hidden="false" name="IQ_SUB_DEBT_EBITDA_CAPEX" vbProcedure="false">"c2559"</definedName>
    <definedName function="false" hidden="false" name="IQ_SUB_DEBT_FDIC" vbProcedure="false">"c6346"</definedName>
    <definedName function="false" hidden="false" name="IQ_SUB_DEBT_PCT" vbProcedure="false">"c2533"</definedName>
    <definedName function="false" hidden="false" name="IQ_SUB_LEASE_AFTER_FIVE" vbProcedure="false">"c1207"</definedName>
    <definedName function="false" hidden="false" name="IQ_SUB_LEASE_INC_CY" vbProcedure="false">"c1208"</definedName>
    <definedName function="false" hidden="false" name="IQ_SUB_LEASE_INC_CY1" vbProcedure="false">"c1209"</definedName>
    <definedName function="false" hidden="false" name="IQ_SUB_LEASE_INC_CY2" vbProcedure="false">"c1210"</definedName>
    <definedName function="false" hidden="false" name="IQ_SUB_LEASE_INC_CY3" vbProcedure="false">"c1211"</definedName>
    <definedName function="false" hidden="false" name="IQ_SUB_LEASE_INC_CY4" vbProcedure="false">"c1212"</definedName>
    <definedName function="false" hidden="false" name="IQ_SUB_LEASE_NEXT_FIVE" vbProcedure="false">"c1213"</definedName>
    <definedName function="false" hidden="false" name="IQ_SURPLUS_FDIC" vbProcedure="false">"c6351"</definedName>
    <definedName function="false" hidden="false" name="IQ_SVA" vbProcedure="false">"c1214"</definedName>
    <definedName function="false" hidden="false" name="IQ_TARGET_PRICE_LASTCLOSE" vbProcedure="false">"c1855"</definedName>
    <definedName function="false" hidden="false" name="IQ_TARGET_PRICE_NUM" vbProcedure="false">"c1653"</definedName>
    <definedName function="false" hidden="false" name="IQ_TARGET_PRICE_NUM_REUT" vbProcedure="false">"c5319"</definedName>
    <definedName function="false" hidden="false" name="IQ_TARGET_PRICE_STDDEV" vbProcedure="false">"c1654"</definedName>
    <definedName function="false" hidden="false" name="IQ_TARGET_PRICE_STDDEV_REUT" vbProcedure="false">"c5320"</definedName>
    <definedName function="false" hidden="false" name="IQ_TAX_BENEFIT_OPTIONS" vbProcedure="false">"c1215"</definedName>
    <definedName function="false" hidden="false" name="IQ_TAX_EQUIV_NET_INT_INC" vbProcedure="false">"c1216"</definedName>
    <definedName function="false" hidden="false" name="IQ_TBV" vbProcedure="false">"c1906"</definedName>
    <definedName function="false" hidden="false" name="IQ_TBV_10YR_ANN_GROWTH" vbProcedure="false">"c1936"</definedName>
    <definedName function="false" hidden="false" name="IQ_TBV_1YR_ANN_GROWTH" vbProcedure="false">"c1931"</definedName>
    <definedName function="false" hidden="false" name="IQ_TBV_2YR_ANN_GROWTH" vbProcedure="false">"c1932"</definedName>
    <definedName function="false" hidden="false" name="IQ_TBV_3YR_ANN_GROWTH" vbProcedure="false">"c1933"</definedName>
    <definedName function="false" hidden="false" name="IQ_TBV_5YR_ANN_GROWTH" vbProcedure="false">"c1934"</definedName>
    <definedName function="false" hidden="false" name="IQ_TBV_7YR_ANN_GROWTH" vbProcedure="false">"c1935"</definedName>
    <definedName function="false" hidden="false" name="IQ_TBV_SHARE" vbProcedure="false">"c1217"</definedName>
    <definedName function="false" hidden="false" name="IQ_TEMPLATE" vbProcedure="false">"c1521"</definedName>
    <definedName function="false" hidden="false" name="IQ_TENANT" vbProcedure="false">"c1218"</definedName>
    <definedName function="false" hidden="false" name="IQ_TERM_LOANS" vbProcedure="false">"c2499"</definedName>
    <definedName function="false" hidden="false" name="IQ_TERM_LOANS_PCT" vbProcedure="false">"c2500"</definedName>
    <definedName function="false" hidden="false" name="IQ_TEV" vbProcedure="false">"c1219"</definedName>
    <definedName function="false" hidden="false" name="IQ_TEV_EBIT" vbProcedure="false">"c1220"</definedName>
    <definedName function="false" hidden="false" name="IQ_TEV_EBITDA" vbProcedure="false">"c1222"</definedName>
    <definedName function="false" hidden="false" name="IQ_TEV_EBITDA_AVG" vbProcedure="false">"c1223"</definedName>
    <definedName function="false" hidden="false" name="IQ_TEV_EBITDA_FWD" vbProcedure="false">"c1224"</definedName>
    <definedName function="false" hidden="false" name="IQ_TEV_EBITDA_FWD_REUT" vbProcedure="false">"c4050"</definedName>
    <definedName function="false" hidden="false" name="IQ_TEV_EBIT_AVG" vbProcedure="false">"c1221"</definedName>
    <definedName function="false" hidden="false" name="IQ_TEV_EBIT_FWD" vbProcedure="false">"c2238"</definedName>
    <definedName function="false" hidden="false" name="IQ_TEV_EBIT_FWD_REUT" vbProcedure="false">"c4054"</definedName>
    <definedName function="false" hidden="false" name="IQ_TEV_EMPLOYEE_AVG" vbProcedure="false">"c1225"</definedName>
    <definedName function="false" hidden="false" name="IQ_TEV_TOTAL_REV" vbProcedure="false">"c1226"</definedName>
    <definedName function="false" hidden="false" name="IQ_TEV_TOTAL_REV_AVG" vbProcedure="false">"c1227"</definedName>
    <definedName function="false" hidden="false" name="IQ_TEV_TOTAL_REV_FWD" vbProcedure="false">"c1228"</definedName>
    <definedName function="false" hidden="false" name="IQ_TEV_TOTAL_REV_FWD_REUT" vbProcedure="false">"c4051"</definedName>
    <definedName function="false" hidden="false" name="IQ_TEV_UFCF" vbProcedure="false">"c2208"</definedName>
    <definedName function="false" hidden="false" name="IQ_THREE_MONTHS_FIXED_AND_FLOATING_FDIC" vbProcedure="false">"c6419"</definedName>
    <definedName function="false" hidden="false" name="IQ_THREE_MONTHS_MORTGAGE_PASS_THROUGHS_FDIC" vbProcedure="false">"c6411"</definedName>
    <definedName function="false" hidden="false" name="IQ_THREE_YEARS_LESS_FDIC" vbProcedure="false">"c6417"</definedName>
    <definedName function="false" hidden="false" name="IQ_THREE_YEAR_FIXED_AND_FLOATING_RATE_FDIC" vbProcedure="false">"c6421"</definedName>
    <definedName function="false" hidden="false" name="IQ_THREE_YEAR_MORTGAGE_PASS_THROUGHS_FDIC" vbProcedure="false">"c6413"</definedName>
    <definedName function="false" hidden="false" name="IQ_TIER_1_RISK_BASED_CAPITAL_RATIO_FDIC" vbProcedure="false">"c6746"</definedName>
    <definedName function="false" hidden="false" name="IQ_TIER_ONE_CAPITAL" vbProcedure="false">"c2667"</definedName>
    <definedName function="false" hidden="false" name="IQ_TIER_ONE_FDIC" vbProcedure="false">"c6369"</definedName>
    <definedName function="false" hidden="false" name="IQ_TIER_ONE_RATIO" vbProcedure="false">"c1229"</definedName>
    <definedName function="false" hidden="false" name="IQ_TIER_TWO_CAPITAL" vbProcedure="false">"c2669"</definedName>
    <definedName function="false" hidden="false" name="IQ_TIME_DEP" vbProcedure="false">"c1230"</definedName>
    <definedName function="false" hidden="false" name="IQ_TIME_DEPOSITS_LESS_THAN_100K_FDIC" vbProcedure="false">"c6465"</definedName>
    <definedName function="false" hidden="false" name="IQ_TIME_DEPOSITS_MORE_THAN_100K_FDIC" vbProcedure="false">"c6470"</definedName>
    <definedName function="false" hidden="false" name="IQ_TODAY" vbProcedure="false">0</definedName>
    <definedName function="false" hidden="false" name="IQ_TOTAL_AR_BR" vbProcedure="false">"c1231"</definedName>
    <definedName function="false" hidden="false" name="IQ_TOTAL_AR_REIT" vbProcedure="false">"c1232"</definedName>
    <definedName function="false" hidden="false" name="IQ_TOTAL_AR_UTI" vbProcedure="false">"c1233"</definedName>
    <definedName function="false" hidden="false" name="IQ_TOTAL_ASSETS" vbProcedure="false">"c1234"</definedName>
    <definedName function="false" hidden="false" name="IQ_TOTAL_ASSETS_10YR_ANN_GROWTH" vbProcedure="false">"c1235"</definedName>
    <definedName function="false" hidden="false" name="IQ_TOTAL_ASSETS_1YR_ANN_GROWTH" vbProcedure="false">"c1236"</definedName>
    <definedName function="false" hidden="false" name="IQ_TOTAL_ASSETS_2YR_ANN_GROWTH" vbProcedure="false">"c1237"</definedName>
    <definedName function="false" hidden="false" name="IQ_TOTAL_ASSETS_3YR_ANN_GROWTH" vbProcedure="false">"c1238"</definedName>
    <definedName function="false" hidden="false" name="IQ_TOTAL_ASSETS_5YR_ANN_GROWTH" vbProcedure="false">"c1239"</definedName>
    <definedName function="false" hidden="false" name="IQ_TOTAL_ASSETS_7YR_ANN_GROWTH" vbProcedure="false">"c1240"</definedName>
    <definedName function="false" hidden="false" name="IQ_TOTAL_ASSETS_FDIC" vbProcedure="false">"c6339"</definedName>
    <definedName function="false" hidden="false" name="IQ_TOTAL_AVG_CE_TOTAL_AVG_ASSETS" vbProcedure="false">"c1241"</definedName>
    <definedName function="false" hidden="false" name="IQ_TOTAL_AVG_EQUITY_TOTAL_AVG_ASSETS" vbProcedure="false">"c1242"</definedName>
    <definedName function="false" hidden="false" name="IQ_TOTAL_BANK_CAPITAL" vbProcedure="false">"c2668"</definedName>
    <definedName function="false" hidden="false" name="IQ_TOTAL_CA" vbProcedure="false">"c1243"</definedName>
    <definedName function="false" hidden="false" name="IQ_TOTAL_CAP" vbProcedure="false">"c1507"</definedName>
    <definedName function="false" hidden="false" name="IQ_TOTAL_CAPITAL_RATIO" vbProcedure="false">"c1244"</definedName>
    <definedName function="false" hidden="false" name="IQ_TOTAL_CASH_DIVID" vbProcedure="false">"c1455"</definedName>
    <definedName function="false" hidden="false" name="IQ_TOTAL_CASH_FINAN" vbProcedure="false">"c1352"</definedName>
    <definedName function="false" hidden="false" name="IQ_TOTAL_CASH_INVEST" vbProcedure="false">"c1353"</definedName>
    <definedName function="false" hidden="false" name="IQ_TOTAL_CASH_OPER" vbProcedure="false">"c1354"</definedName>
    <definedName function="false" hidden="false" name="IQ_TOTAL_CHARGE_OFFS_FDIC" vbProcedure="false">"c6603"</definedName>
    <definedName function="false" hidden="false" name="IQ_TOTAL_CHURN" vbProcedure="false">"c2122"</definedName>
    <definedName function="false" hidden="false" name="IQ_TOTAL_CL" vbProcedure="false">"c1245"</definedName>
    <definedName function="false" hidden="false" name="IQ_TOTAL_COMMON" vbProcedure="false">"c1411"</definedName>
    <definedName function="false" hidden="false" name="IQ_TOTAL_COMMON_EQUITY" vbProcedure="false">"c1246"</definedName>
    <definedName function="false" hidden="false" name="IQ_TOTAL_CURRENT_ASSETS" vbProcedure="false">"c1430"</definedName>
    <definedName function="false" hidden="false" name="IQ_TOTAL_CURRENT_LIAB" vbProcedure="false">"c1431"</definedName>
    <definedName function="false" hidden="false" name="IQ_TOTAL_DEBT" vbProcedure="false">"c1247"</definedName>
    <definedName function="false" hidden="false" name="IQ_TOTAL_DEBT_CAPITAL" vbProcedure="false">"c1248"</definedName>
    <definedName function="false" hidden="false" name="IQ_TOTAL_DEBT_DUE" vbProcedure="false">"c2509"</definedName>
    <definedName function="false" hidden="false" name="IQ_TOTAL_DEBT_EBITDA" vbProcedure="false">"c1249"</definedName>
    <definedName function="false" hidden="false" name="IQ_TOTAL_DEBT_EBITDA_CAPEX" vbProcedure="false">"c2948"</definedName>
    <definedName function="false" hidden="false" name="IQ_TOTAL_DEBT_EQUITY" vbProcedure="false">"c1250"</definedName>
    <definedName function="false" hidden="false" name="IQ_TOTAL_DEBT_EXCL_FIN" vbProcedure="false">"c2937"</definedName>
    <definedName function="false" hidden="false" name="IQ_TOTAL_DEBT_ISSUED" vbProcedure="false">"c1251"</definedName>
    <definedName function="false" hidden="false" name="IQ_TOTAL_DEBT_ISSUED_BNK" vbProcedure="false">"c1252"</definedName>
    <definedName function="false" hidden="false" name="IQ_TOTAL_DEBT_ISSUED_BR" vbProcedure="false">"c1253"</definedName>
    <definedName function="false" hidden="false" name="IQ_TOTAL_DEBT_ISSUED_FIN" vbProcedure="false">"c1254"</definedName>
    <definedName function="false" hidden="false" name="IQ_TOTAL_DEBT_ISSUED_REIT" vbProcedure="false">"c1255"</definedName>
    <definedName function="false" hidden="false" name="IQ_TOTAL_DEBT_ISSUED_UTI" vbProcedure="false">"c1256"</definedName>
    <definedName function="false" hidden="false" name="IQ_TOTAL_DEBT_ISSUES_INS" vbProcedure="false">"c1257"</definedName>
    <definedName function="false" hidden="false" name="IQ_TOTAL_DEBT_OVER_EBITDA" vbProcedure="false">"c1433"</definedName>
    <definedName function="false" hidden="false" name="IQ_TOTAL_DEBT_OVER_TOTAL_BV" vbProcedure="false">"c1434"</definedName>
    <definedName function="false" hidden="false" name="IQ_TOTAL_DEBT_OVER_TOTAL_CAP" vbProcedure="false">"c1432"</definedName>
    <definedName function="false" hidden="false" name="IQ_TOTAL_DEBT_REPAID" vbProcedure="false">"c1258"</definedName>
    <definedName function="false" hidden="false" name="IQ_TOTAL_DEBT_REPAID_BNK" vbProcedure="false">"c1259"</definedName>
    <definedName function="false" hidden="false" name="IQ_TOTAL_DEBT_REPAID_BR" vbProcedure="false">"c1260"</definedName>
    <definedName function="false" hidden="false" name="IQ_TOTAL_DEBT_REPAID_FIN" vbProcedure="false">"c1261"</definedName>
    <definedName function="false" hidden="false" name="IQ_TOTAL_DEBT_REPAID_INS" vbProcedure="false">"c1262"</definedName>
    <definedName function="false" hidden="false" name="IQ_TOTAL_DEBT_REPAID_REIT" vbProcedure="false">"c1263"</definedName>
    <definedName function="false" hidden="false" name="IQ_TOTAL_DEBT_REPAID_UTI" vbProcedure="false">"c1264"</definedName>
    <definedName function="false" hidden="false" name="IQ_TOTAL_DEBT_SECURITIES_FDIC" vbProcedure="false">"c6410"</definedName>
    <definedName function="false" hidden="false" name="IQ_TOTAL_DEPOSITS" vbProcedure="false">"c1265"</definedName>
    <definedName function="false" hidden="false" name="IQ_TOTAL_DEPOSITS_FDIC" vbProcedure="false">"c6342"</definedName>
    <definedName function="false" hidden="false" name="IQ_TOTAL_DIV_PAID_CF" vbProcedure="false">"c1266"</definedName>
    <definedName function="false" hidden="false" name="IQ_TOTAL_EMPLOYEE" vbProcedure="false">"c2141"</definedName>
    <definedName function="false" hidden="false" name="IQ_TOTAL_EMPLOYEES" vbProcedure="false">"c1522"</definedName>
    <definedName function="false" hidden="false" name="IQ_TOTAL_EMPLOYEES_FDIC" vbProcedure="false">"c6355"</definedName>
    <definedName function="false" hidden="false" name="IQ_TOTAL_EQUITY" vbProcedure="false">"c1267"</definedName>
    <definedName function="false" hidden="false" name="IQ_TOTAL_EQUITY_10YR_ANN_GROWTH" vbProcedure="false">"c1268"</definedName>
    <definedName function="false" hidden="false" name="IQ_TOTAL_EQUITY_1YR_ANN_GROWTH" vbProcedure="false">"c1269"</definedName>
    <definedName function="false" hidden="false" name="IQ_TOTAL_EQUITY_2YR_ANN_GROWTH" vbProcedure="false">"c1270"</definedName>
    <definedName function="false" hidden="false" name="IQ_TOTAL_EQUITY_3YR_ANN_GROWTH" vbProcedure="false">"c1271"</definedName>
    <definedName function="false" hidden="false" name="IQ_TOTAL_EQUITY_5YR_ANN_GROWTH" vbProcedure="false">"c1272"</definedName>
    <definedName function="false" hidden="false" name="IQ_TOTAL_EQUITY_7YR_ANN_GROWTH" vbProcedure="false">"c1273"</definedName>
    <definedName function="false" hidden="false" name="IQ_TOTAL_EQUITY_ALLOWANCE_TOTAL_LOANS" vbProcedure="false">"c1274"</definedName>
    <definedName function="false" hidden="false" name="IQ_TOTAL_INTEREST_EXP" vbProcedure="false">"c1382"</definedName>
    <definedName function="false" hidden="false" name="IQ_TOTAL_INVENTORY" vbProcedure="false">"c1385"</definedName>
    <definedName function="false" hidden="false" name="IQ_TOTAL_INVEST" vbProcedure="false">"c1275"</definedName>
    <definedName function="false" hidden="false" name="IQ_TOTAL_LIAB" vbProcedure="false">"c1276"</definedName>
    <definedName function="false" hidden="false" name="IQ_TOTAL_LIABILITIES_FDIC" vbProcedure="false">"c6348"</definedName>
    <definedName function="false" hidden="false" name="IQ_TOTAL_LIAB_BNK" vbProcedure="false">"c1277"</definedName>
    <definedName function="false" hidden="false" name="IQ_TOTAL_LIAB_BR" vbProcedure="false">"c1278"</definedName>
    <definedName function="false" hidden="false" name="IQ_TOTAL_LIAB_EQUITY" vbProcedure="false">"c1279"</definedName>
    <definedName function="false" hidden="false" name="IQ_TOTAL_LIAB_EQUITY_FDIC" vbProcedure="false">"c6354"</definedName>
    <definedName function="false" hidden="false" name="IQ_TOTAL_LIAB_FIN" vbProcedure="false">"c1280"</definedName>
    <definedName function="false" hidden="false" name="IQ_TOTAL_LIAB_INS" vbProcedure="false">"c1281"</definedName>
    <definedName function="false" hidden="false" name="IQ_TOTAL_LIAB_REIT" vbProcedure="false">"c1282"</definedName>
    <definedName function="false" hidden="false" name="IQ_TOTAL_LIAB_SHAREHOLD" vbProcedure="false">"c1435"</definedName>
    <definedName function="false" hidden="false" name="IQ_TOTAL_LIAB_TOTAL_ASSETS" vbProcedure="false">"c1283"</definedName>
    <definedName function="false" hidden="false" name="IQ_TOTAL_LONG_DEBT" vbProcedure="false">"c1617"</definedName>
    <definedName function="false" hidden="false" name="IQ_TOTAL_NON_REC" vbProcedure="false">"c1444"</definedName>
    <definedName function="false" hidden="false" name="IQ_TOTAL_OPER_EXPEN" vbProcedure="false">"c1445"</definedName>
    <definedName function="false" hidden="false" name="IQ_TOTAL_OPER_EXP_BR" vbProcedure="false">"c1284"</definedName>
    <definedName function="false" hidden="false" name="IQ_TOTAL_OPER_EXP_FIN" vbProcedure="false">"c1285"</definedName>
    <definedName function="false" hidden="false" name="IQ_TOTAL_OPER_EXP_INS" vbProcedure="false">"c1286"</definedName>
    <definedName function="false" hidden="false" name="IQ_TOTAL_OPER_EXP_REIT" vbProcedure="false">"c1287"</definedName>
    <definedName function="false" hidden="false" name="IQ_TOTAL_OPER_EXP_UTI" vbProcedure="false">"c1288"</definedName>
    <definedName function="false" hidden="false" name="IQ_TOTAL_OPTIONS_BEG_OS" vbProcedure="false">"c2693"</definedName>
    <definedName function="false" hidden="false" name="IQ_TOTAL_OPTIONS_CANCELLED" vbProcedure="false">"c2696"</definedName>
    <definedName function="false" hidden="false" name="IQ_TOTAL_OPTIONS_END_OS" vbProcedure="false">"c2697"</definedName>
    <definedName function="false" hidden="false" name="IQ_TOTAL_OPTIONS_EXERCISED" vbProcedure="false">"c2695"</definedName>
    <definedName function="false" hidden="false" name="IQ_TOTAL_OPTIONS_GRANTED" vbProcedure="false">"c2694"</definedName>
    <definedName function="false" hidden="false" name="IQ_TOTAL_OTHER_OPER" vbProcedure="false">"c1289"</definedName>
    <definedName function="false" hidden="false" name="IQ_TOTAL_OUTSTANDING_BS_DATE" vbProcedure="false">"c1022"</definedName>
    <definedName function="false" hidden="false" name="IQ_TOTAL_OUTSTANDING_FILING_DATE" vbProcedure="false">"c2107"</definedName>
    <definedName function="false" hidden="false" name="IQ_TOTAL_PENSION_ASSETS" vbProcedure="false">"c1290"</definedName>
    <definedName function="false" hidden="false" name="IQ_TOTAL_PENSION_ASSETS_DOMESTIC" vbProcedure="false">"c2658"</definedName>
    <definedName function="false" hidden="false" name="IQ_TOTAL_PENSION_ASSETS_FOREIGN" vbProcedure="false">"c2666"</definedName>
    <definedName function="false" hidden="false" name="IQ_TOTAL_PENSION_EXP" vbProcedure="false">"c1291"</definedName>
    <definedName function="false" hidden="false" name="IQ_TOTAL_PENSION_OBLIGATION" vbProcedure="false">"c1292"</definedName>
    <definedName function="false" hidden="false" name="IQ_TOTAL_PRINCIPAL" vbProcedure="false">"c2509"</definedName>
    <definedName function="false" hidden="false" name="IQ_TOTAL_PRINCIPAL_PCT" vbProcedure="false">"c2510"</definedName>
    <definedName function="false" hidden="false" name="IQ_TOTAL_PROVED_RESERVES_NGL" vbProcedure="false">"c2924"</definedName>
    <definedName function="false" hidden="false" name="IQ_TOTAL_PROVED_RESERVES_OIL" vbProcedure="false">"c2040"</definedName>
    <definedName function="false" hidden="false" name="IQ_TOTAL_RECEIV" vbProcedure="false">"c1293"</definedName>
    <definedName function="false" hidden="false" name="IQ_TOTAL_RECOVERIES_FDIC" vbProcedure="false">"c6622"</definedName>
    <definedName function="false" hidden="false" name="IQ_TOTAL_REV" vbProcedure="false">"c1294"</definedName>
    <definedName function="false" hidden="false" name="IQ_TOTAL_REVENUE" vbProcedure="false">"c1436"</definedName>
    <definedName function="false" hidden="false" name="IQ_TOTAL_REV_10YR_ANN_GROWTH" vbProcedure="false">"c1295"</definedName>
    <definedName function="false" hidden="false" name="IQ_TOTAL_REV_1YR_ANN_GROWTH" vbProcedure="false">"c1296"</definedName>
    <definedName function="false" hidden="false" name="IQ_TOTAL_REV_2YR_ANN_GROWTH" vbProcedure="false">"c1297"</definedName>
    <definedName function="false" hidden="false" name="IQ_TOTAL_REV_3YR_ANN_GROWTH" vbProcedure="false">"c1298"</definedName>
    <definedName function="false" hidden="false" name="IQ_TOTAL_REV_5YR_ANN_GROWTH" vbProcedure="false">"c1299"</definedName>
    <definedName function="false" hidden="false" name="IQ_TOTAL_REV_7YR_ANN_GROWTH" vbProcedure="false">"c1300"</definedName>
    <definedName function="false" hidden="false" name="IQ_TOTAL_REV_AS_REPORTED" vbProcedure="false">"c1301"</definedName>
    <definedName function="false" hidden="false" name="IQ_TOTAL_REV_BNK" vbProcedure="false">"c1302"</definedName>
    <definedName function="false" hidden="false" name="IQ_TOTAL_REV_BNK_FDIC" vbProcedure="false">"c6786"</definedName>
    <definedName function="false" hidden="false" name="IQ_TOTAL_REV_BR" vbProcedure="false">"c1303"</definedName>
    <definedName function="false" hidden="false" name="IQ_TOTAL_REV_EMPLOYEE" vbProcedure="false">"c1304"</definedName>
    <definedName function="false" hidden="false" name="IQ_TOTAL_REV_FIN" vbProcedure="false">"c1305"</definedName>
    <definedName function="false" hidden="false" name="IQ_TOTAL_REV_INS" vbProcedure="false">"c1306"</definedName>
    <definedName function="false" hidden="false" name="IQ_TOTAL_REV_REIT" vbProcedure="false">"c1307"</definedName>
    <definedName function="false" hidden="false" name="IQ_TOTAL_REV_SHARE" vbProcedure="false">"c1912"</definedName>
    <definedName function="false" hidden="false" name="IQ_TOTAL_REV_UTI" vbProcedure="false">"c1308"</definedName>
    <definedName function="false" hidden="false" name="IQ_TOTAL_RISK_BASED_CAPITAL_RATIO_FDIC" vbProcedure="false">"c6747"</definedName>
    <definedName function="false" hidden="false" name="IQ_TOTAL_SECURITIES_FDIC" vbProcedure="false">"c6306"</definedName>
    <definedName function="false" hidden="false" name="IQ_TOTAL_SPECIAL" vbProcedure="false">"c1618"</definedName>
    <definedName function="false" hidden="false" name="IQ_TOTAL_ST_BORROW" vbProcedure="false">"c1424"</definedName>
    <definedName function="false" hidden="false" name="IQ_TOTAL_SUBS" vbProcedure="false">"c2119"</definedName>
    <definedName function="false" hidden="false" name="IQ_TOTAL_SUB_DEBT" vbProcedure="false">"c2528"</definedName>
    <definedName function="false" hidden="false" name="IQ_TOTAL_SUB_DEBT_EBITDA" vbProcedure="false">"c2554"</definedName>
    <definedName function="false" hidden="false" name="IQ_TOTAL_SUB_DEBT_EBITDA_CAPEX" vbProcedure="false">"c2555"</definedName>
    <definedName function="false" hidden="false" name="IQ_TOTAL_SUB_DEBT_PCT" vbProcedure="false">"c2529"</definedName>
    <definedName function="false" hidden="false" name="IQ_TOTAL_TIME_DEPOSITS_FDIC" vbProcedure="false">"c6497"</definedName>
    <definedName function="false" hidden="false" name="IQ_TOTAL_TIME_SAVINGS_DEPOSITS_FDIC" vbProcedure="false">"c6498"</definedName>
    <definedName function="false" hidden="false" name="IQ_TOTAL_UNUSED_COMMITMENTS_FDIC" vbProcedure="false">"c6536"</definedName>
    <definedName function="false" hidden="false" name="IQ_TOTAL_UNUSUAL" vbProcedure="false">"c1508"</definedName>
    <definedName function="false" hidden="false" name="IQ_TOTAL_UNUSUAL_BR" vbProcedure="false">"c5517"</definedName>
    <definedName function="false" hidden="false" name="IQ_TOTAL_WARRANTS_BEG_OS" vbProcedure="false">"c2719"</definedName>
    <definedName function="false" hidden="false" name="IQ_TOTAL_WARRANTS_CANCELLED" vbProcedure="false">"c2722"</definedName>
    <definedName function="false" hidden="false" name="IQ_TOTAL_WARRANTS_END_OS" vbProcedure="false">"c2723"</definedName>
    <definedName function="false" hidden="false" name="IQ_TOTAL_WARRANTS_EXERCISED" vbProcedure="false">"c2721"</definedName>
    <definedName function="false" hidden="false" name="IQ_TOTAL_WARRANTS_ISSUED" vbProcedure="false">"c2720"</definedName>
    <definedName function="false" hidden="false" name="IQ_TOT_ADJ_INC" vbProcedure="false">"c1616"</definedName>
    <definedName function="false" hidden="false" name="IQ_TRADE_AR" vbProcedure="false">"c1345"</definedName>
    <definedName function="false" hidden="false" name="IQ_TRADE_PRINCIPAL" vbProcedure="false">"c1309"</definedName>
    <definedName function="false" hidden="false" name="IQ_TRADING_ACCOUNT_GAINS_FEES_FDIC" vbProcedure="false">"c6573"</definedName>
    <definedName function="false" hidden="false" name="IQ_TRADING_ASSETS" vbProcedure="false">"c1310"</definedName>
    <definedName function="false" hidden="false" name="IQ_TRADING_ASSETS_FDIC" vbProcedure="false">"c6328"</definedName>
    <definedName function="false" hidden="false" name="IQ_TRADING_CURRENCY" vbProcedure="false">"c2212"</definedName>
    <definedName function="false" hidden="false" name="IQ_TRADING_LIABILITIES_FDIC" vbProcedure="false">"c6344"</definedName>
    <definedName function="false" hidden="false" name="IQ_TRANSACTION_ACCOUNTS_FDIC" vbProcedure="false">"c6544"</definedName>
    <definedName function="false" hidden="false" name="IQ_TREASURY" vbProcedure="false">"c1311"</definedName>
    <definedName function="false" hidden="false" name="IQ_TREASURY_OTHER_EQUITY" vbProcedure="false">"c1312"</definedName>
    <definedName function="false" hidden="false" name="IQ_TREASURY_OTHER_EQUITY_BNK" vbProcedure="false">"c1313"</definedName>
    <definedName function="false" hidden="false" name="IQ_TREASURY_OTHER_EQUITY_BR" vbProcedure="false">"c1314"</definedName>
    <definedName function="false" hidden="false" name="IQ_TREASURY_OTHER_EQUITY_FIN" vbProcedure="false">"c1315"</definedName>
    <definedName function="false" hidden="false" name="IQ_TREASURY_OTHER_EQUITY_INS" vbProcedure="false">"c1316"</definedName>
    <definedName function="false" hidden="false" name="IQ_TREASURY_OTHER_EQUITY_REIT" vbProcedure="false">"c1317"</definedName>
    <definedName function="false" hidden="false" name="IQ_TREASURY_OTHER_EQUITY_UTI" vbProcedure="false">"c1318"</definedName>
    <definedName function="false" hidden="false" name="IQ_TREASURY_STOCK" vbProcedure="false">"c1438"</definedName>
    <definedName function="false" hidden="false" name="IQ_TREASURY_STOCK_TRANSACTIONS_FDIC" vbProcedure="false">"c6501"</definedName>
    <definedName function="false" hidden="false" name="IQ_TRUST_INC" vbProcedure="false">"c1319"</definedName>
    <definedName function="false" hidden="false" name="IQ_TRUST_PREF" vbProcedure="false">"c1320"</definedName>
    <definedName function="false" hidden="false" name="IQ_TRUST_PREFERRED" vbProcedure="false">"c3029"</definedName>
    <definedName function="false" hidden="false" name="IQ_TRUST_PREFERRED_PCT" vbProcedure="false">"c3030"</definedName>
    <definedName function="false" hidden="false" name="IQ_TR_ACCT_METHOD" vbProcedure="false">"c2363"</definedName>
    <definedName function="false" hidden="false" name="IQ_TR_ACQ_52_WK_HI_PCT" vbProcedure="false">"c2348"</definedName>
    <definedName function="false" hidden="false" name="IQ_TR_ACQ_52_WK_LOW_PCT" vbProcedure="false">"c2347"</definedName>
    <definedName function="false" hidden="false" name="IQ_TR_ACQ_CASH_ST_INVEST" vbProcedure="false">"c2372"</definedName>
    <definedName function="false" hidden="false" name="IQ_TR_ACQ_CLOSEPRICE_1D" vbProcedure="false">"c3027"</definedName>
    <definedName function="false" hidden="false" name="IQ_TR_ACQ_DILUT_EPS_EXCL" vbProcedure="false">"c3028"</definedName>
    <definedName function="false" hidden="false" name="IQ_TR_ACQ_EARNING_CO" vbProcedure="false">"c2379"</definedName>
    <definedName function="false" hidden="false" name="IQ_TR_ACQ_EBIT" vbProcedure="false">"c2380"</definedName>
    <definedName function="false" hidden="false" name="IQ_TR_ACQ_EBITDA" vbProcedure="false">"c2381"</definedName>
    <definedName function="false" hidden="false" name="IQ_TR_ACQ_FILING_CURRENCY" vbProcedure="false">"c3033"</definedName>
    <definedName function="false" hidden="false" name="IQ_TR_ACQ_MCAP_1DAY" vbProcedure="false">"c2345"</definedName>
    <definedName function="false" hidden="false" name="IQ_TR_ACQ_MIN_INT" vbProcedure="false">"c2374"</definedName>
    <definedName function="false" hidden="false" name="IQ_TR_ACQ_NET_DEBT" vbProcedure="false">"c2373"</definedName>
    <definedName function="false" hidden="false" name="IQ_TR_ACQ_NI" vbProcedure="false">"c2378"</definedName>
    <definedName function="false" hidden="false" name="IQ_TR_ACQ_PRICEDATE_1D" vbProcedure="false">"c2346"</definedName>
    <definedName function="false" hidden="false" name="IQ_TR_ACQ_RETURN" vbProcedure="false">"c2349"</definedName>
    <definedName function="false" hidden="false" name="IQ_TR_ACQ_STOCKYEARHIGH_1D" vbProcedure="false">"c2343"</definedName>
    <definedName function="false" hidden="false" name="IQ_TR_ACQ_STOCKYEARLOW_1D" vbProcedure="false">"c2344"</definedName>
    <definedName function="false" hidden="false" name="IQ_TR_ACQ_TOTAL_ASSETS" vbProcedure="false">"c2371"</definedName>
    <definedName function="false" hidden="false" name="IQ_TR_ACQ_TOTAL_COMMON_EQ" vbProcedure="false">"c2377"</definedName>
    <definedName function="false" hidden="false" name="IQ_TR_ACQ_TOTAL_DEBT" vbProcedure="false">"c2376"</definedName>
    <definedName function="false" hidden="false" name="IQ_TR_ACQ_TOTAL_PREF" vbProcedure="false">"c2375"</definedName>
    <definedName function="false" hidden="false" name="IQ_TR_ACQ_TOTAL_REV" vbProcedure="false">"c2382"</definedName>
    <definedName function="false" hidden="false" name="IQ_TR_ADJ_SIZE" vbProcedure="false">"c3024"</definedName>
    <definedName function="false" hidden="false" name="IQ_TR_ANN_DATE" vbProcedure="false">"c2395"</definedName>
    <definedName function="false" hidden="false" name="IQ_TR_ANN_DATE_BL" vbProcedure="false">"c2394"</definedName>
    <definedName function="false" hidden="false" name="IQ_TR_BID_DATE" vbProcedure="false">"c2357"</definedName>
    <definedName function="false" hidden="false" name="IQ_TR_BLUESKY_FEES" vbProcedure="false">"c2277"</definedName>
    <definedName function="false" hidden="false" name="IQ_TR_BUYERNAME" vbProcedure="false">"c2401"</definedName>
    <definedName function="false" hidden="false" name="IQ_TR_BUYER_ID" vbProcedure="false">"c2404"</definedName>
    <definedName function="false" hidden="false" name="IQ_TR_BUY_ACC_ADVISORS" vbProcedure="false">"c3048"</definedName>
    <definedName function="false" hidden="false" name="IQ_TR_BUY_ADVISORS" vbProcedure="false">"c2387"</definedName>
    <definedName function="false" hidden="false" name="IQ_TR_BUY_FIN_ADVISORS" vbProcedure="false">"c3045"</definedName>
    <definedName function="false" hidden="false" name="IQ_TR_BUY_LEG_ADVISORS" vbProcedure="false">"c2387"</definedName>
    <definedName function="false" hidden="false" name="IQ_TR_CANCELLED_DATE" vbProcedure="false">"c2284"</definedName>
    <definedName function="false" hidden="false" name="IQ_TR_CASH_CONSID_PCT" vbProcedure="false">"c2296"</definedName>
    <definedName function="false" hidden="false" name="IQ_TR_CASH_ST_INVEST" vbProcedure="false">"c3025"</definedName>
    <definedName function="false" hidden="false" name="IQ_TR_CHANGE_CONTROL" vbProcedure="false">"c2365"</definedName>
    <definedName function="false" hidden="false" name="IQ_TR_CLOSED_DATE" vbProcedure="false">"c2283"</definedName>
    <definedName function="false" hidden="false" name="IQ_TR_COMMENTS" vbProcedure="false">"c2383"</definedName>
    <definedName function="false" hidden="false" name="IQ_TR_CO_NET_PROCEEDS" vbProcedure="false">"c2268"</definedName>
    <definedName function="false" hidden="false" name="IQ_TR_CO_NET_PROCEEDS_PCT" vbProcedure="false">"c2270"</definedName>
    <definedName function="false" hidden="false" name="IQ_TR_CURRENCY" vbProcedure="false">"c3016"</definedName>
    <definedName function="false" hidden="false" name="IQ_TR_DEAL_ATTITUDE" vbProcedure="false">"c2364"</definedName>
    <definedName function="false" hidden="false" name="IQ_TR_DEAL_CONDITIONS" vbProcedure="false">"c2367"</definedName>
    <definedName function="false" hidden="false" name="IQ_TR_DEAL_RESOLUTION" vbProcedure="false">"c2391"</definedName>
    <definedName function="false" hidden="false" name="IQ_TR_DEAL_RESPONSES" vbProcedure="false">"c2366"</definedName>
    <definedName function="false" hidden="false" name="IQ_TR_DEBT_CONSID_PCT" vbProcedure="false">"c2299"</definedName>
    <definedName function="false" hidden="false" name="IQ_TR_DEF_AGRMT_DATE" vbProcedure="false">"c2285"</definedName>
    <definedName function="false" hidden="false" name="IQ_TR_DISCLOSED_FEES_EXP" vbProcedure="false">"c2288"</definedName>
    <definedName function="false" hidden="false" name="IQ_TR_EARNOUTS" vbProcedure="false">"c3023"</definedName>
    <definedName function="false" hidden="false" name="IQ_TR_EXPIRED_DATE" vbProcedure="false">"c2412"</definedName>
    <definedName function="false" hidden="false" name="IQ_TR_GROSS_OFFERING_AMT" vbProcedure="false">"c2262"</definedName>
    <definedName function="false" hidden="false" name="IQ_TR_HYBRID_CONSID_PCT" vbProcedure="false">"c2300"</definedName>
    <definedName function="false" hidden="false" name="IQ_TR_IMPLIED_EQ" vbProcedure="false">"c3018"</definedName>
    <definedName function="false" hidden="false" name="IQ_TR_IMPLIED_EQ_BV" vbProcedure="false">"c3019"</definedName>
    <definedName function="false" hidden="false" name="IQ_TR_IMPLIED_EQ_NI_LTM" vbProcedure="false">"c3020"</definedName>
    <definedName function="false" hidden="false" name="IQ_TR_IMPLIED_EV" vbProcedure="false">"c2301"</definedName>
    <definedName function="false" hidden="false" name="IQ_TR_IMPLIED_EV_BV" vbProcedure="false">"c2306"</definedName>
    <definedName function="false" hidden="false" name="IQ_TR_IMPLIED_EV_EBIT" vbProcedure="false">"c2302"</definedName>
    <definedName function="false" hidden="false" name="IQ_TR_IMPLIED_EV_EBITDA" vbProcedure="false">"c2303"</definedName>
    <definedName function="false" hidden="false" name="IQ_TR_IMPLIED_EV_NI_LTM" vbProcedure="false">"c2307"</definedName>
    <definedName function="false" hidden="false" name="IQ_TR_IMPLIED_EV_REV" vbProcedure="false">"c2304"</definedName>
    <definedName function="false" hidden="false" name="IQ_TR_LOI_DATE" vbProcedure="false">"c2282"</definedName>
    <definedName function="false" hidden="false" name="IQ_TR_MAJ_MIN_STAKE" vbProcedure="false">"c2389"</definedName>
    <definedName function="false" hidden="false" name="IQ_TR_NEGOTIATED_BUYBACK_PRICE" vbProcedure="false">"c2414"</definedName>
    <definedName function="false" hidden="false" name="IQ_TR_NET_ASSUM_LIABILITIES" vbProcedure="false">"c2308"</definedName>
    <definedName function="false" hidden="false" name="IQ_TR_NET_PROCEEDS" vbProcedure="false">"c2267"</definedName>
    <definedName function="false" hidden="false" name="IQ_TR_OFFER_DATE" vbProcedure="false">"c2265"</definedName>
    <definedName function="false" hidden="false" name="IQ_TR_OFFER_DATE_MA" vbProcedure="false">"c3035"</definedName>
    <definedName function="false" hidden="false" name="IQ_TR_OFFER_PER_SHARE" vbProcedure="false">"c3017"</definedName>
    <definedName function="false" hidden="false" name="IQ_TR_OPTIONS_CONSID_PCT" vbProcedure="false">"c2311"</definedName>
    <definedName function="false" hidden="false" name="IQ_TR_OTHER_CONSID" vbProcedure="false">"c3022"</definedName>
    <definedName function="false" hidden="false" name="IQ_TR_PCT_SOUGHT" vbProcedure="false">"c2309"</definedName>
    <definedName function="false" hidden="false" name="IQ_TR_PFEATURES" vbProcedure="false">"c2384"</definedName>
    <definedName function="false" hidden="false" name="IQ_TR_PIPE_CONV_PRICE_SHARE" vbProcedure="false">"c2292"</definedName>
    <definedName function="false" hidden="false" name="IQ_TR_PIPE_CPN_PCT" vbProcedure="false">"c2291"</definedName>
    <definedName function="false" hidden="false" name="IQ_TR_PIPE_NUMBER_SHARES" vbProcedure="false">"c2293"</definedName>
    <definedName function="false" hidden="false" name="IQ_TR_PIPE_PPS" vbProcedure="false">"c2290"</definedName>
    <definedName function="false" hidden="false" name="IQ_TR_POSTMONEY_VAL" vbProcedure="false">"c2286"</definedName>
    <definedName function="false" hidden="false" name="IQ_TR_PREDEAL_SITUATION" vbProcedure="false">"c2390"</definedName>
    <definedName function="false" hidden="false" name="IQ_TR_PREF_CONSID_PCT" vbProcedure="false">"c2310"</definedName>
    <definedName function="false" hidden="false" name="IQ_TR_PREMONEY_VAL" vbProcedure="false">"c2287"</definedName>
    <definedName function="false" hidden="false" name="IQ_TR_PRINTING_FEES" vbProcedure="false">"c2276"</definedName>
    <definedName function="false" hidden="false" name="IQ_TR_PT_MONETARY_VALUES" vbProcedure="false">"c2415"</definedName>
    <definedName function="false" hidden="false" name="IQ_TR_PT_NUMBER_SHARES" vbProcedure="false">"c2417"</definedName>
    <definedName function="false" hidden="false" name="IQ_TR_PT_PCT_SHARES" vbProcedure="false">"c2416"</definedName>
    <definedName function="false" hidden="false" name="IQ_TR_RATING_FEES" vbProcedure="false">"c2275"</definedName>
    <definedName function="false" hidden="false" name="IQ_TR_REG_EFFECT_DATE" vbProcedure="false">"c2264"</definedName>
    <definedName function="false" hidden="false" name="IQ_TR_REG_FILED_DATE" vbProcedure="false">"c2263"</definedName>
    <definedName function="false" hidden="false" name="IQ_TR_RENEWAL_BUYBACK" vbProcedure="false">"c2413"</definedName>
    <definedName function="false" hidden="false" name="IQ_TR_ROUND_NUMBER" vbProcedure="false">"c2295"</definedName>
    <definedName function="false" hidden="false" name="IQ_TR_SECURITY_TYPE_REG" vbProcedure="false">"c2279"</definedName>
    <definedName function="false" hidden="false" name="IQ_TR_SEC_FEES" vbProcedure="false">"c2274"</definedName>
    <definedName function="false" hidden="false" name="IQ_TR_SELLERNAME" vbProcedure="false">"c2402"</definedName>
    <definedName function="false" hidden="false" name="IQ_TR_SELLER_ID" vbProcedure="false">"c2406"</definedName>
    <definedName function="false" hidden="false" name="IQ_TR_SELL_ACC_ADVISORS" vbProcedure="false">"c3049"</definedName>
    <definedName function="false" hidden="false" name="IQ_TR_SELL_ADVISORS" vbProcedure="false">"c2388"</definedName>
    <definedName function="false" hidden="false" name="IQ_TR_SELL_FIN_ADVISORS" vbProcedure="false">"c3046"</definedName>
    <definedName function="false" hidden="false" name="IQ_TR_SELL_LEG_ADVISORS" vbProcedure="false">"c2388"</definedName>
    <definedName function="false" hidden="false" name="IQ_TR_SFEATURES" vbProcedure="false">"c2385"</definedName>
    <definedName function="false" hidden="false" name="IQ_TR_SH_NET_PROCEEDS" vbProcedure="false">"c2269"</definedName>
    <definedName function="false" hidden="false" name="IQ_TR_SH_NET_PROCEEDS_PCT" vbProcedure="false">"c2271"</definedName>
    <definedName function="false" hidden="false" name="IQ_TR_SPECIAL_COMMITTEE" vbProcedure="false">"c2362"</definedName>
    <definedName function="false" hidden="false" name="IQ_TR_STATUS" vbProcedure="false">"c2399"</definedName>
    <definedName function="false" hidden="false" name="IQ_TR_STOCK_CONSID_PCT" vbProcedure="false">"c2312"</definedName>
    <definedName function="false" hidden="false" name="IQ_TR_SUBDEBT" vbProcedure="false">"c2370"</definedName>
    <definedName function="false" hidden="false" name="IQ_TR_SUSPENDED_DATE" vbProcedure="false">"c2407"</definedName>
    <definedName function="false" hidden="false" name="IQ_TR_TARGETNAME" vbProcedure="false">"c2403"</definedName>
    <definedName function="false" hidden="false" name="IQ_TR_TARGET_52WKHI_PCT" vbProcedure="false">"c2351"</definedName>
    <definedName function="false" hidden="false" name="IQ_TR_TARGET_52WKLOW_PCT" vbProcedure="false">"c2350"</definedName>
    <definedName function="false" hidden="false" name="IQ_TR_TARGET_ACC_ADVISORS" vbProcedure="false">"c3047"</definedName>
    <definedName function="false" hidden="false" name="IQ_TR_TARGET_ADVISORS" vbProcedure="false">"c2386"</definedName>
    <definedName function="false" hidden="false" name="IQ_TR_TARGET_CASH_ST_INVEST" vbProcedure="false">"c2327"</definedName>
    <definedName function="false" hidden="false" name="IQ_TR_TARGET_CLOSEPRICE_1D" vbProcedure="false">"c2352"</definedName>
    <definedName function="false" hidden="false" name="IQ_TR_TARGET_CLOSEPRICE_1M" vbProcedure="false">"c2354"</definedName>
    <definedName function="false" hidden="false" name="IQ_TR_TARGET_CLOSEPRICE_1W" vbProcedure="false">"c2353"</definedName>
    <definedName function="false" hidden="false" name="IQ_TR_TARGET_DILUT_EPS_EXCL" vbProcedure="false">"c2324"</definedName>
    <definedName function="false" hidden="false" name="IQ_TR_TARGET_EARNING_CO" vbProcedure="false">"c2332"</definedName>
    <definedName function="false" hidden="false" name="IQ_TR_TARGET_EBIT" vbProcedure="false">"c2333"</definedName>
    <definedName function="false" hidden="false" name="IQ_TR_TARGET_EBITDA" vbProcedure="false">"c2334"</definedName>
    <definedName function="false" hidden="false" name="IQ_TR_TARGET_FILING_CURRENCY" vbProcedure="false">"c3034"</definedName>
    <definedName function="false" hidden="false" name="IQ_TR_TARGET_FIN_ADVISORS" vbProcedure="false">"c3044"</definedName>
    <definedName function="false" hidden="false" name="IQ_TR_TARGET_ID" vbProcedure="false">"c2405"</definedName>
    <definedName function="false" hidden="false" name="IQ_TR_TARGET_LEG_ADVISORS" vbProcedure="false">"c2386"</definedName>
    <definedName function="false" hidden="false" name="IQ_TR_TARGET_MARKETCAP" vbProcedure="false">"c2342"</definedName>
    <definedName function="false" hidden="false" name="IQ_TR_TARGET_MIN_INT" vbProcedure="false">"c2328"</definedName>
    <definedName function="false" hidden="false" name="IQ_TR_TARGET_NET_DEBT" vbProcedure="false">"c2326"</definedName>
    <definedName function="false" hidden="false" name="IQ_TR_TARGET_NI" vbProcedure="false">"c2331"</definedName>
    <definedName function="false" hidden="false" name="IQ_TR_TARGET_PRICEDATE_1D" vbProcedure="false">"c2341"</definedName>
    <definedName function="false" hidden="false" name="IQ_TR_TARGET_RETURN" vbProcedure="false">"c2355"</definedName>
    <definedName function="false" hidden="false" name="IQ_TR_TARGET_SEC_DETAIL" vbProcedure="false">"c3021"</definedName>
    <definedName function="false" hidden="false" name="IQ_TR_TARGET_SEC_TI_ID" vbProcedure="false">"c2368"</definedName>
    <definedName function="false" hidden="false" name="IQ_TR_TARGET_SEC_TYPE" vbProcedure="false">"c2369"</definedName>
    <definedName function="false" hidden="false" name="IQ_TR_TARGET_SPD" vbProcedure="false">"c2313"</definedName>
    <definedName function="false" hidden="false" name="IQ_TR_TARGET_SPD_PCT" vbProcedure="false">"c2314"</definedName>
    <definedName function="false" hidden="false" name="IQ_TR_TARGET_STOCKPREMIUM_1D" vbProcedure="false">"c2336"</definedName>
    <definedName function="false" hidden="false" name="IQ_TR_TARGET_STOCKPREMIUM_1M" vbProcedure="false">"c2337"</definedName>
    <definedName function="false" hidden="false" name="IQ_TR_TARGET_STOCKPREMIUM_1W" vbProcedure="false">"c2338"</definedName>
    <definedName function="false" hidden="false" name="IQ_TR_TARGET_STOCKYEARHIGH_1D" vbProcedure="false">"c2339"</definedName>
    <definedName function="false" hidden="false" name="IQ_TR_TARGET_STOCKYEARLOW_1D" vbProcedure="false">"c2340"</definedName>
    <definedName function="false" hidden="false" name="IQ_TR_TARGET_TOTAL_ASSETS" vbProcedure="false">"c2325"</definedName>
    <definedName function="false" hidden="false" name="IQ_TR_TARGET_TOTAL_COMMON_EQ" vbProcedure="false">"c2421"</definedName>
    <definedName function="false" hidden="false" name="IQ_TR_TARGET_TOTAL_DEBT" vbProcedure="false">"c2330"</definedName>
    <definedName function="false" hidden="false" name="IQ_TR_TARGET_TOTAL_PREF" vbProcedure="false">"c2329"</definedName>
    <definedName function="false" hidden="false" name="IQ_TR_TARGET_TOTAL_REV" vbProcedure="false">"c2335"</definedName>
    <definedName function="false" hidden="false" name="IQ_TR_TERM_FEE" vbProcedure="false">"c2298"</definedName>
    <definedName function="false" hidden="false" name="IQ_TR_TERM_FEE_PCT" vbProcedure="false">"c2297"</definedName>
    <definedName function="false" hidden="false" name="IQ_TR_TODATE" vbProcedure="false">"c3036"</definedName>
    <definedName function="false" hidden="false" name="IQ_TR_TODATE_MONETARY_VALUE" vbProcedure="false">"c2418"</definedName>
    <definedName function="false" hidden="false" name="IQ_TR_TODATE_NUMBER_SHARES" vbProcedure="false">"c2420"</definedName>
    <definedName function="false" hidden="false" name="IQ_TR_TODATE_PCT_SHARES" vbProcedure="false">"c2419"</definedName>
    <definedName function="false" hidden="false" name="IQ_TR_TOTALVALUE" vbProcedure="false">"c2400"</definedName>
    <definedName function="false" hidden="false" name="IQ_TR_TOTAL_ACCT_FEES" vbProcedure="false">"c2273"</definedName>
    <definedName function="false" hidden="false" name="IQ_TR_TOTAL_CASH" vbProcedure="false">"c2315"</definedName>
    <definedName function="false" hidden="false" name="IQ_TR_TOTAL_CONSID_SH" vbProcedure="false">"c2316"</definedName>
    <definedName function="false" hidden="false" name="IQ_TR_TOTAL_DEBT" vbProcedure="false">"c2317"</definedName>
    <definedName function="false" hidden="false" name="IQ_TR_TOTAL_GROSS_TV" vbProcedure="false">"c2318"</definedName>
    <definedName function="false" hidden="false" name="IQ_TR_TOTAL_HYBRID" vbProcedure="false">"c2319"</definedName>
    <definedName function="false" hidden="false" name="IQ_TR_TOTAL_LEGAL_FEES" vbProcedure="false">"c2272"</definedName>
    <definedName function="false" hidden="false" name="IQ_TR_TOTAL_NET_TV" vbProcedure="false">"c2320"</definedName>
    <definedName function="false" hidden="false" name="IQ_TR_TOTAL_NEWMONEY" vbProcedure="false">"c2289"</definedName>
    <definedName function="false" hidden="false" name="IQ_TR_TOTAL_OPTIONS" vbProcedure="false">"c2322"</definedName>
    <definedName function="false" hidden="false" name="IQ_TR_TOTAL_OPTIONS_BUYER" vbProcedure="false">"c3026"</definedName>
    <definedName function="false" hidden="false" name="IQ_TR_TOTAL_PREFERRED" vbProcedure="false">"c2321"</definedName>
    <definedName function="false" hidden="false" name="IQ_TR_TOTAL_REG_AMT" vbProcedure="false">"c2261"</definedName>
    <definedName function="false" hidden="false" name="IQ_TR_TOTAL_STOCK" vbProcedure="false">"c2323"</definedName>
    <definedName function="false" hidden="false" name="IQ_TR_TOTAL_TAKEDOWNS" vbProcedure="false">"c2278"</definedName>
    <definedName function="false" hidden="false" name="IQ_TR_TOTAL_UW_COMP" vbProcedure="false">"c2280"</definedName>
    <definedName function="false" hidden="false" name="IQ_TR_TRANSACTION_TYPE" vbProcedure="false">"c2398"</definedName>
    <definedName function="false" hidden="false" name="IQ_TR_WITHDRAWN_DTE" vbProcedure="false">"c2266"</definedName>
    <definedName function="false" hidden="false" name="IQ_TWELVE_MONTHS_FIXED_AND_FLOATING_FDIC" vbProcedure="false">"c6420"</definedName>
    <definedName function="false" hidden="false" name="IQ_TWELVE_MONTHS_MORTGAGE_PASS_THROUGHS_FDIC" vbProcedure="false">"c6412"</definedName>
    <definedName function="false" hidden="false" name="IQ_UFCF_10YR_ANN_GROWTH" vbProcedure="false">"c1948"</definedName>
    <definedName function="false" hidden="false" name="IQ_UFCF_1YR_ANN_GROWTH" vbProcedure="false">"c1943"</definedName>
    <definedName function="false" hidden="false" name="IQ_UFCF_2YR_ANN_GROWTH" vbProcedure="false">"c1944"</definedName>
    <definedName function="false" hidden="false" name="IQ_UFCF_3YR_ANN_GROWTH" vbProcedure="false">"c1945"</definedName>
    <definedName function="false" hidden="false" name="IQ_UFCF_5YR_ANN_GROWTH" vbProcedure="false">"c1946"</definedName>
    <definedName function="false" hidden="false" name="IQ_UFCF_7YR_ANN_GROWTH" vbProcedure="false">"c1947"</definedName>
    <definedName function="false" hidden="false" name="IQ_UFCF_MARGIN" vbProcedure="false">"c1962"</definedName>
    <definedName function="false" hidden="false" name="IQ_UNAMORT_DISC" vbProcedure="false">"c2513"</definedName>
    <definedName function="false" hidden="false" name="IQ_UNAMORT_DISC_PCT" vbProcedure="false">"c2514"</definedName>
    <definedName function="false" hidden="false" name="IQ_UNAMORT_PREMIUM" vbProcedure="false">"c2511"</definedName>
    <definedName function="false" hidden="false" name="IQ_UNAMORT_PREMIUM_PCT" vbProcedure="false">"c2512"</definedName>
    <definedName function="false" hidden="false" name="IQ_UNDIVIDED_PROFITS_FDIC" vbProcedure="false">"c6352"</definedName>
    <definedName function="false" hidden="false" name="IQ_UNDRAWN_CP" vbProcedure="false">"c2518"</definedName>
    <definedName function="false" hidden="false" name="IQ_UNDRAWN_CREDIT" vbProcedure="false">"c3032"</definedName>
    <definedName function="false" hidden="false" name="IQ_UNDRAWN_RC" vbProcedure="false">"c2517"</definedName>
    <definedName function="false" hidden="false" name="IQ_UNDRAWN_TL" vbProcedure="false">"c2519"</definedName>
    <definedName function="false" hidden="false" name="IQ_UNEARNED_INCOME_FDIC" vbProcedure="false">"c6324"</definedName>
    <definedName function="false" hidden="false" name="IQ_UNEARNED_INCOME_FOREIGN_FDIC" vbProcedure="false">"c6385"</definedName>
    <definedName function="false" hidden="false" name="IQ_UNEARN_PREMIUM" vbProcedure="false">"c1321"</definedName>
    <definedName function="false" hidden="false" name="IQ_UNEARN_REV_CURRENT" vbProcedure="false">"c1322"</definedName>
    <definedName function="false" hidden="false" name="IQ_UNEARN_REV_CURRENT_BNK" vbProcedure="false">"c1323"</definedName>
    <definedName function="false" hidden="false" name="IQ_UNEARN_REV_CURRENT_BR" vbProcedure="false">"c1324"</definedName>
    <definedName function="false" hidden="false" name="IQ_UNEARN_REV_CURRENT_FIN" vbProcedure="false">"c1325"</definedName>
    <definedName function="false" hidden="false" name="IQ_UNEARN_REV_CURRENT_INS" vbProcedure="false">"c1326"</definedName>
    <definedName function="false" hidden="false" name="IQ_UNEARN_REV_CURRENT_REIT" vbProcedure="false">"c1327"</definedName>
    <definedName function="false" hidden="false" name="IQ_UNEARN_REV_CURRENT_UTI" vbProcedure="false">"c1328"</definedName>
    <definedName function="false" hidden="false" name="IQ_UNEARN_REV_LT" vbProcedure="false">"c1329"</definedName>
    <definedName function="false" hidden="false" name="IQ_UNLEVERED_FCF" vbProcedure="false">"c1908"</definedName>
    <definedName function="false" hidden="false" name="IQ_UNPAID_CLAIMS" vbProcedure="false">"c1330"</definedName>
    <definedName function="false" hidden="false" name="IQ_UNPROFITABLE_INSTITUTIONS_FDIC" vbProcedure="false">"c6722"</definedName>
    <definedName function="false" hidden="false" name="IQ_UNREALIZED_GAIN" vbProcedure="false">"c1619"</definedName>
    <definedName function="false" hidden="false" name="IQ_UNSECURED_DEBT" vbProcedure="false">"c2548"</definedName>
    <definedName function="false" hidden="false" name="IQ_UNSECURED_DEBT_PCT" vbProcedure="false">"c2549"</definedName>
    <definedName function="false" hidden="false" name="IQ_UNUSED_LOAN_COMMITMENTS_FDIC" vbProcedure="false">"c6368"</definedName>
    <definedName function="false" hidden="false" name="IQ_UNUSUAL_EXP" vbProcedure="false">"c1456"</definedName>
    <definedName function="false" hidden="false" name="IQ_US_BRANCHES_FOREIGN_BANKS_FDIC" vbProcedure="false">"c6390"</definedName>
    <definedName function="false" hidden="false" name="IQ_US_BRANCHES_FOREIGN_BANK_LOANS_FDIC" vbProcedure="false">"c6435"</definedName>
    <definedName function="false" hidden="false" name="IQ_US_GAAP" vbProcedure="false">"c1331"</definedName>
    <definedName function="false" hidden="false" name="IQ_US_GAAP_BASIC_EPS_EXCL" vbProcedure="false">"c2984"</definedName>
    <definedName function="false" hidden="false" name="IQ_US_GAAP_BASIC_EPS_INCL" vbProcedure="false">"c2982"</definedName>
    <definedName function="false" hidden="false" name="IQ_US_GAAP_BASIC_WEIGHT" vbProcedure="false">"c2980"</definedName>
    <definedName function="false" hidden="false" name="IQ_US_GAAP_CA" vbProcedure="false">"c2930"</definedName>
    <definedName function="false" hidden="false" name="IQ_US_GAAP_CASH_FINAN" vbProcedure="false">"c2945"</definedName>
    <definedName function="false" hidden="false" name="IQ_US_GAAP_CASH_FINAN_ADJ" vbProcedure="false">"c2941"</definedName>
    <definedName function="false" hidden="false" name="IQ_US_GAAP_CASH_INVEST" vbProcedure="false">"c2944"</definedName>
    <definedName function="false" hidden="false" name="IQ_US_GAAP_CASH_INVEST_ADJ" vbProcedure="false">"c2940"</definedName>
    <definedName function="false" hidden="false" name="IQ_US_GAAP_CASH_OPER" vbProcedure="false">"c2943"</definedName>
    <definedName function="false" hidden="false" name="IQ_US_GAAP_CASH_OPER_ADJ" vbProcedure="false">"c2939"</definedName>
    <definedName function="false" hidden="false" name="IQ_US_GAAP_CA_ADJ" vbProcedure="false">"c2925"</definedName>
    <definedName function="false" hidden="false" name="IQ_US_GAAP_CL" vbProcedure="false">"c2932"</definedName>
    <definedName function="false" hidden="false" name="IQ_US_GAAP_CL_ADJ" vbProcedure="false">"c2927"</definedName>
    <definedName function="false" hidden="false" name="IQ_US_GAAP_COST_REV" vbProcedure="false">"c2965"</definedName>
    <definedName function="false" hidden="false" name="IQ_US_GAAP_DILUT_EPS_EXCL" vbProcedure="false">"c2985"</definedName>
    <definedName function="false" hidden="false" name="IQ_US_GAAP_DILUT_EPS_INCL" vbProcedure="false">"c2983"</definedName>
    <definedName function="false" hidden="false" name="IQ_US_GAAP_DILUT_NI" vbProcedure="false">"c2979"</definedName>
    <definedName function="false" hidden="false" name="IQ_US_GAAP_DILUT_WEIGHT" vbProcedure="false">"c2981"</definedName>
    <definedName function="false" hidden="false" name="IQ_US_GAAP_DO" vbProcedure="false">"c2973"</definedName>
    <definedName function="false" hidden="false" name="IQ_US_GAAP_DO_ADJ" vbProcedure="false">"c2959"</definedName>
    <definedName function="false" hidden="false" name="IQ_US_GAAP_EXTRA_ACC_ITEMS" vbProcedure="false">"c2972"</definedName>
    <definedName function="false" hidden="false" name="IQ_US_GAAP_EXTRA_ACC_ITEMS_ADJ" vbProcedure="false">"c2958"</definedName>
    <definedName function="false" hidden="false" name="IQ_US_GAAP_INC_TAX" vbProcedure="false">"c2975"</definedName>
    <definedName function="false" hidden="false" name="IQ_US_GAAP_INC_TAX_ADJ" vbProcedure="false">"c2961"</definedName>
    <definedName function="false" hidden="false" name="IQ_US_GAAP_INTEREST_EXP" vbProcedure="false">"c2971"</definedName>
    <definedName function="false" hidden="false" name="IQ_US_GAAP_INTEREST_EXP_ADJ" vbProcedure="false">"c2957"</definedName>
    <definedName function="false" hidden="false" name="IQ_US_GAAP_LIAB_LT" vbProcedure="false">"c2933"</definedName>
    <definedName function="false" hidden="false" name="IQ_US_GAAP_LIAB_LT_ADJ" vbProcedure="false">"c2928"</definedName>
    <definedName function="false" hidden="false" name="IQ_US_GAAP_LIAB_TOTAL_LIAB" vbProcedure="false">"c2933"</definedName>
    <definedName function="false" hidden="false" name="IQ_US_GAAP_MINORITY_INTEREST_IS" vbProcedure="false">"c2974"</definedName>
    <definedName function="false" hidden="false" name="IQ_US_GAAP_MINORITY_INTEREST_IS_ADJ" vbProcedure="false">"c2960"</definedName>
    <definedName function="false" hidden="false" name="IQ_US_GAAP_NCA" vbProcedure="false">"c2931"</definedName>
    <definedName function="false" hidden="false" name="IQ_US_GAAP_NCA_ADJ" vbProcedure="false">"c2926"</definedName>
    <definedName function="false" hidden="false" name="IQ_US_GAAP_NET_CHANGE" vbProcedure="false">"c2946"</definedName>
    <definedName function="false" hidden="false" name="IQ_US_GAAP_NET_CHANGE_ADJ" vbProcedure="false">"c2942"</definedName>
    <definedName function="false" hidden="false" name="IQ_US_GAAP_NI" vbProcedure="false">"c2976"</definedName>
    <definedName function="false" hidden="false" name="IQ_US_GAAP_NI_ADJ" vbProcedure="false">"c2963"</definedName>
    <definedName function="false" hidden="false" name="IQ_US_GAAP_NI_AVAIL_EXCL" vbProcedure="false">"c2977"</definedName>
    <definedName function="false" hidden="false" name="IQ_US_GAAP_NI_AVAIL_INCL" vbProcedure="false">"c2978"</definedName>
    <definedName function="false" hidden="false" name="IQ_US_GAAP_OTHER_ADJ_ADJ" vbProcedure="false">"c2962"</definedName>
    <definedName function="false" hidden="false" name="IQ_US_GAAP_OTHER_NON_OPER" vbProcedure="false">"c2969"</definedName>
    <definedName function="false" hidden="false" name="IQ_US_GAAP_OTHER_NON_OPER_ADJ" vbProcedure="false">"c2955"</definedName>
    <definedName function="false" hidden="false" name="IQ_US_GAAP_OTHER_OPER" vbProcedure="false">"c2968"</definedName>
    <definedName function="false" hidden="false" name="IQ_US_GAAP_OTHER_OPER_ADJ" vbProcedure="false">"c2954"</definedName>
    <definedName function="false" hidden="false" name="IQ_US_GAAP_RD" vbProcedure="false">"c2967"</definedName>
    <definedName function="false" hidden="false" name="IQ_US_GAAP_RD_ADJ" vbProcedure="false">"c2953"</definedName>
    <definedName function="false" hidden="false" name="IQ_US_GAAP_SGA" vbProcedure="false">"c2966"</definedName>
    <definedName function="false" hidden="false" name="IQ_US_GAAP_SGA_ADJ" vbProcedure="false">"c2952"</definedName>
    <definedName function="false" hidden="false" name="IQ_US_GAAP_TOTAL_ASSETS" vbProcedure="false">"c2931"</definedName>
    <definedName function="false" hidden="false" name="IQ_US_GAAP_TOTAL_EQUITY" vbProcedure="false">"c2934"</definedName>
    <definedName function="false" hidden="false" name="IQ_US_GAAP_TOTAL_EQUITY_ADJ" vbProcedure="false">"c2929"</definedName>
    <definedName function="false" hidden="false" name="IQ_US_GAAP_TOTAL_REV" vbProcedure="false">"c2964"</definedName>
    <definedName function="false" hidden="false" name="IQ_US_GAAP_TOTAL_REV_ADJ" vbProcedure="false">"c2950"</definedName>
    <definedName function="false" hidden="false" name="IQ_US_GAAP_TOTAL_UNUSUAL" vbProcedure="false">"c2970"</definedName>
    <definedName function="false" hidden="false" name="IQ_US_GAAP_TOTAL_UNUSUAL_ADJ" vbProcedure="false">"c2956"</definedName>
    <definedName function="false" hidden="false" name="IQ_US_GOV_AGENCIES_FDIC" vbProcedure="false">"c6395"</definedName>
    <definedName function="false" hidden="false" name="IQ_US_GOV_DEPOSITS_FDIC" vbProcedure="false">"c6483"</definedName>
    <definedName function="false" hidden="false" name="IQ_US_GOV_ENTERPRISES_FDIC" vbProcedure="false">"c6396"</definedName>
    <definedName function="false" hidden="false" name="IQ_US_GOV_NONCURRENT_LOANS_TOTAL_NONCURRENT_FDIC" vbProcedure="false">"c6779"</definedName>
    <definedName function="false" hidden="false" name="IQ_US_GOV_NONTRANSACTION_ACCOUNTS_FDIC" vbProcedure="false">"c6546"</definedName>
    <definedName function="false" hidden="false" name="IQ_US_GOV_OBLIGATIONS_FDIC" vbProcedure="false">"c6299"</definedName>
    <definedName function="false" hidden="false" name="IQ_US_GOV_SECURITIES_FDIC" vbProcedure="false">"c6297"</definedName>
    <definedName function="false" hidden="false" name="IQ_US_GOV_TOTAL_DEPOSITS_FDIC" vbProcedure="false">"c6472"</definedName>
    <definedName function="false" hidden="false" name="IQ_US_GOV_TRANSACTION_ACCOUNTS_FDIC" vbProcedure="false">"c6538"</definedName>
    <definedName function="false" hidden="false" name="IQ_US_TREASURY_SECURITIES_FDIC" vbProcedure="false">"c6298"</definedName>
    <definedName function="false" hidden="false" name="IQ_UTIL_PPE_NET" vbProcedure="false">"c1620"</definedName>
    <definedName function="false" hidden="false" name="IQ_UTIL_REV" vbProcedure="false">"c2091"</definedName>
    <definedName function="false" hidden="false" name="IQ_UV_PENSION_LIAB" vbProcedure="false">"c1332"</definedName>
    <definedName function="false" hidden="false" name="IQ_VALUATION_ALLOWANCES_FDIC" vbProcedure="false">"c6400"</definedName>
    <definedName function="false" hidden="false" name="IQ_VALUE_TRADED_LAST_3MTH" vbProcedure="false">"c1530"</definedName>
    <definedName function="false" hidden="false" name="IQ_VALUE_TRADED_LAST_6MTH" vbProcedure="false">"c1531"</definedName>
    <definedName function="false" hidden="false" name="IQ_VALUE_TRADED_LAST_MTH" vbProcedure="false">"c1529"</definedName>
    <definedName function="false" hidden="false" name="IQ_VALUE_TRADED_LAST_WK" vbProcedure="false">"c1528"</definedName>
    <definedName function="false" hidden="false" name="IQ_VALUE_TRADED_LAST_YR" vbProcedure="false">"c1532"</definedName>
    <definedName function="false" hidden="false" name="IQ_VC_REVENUE_FDIC" vbProcedure="false">"c6667"</definedName>
    <definedName function="false" hidden="false" name="IQ_VOLATILE_LIABILITIES_FDIC" vbProcedure="false">"c6364"</definedName>
    <definedName function="false" hidden="false" name="IQ_VOLUME" vbProcedure="false">"c1333"</definedName>
    <definedName function="false" hidden="false" name="IQ_VOL_LAST_3MTH" vbProcedure="false">"c1525"</definedName>
    <definedName function="false" hidden="false" name="IQ_VOL_LAST_6MTH" vbProcedure="false">"c1526"</definedName>
    <definedName function="false" hidden="false" name="IQ_VOL_LAST_MTH" vbProcedure="false">"c1524"</definedName>
    <definedName function="false" hidden="false" name="IQ_VOL_LAST_WK" vbProcedure="false">"c1523"</definedName>
    <definedName function="false" hidden="false" name="IQ_VOL_LAST_YR" vbProcedure="false">"c1527"</definedName>
    <definedName function="false" hidden="false" name="IQ_WARRANTS_BEG_OS" vbProcedure="false">"c2698"</definedName>
    <definedName function="false" hidden="false" name="IQ_WARRANTS_CANCELLED" vbProcedure="false">"c2701"</definedName>
    <definedName function="false" hidden="false" name="IQ_WARRANTS_END_OS" vbProcedure="false">"c2702"</definedName>
    <definedName function="false" hidden="false" name="IQ_WARRANTS_EXERCISED" vbProcedure="false">"c2700"</definedName>
    <definedName function="false" hidden="false" name="IQ_WARRANTS_ISSUED" vbProcedure="false">"c2699"</definedName>
    <definedName function="false" hidden="false" name="IQ_WARRANTS_STRIKE_PRICE_ISSUED" vbProcedure="false">"c2704"</definedName>
    <definedName function="false" hidden="false" name="IQ_WARRANTS_STRIKE_PRICE_OS" vbProcedure="false">"c2703"</definedName>
    <definedName function="false" hidden="false" name="IQ_WEEK" vbProcedure="false">50000</definedName>
    <definedName function="false" hidden="false" name="IQ_WEIGHTED_AVG_PRICE" vbProcedure="false">"c1334"</definedName>
    <definedName function="false" hidden="false" name="IQ_WIP_INV" vbProcedure="false">"c1335"</definedName>
    <definedName function="false" hidden="false" name="IQ_WORKMEN_WRITTEN" vbProcedure="false">"c1336"</definedName>
    <definedName function="false" hidden="false" name="IQ_WRITTEN_OPTION_CONTRACTS_FDIC" vbProcedure="false">"c6509"</definedName>
    <definedName function="false" hidden="false" name="IQ_WRITTEN_OPTION_CONTRACTS_FX_RISK_FDIC" vbProcedure="false">"c6514"</definedName>
    <definedName function="false" hidden="false" name="IQ_WRITTEN_OPTION_CONTRACTS_NON_FX_IR_FDIC" vbProcedure="false">"c6519"</definedName>
    <definedName function="false" hidden="false" name="IQ_XDIV_DATE" vbProcedure="false">"c2104"</definedName>
    <definedName function="false" hidden="false" name="IQ_YEARHIGH" vbProcedure="false">"c1337"</definedName>
    <definedName function="false" hidden="false" name="IQ_YEARHIGH_DATE" vbProcedure="false">"c2250"</definedName>
    <definedName function="false" hidden="false" name="IQ_YEARLOW" vbProcedure="false">"c1338"</definedName>
    <definedName function="false" hidden="false" name="IQ_YEARLOW_DATE" vbProcedure="false">"c2251"</definedName>
    <definedName function="false" hidden="false" name="IQ_YTD" vbProcedure="false">3000</definedName>
    <definedName function="false" hidden="false" name="IQ_YTDMONTH" vbProcedure="false">130000</definedName>
    <definedName function="false" hidden="false" name="IQ_Z_SCORE" vbProcedure="false">"c1339"</definedName>
    <definedName function="false" hidden="false" name="IRI_WorkspaceId" vbProcedure="false">"bccdb1c1af0e4ad2930bd3379ca5d267"</definedName>
    <definedName function="false" hidden="false" name="IsColHidden" vbProcedure="false">FALSE()</definedName>
    <definedName function="false" hidden="false" name="IsLTMColHidden" vbProcedure="false">FALSE()</definedName>
    <definedName function="false" hidden="false" name="iv"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jason" vbProcedure="false">{#N/A,#N/A,FALSE,"TS";#N/A,#N/A,FALSE,"Combo";#N/A,#N/A,FALSE,"FAIR";#N/A,#N/A,FALSE,"RBC";#N/A,#N/A,FALSE,"xxxx";#N/A,#N/A,FALSE,"A_D";#N/A,#N/A,FALSE,"WACC";#N/A,#N/A,FALSE,"DCF";#N/A,#N/A,FALSE,"LBO";#N/A,#N/A,FALSE,"AcqMults";#N/A,#N/A,FALSE,"CompMults"}</definedName>
    <definedName function="false" hidden="false" name="jeyj"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jh" vbProcedure="false">{#N/A,#N/A,FALSE,"Assump";#N/A,#N/A,FALSE,"Income";#N/A,#N/A,FALSE,"Balance";#N/A,#N/A,FALSE,"DCF Pump";#N/A,#N/A,FALSE,"Trans Assump";#N/A,#N/A,FALSE,"Combined Income";#N/A,#N/A,FALSE,"Combined Balance"}</definedName>
    <definedName function="false" hidden="false" name="jim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JJJJJJJJJJJJJJJJJJJJJ"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jklhjk" vbProcedure="false">{#N/A,#N/A,FALSE,"Sheet1"}</definedName>
    <definedName function="false" hidden="false" name="ju"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ke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p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eycorp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kj"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kjhhh"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KKK" vbProcedure="false">{#N/A,#N/A,FALSE,"Assessment";#N/A,#N/A,FALSE,"Staffing";#N/A,#N/A,FALSE,"Hires";#N/A,#N/A,FALSE,"Assumptions"}</definedName>
    <definedName function="false" hidden="false" name="l" vbProcedure="false">40296.6534606482</definedName>
    <definedName function="false" hidden="false" name="LBO" vbProcedure="false">{#N/A,#N/A,FALSE,"Summary";#N/A,#N/A,FALSE,"Projections";#N/A,#N/A,FALSE,"Mkt Mults";#N/A,#N/A,FALSE,"DCF";#N/A,#N/A,FALSE,"Accr Dil";#N/A,#N/A,FALSE,"PIC LBO";#N/A,#N/A,FALSE,"MULT10_4";#N/A,#N/A,FALSE,"CBI LBO"}</definedName>
    <definedName function="false" hidden="false" name="limcount" vbProcedure="false">1</definedName>
    <definedName function="false" hidden="false" name="ListOffset" vbProcedure="false">1</definedName>
    <definedName function="false" hidden="false" name="lkjlkj" vbProcedure="false">{"Final",#N/A,FALSE,"Feb-96"}</definedName>
    <definedName function="false" hidden="false" name="ll"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lll" vbProcedure="false">{#N/A,#N/A,FALSE,"Summary";#N/A,#N/A,FALSE,"proj1";#N/A,#N/A,FALSE,"proj2"}</definedName>
    <definedName function="false" hidden="fals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false" name="Med_prod" vbProcedure="false">{#N/A,#N/A,FALSE,"Prem_Sum";#N/A,#N/A,FALSE,"Prem"}</definedName>
    <definedName function="false" hidden="false" name="Med_prod.xls" vbProcedure="false">{#N/A,#N/A,FALSE,"FACTSHEETS";#N/A,#N/A,FALSE,"pump";#N/A,#N/A,FALSE,"filter"}</definedName>
    <definedName function="false" hidden="false" name="Med_products" vbProcedure="false">{#N/A,#N/A,FALSE,"FACTSHEETS";#N/A,#N/A,FALSE,"pump";#N/A,#N/A,FALSE,"filter"}</definedName>
    <definedName function="false" hidden="false" name="MEWarning" vbProcedure="false">1</definedName>
    <definedName function="false" hidden="false" name="mj" vbProcedure="false">{#N/A,#N/A,FALSE,"Heat";#N/A,#N/A,FALSE,"DCF";#N/A,#N/A,FALSE,"LBO";#N/A,#N/A,FALSE,"A";#N/A,#N/A,FALSE,"C";#N/A,#N/A,FALSE,"impd";#N/A,#N/A,FALSE,"Accr-Dilu"}</definedName>
    <definedName function="false" hidden="false" name="mmjj"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mn" vbProcedure="false">{#N/A,#N/A,FALSE,"TS";#N/A,#N/A,FALSE,"Combo";#N/A,#N/A,FALSE,"FAIR";#N/A,#N/A,FALSE,"RBC";#N/A,#N/A,FALSE,"xxxx";#N/A,#N/A,FALSE,"A_D";#N/A,#N/A,FALSE,"WACC";#N/A,#N/A,FALSE,"DCF";#N/A,#N/A,FALSE,"LBO";#N/A,#N/A,FALSE,"AcqMults";#N/A,#N/A,FALSE,"CompMults"}</definedName>
    <definedName function="false" hidden="false" name="Moses" vbProcedure="false">{"FCB_ALL",#N/A,FALSE,"FCB"}</definedName>
    <definedName function="false" hidden="false" name="Mults02" vbProcedure="false">{#N/A,#N/A,FALSE,"Projections";#N/A,#N/A,FALSE,"Multiples Valuation";#N/A,#N/A,FALSE,"LBO";#N/A,#N/A,FALSE,"Multiples_Sensitivity";#N/A,#N/A,FALSE,"Summary"}</definedName>
    <definedName function="false" hidden="false" name="New" vbProcedure="false">{"Outflow 1",#N/A,FALSE,"Outflows-Inflows";"Outflow 2",#N/A,FALSE,"Outflows-Inflows";"Inflow 1",#N/A,FALSE,"Outflows-Inflows";"Inflow 2",#N/A,FALSE,"Outflows-Inflows"}</definedName>
    <definedName function="false" hidden="false" name="new.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newa" vbProcedure="false">{"COM1996",#N/A,FALSE,"ANNUAL COMMISSIONS";"COM1997",#N/A,FALSE,"ANNUAL COMMISSIONS"}</definedName>
    <definedName function="false" hidden="false" name="newb" vbProcedure="false">{"COM1996",#N/A,FALSE,"ANNUAL COMMISSIONS";"COM1997",#N/A,FALSE,"ANNUAL COMMISSIONS"}</definedName>
    <definedName function="false" hidden="false" name="newd" vbProcedure="false">{"COM1996",#N/A,FALSE,"ANNUAL COMMISSIONS";"COM1997",#N/A,FALSE,"ANNUAL COMMISSIONS"}</definedName>
    <definedName function="false" hidden="false" name="newe" vbProcedure="false">{"COM1996",#N/A,FALSE,"ANNUAL COMMISSIONS";"COM1997",#N/A,FALSE,"ANNUAL COMMISSIONS"}</definedName>
    <definedName function="false" hidden="false" name="newnewnew" vbProcedure="false">{"COM1996",#N/A,FALSE,"ANNUAL COMMISSIONS";"COM1997",#N/A,FALSE,"ANNUAL COMMISSIONS"}</definedName>
    <definedName function="false" hidden="false" name="newnewnewnew" vbProcedure="false">{"COM1996",#N/A,FALSE,"ANNUAL COMMISSIONS";"COM1997",#N/A,FALSE,"ANNUAL COMMISSIONS"}</definedName>
    <definedName function="false" hidden="false" name="newview" vbProcedure="false">{#N/A,#N/A,FALSE,"Summary";#N/A,#N/A,FALSE,"Signatures";#N/A,#N/A,FALSE,"FL Current";#N/A,#N/A,FALSE,"Assumptions";#N/A,#N/A,FALSE,"Assumptions";#N/A,#N/A,FALSE,"Assumptions";#N/A,#N/A,FALSE,"FL Last";#N/A,#N/A,FALSE,"FL Orig";#N/A,#N/A,FALSE,"C to G Explain"}</definedName>
    <definedName function="false" hidden="false" name="newview2" vbProcedure="false">{#N/A,#N/A,FALSE,"Summary";#N/A,#N/A,FALSE,"Signatures";#N/A,#N/A,FALSE,"FL Current";#N/A,#N/A,FALSE,"Assumptions";#N/A,#N/A,FALSE,"Assumptions";#N/A,#N/A,FALSE,"Assumptions";#N/A,#N/A,FALSE,"FL Last";#N/A,#N/A,FALSE,"FL Orig";#N/A,#N/A,FALSE,"C to G Explain"}</definedName>
    <definedName function="false" hidden="false" name="newview2a"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2b"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false" name="newview3" vbProcedure="false">{#N/A,#N/A,FALSE,"Summary";#N/A,#N/A,FALSE,"Signatures";#N/A,#N/A,FALSE,"FL Current";#N/A,#N/A,FALSE,"Assumptions";#N/A,#N/A,FALSE,"Assumptions";#N/A,#N/A,FALSE,"Assumptions";#N/A,#N/A,FALSE,"FL Last";#N/A,#N/A,FALSE,"FL Orig";#N/A,#N/A,FALSE,"C to G Explain"}</definedName>
    <definedName function="false" hidden="false" name="newview3a" vbProcedure="false">{#N/A,#N/A,FALSE,"Summary";#N/A,#N/A,FALSE,"Signatures";#N/A,#N/A,FALSE,"FL Current";#N/A,#N/A,FALSE,"Assumptions";#N/A,#N/A,FALSE,"Assumptions";#N/A,#N/A,FALSE,"Assumptions";#N/A,#N/A,FALSE,"FL Last";#N/A,#N/A,FALSE,"FL Orig";#N/A,#N/A,FALSE,"C to G Explain"}</definedName>
    <definedName function="false" hidden="false" name="newview3b" vbProcedure="false">{#N/A,#N/A,FALSE,"Summary";#N/A,#N/A,FALSE,"Signatures";#N/A,#N/A,FALSE,"FL Current";#N/A,#N/A,FALSE,"Assumptions";#N/A,#N/A,FALSE,"Assumptions";#N/A,#N/A,FALSE,"Assumptions";#N/A,#N/A,FALSE,"FL Last";#N/A,#N/A,FALSE,"FL Orig";#N/A,#N/A,FALSE,"C to G Explain"}</definedName>
    <definedName function="false" hidden="false" name="newz" vbProcedure="false">{"COM1996",#N/A,FALSE,"ANNUAL COMMISSIONS";"COM1997",#N/A,FALSE,"ANNUAL COMMISSIONS"}</definedName>
    <definedName function="false" hidden="false" name="nnnnnnn" vbProcedure="false">{#N/A,#N/A,TRUE,"TS";#N/A,#N/A,TRUE,"Combo";#N/A,#N/A,TRUE,"FAIR";#N/A,#N/A,TRUE,"RBC";#N/A,#N/A,TRUE,"xxxx"}</definedName>
    <definedName function="false" hidden="false" name="NO" vbProcedure="false">{"'Sheet1'!$A$1:$J$121"}</definedName>
    <definedName function="false" hidden="false" name="nonam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name3"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NoteTextNames" vbProcedure="false">{"Text 9";"Text 10";"Text 11";"Text 12"}</definedName>
    <definedName function="false" hidden="false" name="old" vbProcedure="false">{"Period 5 Income Statements",#N/A,FALSE,"Income Statement";"Period 5 Balance Sheets",#N/A,FALSE,"Balance Sheet";"Period 5 Cashflow Statements",#N/A,FALSE,"Cashflow Statement";"Period 5 Financial Ratios",#N/A,FALSE,"Financial Ratios"}</definedName>
    <definedName function="false" hidden="false" name="ooo"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OO_Book_Settings_AllowResize" vbProcedure="false">"0"</definedName>
    <definedName function="false" hidden="false" name="OO_Book_Settings_BGColor" vbProcedure="false">""</definedName>
    <definedName function="false" hidden="false" name="OO_Book_Settings_CellBGColor" vbProcedure="false">""</definedName>
    <definedName function="false" hidden="false" name="OO_Book_Settings_Destination" vbProcedure="false">"\\cdsrv3\TM1\TM1WebFolder\Reports\Mfg Income Statement by Cost Center.xml"</definedName>
    <definedName function="false" hidden="false" name="OO_Book_Settings_Footer" vbProcedure="false">""</definedName>
    <definedName function="false" hidden="false" name="OO_Book_Settings_Header" vbProcedure="false">""</definedName>
    <definedName function="false" hidden="false" name="OO_Book_Settings_HorizontalCenter" vbProcedure="false">"0"</definedName>
    <definedName function="false" hidden="false" name="OO_Book_Settings_IgnoreNoPublishWarning" vbProcedure="false">"0"</definedName>
    <definedName function="false" hidden="false" name="OO_Book_Settings_Menu" vbProcedure="false">"Menu:All.dim"</definedName>
    <definedName function="false" hidden="false" name="OO_Book_Settings_MenuType" vbProcedure="false">"Dim"</definedName>
    <definedName function="false" hidden="false" name="OO_Book_Settings_RecalOnDropDownChange" vbProcedure="false">"1"</definedName>
    <definedName function="false" hidden="false" name="OO_Book_Settings_RecalOnInputCellChange" vbProcedure="false">"0"</definedName>
    <definedName function="false" hidden="false" name="OO_Book_Settings_SynchDestination" vbProcedure="false">"1"</definedName>
    <definedName function="false" hidden="false" name="OO_Book_Settings_TBExport" vbProcedure="false">"1"</definedName>
    <definedName function="false" hidden="false" name="OO_Book_Settings_TBPaste" vbProcedure="false">"1"</definedName>
    <definedName function="false" hidden="false" name="OO_Book_Settings_TBUpdate" vbProcedure="false">"1"</definedName>
    <definedName function="false" hidden="false" name="OO_Book_Settings_TBWorksheets" vbProcedure="false">"0"</definedName>
    <definedName function="false" hidden="false" name="OO_Book_Settings_TBZoomIn" vbProcedure="false">"1"</definedName>
    <definedName function="false" hidden="false" name="OO_Book_Settings_TBZoomOut" vbProcedure="false">"1"</definedName>
    <definedName function="false" hidden="false" name="OO_Book_Settings_Toolbar" vbProcedure="false">"1"</definedName>
    <definedName function="false" hidden="false" name="OO_Book_Settings_UpdateButton" vbProcedure="false">""</definedName>
    <definedName function="false" hidden="false" name="OO_Book_Settings_UseNamedRanges" vbProcedure="false">"1"</definedName>
    <definedName function="false" hidden="false" name="OO_Book_Settings_UseWorkbookSettings" vbProcedure="false">"0"</definedName>
    <definedName function="false" hidden="false" name="OO_Book_Settings_WorksheetTabs" vbProcedure="false">"0"</definedName>
    <definedName function="false" hidden="false" name="otherb" vbProcedure="false">{"COM1996",#N/A,FALSE,"ANNUAL COMMISSIONS";"COM1997",#N/A,FALSE,"ANNUAL COMMISSIONS"}</definedName>
    <definedName function="false" hidden="false" name="p.kh" vbProcedure="false">{#N/A,#N/A,FALSE,"Heat";#N/A,#N/A,FALSE,"DCF";#N/A,#N/A,FALSE,"LBO";#N/A,#N/A,FALSE,"A";#N/A,#N/A,FALSE,"C";#N/A,#N/A,FALSE,"impd";#N/A,#N/A,FALSE,"Accr-Dilu"}</definedName>
    <definedName function="false" hidden="false" name="PL5YRP" vbProcedure="false">{"ebitda",#N/A,FALSE,"EBITDA";"consolidated",#N/A,FALSE,"CCC PL";"divisions",#N/A,FALSE,"Divisions"}</definedName>
    <definedName function="false" hidden="false" name="ploi" vbProcedure="false">{#N/A,#N/A,FALSE,"Assump2";#N/A,#N/A,FALSE,"Income2";#N/A,#N/A,FALSE,"Balance2";#N/A,#N/A,FALSE,"DCF Filter";#N/A,#N/A,FALSE,"Trans Assump2";#N/A,#N/A,FALSE,"Combined Income2";#N/A,#N/A,FALSE,"Combined Balance2"}</definedName>
    <definedName function="false" hidden="false" name="pp"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PremiumPaidSUmmary" vbProcedure="false">{#N/A,#N/A,FALSE,"Projections";#N/A,#N/A,FALSE,"Multiples Valuation";#N/A,#N/A,FALSE,"LBO";#N/A,#N/A,FALSE,"Multiples_Sensitivity";#N/A,#N/A,FALSE,"Summary"}</definedName>
    <definedName function="false" hidden="false" name="q" vbProcedure="false">{#N/A,#N/A,FALSE,"Projections";#N/A,#N/A,FALSE,"Multiples Valuation";#N/A,#N/A,FALSE,"LBO";#N/A,#N/A,FALSE,"Multiples_Sensitivity";#N/A,#N/A,FALSE,"Summary"}</definedName>
    <definedName function="false" hidden="false" name="qe5yh" vbProcedure="false">{#N/A,#N/A,FALSE,"Summary";#N/A,#N/A,FALSE,"Projections";#N/A,#N/A,FALSE,"Mkt Mults";#N/A,#N/A,FALSE,"DCF";#N/A,#N/A,FALSE,"Accr Dil";#N/A,#N/A,FALSE,"PIC LBO";#N/A,#N/A,FALSE,"MULT10_4";#N/A,#N/A,FALSE,"CBI LBO"}</definedName>
    <definedName function="false" hidden="false" name="qw" vbProcedure="false">{#N/A,#N/A,FALSE,"Pooling";#N/A,#N/A,FALSE,"income";#N/A,#N/A,FALSE,"valuation"}</definedName>
    <definedName function="false" hidden="false" name="qwe" vbProcedure="false">{#N/A,#N/A,FALSE,"Projections";#N/A,#N/A,FALSE,"Multiples Valuation";#N/A,#N/A,FALSE,"LBO";#N/A,#N/A,FALSE,"Multiples_Sensitivity";#N/A,#N/A,FALSE,"Summary"}</definedName>
    <definedName function="false" hidden="false" name="qwq" vbProcedure="false">"c4444"</definedName>
    <definedName function="false" hidden="false" name="ra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Recap" vbProcedure="false">{#N/A,#N/A,FALSE,"IPO";#N/A,#N/A,FALSE,"DCF";#N/A,#N/A,FALSE,"LBO";#N/A,#N/A,FALSE,"MULT_VAL";#N/A,#N/A,FALSE,"Status Quo";#N/A,#N/A,FALSE,"Recap"}</definedName>
    <definedName function="false" hidden="false" name="ReportGroup" vbProcedure="false">0</definedName>
    <definedName function="false" hidden="false" name="resources" vbProcedure="false">{#N/A,#N/A,FALSE,"Assessment";#N/A,#N/A,FALSE,"Staffing";#N/A,#N/A,FALSE,"Hires";#N/A,#N/A,FALSE,"Assumptions"}</definedName>
    <definedName function="false" hidden="false" name="Retail" vbProcedure="false">{#N/A,#N/A,FALSE,"Summary";#N/A,#N/A,FALSE,"Signatures";#N/A,#N/A,FALSE,"FL Current";#N/A,#N/A,FALSE,"Assumptions";#N/A,#N/A,FALSE,"Assumptions";#N/A,#N/A,FALSE,"Assumptions";#N/A,#N/A,FALSE,"FL Last";#N/A,#N/A,FALSE,"FL Orig";#N/A,#N/A,FALSE,"C to G Explain"}</definedName>
    <definedName function="false" hidden="false" name="retyu" vbProcedure="false">{#N/A,#N/A,FALSE,"AD_Purchase";#N/A,#N/A,FALSE,"Credit";#N/A,#N/A,FALSE,"PF Acquisition";#N/A,#N/A,FALSE,"PF Offering"}</definedName>
    <definedName function="false" hidden="false" name="rfgg" vbProcedure="false">{#N/A,#N/A,FALSE,"sum-don";#N/A,#N/A,FALSE,"inc-don"}</definedName>
    <definedName function="false" hidden="false" name="rt" vbProcedure="false">{#N/A,#N/A,FALSE,"Second";#N/A,#N/A,FALSE,"ownership";#N/A,#N/A,FALSE,"Valuation";#N/A,#N/A,FALSE,"Eqiv";#N/A,#N/A,FALSE,"Mults";#N/A,#N/A,FALSE,"ISCG Graphics"}</definedName>
    <definedName function="false" hidden="false" name="r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s" vbProcedure="false">{"page1",#N/A,FALSE,"GIRLBO";"page2",#N/A,FALSE,"GIRLBO";"page3",#N/A,FALSE,"GIRLBO";"page4",#N/A,FALSE,"GIRLBO";"page5",#N/A,FALSE,"GIRLBO"}</definedName>
    <definedName function="false" hidden="false" name="sa" vbProcedure="false">{#N/A,#N/A,FALSE,"IPO";#N/A,#N/A,FALSE,"DCF";#N/A,#N/A,FALSE,"LBO";#N/A,#N/A,FALSE,"MULT_VAL";#N/A,#N/A,FALSE,"Status Quo";#N/A,#N/A,FALSE,"Recap"}</definedName>
    <definedName function="false" hidden="false" name="saa" vbProcedure="false">{"rtn",#N/A,FALSE,"RTN";"tables",#N/A,FALSE,"RTN";"cf",#N/A,FALSE,"CF";"stats",#N/A,FALSE,"Stats";"prop",#N/A,FALSE,"Prop"}</definedName>
    <definedName function="false" hidden="false" name="saf" vbProcedure="false">{#N/A,#N/A,FALSE,"Projections";#N/A,#N/A,FALSE,"Contribution_Stock";#N/A,#N/A,FALSE,"PF_Combo_Stock";#N/A,#N/A,FALSE,"Projections";#N/A,#N/A,FALSE,"Contribution_Cash";#N/A,#N/A,FALSE,"PF_Combo_Cash";#N/A,#N/A,FALSE,"IPO_Cash"}</definedName>
    <definedName function="false" hidden="false" name="SAPBEXhrIndnt" vbProcedure="false">"Wide"</definedName>
    <definedName function="false" hidden="false" name="SAPsysID" vbProcedure="false">"708C5W7SBKP804JT78WJ0JNKI"</definedName>
    <definedName function="false" hidden="false" name="SAPwbID" vbProcedure="false">"ARS"</definedName>
    <definedName function="false" hidden="false" name="sas" vbProcedure="false">{"Outflow 1",#N/A,FALSE,"Outflows-Inflows";"Outflow 2",#N/A,FALSE,"Outflows-Inflows";"Inflow 1",#N/A,FALSE,"Outflows-Inflows";"Inflow 2",#N/A,FALSE,"Outflows-Inflows"}</definedName>
    <definedName function="false" hidden="false" name="scot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sd" vbProcedure="false">{#N/A,#N/A,FALSE,"IPO";#N/A,#N/A,FALSE,"DCF";#N/A,#N/A,FALSE,"LBO";#N/A,#N/A,FALSE,"MULT_VAL";#N/A,#N/A,FALSE,"Status Quo";#N/A,#N/A,FALSE,"Recap"}</definedName>
    <definedName function="false" hidden="false" name="sda" vbProcedure="false">{#N/A,#N/A,FALSE,"TS";#N/A,#N/A,FALSE,"Combo";#N/A,#N/A,FALSE,"FAIR";#N/A,#N/A,FALSE,"RBC";#N/A,#N/A,FALSE,"xxxx";#N/A,#N/A,FALSE,"A_D";#N/A,#N/A,FALSE,"WACC";#N/A,#N/A,FALSE,"DCF";#N/A,#N/A,FALSE,"LBO";#N/A,#N/A,FALSE,"AcqMults";#N/A,#N/A,FALSE,"CompMults"}</definedName>
    <definedName function="false" hidden="false" name="sdf" vbProcedure="false">{#N/A,#N/A,FALSE,"Adj Proj";#N/A,#N/A,FALSE,"Sheet1";#N/A,#N/A,FALSE,"LBO";#N/A,#N/A,FALSE,"LBOMER";#N/A,#N/A,FALSE,"WACC";#N/A,#N/A,FALSE,"DCF";#N/A,#N/A,FALSE,"DCFMER";#N/A,#N/A,FALSE,"Pooling";#N/A,#N/A,FALSE,"income";#N/A,#N/A,FALSE,"Offer"}</definedName>
    <definedName function="false" hidden="false"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sdfass" vbProcedure="false">{"Outflow 1",#N/A,FALSE,"Outflows-Inflows";"Outflow 2",#N/A,FALSE,"Outflows-Inflows";"Inflow 1",#N/A,FALSE,"Outflows-Inflows";"Inflow 2",#N/A,FALSE,"Outflows-Inflows"}</definedName>
    <definedName function="false" hidden="false" name="sdf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ds"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fs" vbProcedure="false">{#N/A,#N/A,FALSE,"Projections";#N/A,#N/A,FALSE,"Multiples Valuation";#N/A,#N/A,FALSE,"LBO";#N/A,#N/A,FALSE,"Multiples_Sensitivity";#N/A,#N/A,FALSE,"Summary"}</definedName>
    <definedName function="false" hidden="false" name="sdf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sdhdhfdfhh" vbProcedure="false">{#N/A,#N/A,FALSE,"Balance Sheet";#N/A,#N/A,FALSE,"Income Statement";#N/A,#N/A,FALSE,"Changes in Financial Position"}</definedName>
    <definedName function="false" hidden="false" name="sencount" vbProcedure="false">1</definedName>
    <definedName function="false" hidden="false" name="Sheet2" vbProcedure="false">{#N/A,#N/A,FALSE,"Adj Proj";#N/A,#N/A,FALSE,"Sheet1";#N/A,#N/A,FALSE,"LBO";#N/A,#N/A,FALSE,"LBOMER";#N/A,#N/A,FALSE,"WACC";#N/A,#N/A,FALSE,"DCF";#N/A,#N/A,FALSE,"DCFMER";#N/A,#N/A,FALSE,"Pooling";#N/A,#N/A,FALSE,"income";#N/A,#N/A,FALSE,"Offer"}</definedName>
    <definedName function="false" hidden="false" name="Sheet3" vbProcedure="false">{#N/A,#N/A,FALSE,"Projections";#N/A,#N/A,FALSE,"Multiples Valuation";#N/A,#N/A,FALSE,"LBO";#N/A,#N/A,FALSE,"Multiples_Sensitivity";#N/A,#N/A,FALSE,"Summary"}</definedName>
    <definedName function="false" hidden="false" name="Sheet4" vbProcedure="false">{#N/A,#N/A,FALSE,"Projections";#N/A,#N/A,FALSE,"Multiples Valuation";#N/A,#N/A,FALSE,"LBO";#N/A,#N/A,FALSE,"Multiples_Sensitivity";#N/A,#N/A,FALSE,"Summary"}</definedName>
    <definedName function="false" hidden="false" name="Sheet6" vbProcedure="false">{#N/A,#N/A,FALSE,"Projections";#N/A,#N/A,FALSE,"Multiples Valuation";#N/A,#N/A,FALSE,"LBO";#N/A,#N/A,FALSE,"Multiples_Sensitivity";#N/A,#N/A,FALSE,"Summary"}</definedName>
    <definedName function="false" hidden="false" name="SleepmasterIncome" vbProcedure="false">{#N/A,#N/A,FALSE,"TS";#N/A,#N/A,FALSE,"Combo";#N/A,#N/A,FALSE,"FAIR";#N/A,#N/A,FALSE,"RBC";#N/A,#N/A,FALSE,"xxxx";#N/A,#N/A,FALSE,"A_D";#N/A,#N/A,FALSE,"WACC";#N/A,#N/A,FALSE,"DCF";#N/A,#N/A,FALSE,"LBO";#N/A,#N/A,FALSE,"AcqMults";#N/A,#N/A,FALSE,"CompMults"}</definedName>
    <definedName function="false" hidden="false" name="SLEVI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SMPS" vbProcedure="false">{#N/A,#N/A,FALSE,"AD_Purchase";#N/A,#N/A,FALSE,"Credit";#N/A,#N/A,FALSE,"PF Acquisition";#N/A,#N/A,FALSE,"PF Offering"}</definedName>
    <definedName function="false" hidden="false" name="solver_cvg" vbProcedure="false">0.001</definedName>
    <definedName function="false" hidden="false" name="solver_drv" vbProcedure="false">1</definedName>
    <definedName function="false" hidden="false" name="solver_est" vbProcedure="false">1</definedName>
    <definedName function="false" hidden="false" name="solver_itr" vbProcedure="false">100</definedName>
    <definedName function="false" hidden="false" name="solver_lin" vbProcedure="false">0</definedName>
    <definedName function="false" hidden="false" name="solver_neg" vbProcedure="false">2</definedName>
    <definedName function="false" hidden="false" name="solver_num" vbProcedure="false">0</definedName>
    <definedName function="false" hidden="false" name="solver_nwt" vbProcedure="false">1</definedName>
    <definedName function="false" hidden="false" name="solver_pre" vbProcedure="false">0.000001</definedName>
    <definedName function="false" hidden="false" name="solver_scl" vbProcedure="false">2</definedName>
    <definedName function="false" hidden="false" name="solver_sho" vbProcedure="false">2</definedName>
    <definedName function="false" hidden="false" name="solver_tim" vbProcedure="false">100</definedName>
    <definedName function="false" hidden="false" name="solver_tol" vbProcedure="false">0.05</definedName>
    <definedName function="false" hidden="false" name="solver_typ" vbProcedure="false">3</definedName>
    <definedName function="false" hidden="false" name="solver_val" vbProcedure="false">0.6</definedName>
    <definedName function="false" hidden="false" name="ss" vbProcedure="false">{#N/A,#N/A,FALSE,"Debt Accr";#N/A,#N/A,FALSE,"Stock Accr";#N/A,#N/A,FALSE,"Debt Stock Accr"}</definedName>
    <definedName function="false" hidden="false" name="ssss"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staffing2" vbProcedure="false">{#N/A,#N/A,FALSE,"Assessment";#N/A,#N/A,FALSE,"Staffing";#N/A,#N/A,FALSE,"Hires";#N/A,#N/A,FALSE,"Assumptions"}</definedName>
    <definedName function="false" hidden="false" name="Staffing3" vbProcedure="false">{#N/A,#N/A,FALSE,"Assessment";#N/A,#N/A,FALSE,"Staffing";#N/A,#N/A,FALSE,"Hires";#N/A,#N/A,FALSE,"Assumptions"}</definedName>
    <definedName function="false" hidden="false" name="Summary"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Summary2" vbProcedure="false">{#N/A,#N/A,FALSE,"FACTSHEETS";#N/A,#N/A,FALSE,"pump";#N/A,#N/A,FALSE,"filter"}</definedName>
    <definedName function="false" hidden="false" name="SUMMARY_BOOK" vbProcedure="false">{"page1",#N/A,FALSE,"GIRLBO";"page2",#N/A,FALSE,"GIRLBO";"page3",#N/A,FALSE,"GIRLBO";"page4",#N/A,FALSE,"GIRLBO";"page5",#N/A,FALSE,"GIRLBO"}</definedName>
    <definedName function="false" hidden="false" name="TargetDCF2" vbProcedure="false">{#N/A,#N/A,FALSE,"Sheet1"}</definedName>
    <definedName function="false" hidden="false" name="temp"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1"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tempq2"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3"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tempq4"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tempq5"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tempq6" vbProcedure="false">{#N/A,#N/A,TRUE,"FD IV Portfolio Summary ";#N/A,#N/A,TRUE,"Western";#N/A,#N/A,TRUE,"Kranson";#N/A,#N/A,TRUE,"ARC";#N/A,#N/A,TRUE,"Precise";#N/A,#N/A,TRUE,"WNA"}</definedName>
    <definedName function="false" hidden="false" name="tempq7"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tempq8"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Temp_2" vbProcedure="false">{#N/A,#N/A,FALSE,"Assessment";#N/A,#N/A,FALSE,"Staffing";#N/A,#N/A,FALSE,"Hires";#N/A,#N/A,FALSE,"Assumptions"}</definedName>
    <definedName function="false" hidden="false" name="Temp_3" vbProcedure="false">{#N/A,#N/A,FALSE,"Assessment";#N/A,#N/A,FALSE,"Staffing";#N/A,#N/A,FALSE,"Hires";#N/A,#N/A,FALSE,"Assumptions"}</definedName>
    <definedName function="false" hidden="false" name="test1" vbProcedure="false">{#N/A,#N/A,TRUE,"MAIN FT TERM";#N/A,#N/A,TRUE,"MCI  FT TERM ";#N/A,#N/A,TRUE,"OC12 EQV"}</definedName>
    <definedName function="false" hidden="false" name="TextRefCopyRangeCount" vbProcedure="false">1</definedName>
    <definedName function="false" hidden="false" name="Total_Payment" vbProcedure="false">scheduled_payment+extra_payment</definedName>
    <definedName function="false" hidden="false" name="tou" vbProcedure="false">{#N/A,#N/A,TRUE,"TransPrcd 1";#N/A,#N/A,TRUE,"TransPrcd 2";#N/A,#N/A,TRUE,"TransPrcd 3"}</definedName>
    <definedName function="false" hidden="false" name="treeList" vbProcedure="false">"00000000000000000000000000000000000000000000000000000000000000000000000000000000000000000000000000000000000000000000000000000000000000000000000000000000000000000000000000000000000000000000000000000000"</definedName>
    <definedName function="false" hidden="false" name="trial" vbProcedure="false">{"Outflow 1",#N/A,FALSE,"Outflows-Inflows";"Outflow 2",#N/A,FALSE,"Outflows-Inflows";"Inflow 1",#N/A,FALSE,"Outflows-Inflows";"Inflow 2",#N/A,FALSE,"Outflows-Inflows"}</definedName>
    <definedName function="false" hidden="false" name="tttoo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ty" vbProcedure="false">{"Assumptions",#N/A,TRUE,"Assumptions";"Income",#N/A,TRUE,"Income";"Balance",#N/A,TRUE,"Balance"}</definedName>
    <definedName function="false" hidden="false" name="tyr" vbProcedure="false">{#N/A,#N/A,FALSE,"AD_Purch";#N/A,#N/A,FALSE,"Projections";#N/A,#N/A,FALSE,"DCF";#N/A,#N/A,FALSE,"Mkt Val"}</definedName>
    <definedName function="false" hidden="false" name="tyryu" vbProcedure="false">{#N/A,#N/A,FALSE,"Sheet1";#N/A,#N/A,FALSE,"Summary";#N/A,#N/A,FALSE,"proj1";#N/A,#N/A,FALSE,"proj2"}</definedName>
    <definedName function="false" hidden="false" name="uiknu"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United"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UPDATESUMMARY" vbProcedure="false">{#N/A,#N/A,FALSE,"FACTSHEETS";#N/A,#N/A,FALSE,"pump";#N/A,#N/A,FALSE,"filter"}</definedName>
    <definedName function="false" hidden="false" name="uu"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v" vbProcedure="false">{#N/A,#N/A,FALSE,"Summary";#N/A,#N/A,FALSE,"Signatures";#N/A,#N/A,FALSE,"FL Current";#N/A,#N/A,FALSE,"Assumptions";#N/A,#N/A,FALSE,"Assumptions";#N/A,#N/A,FALSE,"Assumptions";#N/A,#N/A,FALSE,"FL Last";#N/A,#N/A,FALSE,"FL Orig";#N/A,#N/A,FALSE,"C to G Explain"}</definedName>
    <definedName function="false" hidden="false" name="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rr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vwew32" vbProcedure="false">{"Assumptions",#N/A,TRUE,"Assumptions";"Income",#N/A,TRUE,"Income";"Balance",#N/A,TRUE,"Balance"}</definedName>
    <definedName function="false" hidden="false" name="vzssw" vbProcedure="false">{#N/A,#N/A,FALSE,"Projections";#N/A,#N/A,FALSE,"Acq Mult";#N/A,#N/A,FALSE,"TWER Mult";#N/A,#N/A,FALSE,"DCF EBITDA";#N/A,#N/A,FALSE,"DCF EBIT";#N/A,#N/A,FALSE,"Debt Accr";#N/A,#N/A,FALSE,"Stock Accr";#N/A,#N/A,FALSE,"Debt Stock Accr";#N/A,#N/A,FALSE,"Accr Dil Sensi"}</definedName>
    <definedName function="false" hidden="false" name="w5y2367"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adasd"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errr" vbProcedure="false">{#N/A,#N/A,FALSE,"Adj Proj";#N/A,#N/A,FALSE,"Sheet1";#N/A,#N/A,FALSE,"LBO";#N/A,#N/A,FALSE,"LBOMER";#N/A,#N/A,FALSE,"WACC";#N/A,#N/A,FALSE,"DCF";#N/A,#N/A,FALSE,"DCFMER";#N/A,#N/A,FALSE,"Pooling";#N/A,#N/A,FALSE,"income";#N/A,#N/A,FALSE,"Offer"}</definedName>
    <definedName function="false" hidden="false" name="werwe"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estburne" vbProcedure="false">{#N/A,#N/A,FALSE,"Projections";#N/A,#N/A,FALSE,"Multiples Valuation";#N/A,#N/A,FALSE,"LBO";#N/A,#N/A,FALSE,"Multiples_Sensitivity";#N/A,#N/A,FALSE,"Summary"}</definedName>
    <definedName function="false" hidden="false" name="what"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HATEVE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3"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EVERS"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hatisthis" vbProcedure="false">{#N/A,#N/A,FALSE,"Summary";#N/A,#N/A,FALSE,"Projections";#N/A,#N/A,FALSE,"Mkt Mults";#N/A,#N/A,FALSE,"DCF";#N/A,#N/A,FALSE,"Accr Dil";#N/A,#N/A,FALSE,"PIC LBO";#N/A,#N/A,FALSE,"MULT10_4";#N/A,#N/A,FALSE,"CBI LBO"}</definedName>
    <definedName function="false" hidden="false" name="whatisthissss" vbProcedure="false">{#N/A,#N/A,FALSE,"IPO";#N/A,#N/A,FALSE,"DCF";#N/A,#N/A,FALSE,"LBO";#N/A,#N/A,FALSE,"MULT_VAL";#N/A,#N/A,FALSE,"Status Quo";#N/A,#N/A,FALSE,"Recap"}</definedName>
    <definedName function="false" hidden="false" name="whatisthisssss" vbProcedure="false">{#N/A,#N/A,FALSE,"Summary";#N/A,#N/A,FALSE,"Projections";#N/A,#N/A,FALSE,"Mkt Mults";#N/A,#N/A,FALSE,"DCF";#N/A,#N/A,FALSE,"Accr Dil";#N/A,#N/A,FALSE,"PIC LBO";#N/A,#N/A,FALSE,"MULT10_4";#N/A,#N/A,FALSE,"CBI LBO"}</definedName>
    <definedName function="false" hidden="false" name="wqwt" vbProcedure="false">{#N/A,#N/A,FALSE,"Projections";#N/A,#N/A,FALSE,"Contribution_Stock";#N/A,#N/A,FALSE,"PF_Combo_Stock";#N/A,#N/A,FALSE,"Projections";#N/A,#N/A,FALSE,"Contribution_Cash";#N/A,#N/A,FALSE,"PF_Combo_Cash";#N/A,#N/A,FALSE,"IPO_Cash"}</definedName>
    <definedName function="false" hidden="false" name="wrn.123100._.Port._.Review." vbProcedure="false">{#N/A,#N/A,TRUE,"Port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function="false" hidden="false" name="wrn.12_30._.Adv._.Book." vbProcedure="false">{#N/A,#N/A,TRUE,"Fd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function="false" hidden="false" name="wrn.1996._.BUDGET." vbProcedure="false">{"SUMMARY",#N/A,TRUE,"SUMMARY";"compare",#N/A,TRUE,"Vs. Bus Plan";"ratios",#N/A,TRUE,"Ratios";"REVENUE",#N/A,TRUE,"Revenue";"expenses",#N/A,TRUE,"1996 budget";"payroll",#N/A,TRUE,"Payroll"}</definedName>
    <definedName function="false" hidden="false" name="wrn.1996._.TO._.2004." vbProcedure="false">{"ten year ratios",#N/A,TRUE,"PROFIT_LOSS";"ten year ratios",#N/A,TRUE,"Ratios";"ten yr opex and capex",#N/A,TRUE,"1996 budget";"ten year revenues",#N/A,TRUE,"Revenue_1996-2004";"ten year payroll",#N/A,TRUE,"Payroll"}</definedName>
    <definedName function="false" hidden="false" name="wrn.1998.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wrn.1999._.Budget."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function="false" hidden="false" name="wrn.3.00._.Adv.._.Board." vbProcedure="false">{#N/A,#N/A,TRUE,"Fd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function="false" hidden="false" name="wrn.9_30._.Adv._.Board." vbProcedure="false">{#N/A,#N/A,TRUE,"Fd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function="false" hidden="false" name="wrn.9_30._.LP._.Meeting." vbProcedure="false">{#N/A,#N/A,TRUE,"Fund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function="false" hidden="false" name="wrn.Accr_Dil." vbProcedure="false">{#N/A,#N/A,FALSE,"Debt Accr";#N/A,#N/A,FALSE,"Stock Accr";#N/A,#N/A,FALSE,"Debt Stock Accr"}</definedName>
    <definedName function="false" hidden="false" name="wrn.Acquisition_matrix." vbProcedure="false">{"Acq_matrix",#N/A,FALSE,"Acquisition Matrix"}</definedName>
    <definedName function="false" hidden="false" name="wrn.Active._.Stores." vbProcedure="false">{#N/A,#N/A,FALSE,"RH";#N/A,#N/A,FALSE,"SP";#N/A,#N/A,FALSE,"MB";#N/A,#N/A,FALSE,"WV";#N/A,#N/A,FALSE,"LB";#N/A,#N/A,FALSE,"NB";#N/A,#N/A,FALSE,"MV"}</definedName>
    <definedName function="false" hidden="false" name="wrn.adj95." vbProcedure="false">{"adj95mult",#N/A,FALSE,"COMPCO";"adj95est",#N/A,FALSE,"COMPCO"}</definedName>
    <definedName function="false" hidden="false" name="wrn.adj95a" vbProcedure="false">{"adj95mult",#N/A,FALSE,"COMPCO";"adj95est",#N/A,FALSE,"COMPCO"}</definedName>
    <definedName function="false" hidden="false" name="wrn.AEA." vbProcedure="false">{#N/A,#N/A,FALSE,"Proj.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function="false" hidden="false" name="wrn.Aging._.and._.Trend._.Analysis." vbProcedure="false">{#N/A,#N/A,FALSE,"Aging Summary";#N/A,#N/A,FALSE,"Ratio Analysis";#N/A,#N/A,FALSE,"Test 120 Day Accts";#N/A,#N/A,FALSE,"Tickmarks"}</definedName>
    <definedName function="false" hidden="false" name="wrn.ALAN." vbProcedure="false">{"CREDIT STATISTICS",#N/A,FALSE,"STATS";"CF_AND_IS",#N/A,FALSE,"PLAN";"DEBT SCHEDULE",#N/A,FALSE,"PLAN";"SUBSCRIBERS",#N/A,FALSE,"PLAN";"DETAIL_REV",#N/A,FALSE,"PLAN";"DETAIL_EXPENSE",#N/A,FALSE,"PLAN";"SALES_AND EXP_DRIVERS",#N/A,FALSE,"PLAN";"FIXED ASSETS",#N/A,FALSE,"PLAN";"DEPRECIATION SCHEDULE",#N/A,FALSE,"PLAN"}</definedName>
    <definedName function="false" hidden="false" name="wrn.all." vbProcedure="false">{"Matrix",#N/A,FALSE,"ACQMTRX";"Fees",#N/A,FALSE,"ACQMTRX"}</definedName>
    <definedName function="false" hidden="false" name="wrn.all._.gulp._.sheets."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false"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false" name="wrn.ALL._.PAGES." vbProcedure="false">{#N/A,#N/A,FALSE,"puboff";#N/A,#N/A,FALSE,"financials";#N/A,#N/A,FALSE,"valuation";#N/A,#N/A,FALSE,"split"}</definedName>
    <definedName function="false" hidden="false" name="wrn.ALL._.SHEETS." vbProcedure="false">{#N/A,#N/A,FALSE,"Adj Proj";#N/A,#N/A,FALSE,"Sheet1";#N/A,#N/A,FALSE,"LBO";#N/A,#N/A,FALSE,"LBOMER";#N/A,#N/A,FALSE,"WACC";#N/A,#N/A,FALSE,"DCF";#N/A,#N/A,FALSE,"DCFMER";#N/A,#N/A,FALSE,"Pooling";#N/A,#N/A,FALSE,"income";#N/A,#N/A,FALSE,"Offer"}</definedName>
    <definedName function="false" hidden="false" name="wrn.All._.Views." vbProcedure="false">{#N/A,#N/A,FALSE,"Summary";#N/A,#N/A,FALSE,"Signatures";#N/A,#N/A,FALSE,"FL Current";#N/A,#N/A,FALSE,"Assumptions";#N/A,#N/A,FALSE,"Assumptions";#N/A,#N/A,FALSE,"Assumptions";#N/A,#N/A,FALSE,"FL Last";#N/A,#N/A,FALSE,"FL Orig";#N/A,#N/A,FALSE,"C to G Explain"}</definedName>
    <definedName function="false" hidden="false" name="wrn.ALL4" vbProcedure="false">{#N/A,#N/A,FALSE,"ASSUMPTIONS";#N/A,#N/A,FALSE,"Valuation Summary";"page1",#N/A,FALSE,"PRESENTATION";"page2",#N/A,FALSE,"PRESENTATION";#N/A,#N/A,FALSE,"ORIGINAL_ROLLBACK"}</definedName>
    <definedName function="false" hidden="false" name="wrn.ALL5" vbProcedure="false">{#N/A,#N/A,FALSE,"ASSUMPTIONS";#N/A,#N/A,FALSE,"Valuation Summary";"page1",#N/A,FALSE,"PRESENTATION";"page2",#N/A,FALSE,"PRESENTATION";#N/A,#N/A,FALSE,"ORIGINAL_ROLLBACK"}</definedName>
    <definedName function="false" hidden="false" name="wrn.ALL6" vbProcedure="false">{#N/A,#N/A,FALSE,"ASSUMPTIONS";#N/A,#N/A,FALSE,"Valuation Summary";"page1",#N/A,FALSE,"PRESENTATION";"page2",#N/A,FALSE,"PRESENTATION";#N/A,#N/A,FALSE,"ORIGINAL_ROLLBACK"}</definedName>
    <definedName function="false" hidden="false" name="wrn.ALL8" vbProcedure="false">{#N/A,#N/A,FALSE,"ASSUMPTIONS";#N/A,#N/A,FALSE,"Valuation Summary";"page1",#N/A,FALSE,"PRESENTATION";"page2",#N/A,FALSE,"PRESENTATION";#N/A,#N/A,FALSE,"ORIGINAL_ROLLBACK"}</definedName>
    <definedName function="false" hidden="false" name="wrn.ALLbutPREMIUM."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butPREMUIM2"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wrn.AllDataPages." vbProcedure="false">{#N/A,#N/A,FALSE,"Balance Sheet";#N/A,#N/A,FALSE,"Income Statement";#N/A,#N/A,FALSE,"Changes in Financial Position"}</definedName>
    <definedName function="false" hidden="false" name="wrn.AllModels." vbProcedure="false">{#N/A,#N/A,FALSE,"AD_Purchase";#N/A,#N/A,FALSE,"Credit";#N/A,#N/A,FALSE,"PF Acquisition";#N/A,#N/A,FALSE,"PF Offering"}</definedName>
    <definedName function="false" hidden="false" name="wrn.All_charts." vbProcedure="false">{"chart_ar_stats",#N/A,FALSE,"AR Chart1";"chart_percent_AR_past_due",#N/A,FALSE,"AR Chart2";"chart_ap_trends_only",#N/A,FALSE,"AP Chart"}</definedName>
    <definedName function="false" hidden="false" name="wrn.All_Models." vbProcedure="false">{#N/A,#N/A,FALSE,"Summary";#N/A,#N/A,FALSE,"Projections";#N/A,#N/A,FALSE,"Mkt Mults";#N/A,#N/A,FALSE,"DCF";#N/A,#N/A,FALSE,"Accr Dil";#N/A,#N/A,FALSE,"PIC LBO";#N/A,#N/A,FALSE,"MULT10_4";#N/A,#N/A,FALSE,"CBI LBO"}</definedName>
    <definedName function="false" hidden="false" name="wrn.All_Models2" vbProcedure="false">{#N/A,#N/A,FALSE,"Projections";#N/A,#N/A,FALSE,"Multiples Valuation";#N/A,#N/A,FALSE,"LBO";#N/A,#N/A,FALSE,"Multiples_Sensitivity";#N/A,#N/A,FALSE,"Summary"}</definedName>
    <definedName function="false" hidden="false" name="wrn.All_Sheets." vbProcedure="false">{#N/A,#N/A,FALSE,"Projections";#N/A,#N/A,FALSE,"Contribution_Stock";#N/A,#N/A,FALSE,"PF_Combo_Stock";#N/A,#N/A,FALSE,"Projections";#N/A,#N/A,FALSE,"Contribution_Cash";#N/A,#N/A,FALSE,"PF_Combo_Cash";#N/A,#N/A,FALSE,"IPO_Cash"}</definedName>
    <definedName function="false" hidden="false" name="wrn.Analytic." vbProcedure="false">{#N/A,#N/A,FALSE,"Fisons_Sci_Instr";#N/A,#N/A,FALSE,"Fisons_Lab_Supplies";#N/A,#N/A,FALSE,"Nunc";#N/A,#N/A,FALSE,"Sorvall";#N/A,#N/A,FALSE,"Dynatech";#N/A,#N/A,FALSE,"Hach"}</definedName>
    <definedName function="false" hidden="false" name="wrn.AnnualRentRoll." vbProcedure="false">{"AnnualRentRoll",#N/A,FALSE,"RentRoll"}</definedName>
    <definedName function="false" hidden="false" name="wrn.AQUIROR._.DCF." vbProcedure="false">{"AQUIRORDCF",#N/A,FALSE,"Merger consequences";"Acquirorassns",#N/A,FALSE,"Merger consequences"}</definedName>
    <definedName function="false" hidden="false" name="wrn.Assumptions._.and._.Results." vbProcedure="false">{"CV_1",#N/A,TRUE,"Assumptions and Results"}</definedName>
    <definedName function="false" hidden="false" name="wrn.Auto._.Comp." vbProcedure="false">{#N/A,#N/A,FALSE,"Sheet1"}</definedName>
    <definedName function="false" hidden="false" name="wrn.Auto._.Comp.1" vbProcedure="false">{#N/A,#N/A,FALSE,"Sheet1"}</definedName>
    <definedName function="false" hidden="false" name="wrn.A_B_workpapers." vbProcedure="false">{"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function="false" hidden="false" name="wrn.A_VALUATION." vbProcedure="false">{#N/A,#N/A,FALSE,"A_D";#N/A,#N/A,FALSE,"WACC";#N/A,#N/A,FALSE,"DCF";#N/A,#N/A,FALSE,"A";#N/A,#N/A,FALSE,"LBO";#N/A,#N/A,FALSE,"C";#N/A,#N/A,FALSE,"impd";#N/A,#N/A,FALSE,"comps"}</definedName>
    <definedName function="false" hidden="false" name="wrn.balance._.sheet." vbProcedure="false">{"bs",#N/A,FALSE,"SCF"}</definedName>
    <definedName function="false" hidden="false" name="wrn.Bank._.Report." vbProcedure="false">{"Title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function="false" hidden="false" name="wrn.basics." vbProcedure="false">{#N/A,#N/A,FALSE,"TSUM";#N/A,#N/A,FALSE,"shares";#N/A,#N/A,FALSE,"earnout";#N/A,#N/A,FALSE,"Heaty";#N/A,#N/A,FALSE,"self-tend";#N/A,#N/A,FALSE,"self-sum"}</definedName>
    <definedName function="false" hidden="false" name="wrn.BidCo." vbProcedure="false">{#N/A,#N/A,FALSE,"BidCo Assumptions";#N/A,#N/A,FALSE,"Credit Stats";#N/A,#N/A,FALSE,"Bidco Summary";#N/A,#N/A,FALSE,"BIDCO Consolidated"}</definedName>
    <definedName function="false" hidden="false" name="wrn.BROKER._.COMMISSIONS." vbProcedure="false">{"COM1996",#N/A,FALSE,"ANNUAL COMMISSIONS";"COM1997",#N/A,FALSE,"ANNUAL COMMISSIONS"}</definedName>
    <definedName function="false" hidden="false" name="wrn.BSAnnualModel." vbProcedure="false">{"BSAnnualModel",#N/A,FALSE,"BS"}</definedName>
    <definedName function="false" hidden="false" name="wrn.Budget." vbProcedure="false">{#N/A,#N/A,FALSE,"QSum";#N/A,#N/A,FALSE,"1Q";#N/A,#N/A,FALSE,"2Q";#N/A,#N/A,FALSE,"3Q";#N/A,#N/A,FALSE,"4Q";#N/A,#N/A,FALSE,"Mthly";#N/A,#N/A,FALSE,"Cur.vs.Prior"}</definedName>
    <definedName function="false" hidden="false" name="wrn.Budget._.Detail." vbProcedure="false">{#N/A,#N/A,FALSE,"Salaries";#N/A,#N/A,FALSE,"Carmen";#N/A,#N/A,FALSE,"Bonus";#N/A,#N/A,FALSE,"Benefits1";#N/A,#N/A,FALSE,"Benefits2";#N/A,#N/A,FALSE,"Benefits3";#N/A,#N/A,FALSE,"Benefits4";#N/A,#N/A,FALSE,"Other1";#N/A,#N/A,FALSE,"Other2";#N/A,#N/A,FALSE,"Other3";#N/A,#N/A,FALSE,"Other4";#N/A,#N/A,FALSE,"Other5";#N/A,#N/A,FALSE,"MIS Other"}</definedName>
    <definedName function="false" hidden="false" name="wrn.Buildups." vbProcedure="false">{"ACQ",#N/A,FALSE,"ACQUISITIONS";"ACQF",#N/A,FALSE,"ACQUISITIONS";"PF",#N/A,FALSE,"PROYECTOVILA";"PV",#N/A,FALSE,"PROYECTOVILA";"Fee Dev",#N/A,FALSE,"DEVELOPMENT GROWTH";"gd",#N/A,FALSE,"DEVELOPMENT GROWTH"}</definedName>
    <definedName function="false" hidden="false" name="wrn.bullshit1." vbProcedure="false">{#N/A,#N/A,FALSE,"Sheet1";#N/A,#N/A,FALSE,"Summary";#N/A,#N/A,FALSE,"proj1";#N/A,#N/A,FALSE,"proj2"}</definedName>
    <definedName function="false" hidden="false" name="wrn.CASHFLOW._.WP." vbProcedure="false">{#N/A,#N/A,FALSE,"CASHFLOW BS";#N/A,#N/A,FALSE,"CASHFLOW DETAIL"}</definedName>
    <definedName function="false" hidden="false" name="wrn.CFSModel." vbProcedure="false">{"CFSModel",#N/A,FALSE,"CFS"}</definedName>
    <definedName function="false" hidden="false" name="wrn.clientcopy." vbProcedure="false">{"Multiples_clientcopy",#N/A,FALSE,"Multiples";"Adjustments_clientcopy",#N/A,FALSE,"Adjustments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function="false" hidden="false" name="wrn.COMPCO." vbProcedure="false">{"Page1",#N/A,FALSE,"CompCo";"Page2",#N/A,FALSE,"CompCo"}</definedName>
    <definedName function="false" hidden="false" name="wrn.compco2" vbProcedure="false">{"mult96",#N/A,FALSE,"PETCOMP";"est96",#N/A,FALSE,"PETCOMP";"mult95",#N/A,FALSE,"PETCOMP";"est95",#N/A,FALSE,"PETCOMP";"multltm",#N/A,FALSE,"PETCOMP";"resultltm",#N/A,FALSE,"PETCOMP"}</definedName>
    <definedName function="false" hidden="false" name="wrn.compco3" vbProcedure="false">{"mult96",#N/A,FALSE,"PETCOMP";"est96",#N/A,FALSE,"PETCOMP";"mult95",#N/A,FALSE,"PETCOMP";"est95",#N/A,FALSE,"PETCOMP";"multltm",#N/A,FALSE,"PETCOMP";"resultltm",#N/A,FALSE,"PETCOMP"}</definedName>
    <definedName function="false" hidden="false" name="wrn.CONSENTRY." vbProcedure="false">{#N/A,#N/A,FALSE,"CONENTRY"}</definedName>
    <definedName function="false" hidden="false" name="wrn.cotop." vbProcedure="false">{"ReportTop",#N/A,FALSE,"report top"}</definedName>
    <definedName function="false" hidden="false" name="wrn.C_D_E_O_workpapers." vbProcedure="false">{"cash_1",#N/A,FALSE,"Cash";"cash_1.1",#N/A,FALSE,"Cash";"ap_aging_trends",#N/A,FALSE,"AP";"ap_concentrations",#N/A,FALSE,"AP";"payroll_tax_E_1",#N/A,FALSE,"Tax";"property_tax",#N/A,FALSE,"Tax";"sales_tax",#N/A,FALSE,"Tax";"sign off sheet",#N/A,FALSE,"O-14"}</definedName>
    <definedName function="false" hidden="false" name="wrn.dcf." vbProcedure="false">{"mgmt forecast",#N/A,FALSE,"Mgmt Forecast";"dcf table",#N/A,FALSE,"Mgmt Forecast";"sensitivity",#N/A,FALSE,"Mgmt Forecast";"table inputs",#N/A,FALSE,"Mgmt Forecast";"calculations",#N/A,FALSE,"Mgmt Forecast"}</definedName>
    <definedName function="false" hidden="false" name="wrn.dcf._.backup." vbProcedure="false">{"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function="false" hidden="false" name="wrn.DCF._.Valuation." vbProcedure="false">{"value box",#N/A,TRUE,"DPL Inc. Fin Statements";"unlevered free cash flows",#N/A,TRUE,"DPL Inc. Fin Statements"}</definedName>
    <definedName function="false" hidden="false"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false" name="wrn.DCF_Terminal_Value_qchm." vbProcedure="false">{"qchm_dcf",#N/A,FALSE,"QCHMDCF2";"qchm_terminal",#N/A,FALSE,"QCHMDCF2"}</definedName>
    <definedName function="false" hidden="false" name="wrn.DEB." vbProcedure="false">{"BSDEB",#N/A,FALSE,"Jun 98";"ISDEB",#N/A,FALSE,"Jun 98";"CFDEB",#N/A,FALSE,"Jun 98";"WP1DEB",#N/A,FALSE,"Jun 98";"WP2DEB",#N/A,FALSE,"Jun 98";"WP3EB",#N/A,FALSE,"Jun 98";"EQUITYDEB",#N/A,FALSE,"Jun 98"}</definedName>
    <definedName function="false" hidden="false" name="wrn.debt." vbProcedure="false">{"CFA",#N/A,FALSE,"CF";"CFQ",#N/A,FALSE,"CF";"dbt.all.anl",#N/A,FALSE,"CF";"dbt.all.qt",#N/A,FALSE,"CF";"dbt.pt1.anl",#N/A,FALSE,"CF";"debt.pt2.anl",#N/A,FALSE,"CF";"dbt.pt1.qt",#N/A,FALSE,"CF";"dbt.pt2.qt",#N/A,FALSE,"CF";"BSA",#N/A,FALSE,"B"}</definedName>
    <definedName function="false" hidden="false" name="wrn.Development._.Hours." vbProcedure="false">{#N/A,#N/A,FALSE,"July 95";#N/A,#N/A,FALSE,"Aug 95";#N/A,#N/A,FALSE,"Sep 95";#N/A,#N/A,FALSE,"October 95"}</definedName>
    <definedName function="false" hidden="false" name="wrn.dir." vbProcedure="false">{#N/A,#N/A,FALSE,"Dir. Marketing_Summary";#N/A,#N/A,FALSE,"Infolink";#N/A,#N/A,FALSE,"Direct";#N/A,#N/A,FALSE,"Med_Marketing";#N/A,#N/A,FALSE,"Dimac_1";#N/A,#N/A,FALSE,"Dimac_2";#N/A,#N/A,FALSE,"Vantage";#N/A,#N/A,FALSE,"Tomahawk";#N/A,#N/A,FALSE,"BofA";#N/A,#N/A,FALSE,"Epsilon";#N/A,#N/A,FALSE,"Epsilon"}</definedName>
    <definedName function="false" hidden="false" name="wrn.DIR._.TEMP." vbProcedure="false">{#N/A,#N/A,FALSE,"TOTAL";#N/A,#N/A,FALSE,"DEPT20";#N/A,#N/A,FALSE,"DEPT21";#N/A,#N/A,FALSE,"DEPT22";#N/A,#N/A,FALSE,"DEPT23";#N/A,#N/A,FALSE,"DEPT24";#N/A,#N/A,FALSE,"DEPT25"}</definedName>
    <definedName function="false" hidden="false" name="wrn.Draft." vbProcedure="false">{"Draft",#N/A,FALSE,"Feb-96"}</definedName>
    <definedName function="false" hidden="false" name="wrn.ebitda." vbProcedure="false">{#N/A,#N/A,FALSE,"2003_Input - P&amp;L"}</definedName>
    <definedName function="false" hidden="false" name="wrn.Economic._.Value._.Added._.Analysis." vbProcedure="false">{"EVA",#N/A,FALSE,"EVA";"WACC",#N/A,FALSE,"WACC"}</definedName>
    <definedName function="false" hidden="false" name="wrn.Entire._.Model." vbProcedure="false">{#N/A,#N/A,FALSE,"TOC";#N/A,#N/A,FALSE,"ASS";#N/A,#N/A,FALSE,"CF";#N/A,#N/A,FALSE,"Tariff";#N/A,#N/A,FALSE,"Price";#N/A,#N/A,FALSE,"RESERVE";#N/A,#N/A,FALSE,"FUEL&amp;MTC";#N/A,#N/A,FALSE,"DRAW";#N/A,#N/A,FALSE,"IDC";#N/A,#N/A,FALSE,"FIN";#N/A,#N/A,FALSE,"TAXES";#N/A,#N/A,FALSE,"DEPR";#N/A,#N/A,FALSE,"BS";#N/A,#N/A,FALSE,"Perf";#N/A,#N/A,FALSE,"ELOANS";#N/A,#N/A,FALSE,"RETURNS";#N/A,#N/A,FALSE,"ENE";#N/A,#N/A,FALSE,"EINC";#N/A,#N/A,FALSE,"DSCR"}</definedName>
    <definedName function="false" hidden="false" name="wrn.EntireModel." vbProcedure="false">{"cvr",#N/A,FALSE,"CVR";"sum",#N/A,FALSE,"SUM";"obal",#N/A,FALSE,"OBAL";#N/A,#N/A,FALSE,"INC1";#N/A,#N/A,FALSE,"INC2";"bal1",#N/A,FALSE,"BAL1";"inc",#N/A,FALSE,"INC";"bal",#N/A,FALSE,"BAL";"cash",#N/A,FALSE,"CASH";"debt",#N/A,FALSE,"DEBT";"eqty",#N/A,FALSE,"EQTY";"tax",#N/A,FALSE,"TAX";"depr",#N/A,FALSE,"DEPR";#N/A,#N/A,FALSE,"IRR";"strip1",#N/A,FALSE,"STRP";"fee",#N/A,FALSE,"FEE"}</definedName>
    <definedName function="false" hidden="false" name="wrn.ENTRYDET." vbProcedure="false">{#N/A,#N/A,FALSE,"ENTRYDET"}</definedName>
    <definedName function="false" hidden="false" name="wrn.EPS." vbProcedure="false">{#N/A,#N/A,FALSE,"EPS"}</definedName>
    <definedName function="false" hidden="false" name="wrn.Everything."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false" name="wrn.Exhibits." vbProcedure="false">{#N/A,#N/A,TRUE,"Contents";#N/A,#N/A,TRUE,"Current Plans";#N/A,#N/A,TRUE," EE State";#N/A,#N/A,TRUE,"EE Age";#N/A,#N/A,TRUE,"HPHC HMO";#N/A,#N/A,TRUE,"Tufts HMO";#N/A,#N/A,TRUE,"Tufts POS";#N/A,#N/A,TRUE,"UHC OOA";#N/A,#N/A,TRUE,"UHC CAT";#N/A,#N/A,TRUE,"UHC POS";#N/A,#N/A,TRUE,"UHC Retiree";#N/A,#N/A,TRUE,"Coventry POS";#N/A,#N/A,TRUE,"Coventry HMO";#N/A,#N/A,TRUE,"UHC Princeton POS 1";#N/A,#N/A,TRUE,"UHC Princeton POS 2";#N/A,#N/A,TRUE,"UHC Princeton PPO 1";#N/A,#N/A,TRUE,"UHC Princeton PPO 2";#N/A,#N/A,TRUE,"PacifiCare HMO";#N/A,#N/A,TRUE,"Rate History";#N/A,#N/A,TRUE,"Large Claims"}</definedName>
    <definedName function="false" hidden="false" name="wrn.ExitAndSalesAssumptions." vbProcedure="false">{#N/A,#N/A,FALSE,"ExitStratigy"}</definedName>
    <definedName function="false" hidden="false" name="wrn.FCB." vbProcedure="false">{"FCB_ALL",#N/A,FALSE,"FCB"}</definedName>
    <definedName function="false" hidden="false" name="wrn.fcb2" vbProcedure="false">{"FCB_ALL",#N/A,FALSE,"FCB"}</definedName>
    <definedName function="false" hidden="false" name="wrn.FDII6_01PortReview." vbProcedure="false">{#N/A,#N/A,TRUE,"Port Summary II";#N/A,#N/A,TRUE,"BV Valuation";#N/A,#N/A,TRUE,"FV Valuation";#N/A,#N/A,TRUE,"JRI";#N/A,#N/A,TRUE,"Weasler";#N/A,#N/A,TRUE,"Stronghaven";#N/A,#N/A,TRUE,"Connor";#N/A,#N/A,TRUE,"HWC";#N/A,#N/A,TRUE,"Temple"}</definedName>
    <definedName function="false" hidden="false" name="wrn.FdIII6_30_01PortRev.." vbProcedure="false">{#N/A,#N/A,TRUE,"Beacon";#N/A,#N/A,TRUE,"CII";#N/A,#N/A,TRUE,"MCA";#N/A,#N/A,TRUE,"Elm";#N/A,#N/A,TRUE,"Tharco";#N/A,#N/A,TRUE,"Dee H";#N/A,#N/A,TRUE,"Hunt Valve";#N/A,#N/A,TRUE,"KBA";#N/A,#N/A,TRUE,"Glassmaster";#N/A,#N/A,TRUE,"MLS";#N/A,#N/A,TRUE,"CBSA";#N/A,#N/A,TRUE,"ACE";#N/A,#N/A,TRUE,"United Central";#N/A,#N/A,TRUE,"Jakel";#N/A,#N/A,TRUE,"Lake City "}</definedName>
    <definedName function="false" hidden="false" name="wrn.filecopy." vbProcedure="false">{"Multiples_filecopy",#N/A,FALSE,"Multiples";"Adjustments_filecopy",#N/A,FALSE,"Adjustments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function="false" hidden="false" name="wrn.Filter." vbProcedure="false">{#N/A,#N/A,FALSE,"Assump2";#N/A,#N/A,FALSE,"Income2";#N/A,#N/A,FALSE,"Balance2";#N/A,#N/A,FALSE,"DCF Filter";#N/A,#N/A,FALSE,"Trans Assump2";#N/A,#N/A,FALSE,"Combined Income2";#N/A,#N/A,FALSE,"Combined Balance2"}</definedName>
    <definedName function="false" hidden="false" name="wrn.fin"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l." vbProcedure="false">{"Final",#N/A,FALSE,"Feb-96"}</definedName>
    <definedName function="false" hidden="false" name="wrn.Financial."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false" name="wrn.Financial._.Statements." vbProcedure="false">{"Consolidated Balance Sheet",#N/A,FALSE,"Sheet2";"Consolidating Balance Sheet",#N/A,FALSE,"Sheet2";"Consolidated Income Statement",#N/A,FALSE,"Sheet2";"Consolidating Income Statement",#N/A,FALSE,"Sheet2";"Statement of Stockholders equity",#N/A,FALSE,"Sheet2"}</definedName>
    <definedName function="false" hidden="false" name="wrn.Financial._.Statements._.Wrk." vbProcedure="false">{#N/A,#N/A,FALSE,"Sep 98";"Bal Sheet CY - Legal",#N/A,FALSE,"Sep 98";"Bal Sheet PY - Legal",#N/A,FALSE,"Sep 98";"Inc Stmt - Legal",#N/A,FALSE,"Sep 98";"Cash Flow - Legal",#N/A,FALSE,"Sep 98"}</definedName>
    <definedName function="false" hidden="false" name="wrn.Financials." vbProcedure="false">{#N/A,#N/A,TRUE,"Income Statement";#N/A,#N/A,TRUE,"Balance Sheet";#N/A,#N/A,TRUE,"Cash Flow"}</definedName>
    <definedName function="false" hidden="false" name="wrn.Financials_long." vbProcedure="false">{"IS",#N/A,FALSE,"Financials2 (Expanded)";"bsa",#N/A,FALSE,"Financials2 (Expanded)";"BS",#N/A,FALSE,"Financials2 (Expanded)";"CF",#N/A,FALSE,"Financials2 (Expanded)"}</definedName>
    <definedName function="false" hidden="false" name="wrn.first2." vbProcedure="false">{#N/A,#N/A,FALSE,"sum-don";#N/A,#N/A,FALSE,"inc-don"}</definedName>
    <definedName function="false" hidden="false" name="wrn.first3." vbProcedure="false">{#N/A,#N/A,FALSE,"Summary";#N/A,#N/A,FALSE,"proj1";#N/A,#N/A,FALSE,"proj2"}</definedName>
    <definedName function="false" hidden="false" name="wrn.first4." vbProcedure="false">{#N/A,#N/A,FALSE,"Summary";#N/A,#N/A,FALSE,"proj1";#N/A,#N/A,FALSE,"proj2";#N/A,#N/A,FALSE,"DCF"}</definedName>
    <definedName function="false" hidden="false" name="wrn.Five._.Year._.Model."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false" name="wrn.FIVE._.YEAR._.PROJECTION." vbProcedure="false">{"FIVEYEAR",#N/A,TRUE,"SUMMARY";"FIVEYEAR",#N/A,TRUE,"Ratios";"FIVEYEAR",#N/A,TRUE,"Revenue";"FIVEYEAR",#N/A,TRUE,"DETAIL";"FIVEYEAR",#N/A,TRUE,"Payroll"}</definedName>
    <definedName function="false" hidden="false" name="wrn.fleck." vbProcedure="false">{"first",#N/A,FALSE,"FLEXPAC2";"second",#N/A,FALSE,"FLEXPAC2"}</definedName>
    <definedName function="false" hidden="false" name="wrn.fleckcompac." vbProcedure="false">{"one",#N/A,FALSE,"FLEXPAC2";"two",#N/A,FALSE,"FLEXPAC2";"three",#N/A,FALSE,"FLEXPAC2"}</definedName>
    <definedName function="false" hidden="false" name="wrn.formula._.pages." vbProcedure="false">{"field_exam_formula_summary",#N/A,FALSE,"Input";"multi_co_formula",#N/A,FALSE,"Input";"availability_comparison",#N/A,FALSE,"AR";"general_input_area",#N/A,FALSE,"Input";"ineligible_summary",#N/A,FALSE,"AR"}</definedName>
    <definedName function="false" hidden="false" name="wrn.Full._.Monty."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false" name="wrn.Full._.Report." vbProcedure="false">{#N/A,#N/A,TRUE,"Income Statement";#N/A,#N/A,TRUE,"Gas Assumptions";#N/A,#N/A,TRUE,"DCF";#N/A,#N/A,TRUE,"Depreciation Matrix";#N/A,#N/A,TRUE,"Matrix";#N/A,#N/A,TRUE,"Matrix_Perpetuity"}</definedName>
    <definedName function="false" hidden="false" name="wrn.Fund._.II." vbProcedure="false">{#N/A,#N/A,TRUE,"Fd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function="false" hidden="false" name="wrn.Fund._.II._.Adv.._.Brd._.June._.2000." vbProcedure="false">{#N/A,#N/A,TRUE,"FD II Portfolio Summary";#N/A,#N/A,TRUE,"JRI";#N/A,#N/A,TRUE,"NDS";#N/A,#N/A,TRUE,"Weasler";#N/A,#N/A,TRUE,"Stronghaven";#N/A,#N/A,TRUE,"Connor";#N/A,#N/A,TRUE,"Docu";#N/A,#N/A,TRUE,"HWC";#N/A,#N/A,TRUE,"Temple"}</definedName>
    <definedName function="false" hidden="false" name="wrn.Fund._.II._.Adv._.Mtg.." vbProcedure="false">{#N/A,#N/A,TRUE,"BV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function="false" hidden="false" name="wrn.Fund._.II._.Mtg.."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Fund._.III." vbProcedure="false">{#N/A,#N/A,TRUE,"F3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function="false" hidden="false" name="wrn.Fund._.III._.Adv.._.Brd.._.June._.2000." vbProcedure="false">{#N/A,#N/A,TRUE,"FD III Port Summ";#N/A,#N/A,TRUE,"Beacon";#N/A,#N/A,TRUE,"CII";#N/A,#N/A,TRUE,"MCA";#N/A,#N/A,TRUE,"Elm";#N/A,#N/A,TRUE,"Tharco";#N/A,#N/A,TRUE,"Dee H";#N/A,#N/A,TRUE,"Globe";#N/A,#N/A,TRUE,"Hunt Valve";#N/A,#N/A,TRUE,"KBA";#N/A,#N/A,TRUE,"Glassmaster";#N/A,#N/A,TRUE,"MLS";#N/A,#N/A,TRUE,"CBSA";#N/A,#N/A,TRUE,"ACE";#N/A,#N/A,TRUE,"United Central";#N/A,#N/A,TRUE,"Jakel";#N/A,#N/A,TRUE,"Lake City "}</definedName>
    <definedName function="false" hidden="false" name="wrn.Fund._.III._.Adv._.Mtg.." vbProcedure="false">{#N/A,#N/A,TRUE,"F3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function="false" hidden="false" name="wrn.Fund._.IV._.Adv.._.Brd.._.June._.2000." vbProcedure="false">{#N/A,#N/A,TRUE,"FD IV Portfolio Summary ";#N/A,#N/A,TRUE,"Western";#N/A,#N/A,TRUE,"Kranson";#N/A,#N/A,TRUE,"ARC";#N/A,#N/A,TRUE,"Precise";#N/A,#N/A,TRUE,"WNA"}</definedName>
    <definedName function="false" hidden="false" name="wrn.FY97SBP." vbProcedure="false">{#N/A,#N/A,FALSE,"FY97";#N/A,#N/A,FALSE,"FY98";#N/A,#N/A,FALSE,"FY99";#N/A,#N/A,FALSE,"FY00";#N/A,#N/A,FALSE,"FY01"}</definedName>
    <definedName function="false" hidden="false" name="wrn.FY97SBP.1" vbProcedure="false">{#N/A,#N/A,FALSE,"FY97";#N/A,#N/A,FALSE,"FY98";#N/A,#N/A,FALSE,"FY99";#N/A,#N/A,FALSE,"FY00";#N/A,#N/A,FALSE,"FY01"}</definedName>
    <definedName function="false" hidden="false" name="wrn.graphs." vbProcedure="false">{"mkt cap",#N/A,FALSE,"Graph-market-cap";"price",#N/A,FALSE,"Graph-Price";"ebit",#N/A,FALSE,"Graph-EBIT-DA";"ebitda",#N/A,FALSE,"Graph-EBIT-DA"}</definedName>
    <definedName function="false" hidden="false" name="wrn.HEAT." vbProcedure="false">{#N/A,#N/A,FALSE,"Heat";#N/A,#N/A,FALSE,"DCF";#N/A,#N/A,FALSE,"LBO";#N/A,#N/A,FALSE,"A";#N/A,#N/A,FALSE,"C";#N/A,#N/A,FALSE,"impd";#N/A,#N/A,FALSE,"Accr-Dilu"}</definedName>
    <definedName function="false" hidden="false" name="wrn.historical." vbProcedure="false">{"historical_is_annual",#N/A,FALSE,"historical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function="false" hidden="false" name="wrn.historical._.backup." vbProcedure="false">{"hist_rev",#N/A,FALSE,"Revenue buildup-hist";"hist_rev_growth",#N/A,FALSE,"Revenue buildup-hist";"hist_exp",#N/A,FALSE,"Revenue buildup-hist";"hist_exp_growth",#N/A,FALSE,"Revenue buildup-hist";"historical_workcap",#N/A,FALSE,"Assumptions"}</definedName>
    <definedName function="false" hidden="false" name="wrn.Hydraulic."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false" name="wrn.Hydraulic2." vbProcedure="false">{#N/A,#N/A,FALSE,"HuscoCombined-Summ";#N/A,#N/A,FALSE,"HuscoCombined-Income";#N/A,#N/A,FALSE,"HuscoCombined-Offering";#N/A,#N/A,FALSE,"Husco-Income";#N/A,#N/A,FALSE,"TargetEngineer";#N/A,#N/A,FALSE,"TargetAcqCalc";#N/A,#N/A,FALSE,"Husco-Acq"}</definedName>
    <definedName function="false" hidden="false" name="wrn.icem." vbProcedure="false">{#N/A,#N/A,FALSE,"Exb 2";#N/A,#N/A,FALSE,"Exb 3(a)";#N/A,#N/A,FALSE,"WACC";#N/A,#N/A,FALSE,"Exh 4(a)";#N/A,#N/A,FALSE,"Exh 4(b)";#N/A,#N/A,FALSE,"Exb 5(a)";#N/A,#N/A,FALSE,"Exb 5(b)"}</definedName>
    <definedName function="false" hidden="false" name="wrn.II._.PortRev33102." vbProcedure="false">{#N/A,#N/A,TRUE,"Port Summary II";#N/A,#N/A,TRUE,"BV Valuation";#N/A,#N/A,TRUE,"FV Valuation";#N/A,#N/A,TRUE,"JRI";#N/A,#N/A,TRUE,"Weasler";#N/A,#N/A,TRUE,"Stronghaven";#N/A,#N/A,TRUE,"Connor";#N/A,#N/A,TRUE,"HWC";#N/A,#N/A,TRUE,"Temple"}</definedName>
    <definedName function="false" hidden="false" name="wrn.info." vbProcedure="false">{#N/A,#N/A,FALSE,"IT_Summary";#N/A,#N/A,FALSE,"Renaissance";#N/A,#N/A,FALSE,"Intermetrics";#N/A,#N/A,FALSE,"Systems";#N/A,#N/A,FALSE,"IMI";#N/A,#N/A,FALSE,"Landmark";#N/A,#N/A,FALSE,"Rational";#N/A,#N/A,FALSE,"AGS";#N/A,#N/A,FALSE,"GE"}</definedName>
    <definedName function="false" hidden="false"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name="wrn.INTERNAL._.COV._.PG." vbProcedure="false">{#N/A,#N/A,FALSE,"YE INT COV";#N/A,#N/A,FALSE,"YE INT COV B"}</definedName>
    <definedName function="false" hidden="false" name="wrn.Internal._.Report._.for._.Martha." vbProcedure="false">{"Title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function="false" hidden="false" name="wrn.Investor._.Cash._.Flows." vbProcedure="false">{"CV_2",#N/A,TRUE,"Investor Cash Flows"}</definedName>
    <definedName function="false" hidden="false" name="wrn.ipovalue." vbProcedure="false">{#N/A,#N/A,FALSE,"puboff";#N/A,#N/A,FALSE,"valuation";#N/A,#N/A,FALSE,"finanalsis";#N/A,#N/A,FALSE,"split";#N/A,#N/A,FALSE,"ownership"}</definedName>
    <definedName function="false" hidden="false" name="wrn.ISAnnualModel." vbProcedure="false">{"AnnModel",#N/A,FALSE,"IS"}</definedName>
    <definedName function="false" hidden="false" name="wrn.ISCG._.model." vbProcedure="false">{#N/A,#N/A,FALSE,"Second";#N/A,#N/A,FALSE,"ownership";#N/A,#N/A,FALSE,"Valuation";#N/A,#N/A,FALSE,"Eqiv";#N/A,#N/A,FALSE,"Mults";#N/A,#N/A,FALSE,"ISCG Graphics"}</definedName>
    <definedName function="false" hidden="false" name="wrn.ISQtrModel." vbProcedure="false">{"QtrModel",#N/A,FALSE,"IS"}</definedName>
    <definedName function="false" hidden="false" name="wrn.I_1._.thru._.I_6._.workpapers." vbProcedure="false">{"inventory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function="false" hidden="false" name="wrn.I_7._.thru._.I_21._.workpapers." vbProcedure="false">{"inventory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function="false" hidden="false" name="wrn.JODM._.Graphs." vbProcedure="false">{"graph",#N/A,FALSE,"WWJU";"graph",#N/A,FALSE,"WWSEM";"graph",#N/A,FALSE,"GOMJU";"graph",#N/A,FALSE,"GOMSEM";"graph",#N/A,FALSE,"NSJU";"graph",#N/A,FALSE,"NSSEM";"graph",#N/A,FALSE,"WAJU";"graph",#N/A,FALSE,"STOCKPRI";"graph",#N/A,FALSE,"CFTEV";"graph",#N/A,FALSE,"NAV-RCV";"graph",#N/A,FALSE,"CRUDEWW"}</definedName>
    <definedName function="false" hidden="false" name="wrn.kairen."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Medicare";#N/A,#N/A,FALSE,"rx_nmed_uc";#N/A,#N/A,FALSE,"mo_nmed";#N/A,#N/A,FALSE,"rx_med_uc";#N/A,#N/A,FALSE,"mo_med_uc";#N/A,#N/A,FALSE,"rx_diag_uc";#N/A,#N/A,FALSE,"rx_diag_med_uc";#N/A,#N/A,FALSE,"HEDIS";#N/A,#N/A,FALSE,"GHAA"}</definedName>
    <definedName function="false" hidden="false" name="wrn.LBO._.Summary." vbProcedure="false">{"LBO Summary",#N/A,FALSE,"Summary"}</definedName>
    <definedName function="false" hidden="false" name="wrn.LoanInformation." vbProcedure="false">{#N/A,#N/A,FALSE,"LoanAssumptions"}</definedName>
    <definedName function="false" hidden="false" name="wrn.LP._.Committee._.Book." vbProcedure="false">{#N/A,#N/A,TRUE,"FD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function="false" hidden="false" name="wrn.LP._.Committee._.June._.13.._.2000." vbProcedure="false">{#N/A,#N/A,TRUE,"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function="false" hidden="false" name="wrn.Maine." vbProcedure="false">{"Assumptions",#N/A,TRUE,"Assumptions";"Income",#N/A,TRUE,"Income";"Balance",#N/A,TRUE,"Balance"}</definedName>
    <definedName function="false" hidden="false" name="wrn.Maine2."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false" name="wrn.merge." vbProcedure="false">{#N/A,#N/A,FALSE,"IPO";#N/A,#N/A,FALSE,"DCF";#N/A,#N/A,FALSE,"LBO";#N/A,#N/A,FALSE,"MULT_VAL";#N/A,#N/A,FALSE,"Status Quo";#N/A,#N/A,FALSE,"Recap"}</definedName>
    <definedName function="false" hidden="false" name="wrn.model." vbProcedure="false">{"page1",#N/A,FALSE,"GIRLBO";"page2",#N/A,FALSE,"GIRLBO";"page3",#N/A,FALSE,"GIRLBO";"page4",#N/A,FALSE,"GIRLBO";"page5",#N/A,FALSE,"GIRLBO"}</definedName>
    <definedName function="false" hidden="false" name="wrn.Monica." vbProcedure="false">{#N/A,#N/A,FALSE,"Revolver";#N/A,#N/A,FALSE,"Term Loan";#N/A,#N/A,FALSE,"Unused Line Fee Term";#N/A,#N/A,FALSE,"Unused Line Fee Revolver"}</definedName>
    <definedName function="false" hidden="false" name="wrn.MONTHLY." vbProcedure="false">{"1999MONTHLY",#N/A,FALSE,"MONTHLY";"2000MONTHLY",#N/A,FALSE,"MONTHLY";"2001MONTHLY",#N/A,FALSE,"MONTHLY"}</definedName>
    <definedName function="false" hidden="false" name="wrn.Monthly._.MIFA._.Sheets."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MIFA._.Sheets.1"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false" name="wrn.Monthly._.Reports." vbProcedure="false">{"Nil","Nil",FALSE,"Detail P&amp;L-M";"Nil","Nil",FALSE,"Dep &amp; Amort-M";"Nil","Nil",FALSE,"Equity-M";"Nil","Nil",FALSE,"Debt &amp; Cash Flow-M";"Nil","Nil",FALSE,"Interest-M"}</definedName>
    <definedName function="false" hidden="false" name="wrn.MonthlyRentRoll." vbProcedure="false">{"MonthlyRentRoll",#N/A,FALSE,"RentRoll"}</definedName>
    <definedName function="false" hidden="false" name="wrn.M_File_Print_Out." vbProcedure="false">{"Group Benefit Overview",#N/A,TRUE,"mblank";"Rate Summary",#N/A,TRUE,"mblank";"Census and Manual Rates",#N/A,TRUE,"mblank";"Site Rates",#N/A,TRUE,"mblank";"Experience Rates 1",#N/A,TRUE,"mblank";"Experience Rates 2",#N/A,TRUE,"mblank";"Summary of Rate Action",#N/A,TRUE,"mblank";"Employer Reports",#N/A,TRUE,"mblank"}</definedName>
    <definedName function="false" hidden="false" name="wrn.nema." vbProcedure="false">{#N/A,#N/A,FALSE,"Distbn Ntwrk";#N/A,#N/A,FALSE,"Workforce";#N/A,#N/A,FALSE,"cur-prod1";#N/A,#N/A,FALSE,"in-proc"}</definedName>
    <definedName function="false" hidden="false" name="wrn.network." vbProcedure="false">{#N/A,#N/A,FALSE,"II.General ";#N/A,#N/A,FALSE,"III.Plan Design";#N/A,#N/A,FALSE,"IV.Delivery System";#N/A,#N/A,FALSE,"V.Reimbursement";#N/A,#N/A,FALSE,"VI.Manage-Satisf.";#N/A,#N/A,FALSE,"VII. &amp;VIII. Other";#N/A,#N/A,FALSE,"Appendix 2";#N/A,#N/A,FALSE,"Appendix 3a";#N/A,#N/A,FALSE,"Appendix 3b";#N/A,#N/A,FALSE,"Appendix 3b(cont.)"}</definedName>
    <definedName function="false" hidden="false" name="wrn.new." vbProcedure="false">{"new1",#N/A,FALSE,"FLEXPAC2";"new2",#N/A,FALSE,"FLEXPAC2"}</definedName>
    <definedName function="false" hidden="false" name="wrn.New._.Client._.Report." vbProcedure="false">{#N/A,#N/A,TRUE,"Cover";#N/A,#N/A,TRUE,"Table of Contents";#N/A,#N/A,TRUE,"Summary";#N/A,#N/A,TRUE,"Detailed Summary";#N/A,#N/A,TRUE,"Value";#N/A,#N/A,TRUE,"Rebates";#N/A,#N/A,TRUE,"Perf. Guar.";#N/A,#N/A,TRUE,"Other Guar.";#N/A,#N/A,TRUE,"Margin";#N/A,#N/A,TRUE,"Savings";#N/A,#N/A,TRUE,"Costs";#N/A,#N/A,TRUE,"PDN";#N/A,#N/A,TRUE,"Drivers"}</definedName>
    <definedName function="false" hidden="false" name="wrn.newest." vbProcedure="false">{#N/A,#N/A,TRUE,"TS";#N/A,#N/A,TRUE,"Combo";#N/A,#N/A,TRUE,"FAIR";#N/A,#N/A,TRUE,"RBC";#N/A,#N/A,TRUE,"xxxx"}</definedName>
    <definedName function="false" hidden="false" name="wrn.ntfinance." vbProcedure="false">{"Rate",#N/A,TRUE,"SUMMARY";"Ratios",#N/A,TRUE,"Ratios";"BUDGETREVENUE",#N/A,TRUE,"Revenue";"TOTALS",#N/A,TRUE,"DETAIL"}</definedName>
    <definedName function="false" hidden="false" name="wrn.OperatingAssumtions." vbProcedure="false">{#N/A,#N/A,FALSE,"OperatingAssumptions"}</definedName>
    <definedName function="false" hidden="false" name="wrn.ORIGINALS." vbProcedure="false">{#N/A,#N/A,FALSE,"BS";#N/A,#N/A,FALSE,"IS";#N/A,#N/A,FALSE,"PI";#N/A,#N/A,FALSE,"CF"}</definedName>
    <definedName function="false" hidden="false" name="wrn.OUTPUT." vbProcedure="false">{"DCF","UPSIDE CASE",FALSE,"Sheet1";"DCF","BASE CASE",FALSE,"Sheet1";"DCF","DOWNSIDE CASE",FALSE,"Sheet1"}</definedName>
    <definedName function="false" hidden="false" name="wrn.packer._.1."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false" name="wrn.Period._.1._.Financial._.Statements." vbProcedure="false">{"Period 1 Income Statements",#N/A,FALSE,"Income Statement";"Period 1 Balance Sheets",#N/A,FALSE,"Balance Sheet";"Period 1 Cashflow Statements",#N/A,FALSE,"Cashflow Statement";"Period 1 Financial Ratios",#N/A,FALSE,"Financial Ratios"}</definedName>
    <definedName function="false" hidden="false" name="wrn.Period._.10._.Financial._.Statements." vbProcedure="false">{"Period 10 Income Statements",#N/A,FALSE,"Income Statement";"Period 10 Balance Sheets",#N/A,FALSE,"Balance Sheet";"Period 10 Cashflow Statements",#N/A,FALSE,"Cashflow Statement";"Period 10 Financial Ratios",#N/A,FALSE,"Financial Ratios"}</definedName>
    <definedName function="false" hidden="false" name="wrn.Period._.11._.Financial._.Statements." vbProcedure="false">{"Period 11 Income Statements",#N/A,FALSE,"Income Statement";"Period 11 Balance Sheets",#N/A,FALSE,"Balance Sheet";"Period 11 Cashflow Statements",#N/A,FALSE,"Cashflow Statement";"Period 11 Financial Ratios",#N/A,FALSE,"Financial Ratios"}</definedName>
    <definedName function="false" hidden="false" name="wrn.Period._.12._.Financial._.Statements." vbProcedure="false">{"Period 12 Income Statements",#N/A,FALSE,"Income Statement";"Period 12 Balance Sheets",#N/A,FALSE,"Balance Sheet";"Period 12 Cashflow Statements",#N/A,FALSE,"Cashflow Statement";"Period 12 Financial Ratios",#N/A,FALSE,"Financial Ratios"}</definedName>
    <definedName function="false" hidden="false" name="wrn.Period._.2._.Financial._.Statements." vbProcedure="false">{"Period 2 Income Statements",#N/A,FALSE,"Income Statement";"Period 2 Balance Sheets",#N/A,FALSE,"Balance Sheet";"Period 2 Cashflow Statements",#N/A,FALSE,"Cashflow Statement";"Period 2 Financial Ratios",#N/A,FALSE,"Financial Ratios"}</definedName>
    <definedName function="false" hidden="false" name="wrn.Period._.3._.Financial._.Statements." vbProcedure="false">{"Period 3 Income Statements",#N/A,FALSE,"Income Statement";"Period 3 Balance Sheets",#N/A,FALSE,"Balance Sheet";"Period 3 Cashflow Statements",#N/A,FALSE,"Cashflow Statement";"Period 3 Financial Ratios",#N/A,FALSE,"Financial Ratios"}</definedName>
    <definedName function="false" hidden="false" name="wrn.Period._.4._.Financial._.Statements." vbProcedure="false">{"Period 4 Income Statements",#N/A,FALSE,"Income Statement";"Period 4 Balance Sheets",#N/A,FALSE,"Balance Sheet";"Period 4 Cashflow Statements",#N/A,FALSE,"Cashflow Statement";"Period 4 Financial Ratios",#N/A,FALSE,"Financial Ratios"}</definedName>
    <definedName function="false" hidden="false" name="wrn.Period._.5._.Financial._.Statements." vbProcedure="false">{"Period 5 Income Statements",#N/A,FALSE,"Income Statement";"Period 5 Balance Sheets",#N/A,FALSE,"Balance Sheet";"Period 5 Cashflow Statements",#N/A,FALSE,"Cashflow Statement";"Period 5 Financial Ratios",#N/A,FALSE,"Financial Ratios"}</definedName>
    <definedName function="false" hidden="false" name="wrn.Period._.6._.Financial._.Statements." vbProcedure="false">{"Period 6 Income Statements",#N/A,FALSE,"Income Statement";"Period 6 Balance Sheets",#N/A,FALSE,"Balance Sheet";"Period 6 Cashflow Statements",#N/A,FALSE,"Cashflow Statement";"Period 6 Financial Ratios",#N/A,FALSE,"Financial Ratios"}</definedName>
    <definedName function="false" hidden="false" name="wrn.Period._.7._.Financial._.Statements." vbProcedure="false">{"Period 7 Income Statements",#N/A,FALSE,"Income Statement";"Period 7 Balance Sheets",#N/A,FALSE,"Balance Sheet";"Period 7 Cashflow Statements",#N/A,FALSE,"Cashflow Statement";"Period 7 Financial Ratios",#N/A,FALSE,"Financial Ratios";"Period 7 New Cash Flow",#N/A,FALSE,"New Cashflow Statement"}</definedName>
    <definedName function="false" hidden="false" name="wrn.Period._.8._.Financial._.Statements." vbProcedure="false">{"Period 8 Income Statements",#N/A,FALSE,"Income Statement";"Period 8 Balance Sheets",#N/A,FALSE,"Balance Sheet";"Period 8 Cashflow Statements",#N/A,FALSE,"Cashflow Statement";"Period 8 Financial Ratios",#N/A,FALSE,"Financial Ratios"}</definedName>
    <definedName function="false" hidden="false" name="wrn.Period._.9._.Financial._.Statements." vbProcedure="false">{"Period 9 Income Statements",#N/A,FALSE,"Income Statement";"Period 9 Balance Sheets",#N/A,FALSE,"Balance Sheet";"Period 9 Cashflow Statements",#N/A,FALSE,"Cashflow Statement";"Period 9 Financial Ratios",#N/A,FALSE,"Financial Ratios"}</definedName>
    <definedName function="false" hidden="false" name="wrn.PLAN." vbProcedure="false">{#N/A,#N/A,FALSE,"5YRPL";#N/A,#N/A,FALSE,"3YRPL"}</definedName>
    <definedName function="false" hidden="false" name="wrn.Plan._.Sheets." vbProcedure="false">{#N/A,#N/A,TRUE,"95 Consolidated Forecast";#N/A,#N/A,TRUE,"95 Consolidated Frcst per Gal";#N/A,#N/A,TRUE,"96 Consolidated Plan";#N/A,#N/A,TRUE,"96 Consolidated per Gallon"}</definedName>
    <definedName function="false" hidden="false" name="wrn.PLX."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false" name="wrn.Presentation." vbProcedure="false">{#N/A,#N/A,TRUE,"Summary";"AnnualRentRoll",#N/A,TRUE,"RentRoll";#N/A,#N/A,TRUE,"ExitStratigy";#N/A,#N/A,TRUE,"OperatingAssumptions"}</definedName>
    <definedName function="false" hidden="false" name="wrn.PRES_OUT." vbProcedure="false">{"page1",#N/A,FALSE,"PRESENTATION";"page2",#N/A,FALSE,"PRESENTATION";#N/A,#N/A,FALSE,"Valuation Summary"}</definedName>
    <definedName function="false" hidden="false" name="wrn.PRES_OUT2" vbProcedure="false">{"page1",#N/A,FALSE,"PRESENTATION";"page2",#N/A,FALSE,"PRESENTATION";#N/A,#N/A,FALSE,"Valuation Summary"}</definedName>
    <definedName function="false" hidden="false" name="wrn.Pres_OUT3" vbProcedure="false">{"page1",#N/A,FALSE,"PRESENTATION";"page2",#N/A,FALSE,"PRESENTATION";#N/A,#N/A,FALSE,"Valuation Summary"}</definedName>
    <definedName function="false" hidden="false" name="wrn.PRES_OUT4" vbProcedure="false">{"page1",#N/A,FALSE,"PRESENTATION";"page2",#N/A,FALSE,"PRESENTATION";#N/A,#N/A,FALSE,"Valuation Summary"}</definedName>
    <definedName function="false" hidden="false" name="wrn.PRES_OUT5" vbProcedure="false">{"page1",#N/A,FALSE,"PRESENTATION";"page2",#N/A,FALSE,"PRESENTATION";#N/A,#N/A,FALSE,"Valuation Summary"}</definedName>
    <definedName function="false" hidden="false" name="wrn.PRES_OUT6" vbProcedure="false">{"page1",#N/A,FALSE,"PRESENTATION";"page2",#N/A,FALSE,"PRESENTATION";#N/A,#N/A,FALSE,"Valuation Summary"}</definedName>
    <definedName function="false" hidden="false" name="wrn.PRES_OUT8" vbProcedure="false">{"page1",#N/A,FALSE,"PRESENTATION";"page2",#N/A,FALSE,"PRESENTATION";#N/A,#N/A,FALSE,"Valuation Summary"}</definedName>
    <definedName function="false" hidden="false" name="wrn.print." vbProcedure="false">{"page1",#N/A,FALSE,"PROFORMA";"page2",#N/A,FALSE,"PROFORMA";"page3",#N/A,FALSE,"PROFORMA";"page4",#N/A,FALSE,"PROFORMA";"page5",#N/A,FALSE,"PROFORMA";"page6",#N/A,FALSE,"PROFORMA";"page7",#N/A,FALSE,"PROFORMA";"page8",#N/A,FALSE,"PROFORMA"}</definedName>
    <definedName function="false" hidden="false" name="wrn.Print._.4." vbProcedure="false">{"Outflow 1",#N/A,FALSE,"Outflows-Inflows";"Outflow 2",#N/A,FALSE,"Outflows-Inflows";"Inflow 1",#N/A,FALSE,"Outflows-Inflows";"Inflow 2",#N/A,FALSE,"Outflows-Inflows"}</definedName>
    <definedName function="false" hidden="false" name="wrn.Print._.6." vbProcedure="false">{"print 1.6",#N/A,FALSE,"Sheet1";"print 2.6",#N/A,FALSE,"Sheet1";"print 3.6",#N/A,FALSE,"Sheet1";"print 4.6",#N/A,FALSE,"Sheet1";"print 5.6",#N/A,FALSE,"Sheet1";"print 6.6",#N/A,FALSE,"Sheet1"}</definedName>
    <definedName function="false" hidden="false"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false" name="wrn.print._.graphs." vbProcedure="false">{"cap_structure",#N/A,FALSE,"Graph-Mkt Cap";"price",#N/A,FALSE,"Graph-Price";"ebit",#N/A,FALSE,"Graph-EBITDA";"ebitda",#N/A,FALSE,"Graph-EBITDA"}</definedName>
    <definedName function="false" hidden="false" name="wrn.print._.raw._.data._.entry." vbProcedure="false">{"inputs raw data",#N/A,TRUE,"INPUT"}</definedName>
    <definedName function="false" hidden="false" name="wrn.Print._.Report." vbProcedure="false">{"MPODE 1",#N/A,FALSE,"Scenarios";"CAPEX",#N/A,FALSE,"DEPRECIACIONES";"Trans Costs",#N/A,FALSE,"Transmission";"Trans Revenue",#N/A,FALSE,"Transmission";"Revenues Summary",#N/A,FALSE,"Revenues";"Assumptions General",#N/A,FALSE,"assumptions";"Assumptions Summary",#N/A,FALSE,"assumptions";"Flores 1",#N/A,FALSE,"assumptions";"Tebsa 4",#N/A,FALSE,"assumptions";"Tebsa 7",#N/A,FALSE,"assumptions";"Termoballenas 1",#N/A,FALSE,"assumptions";"Termoballenas 2",#N/A,FALSE,"assumptions";"Termochinu 5",#N/A,FALSE,"assumptions";"Termochinu 6",#N/A,FALSE,"assumptions";"Termochinu 7",#N/A,FALSE,"assumptions";"Termochinu 8",#N/A,FALSE,"assumptions";"Termoguajira 1",#N/A,FALSE,"assumptions";"Termoguajira 2",#N/A,FALSE,"assumptions";"Monetary gain",#N/A,FALSE,"capex &amp; dep";"Income Statement",#N/A,FALSE,"Fin Stmts";"Balance Sheet",#N/A,FALSE,"Fin Stmts";"Cash Flow",#N/A,FALSE,"Fin Stmts";"Labor Personnel\",#N/A,FALSE,"Labor";"TEBSA PPA",#N/A,FALSE,"TEBSA";"Free Cash Flow",#N/A,FALSE,"Valuation";"Valuation",#N/A,FALSE,"Valuation";#N/A,#N/A,FALSE,"Work Cap"}</definedName>
    <definedName function="false" hidden="false" name="wrn.print._.standalone." vbProcedure="false">{"standalone1",#N/A,FALSE,"DCFBase";"standalone2",#N/A,FALSE,"DCFBase"}</definedName>
    <definedName function="false" hidden="false" name="wrn.print._.summary._.sheets." vbProcedure="false">{"summary1",#N/A,TRUE,"Comps";"summary2",#N/A,TRUE,"Comps";"summary3",#N/A,TRUE,"Comps"}</definedName>
    <definedName function="false" hidden="false" name="wrn.PrintAll." vbProcedure="false">{"PA1",#N/A,TRUE,"BORDMW";"pa2",#N/A,TRUE,"BORDMW";"PA3",#N/A,TRUE,"BORDMW";"PA4",#N/A,TRUE,"BORDMW"}</definedName>
    <definedName function="false" hidden="false" name="wrn.PrintExhibits." vbProcedure="false">{#N/A,#N/A,TRUE,"Exhibit A1";#N/A,#N/A,TRUE,"Exhibit A2";#N/A,#N/A,TRUE,"Exhibit A3";#N/A,#N/A,TRUE,"Exhibit B - ASO";#N/A,#N/A,TRUE,"Exhibit C - Stop Loss";#N/A,#N/A,TRUE,"Exhibit D - Addl Services"}</definedName>
    <definedName function="false" hidden="false" name="wrn.PROFIT_LOSS." vbProcedure="false">{"רווה_מסכם",#N/A,FALSE,"p&amp;l";"באור_תפעול",#N/A,FALSE,"operation";"באור_מופ",#N/A,FALSE,"R&amp;D";"באור_שיווק",#N/A,FALSE,"M&amp;S";"באור_הנהלה",#N/A,FALSE,"g&amp;a"}</definedName>
    <definedName function="false" hidden="false" name="wrn.Projections." vbProcedure="false">{"Volume",#N/A,FALSE,"volume";"revenue",#N/A,FALSE,"revenue"}</definedName>
    <definedName function="false" hidden="false" name="wrn.PropertyInformation." vbProcedure="false">{#N/A,#N/A,FALSE,"PropertyInfo"}</definedName>
    <definedName function="false" hidden="false" name="wrn.PRUD._.QTR._.3." vbProcedure="false">{#N/A,#N/A,FALSE,"FBS-ASSETS";#N/A,#N/A,FALSE,"FBS-LIAB&amp;SE";#N/A,#N/A,FALSE,"FIS-QTR";#N/A,#N/A,FALSE,"FIS-YTD";#N/A,#N/A,FALSE,"FCF-QTR";#N/A,#N/A,FALSE,"FCF-YTD";#N/A,#N/A,FALSE,"FSE-QTR";#N/A,#N/A,FALSE,"FSE-YTD";#N/A,#N/A,FALSE,"CONSOLIDATING PGS 1";#N/A,#N/A,FALSE,"CONSOLIDATING PGS 2";#N/A,#N/A,FALSE,"ELIMINATIONS"}</definedName>
    <definedName function="false" hidden="false" name="wrn.Pump." vbProcedure="false">{#N/A,#N/A,FALSE,"Assump";#N/A,#N/A,FALSE,"Income";#N/A,#N/A,FALSE,"Balance";#N/A,#N/A,FALSE,"DCF Pump";#N/A,#N/A,FALSE,"Trans Assump";#N/A,#N/A,FALSE,"Combined Income";#N/A,#N/A,FALSE,"Combined Balance"}</definedName>
    <definedName function="false" hidden="false" name="wrn.QTRLY." vbProcedure="false">{"QTRLY1999",#N/A,FALSE,"QTRLY";"QTRLY2000",#N/A,FALSE,"QTRLY";"QTRLY2001",#N/A,FALSE,"QTRLY"}</definedName>
    <definedName function="false" hidden="false" name="wrn.Quarterly._.MIFA._.Sheets."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MIFA._.Sheets.1"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false" name="wrn.Quarterly._.Reports." vbProcedure="false">{"Nil","Pass1",FALSE,"Rev&amp;OI-Q";"Nil","Pass2",FALSE,"Rev&amp;OI-Q";"Nil","Pass3",FALSE,"Rev&amp;OI-Q";"Nil","Pass1",FALSE,"Summary P&amp;L-Q";"Nil","Pass2",FALSE,"Summary P&amp;L-Q";"Nil","Pass3",FALSE,"Summary P&amp;L-Q";"Nil","Pass1",FALSE,"Bus Seg Summary-Q";"Nil","Pass2",FALSE,"Bus Seg Summary-Q";"Nil","Pass3",FALSE,"Bus Seg Summary-Q";"Nil","Pass1",FALSE,"Bus Seg Detail-Q";"Nil","Pass2",FALSE,"Bus Seg Detail-Q";"Nil","Pass3",FALSE,"Bus Seg Detail-Q";"Nil","Pass1Rev",FALSE,"Unit Detail-Q";"Nil","Pass1OI",FALSE,"Unit Detail-Q";"Nil","Pass2Rev",FALSE,"Unit Detail-Q";"Nil","Pass2OI",FALSE,"Unit Detail-Q";"Nil","Pass3Rev",FALSE,"Unit Detail-Q";"Nil","Pass3OI",FALSE,"Unit Detail-Q"}</definedName>
    <definedName function="false" hidden="false" name="wrn.Relevant." vbProcedure="false">{#N/A,#N/A,FALSE,"Title Page";#N/A,#N/A,FALSE,"Conclusions";#N/A,#N/A,FALSE,"Assum.";#N/A,#N/A,FALSE,"Sun  DCF-WC-Dep";#N/A,#N/A,FALSE,"MarketValue";#N/A,#N/A,FALSE,"BalSheet";#N/A,#N/A,FALSE,"WACC";#N/A,#N/A,FALSE,"PC+ Info.";#N/A,#N/A,FALSE,"PC+Info_2"}</definedName>
    <definedName function="false" hidden="false" name="wrn.RELEVANTSHEETS." vbProcedure="false">{#N/A,#N/A,FALSE,"AD_Purch";#N/A,#N/A,FALSE,"Projections";#N/A,#N/A,FALSE,"DCF";#N/A,#N/A,FALSE,"Mkt Val"}</definedName>
    <definedName function="false" hidden="false" name="wrn.renewal." vbProcedure="false">{#N/A,#N/A,FALSE,"Non Medicare Results UC";#N/A,#N/A,FALSE,"Non Medicare Projection UC";#N/A,#N/A,FALSE,"Non Medicare Results BOB";#N/A,#N/A,FALSE,"Non Medicare Projection BOB";#N/A,#N/A,FALSE,"Medicare Risk Results UC";#N/A,#N/A,FALSE,"Medicare Risk Projection UC";#N/A,#N/A,FALSE,"Medicare Risk Results BOB";#N/A,#N/A,FALSE,"Medicare Risk Projection BOB";#N/A,#N/A,FALSE,"Medicare Cost Results UC";#N/A,#N/A,FALSE,"Medicare Cost Projection UC";#N/A,#N/A,FALSE,"Medicare Cost Results BOB";#N/A,#N/A,FALSE,"Medicare Cost Projection BOB";#N/A,#N/A,FALSE,"pmpm";#N/A,#N/A,FALSE,"Trend";#N/A,#N/A,FALSE,"Enrollment by Tier";#N/A,#N/A,FALSE,"Mnthly Mmbershp UC Actives";#N/A,#N/A,FALSE,"Mnthly Mmbershp UC Medicare";#N/A,#N/A,FALSE,"Mnthly Mmbershp BOB Actives";#N/A,#N/A,FALSE,"out_drug";#N/A,#N/A,FALSE,"area_adj";#N/A,#N/A,FALSE,"util_s";#N/A,#N/A,FALSE,"util_p";#N/A,#N/A,FALSE,"Care_Mg";#N/A,#N/A,FALSE,"Large Claims Non Medicare";#N/A,#N/A,FALSE,"Large Claims Medicare";#N/A,#N/A,FALSE,"UC med ctr";#N/A,#N/A,FALSE,"other phys";#N/A,#N/A,FALSE,"util_admit nmed";#N/A,#N/A,FALSE,"util_admit medr";#N/A,#N/A,FALSE,"util_admit_medc";#N/A,#N/A,FALSE,"util_clms nmed";#N/A,#N/A,FALSE,"util_clms medr";#N/A,#N/A,FALSE,"util_clms_medc";#N/A,#N/A,FALSE,"cap_nmed";#N/A,#N/A,FALSE,"cap_med";#N/A,#N/A,FALSE,"cap_medc";#N/A,#N/A,FALSE,"rx_nmed_uc";#N/A,#N/A,FALSE,"mo_nmed";#N/A,#N/A,FALSE,"rx_med_uc";#N/A,#N/A,FALSE,"mo_med_uc";#N/A,#N/A,FALSE,"rx_diag_uc";#N/A,#N/A,FALSE,"rx_diag_med_uc";#N/A,#N/A,FALSE,"GHAA";#N/A,#N/A,FALSE,"HEDIS"}</definedName>
    <definedName function="false" hidden="false" name="wrn.report." vbProcedure="false">{#N/A,#N/A,FALSE,"ValSum";#N/A,#N/A,FALSE,"Market Multiple";#N/A,#N/A,FALSE,"Multiple Analysis";#N/A,#N/A,FALSE,"Representative Levels";#N/A,#N/A,FALSE,"SCF - BS";#N/A,#N/A,FALSE,"SCF - IS";#N/A,#N/A,FALSE,"SCF - CFA";#N/A,#N/A,FALSE,"Market Info1";#N/A,#N/A,FALSE,"Market Info2";#N/A,#N/A,FALSE,"Operating Data";#N/A,#N/A,FALSE,"Balance Sheet Ratios";#N/A,#N/A,FALSE,"Financial";#N/A,#N/A,FALSE,"Trend";#N/A,#N/A,FALSE,"Rankings"}</definedName>
    <definedName function="false" hidden="false" name="wrn.Report1." vbProcedure="false">{#N/A,#N/A,FALSE,"July 95";#N/A,#N/A,FALSE,"Aug 95";#N/A,#N/A,FALSE,"Sep 95";#N/A,#N/A,FALSE,"October 95";#N/A,#N/A,FALSE,"November 95";#N/A,#N/A,FALSE,"December 95";#N/A,#N/A,FALSE,"February 96";#N/A,#N/A,FALSE,"March 96"}</definedName>
    <definedName function="false" hidden="false" name="wrn.Restricted._.Rpts." vbProcedure="false">{"RptRY",#N/A,FALSE,"CDGy";"RptRQ",#N/A,FALSE,"CDGq";"RptRM",#N/A,FALSE,"CDGm"}</definedName>
    <definedName function="false" hidden="false" name="wrn.ReviewPack." vbProcedure="false">{#N/A,#N/A,FALSE,"PCS";#N/A,#N/A,FALSE,"Market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function="false" hidden="false" name="wrn.ReviewPackBrief." vbProcedure="false">{#N/A,#N/A,FALSE,"Market Info1";#N/A,#N/A,FALSE,"Market Info2";#N/A,#N/A,FALSE,"PCS";#N/A,#N/A,FALSE,"Operating Data";#N/A,#N/A,FALSE,"Balance Sheet Ratios";#N/A,#N/A,FALSE,"Financial";#N/A,#N/A,FALSE,"Trend";#N/A,#N/A,FALSE,"Rankings";#N/A,#N/A,FALSE,"Market Changes";#N/A,#N/A,FALSE,"Other Analysis"}</definedName>
    <definedName function="false" hidden="false" name="wrn.Revs." vbProcedure="false">{"Base_rev",#N/A,FALSE,"Proj_IS_Base";"Projrev",#N/A,FALSE,"Proj_IS_wOTLC";"Delta",#N/A,FALSE,"Delta Rev_PV"}</definedName>
    <definedName function="false" hidden="false" name="wrn.sales." vbProcedure="false">{"sales",#N/A,FALSE,"Sales";"sales existing",#N/A,FALSE,"Sales";"sales rd1",#N/A,FALSE,"Sales";"sales rd2",#N/A,FALSE,"Sales"}</definedName>
    <definedName function="false" hidden="false" name="wrn.Sales._.Pres." vbProcedure="false">{#N/A,#N/A,TRUE,"Cost Comparison";#N/A,#N/A,TRUE,"Plan Design"}</definedName>
    <definedName function="false" hidden="false" name="wrn.SalesMarginPages."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lesMarginPages.1" vbProcedure="false">{"(MEASDATA) BY QUARTER",#N/A,FALSE,"measdata";"(PROGDETAIL) BY MONTH",#N/A,FALSE,"progdetail";"(PROGDETAIL) BY QTR",#N/A,FALSE,"progdetail";"(ORDERS) GOR ORDERS",#N/A,FALSE,"Orders";"(DELIVERIES) UNIT SALES",#N/A,FALSE,"Deliveries";"(SEGMENTDETAILS) DATA",#N/A,FALSE,"QTRComments"}</definedName>
    <definedName function="false" hidden="false" name="wrn.SANDSQUARTERL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wrn.SCIOH." vbProcedure="false">{#N/A,#N/A,FALSE,"TOTOH";#N/A,#N/A,FALSE,"TOTMFG";#N/A,#N/A,FALSE,"DEPT31";#N/A,#N/A,FALSE,"DEPT35";#N/A,#N/A,FALSE,"DEPT55";#N/A,#N/A,FALSE,"DEPT62";#N/A,#N/A,FALSE,"DEPT95"}</definedName>
    <definedName function="false" hidden="false" name="wrn.sdi." vbProcedure="false">{#N/A,#N/A,FALSE,"Customer Base";#N/A,#N/A,FALSE,"Workforce";#N/A,#N/A,FALSE,"cur prod";#N/A,#N/A,FALSE,"in-proc";#N/A,#N/A,FALSE,"Trademark"}</definedName>
    <definedName function="false" hidden="false" name="wrn.SEGSCH." vbProcedure="false">{#N/A,#N/A,FALSE,"SEGINC";#N/A,#N/A,FALSE,"INTINCEXP";#N/A,#N/A,FALSE,"SEGSALE";#N/A,#N/A,FALSE,"IDENTASSETS"}</definedName>
    <definedName function="false" hidden="false" name="wrn.SHORT." vbProcedure="false">{"CREDIT STATISTICS",#N/A,FALSE,"STATS";"CF_AND_IS",#N/A,FALSE,"PLAN";"BALSHEET",#N/A,FALSE,"BALANCE SHEET"}</definedName>
    <definedName function="false" hidden="false" name="wrn.Short._.Print." vbProcedure="false">{#N/A,#N/A,FALSE,"Cover";#N/A,#N/A,FALSE,"Stack";#N/A,#N/A,FALSE,"Cost S";#N/A,#N/A,FALSE," CF";#N/A,#N/A,FALSE,"Investor"}</definedName>
    <definedName function="false" hidden="false" name="wrn.SKSCS1." vbProcedure="false">{#N/A,#N/A,FALSE,"Antony Financials";#N/A,#N/A,FALSE,"Cowboy Financials";#N/A,#N/A,FALSE,"Combined";#N/A,#N/A,FALSE,"Valuematrix";#N/A,#N/A,FALSE,"DCFAntony";#N/A,#N/A,FALSE,"DCFCowboy";#N/A,#N/A,FALSE,"DCFCombined"}</definedName>
    <definedName function="false" hidden="false" name="wrn.Staffing." vbProcedure="false">{#N/A,#N/A,FALSE,"Assessment";#N/A,#N/A,FALSE,"Staffing";#N/A,#N/A,FALSE,"Hires";#N/A,#N/A,FALSE,"Assumptions"}</definedName>
    <definedName function="false" hidden="false" name="wrn.Staffing1" vbProcedure="false">{#N/A,#N/A,FALSE,"Assessment";#N/A,#N/A,FALSE,"Staffing";#N/A,#N/A,FALSE,"Hires";#N/A,#N/A,FALSE,"Assumptions"}</definedName>
    <definedName function="false" hidden="false" name="wrn.STAND_ALONE_BOTH." vbProcedure="false">{"FCB_ALL",#N/A,FALSE,"FCB";"GREY_ALL",#N/A,FALSE,"GREY"}</definedName>
    <definedName function="false" hidden="false" name="wrn.Stanford._.Experience."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wrn.sum." vbProcedure="false">{"Opsys",#N/A,FALSE,"NPV_OPsys";"NT",#N/A,FALSE,"NPV_NT";"DevP",#N/A,FALSE,"NPV_DevPdt";"Office",#N/A,FALSE,"NPV_Office"}</definedName>
    <definedName function="false" hidden="false" name="wrn.SUMMARY."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false" name="wrn.Summary._.Presentation." vbProcedure="false">{#N/A,#N/A,FALSE,"Financial Statements";#N/A,#N/A,FALSE,"MM FA &amp; Multiples";#N/A,#N/A,FALSE,"Preliminary Valuation";#N/A,#N/A,FALSE,"WACC"}</definedName>
    <definedName function="false" hidden="false" name="wrn.summaryANDbackup." vbProcedure="false">{#N/A,#N/A,FALSE,"Prem_Sum";#N/A,#N/A,FALSE,"Prem"}</definedName>
    <definedName function="false" hidden="false" name="wrn.SummaryPgs." vbProcedure="false">{#N/A,#N/A,FALSE,"CreditStat";#N/A,#N/A,FALSE,"SPbrkup";#N/A,#N/A,FALSE,"MerSPsyn";#N/A,#N/A,FALSE,"MerSPwKCsyn";#N/A,#N/A,FALSE,"MerSPwKCsyn (2)";#N/A,#N/A,FALSE,"CreditStat (2)"}</definedName>
    <definedName function="false" hidden="false" name="wrn.TARGET._.DCF." vbProcedure="false">{"targetdcf",#N/A,FALSE,"Merger consequences";"TARGETASSU",#N/A,FALSE,"Merger consequences";"TERMINAL VALUE",#N/A,FALSE,"Merger consequences"}</definedName>
    <definedName function="false" hidden="false" name="wrn.tel2." vbProcedure="false">{#N/A,#N/A,FALSE,"FS_Summary";#N/A,#N/A,FALSE,"Tel_Summary";#N/A,#N/A,FALSE,"Tomahawk";#N/A,#N/A,FALSE,"Medical Marketing";#N/A,#N/A,FALSE,"DIMAC";#N/A,#N/A,FALSE,"Epsilon";#N/A,#N/A,FALSE,"Direct";#N/A,#N/A,FALSE,"DIMAC(2)"}</definedName>
    <definedName function="false" hidden="false" name="wrn.telem." vbProcedure="false">{#N/A,#N/A,FALSE,"FS_Summary";#N/A,#N/A,FALSE,"Tomahawk";#N/A,#N/A,FALSE,"Medical Marketing";#N/A,#N/A,FALSE,"Epsilon";#N/A,#N/A,FALSE,"DIMAC";#N/A,#N/A,FALSE,"Direct";#N/A,#N/A,FALSE,"DIMAC(2)"}</definedName>
    <definedName function="false" hidden="false" name="wrn.test." vbProcedure="false">{"Cash Flow",#N/A,FALSE,"Cash Flow"}</definedName>
    <definedName function="false" hidden="false" name="wrn.todo." vbProcedure="false">{#N/A,#N/A,FALSE,"Hip.Bas";#N/A,#N/A,FALSE,"ventas";#N/A,#N/A,FALSE,"ingre-Año";#N/A,#N/A,FALSE,"ventas-Año";#N/A,#N/A,FALSE,"Costepro";#N/A,#N/A,FALSE,"inversion";#N/A,#N/A,FALSE,"personal";#N/A,#N/A,FALSE,"Gastos-V";#N/A,#N/A,FALSE,"Circulante";#N/A,#N/A,FALSE,"CONSOLI";#N/A,#N/A,FALSE,"Es-Fin";#N/A,#N/A,FALSE,"Margen-P"}</definedName>
    <definedName function="false" hidden="false" name="wrn.TOOL."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false" name="wrn.Total." vbProcedure="false">{#N/A,#N/A,FALSE,"Trans-Sum";#N/A,#N/A,FALSE,"Accr-Dilu2";#N/A,#N/A,FALSE,"Contribution";#N/A,#N/A,FALSE,"Combined";#N/A,#N/A,FALSE,"ASTF";#N/A,#N/A,FALSE,"BRA";#N/A,#N/A,FALSE,"Bra_C";#N/A,#N/A,FALSE,"AcqMults";#N/A,#N/A,FALSE,"CompMults";#N/A,#N/A,FALSE,"DCF";#N/A,#N/A,FALSE,"WACC";#N/A,#N/A,FALSE,"LBO";#N/A,#N/A,FALSE,"Summary";#N/A,#N/A,FALSE,"StructSum"}</definedName>
    <definedName function="false" hidden="false" name="wrn.Total._.Presentation." vbProcedure="false">{#N/A,#N/A,TRUE,"Financial Statements";#N/A,#N/A,TRUE,"Normalized Salaries";#N/A,#N/A,TRUE,"Valuation";#N/A,#N/A,TRUE,"Beta, Wd, We and Excess WC";#N/A,#N/A,TRUE,"WACC";#N/A,#N/A,TRUE,"MM FA &amp; Multiples"}</definedName>
    <definedName function="false" hidden="false" name="wrn.total._.year." vbProcedure="false">{#N/A,#N/A,FALSE,"2003_Input - P&amp;L"}</definedName>
    <definedName function="false" hidden="false" name="wrn.TransPrcd_123." vbProcedure="false">{#N/A,#N/A,TRUE,"TransPrcd 1";#N/A,#N/A,TRUE,"TransPrcd 2";#N/A,#N/A,TRUE,"TransPrcd 3"}</definedName>
    <definedName function="false" hidden="false" name="wrn.Tweety." vbProcedure="false">{#N/A,#N/A,FALSE,"A&amp;E";#N/A,#N/A,FALSE,"HighTop";#N/A,#N/A,FALSE,"JG";#N/A,#N/A,FALSE,"RI";#N/A,#N/A,FALSE,"woHT";#N/A,#N/A,FALSE,"woHT&amp;JG"}</definedName>
    <definedName function="false" hidden="false" name="wrn.Tycon._.Model." vbProcedure="false">{"rtn",#N/A,FALSE,"RTN";"tables",#N/A,FALSE,"RTN";"cf",#N/A,FALSE,"CF";"stats",#N/A,FALSE,"Stats";"prop",#N/A,FALSE,"Prop"}</definedName>
    <definedName function="false" hidden="false" name="wrn.Typhoon." vbProcedure="false">{"Agg Output",#N/A,FALSE,"Operational Drivers Output";"NW Output",#N/A,FALSE,"Operational Drivers Output";"South Output",#N/A,FALSE,"Operational Drivers Output";"Central Output",#N/A,FALSE,"Operational Drivers Output"}</definedName>
    <definedName function="false" hidden="false" name="wrn.upstairs." vbProcedure="false">{"histincome",#N/A,FALSE,"hyfins";"closing balance",#N/A,FALSE,"hyfins"}</definedName>
    <definedName function="false" hidden="false" name="wrn.VALUATION." vbProcedure="false">{#N/A,#N/A,FALSE,"Pooling";#N/A,#N/A,FALSE,"income";#N/A,#N/A,FALSE,"valuation"}</definedName>
    <definedName function="false" hidden="false" name="wrn.Valuation._.Worksheets." vbProcedure="false">{#N/A,#N/A,FALSE,"ID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function="false" hidden="false" name="wrn.Wacc." vbProcedure="false">{"Area1",#N/A,FALSE,"OREWACC";"Area2",#N/A,FALSE,"OREWACC"}</definedName>
    <definedName function="false" hidden="false" name="wrn.WACHOVIA._.QTR._.5." vbProcedure="false">{#N/A,#N/A,FALSE,"FBS-ASSETS";#N/A,#N/A,FALSE,"FBS-LIAB&amp;SE";#N/A,#N/A,FALSE,"FIS-QTR";#N/A,#N/A,FALSE,"FIS-YTD";#N/A,#N/A,FALSE,"FCF-QTR";#N/A,#N/A,FALSE,"FCF-YTD";#N/A,#N/A,FALSE,"FSE-QTR";#N/A,#N/A,FALSE,"FSE-YTD"}</definedName>
    <definedName function="false" hidden="false" name="wrn.WARCO._.ALPHA." vbProcedure="false">{#N/A,#N/A,FALSE,"WARCO";#N/A,#N/A,FALSE,"ALPHA"}</definedName>
    <definedName function="false" hidden="false" name="wrn.Web._.Portfolio._.Companies._.June._.2000."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wrn.WHOLE." vbProcedure="false">{#N/A,#N/A,FALSE,"assumptions";#N/A,#N/A,FALSE,"contrib_annual";#N/A,#N/A,FALSE,"historic";#N/A,#N/A,FALSE,"Proforma";#N/A,#N/A,FALSE,"CALENDARIZED";#N/A,#N/A,FALSE,"Has_gets";#N/A,#N/A,FALSE,"DILUTION"}</definedName>
    <definedName function="false" hidden="false" name="wrn.wicor." vbProcedure="false">{#N/A,#N/A,FALSE,"FACTSHEETS";#N/A,#N/A,FALSE,"pump";#N/A,#N/A,FALSE,"filter"}</definedName>
    <definedName function="false" hidden="false" name="wrn.Workpapers." vbProcedure="false">{"Cash Flow Input - Legal",#N/A,FALSE,"Sep 98";"Net Income Adj - Legal",#N/A,FALSE,"Sep 98";"Working Cap Adj - Legal",#N/A,FALSE,"Sep 98";"Equity - Legal",#N/A,FALSE,"Sep 98"}</definedName>
    <definedName function="false" hidden="false" name="wrn.YE._.ADDITIONAL._.INFO." vbProcedure="false">{#N/A,#N/A,FALSE,"FBS-ASSETS";#N/A,#N/A,FALSE,"FBS-LIAB&amp;SE";#N/A,#N/A,FALSE,"FIS-YTD";#N/A,#N/A,FALSE,"FCF-YTD";#N/A,#N/A,FALSE,"FSE-YTD";#N/A,#N/A,FALSE,"CONSOLIDATING PGS 1";#N/A,#N/A,FALSE,"CONSOLIDATING PGS 2";#N/A,#N/A,FALSE,"ELIMINATIONS"}</definedName>
    <definedName function="false" hidden="false" name="wrn.YE._.BANK._.COV._.PG." vbProcedure="false">{#N/A,#N/A,FALSE,"YE BK COV PG"}</definedName>
    <definedName function="false" hidden="false" name="wrn.YE._.FINANCIAL._.STAT." vbProcedure="false">{#N/A,#N/A,FALSE,"FBS-ASSETS";#N/A,#N/A,FALSE,"FBS-LIAB&amp;SE";#N/A,#N/A,FALSE,"FIS-YTD";#N/A,#N/A,FALSE,"FCF-YTD";#N/A,#N/A,FALSE,"FSE-YTD"}</definedName>
    <definedName function="false" hidden="false" name="wrn.Yearly._.Reports." vbProcedure="false">{"CashFlow","Nil",FALSE,"Yearly Reports-Y";"Revenue_OI","Nil",FALSE,"Yearly Reports-Y";"MTVNChannelComp","Nil",FALSE,"Yearly Reports-Y"}</definedName>
    <definedName function="false" hidden="false" name="wrn.דוח_מרכז." vbProcedure="false">{"רווח והפסד",#N/A,FALSE,"תכנית לבנק (2)";"באור_ראשון",#N/A,FALSE,"תכנית לבנק (2)";"באור_שני",#N/A,FALSE,"תכנית לבנק (2)";"מכירות",#N/A,FALSE,"SALES"}</definedName>
    <definedName function="false" hidden="false" name="wrn.הערות._.רבעון._.3." vbProcedure="false">{"הערות",#N/A,FALSE,"תקציב מול ביצוע (2)"}</definedName>
    <definedName function="false" hidden="false" name="wrn.השקעות." vbProcedure="false">{"השקעות",#N/A,FALSE,"investments";"מפעל חדש",#N/A,FALSE,"nf"}</definedName>
    <definedName function="false" hidden="false" name="wrn.טבלאות_עזר." vbProcedure="false">{"ניסוי_אירופה",#N/A,FALSE,"ct-eu";"ניסוי_ארהב",#N/A,FALSE,"ct-us";"רמות",#N/A,FALSE,"RAMOT";"יועצי_מופ",#N/A,FALSE,"r&amp;d_consultants";"יועצים",#N/A,FALSE,"r&amp;d_subcontractors";"הוצאות_רכב",#N/A,FALSE,"car+phone"}</definedName>
    <definedName function="false" hidden="false" name="wrn.מאזן." vbProcedure="false">{"מאזן",#N/A,FALSE,"מאזן בוחן"}</definedName>
    <definedName function="false" hidden="false" name="wrn.מאזן_בוחן_כללי." vbProcedure="false">{#N/A,#N/A,FALSE,"מאזן בוחן";"כל_מאזן_בוחן",#N/A,FALSE,"מאזן בוחן"}</definedName>
    <definedName function="false" hidden="false" name="wrn.מופ." vbProcedure="false">{"באור_מופ",#N/A,FALSE,"R&amp;D";"מופ_לפי_מוצרים",#N/A,FALSE,"R&amp;D"}</definedName>
    <definedName function="false" hidden="false" name="wrn.סעיפי_מאזן_בוחן."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function="false" hidden="false" name="wrn.רווה." vbProcedure="false">{"רווה",#N/A,FALSE,"מאזן בוחן"}</definedName>
    <definedName function="false" hidden="false" name="wrn.רווה_לפי_מוצרים." vbProcedure="false">{"ossix",#N/A,FALSE,"ossix";"דרמיקול",#N/A,FALSE,"dermicol";"reflux",#N/A,FALSE,"reflux";"מופ_לפי_מוצרים",#N/A,FALSE,"R&amp;D"}</definedName>
    <definedName function="false" hidden="false" name="wrn.שכר_כולל." vbProcedure="false">{"שכר_כללי",#N/A,FALSE,"sal_total";"שכר_ייצור1",#N/A,FALSE,"operation_sal";"שכר_ייצור2",#N/A,FALSE,"operation_sal";"שכר_מופ1",#N/A,FALSE,"r&amp;d_sal";"שכר_מופ2",#N/A,FALSE,"r&amp;d_sal";"שכר_שיווק",#N/A,FALSE,"s&amp;m_sal";"שכר_הנהלה",#N/A,FALSE,"G&amp;A_SAL"}</definedName>
    <definedName function="false" hidden="false" name="wrn.תזרים." vbProcedure="false">{"תזרים",#N/A,FALSE,"cf"}</definedName>
    <definedName function="false" hidden="false" name="WRN1.ALL" vbProcedure="false">{#N/A,#N/A,FALSE,"RH1";#N/A,#N/A,FALSE,"SP2";#N/A,#N/A,FALSE,"MB3";#N/A,#N/A,FALSE,"WV5";#N/A,#N/A,FALSE,"LB6";#N/A,#N/A,FALSE,"NB7";#N/A,#N/A,FALSE,"MV8";#N/A,#N/A,FALSE,"ALL STORES (7)";#N/A,#N/A,FALSE,"MATURE STORES (3)";#N/A,#N/A,FALSE,"BASE STORES (5)";#N/A,#N/A,FALSE,"NEW STORES (2)"}</definedName>
    <definedName function="false" hidden="false" name="wrn_eva" vbProcedure="false">{"EVA",#N/A,FALSE,"EVA";"WACC",#N/A,FALSE,"WACC"}</definedName>
    <definedName function="false" hidden="false" name="wrn_otpt" vbProcedure="false">{"DCF","UPSIDE CASE",FALSE,"Sheet1";"DCF","BASE CASE",FALSE,"Sheet1";"DCF","DOWNSIDE CASE",FALSE,"Sheet1"}</definedName>
    <definedName function="false" hidden="false" name="wvu.Final._.Day._.1."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inal._.Day._.2." vbProcedure="false">{TRUE,TRUE,-1.25,-15.5,604.5,369.75,FALSE,TRUE,TRUE,TRUE,0,1,5,1,7,4,6,4,TRUE,TRUE,3,TRUE,1,TRUE,100,"Swvu.Final._.Day._.1.","ACwvu.Final._.Day._.1.",#N/A,FALSE,FALSE,0,0,0.65,0,2,"&amp;C&amp;""Arial Rounded MT Bold,Bold""&amp;16Simon and Schuster
Consumer Group
Daily Sales Summary","",TRUE,FALSE,FALSE,FALSE,1,#N/A,1,1,"=R1C1:R46C26",FALSE,"Rwvu.Final._.Day._.1.",#N/A,FALSE,FALSE,FALSE,1,#N/A,#N/A,FALSE,FALSE,TRUE,TRUE,TRUE}</definedName>
    <definedName function="false" hidden="false" name="wvu.Full."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Full2." vbProcedure="false">{TRUE,TRUE,-1.25,-15.5,604.5,369.75,FALSE,TRUE,TRUE,TRUE,0,1,5,1,7,4,6,4,TRUE,TRUE,3,TRUE,1,TRUE,100,"Swvu.Full.","ACwvu.Full.",#N/A,FALSE,FALSE,0,0,0.65,0,2,"&amp;C&amp;""Arial Rounded MT Bold,Bold""&amp;16Simon and Schuster
Consumer Group
Daily Sales Summary","",TRUE,FALSE,FALSE,FALSE,1,#N/A,1,1,"=R1C1:R46C26",FALSE,"Rwvu.Full.",#N/A,FALSE,FALSE,FALSE,1,#N/A,#N/A,FALSE,FALSE,TRUE,TRUE,TRUE}</definedName>
    <definedName function="false" hidden="false"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name="ww.Rele" vbProcedure="false">{#N/A,#N/A,FALSE,"Title Page";#N/A,#N/A,FALSE,"Conclusions";#N/A,#N/A,FALSE,"Assum.";#N/A,#N/A,FALSE,"Sun  DCF-WC-Dep";#N/A,#N/A,FALSE,"MarketValue";#N/A,#N/A,FALSE,"BalSheet";#N/A,#N/A,FALSE,"WACC";#N/A,#N/A,FALSE,"PC+ Info.";#N/A,#N/A,FALSE,"PC+Info_2"}</definedName>
    <definedName function="false" hidden="false" name="x" vbProcedure="false">{#N/A,#N/A,FALSE,"FY97";#N/A,#N/A,FALSE,"FY98";#N/A,#N/A,FALSE,"FY99";#N/A,#N/A,FALSE,"FY00";#N/A,#N/A,FALSE,"FY01"}</definedName>
    <definedName function="false" hidden="false" name="xcxzc" vbProcedure="false">{#N/A,#N/A,FALSE,"AD_Purchase";#N/A,#N/A,FALSE,"Credit";#N/A,#N/A,FALSE,"PF Acquisition";#N/A,#N/A,FALSE,"PF Offering"}</definedName>
    <definedName function="false" hidden="false" name="XRefColumnsCount" vbProcedure="false">15</definedName>
    <definedName function="false" hidden="false" name="XRefCopyRangeCount" vbProcedure="false">10</definedName>
    <definedName function="false" hidden="false" name="XRefPasteRangeCount" vbProcedure="false">14</definedName>
    <definedName function="false" hidden="false" name="xx"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xxx" vbProcedure="false">{#N/A,#N/A,FALSE,"2003_Input - P&amp;L"}</definedName>
    <definedName function="false" hidden="false" name="xxxx"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YEAH"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EAHRIGH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yhn" vbProcedure="false">{#N/A,#N/A,FALSE,"TS";#N/A,#N/A,FALSE,"Combo";#N/A,#N/A,FALSE,"FAIR";#N/A,#N/A,FALSE,"RBC";#N/A,#N/A,FALSE,"xxxx";#N/A,#N/A,FALSE,"A_D";#N/A,#N/A,FALSE,"WACC";#N/A,#N/A,FALSE,"DCF";#N/A,#N/A,FALSE,"LBO";#N/A,#N/A,FALSE,"AcqMults";#N/A,#N/A,FALSE,"CompMults"}</definedName>
    <definedName function="false" hidden="false" name="youh" vbProcedure="false">{#N/A,#N/A,FALSE,"AD_Purchase";#N/A,#N/A,FALSE,"Credit";#N/A,#N/A,FALSE,"PF Acquisition";#N/A,#N/A,FALSE,"PF Offering"}</definedName>
    <definedName function="false" hidden="false" name="yu"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false" name="yyy" vbProcedure="false">{#N/A,#N/A,FALSE,"Inc.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function="false" hidden="false" name="z" vbProcedure="false">{#N/A,#N/A,FALSE,"Projections";#N/A,#N/A,FALSE,"Multiples Valuation";#N/A,#N/A,FALSE,"LBO";#N/A,#N/A,FALSE,"Multiples_Sensitivity";#N/A,#N/A,FALSE,"Summary"}</definedName>
    <definedName function="false" hidden="false" name="zcvqa" vbProcedure="false">{#N/A,#N/A,FALSE,"AD_Purchase";#N/A,#N/A,FALSE,"Credit";#N/A,#N/A,FALSE,"PF Acquisition";#N/A,#N/A,FALSE,"PF Offering"}</definedName>
    <definedName function="false" hidden="false" name="zcvzaa" vbProcedure="false">{#N/A,#N/A,FALSE,"Debt Accr";#N/A,#N/A,FALSE,"Stock Accr";#N/A,#N/A,FALSE,"Debt Stock Accr"}</definedName>
    <definedName function="false" hidden="false" name="zcxzxva" vbProcedure="false">{#N/A,#N/A,FALSE,"HuscoCombined-Summ";#N/A,#N/A,FALSE,"HuscoCombined-Income";#N/A,#N/A,FALSE,"HuscoCombined-Offering";#N/A,#N/A,FALSE,"Husco-Income";#N/A,#N/A,FALSE,"TargetEngineer";#N/A,#N/A,FALSE,"TargetAcqCalc";#N/A,#N/A,FALSE,"Husco-Acq"}</definedName>
    <definedName function="false" hidden="false" name="zscz" vbProcedure="false">{#N/A,#N/A,FALSE,"Pooling";#N/A,#N/A,FALSE,"income";#N/A,#N/A,FALSE,"valuation"}</definedName>
    <definedName function="false" hidden="false" name="zx" vbProcedure="false">{#N/A,#N/A,FALSE,"AD_Purchase";#N/A,#N/A,FALSE,"Credit";#N/A,#N/A,FALSE,"PF Acquisition";#N/A,#N/A,FALSE,"PF Offering"}</definedName>
    <definedName function="false" hidden="false" name="zxcc" vbProcedure="false">{#N/A,#N/A,FALSE,"Projections";#N/A,#N/A,FALSE,"Contribution_Stock";#N/A,#N/A,FALSE,"PF_Combo_Stock";#N/A,#N/A,FALSE,"Projections";#N/A,#N/A,FALSE,"Contribution_Cash";#N/A,#N/A,FALSE,"PF_Combo_Cash";#N/A,#N/A,FALSE,"IPO_Cash"}</definedName>
    <definedName function="false" hidden="false" name="zzz.com" vbProcedure="false">{#N/A,#N/A,FALSE,"Title Page";#N/A,#N/A,FALSE,"Conclusions";#N/A,#N/A,FALSE,"Assum.";#N/A,#N/A,FALSE,"Sun  DCF-WC-Dep";#N/A,#N/A,FALSE,"MarketValue";#N/A,#N/A,FALSE,"BalSheet";#N/A,#N/A,FALSE,"WACC";#N/A,#N/A,FALSE,"PC+ Info.";#N/A,#N/A,FALSE,"PC+Info_2"}</definedName>
    <definedName function="false" hidden="false" name="_1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1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1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1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1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1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1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1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1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1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1__FDSAUDITLINK__" vbProcedure="false">{"fdsup://directions/News HTML Viewer?action=OPEN&amp;on_error=off&amp;window=popup_no_button&amp;start_maximized=false&amp;creator=factset&amp;display_string=Click to view document&amp;width=640&amp;height=480&amp;address=ZQFNwiDmku6rD8XeJHel5%2BClsTh1%2BKQXZfkma2tpAQLiI8CyHvRjYyQDVL7t%2","FlfMpiTocNaw3Gpo8jIv6pGb2ENue6TMKIZPrs2228iDD%2FS879rurW4fhZH36nTEyl8j%2FJcd0ZhNwqu9MYltaV6nDlIUcUF2%2FoBeD4yU8zdaPJmMZgbGxOpsfCHY3s8J2LGk3sPgAzz3MjQvvOrEkaYDu03NUFj4FxpGksq3IjKjlNZJEQs8%2BBrc%2FAQTl%2F8yM7Od%2BoPj%2BkGyEsVVXRQInn3Dy4hc18keC6v%2FodsKUpIqg","81wmyzSUpR42%2FFYRsckFYW1L9MJttOEm7wi"}</definedName>
    <definedName function="false" hidden="false" name="_20__FDSAUDITLINK__" vbProcedure="false">{"fdsup://directions/News HTML Viewer?action=OPEN&amp;on_error=off&amp;window=popup_no_button&amp;start_maximized=false&amp;creator=factset&amp;display_string=Click to view document&amp;width=640&amp;height=480&amp;address=ZQFNwqzDlZ6rDiV1JBTcRtiuYnkVWHRjDil6imjmqcrLCyXmF%2FTNn166X%2Fky9g","%2BRsaoXt7DmqKRZnq2X%2FxB009l0lyMR4nJRMuZ4Hb%2BR4f2kKDHMIidtMjbt%2BvLyWlaaB2egxe3ClTiPVcRGtwHXqe4T5zNClOJbZ81XZbYgSwxt6pAwRqyuCMPhsET1gMmj%2BlPQgW3DOl7uJuQ0%2FivNqNHBO4TFXsmDNbQmI8%2FvyniCRveypaBEmj6SmySB3CFsIFtpJhbquq40mQLNe4tOhyz67vRHTV83cHj7EvmsK3y2Ej7","JDhS6sikNrjbFEq0w0L4%3D"}</definedName>
    <definedName function="false" hidden="false" name="_2__FDSAUDITLINK__" vbProcedure="false">{"fdsup://directions/News HTML Viewer?action=OPEN&amp;on_error=off&amp;window=popup_no_button&amp;start_maximized=false&amp;creator=factset&amp;display_string=Click to view document&amp;width=640&amp;height=480&amp;address=ZQFNAibmku6vdsALvQxFS8E8mqM5fpsEhW%2FVlrUZS8X3mXhPhwqEWlSPeKV%2FWO","c0nuspNnLpGeQAjctPFV5FC%2FMYUuTwne%2B0oFqOF9ZWxBFOI0aoy9DWjCAtikpaqJYi%2FRUAY23ZunIIO5JXI9vdv%2FD84elPHIf%2FQafK4OQFWXLyxNKBVFC9WjEnZcOiHiQO9ntr5Mh0DnhPaOFqYXKXETZDHHz%2FWgZPHcJDG%2B7UjaqkKYnqqjMXSWKr2rrV2URbwt%2FZZCeZfrTQ5DhWnci48CQW%2FTbFVq2Lo%2FeByDBfM","WJ17%2FKc%2BMuArTeRUT6kUsBevaaWfTkM"}</definedName>
    <definedName function="false" hidden="false" name="_3__FDSAUDITLINK__" vbProcedure="false">{"fdsup://directions/News HTML Viewer?action=OPEN&amp;on_error=off&amp;window=popup_no_button&amp;start_maximized=false&amp;creator=factset&amp;display_string=Click to view document&amp;width=640&amp;height=480&amp;address=ZQFVwSbik%2F6rz%2BXeqnI%2F81B0czgc0dOpLXWcS%2FxBlCQXdv%2BhIf2GOYkG","eDY0SLVOuxPnpyH4RwQ9hENL3ybkIfLcp0jpLem904l83N6noWVMiDEe8%2BZe%2B71C9fbXIC57jsCTloy8n5Y88rgFOL5qduFbRb%2BGq7E5fErnZRNUVn6R%2Bdavo1ZRYVqFhqCpTR4lFx1ymGYwel8C6S2dpy2Zbws8jlM3Hr7cMYv0Hy9b%2F9HgQ2wJI%2BUG8TjBH8VqlZADDD8JHzJSJbCxV1H2PcPj3zTy1G7z2FCkCJFO7wVVGrd","6pFHQH1FCyavspqoau%2FjF6xVFQh5Mzg%2F0DBRHE7%2FcpqfyGpWeTcgpFiemvPECOvFgkA%3D%3D"}</definedName>
    <definedName function="false" hidden="false" name="_4__FDSAUDITLINK__" vbProcedure="false">{"fdsup://directions/News HTML Viewer?action=OPEN&amp;on_error=off&amp;window=popup_no_button&amp;start_maximized=false&amp;creator=factset&amp;display_string=Click to view document&amp;width=640&amp;height=480&amp;address=ZQFNwqzjkp63DiU1IW%2B9wLSlWyN3Grmh0NwNbVuVyY3GFagfuF6QlzeU9yxBOqmJ","xtWY79x5tU%2BOOjNe1DFZK78AKG3t%2FMKWXeDOGIgJkr2AqEuSwwxJNBuNS3P08KPhHL%2FjXRZ0QF5wa8%2FuLA2j8g46A%2FZYxSfRr8BnxH1N7La0UrLiG8tXEqdVtpC0WPUEtkhSPpsJCtX%2B8mY%2BeXth27zFfQIVJiyqYpRxe0ZB3018kqrDY2U3QI7md0ZvOSIG%2BJehggMg7MUJHB%2BSBx0BbQWsTCEf3OXMJe%2BU%2BIOjA","L%2Fcq2Z3MsWUZPj7"}</definedName>
    <definedName function="false" hidden="false" name="_5__FDSAUDITLINK__" vbProcedure="false">{"fdsup://directions/News HTML Viewer?action=OPEN&amp;on_error=off&amp;window=popup_no_button&amp;start_maximized=false&amp;creator=factset&amp;display_string=Click to view document&amp;width=640&amp;height=480&amp;address=ZQFVAaDnku6rdm9Tifph6TyHXgWlE8Fnjc3mzo0bhZswuhdjmDoxH2850q20sIzm8a","rbGzYTlpHnS2lNeG9VwRJwPSyhJ%2BH4isiEFmgAU7KD2aqOOipThK4nfz0b32jXkod6vHOb9hTcY%2BCD3%2F4sN6drPzzS3mKR6eXdIrs%2FySF0UFr%2BJip4fgDi6rR%2FOeRbmgl10YqyMIWMAjatKM%2FJ4OSPId97sUPVojv2VVMMmTpAUj4X7qcpUmw4Q1JLWwfmoJamQUJTk2WUg%2BoobJ9oJp5vNGelbcUXcnD%2B3wcEJrZPSgV","b77wxTDmkhfUOziEP9iI984wBg64KeQmjRak%3D"}</definedName>
    <definedName function="false" hidden="false" name="_6__FDSAUDITLINK__" vbProcedure="false">{"fdsup://directions/News HTML Viewer?action=OPEN&amp;on_error=off&amp;window=popup_no_button&amp;start_maximized=false&amp;creator=factset&amp;display_string=Click to view document&amp;width=640&amp;height=480&amp;address=ZQFNApznkp6vdm%2BXDY8uLGSo63G8jW6zpPVbmrh81h9pc%2BY0VhNn7g2NlXSlDA","UFaoHQUtqq5OXwW8O3%2Bvz0WNoEGsVja85EpibsfvCUWMgJ9CXrA92V%2BNCO80lgOnKKmCSdQYZcsYsJYtXeKLUz%2B%2BG9FTmufS3liqQl55A%2FgRuVRVgIlkEOIpGCvRcBGVkm%2FMGIODk4BCcWfrzaL3DaVmc3DGSLwsBdD06jMAxZU1gpwNPGuftZCl7JKa4fd60g8i28ySWv4yvthitT0R0LelXb3vlaK2WfnruGuS10HAtxq%2Ff","yyjbmQExYa0Kz"}</definedName>
    <definedName function="false" hidden="false" name="_7__FDSAUDITLINK__" vbProcedure="false">{"fdsup://directions/News HTML Viewer?action=OPEN&amp;on_error=off&amp;window=popup_no_button&amp;start_maximized=false&amp;creator=factset&amp;display_string=Click to view document&amp;width=640&amp;height=480&amp;address=ZQFNw6znkp6vDyV1HwIVJkLkw0AT5CW9f6elUXBrchfN6iLXcDASaNxFV4sRfg7mSA","ufCPezA6GyNk29NtKOe4y4pPzCy%2BrjfZKP8aKkCu0M64VCVkp7VCKEJI9AdUamWa8rn9WUpVNIPbTBLzgVSLitQjCNAR2quHLoJKO7DGKOUgj0LQCEoGxTvpqowD1le5I9skgjYRsyiuYpBwo%2BBVx4GTyIBhCIpm3DB4WWycZJf%2Bx5YnOXJSKDPKTJwQBvURhavGjCyzQXsFg5rtokl5KR8ieInoT2R3TMstTZv9p1h4nyT8eOKAhs"}</definedName>
    <definedName function="false" hidden="false" name="_8__FDSAUDITLINK__" vbProcedure="false">{"fdsup://directions/News HTML Viewer?action=OPEN&amp;on_error=off&amp;window=popup_no_button&amp;start_maximized=false&amp;creator=factset&amp;display_string=Click to view document&amp;width=640&amp;height=480&amp;address=ZQErBNSiOJ4JWI13n%2FXVvpxiZzw3EoKhjhiJrbs%2Bj8yW%2BDlg1obm%2ByMq8y","hQTiN75LSnx8RKOyOOlBeLm5xkgVx40ZlWxX69X%2Fnx1bQrR86gldabkqYgYSiYAUaus8YsBHnJfkhnVZs8N2gqWzOr6Nd8Gg%3D%3D"}</definedName>
    <definedName function="false" hidden="false" name="_9__FDSAUDITLINK__" vbProcedure="false">{"fdsup://directions/News HTML Viewer?action=OPEN&amp;on_error=off&amp;window=popup_no_button&amp;start_maximized=false&amp;creator=factset&amp;display_string=Click to view document&amp;width=640&amp;height=480&amp;address=ZQFNw6znkp6vDyV1HwLVKC6OP2t49SjmFMl9sfXFQtKIVGAzXYefrNnIT1XdSiEKqX","I4EWdFlVuNmWyORzxtYyzjHymjuAu0i1%2FkFHGNzoPJO2SuuqnegT3bJDTHQ7W1pEYXmT9tH%2BTRWM5VWdlc088rPZprSnlRyRRjKMeBK9ZpAWy3K9mJIyUkrcI5Q8JaQPAdv1ZJL53ZV0nZiFWNTy1e%2F42Rv6FMB33NXGBOV33QzS5GbH1qLwjRZ7SBNtxeuYCAPh2pNxkPyzVuwuzb4rlh0LpDiV0nfyrbXtmaEVYP5RhsDW%2Bxgw1ui","vLD4Q%3D%3D"}</definedName>
    <definedName function="false" hidden="false" name="_ass1" vbProcedure="false">{#N/A,#N/A,FALSE,"Aging Summary";#N/A,#N/A,FALSE,"Ratio Analysis";#N/A,#N/A,FALSE,"Test 120 Day Accts";#N/A,#N/A,FALSE,"Tickmarks"}</definedName>
    <definedName function="false" hidden="false" name="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hod2" vbProcedure="false">{#N/A,#N/A,FALSE,"TS";#N/A,#N/A,FALSE,"Combo";#N/A,#N/A,FALSE,"FAIR";#N/A,#N/A,FALSE,"RBC";#N/A,#N/A,FALSE,"xxxx";#N/A,#N/A,FALSE,"A_D";#N/A,#N/A,FALSE,"WACC";#N/A,#N/A,FALSE,"DCF";#N/A,#N/A,FALSE,"LBO";#N/A,#N/A,FALSE,"AcqMults";#N/A,#N/A,FALSE,"CompMults"}</definedName>
    <definedName function="false" hidden="false" name="_I2" vbProcedure="false">{"PVGraph2",#N/A,FALSE,"PV Data"}</definedName>
    <definedName function="false" hidden="false" name="_I3" vbProcedure="false">{"PVGraph2",#N/A,FALSE,"PV Data"}</definedName>
    <definedName function="false" hidden="false" name="_ibo2" vbProcedure="false">{#N/A,#N/A,FALSE,"Summary";#N/A,#N/A,FALSE,"Projections";#N/A,#N/A,FALSE,"Mkt Mults";#N/A,#N/A,FALSE,"DCF";#N/A,#N/A,FALSE,"Accr Dil";#N/A,#N/A,FALSE,"PIC LBO";#N/A,#N/A,FALSE,"MULT10_4";#N/A,#N/A,FALSE,"CBI LBO"}</definedName>
    <definedName function="false" hidden="false" name="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new2" vbProcedure="false">{"COM1996",#N/A,FALSE,"ANNUAL COMMISSIONS";"COM1997",#N/A,FALSE,"ANNUAL COMMISSIONS"}</definedName>
    <definedName function="false" hidden="false" name="_new3" vbProcedure="false">{"COM1996",#N/A,FALSE,"ANNUAL COMMISSIONS";"COM1997",#N/A,FALSE,"ANNUAL COMMISSIONS"}</definedName>
    <definedName function="false" hidden="false" name="_nv2" vbProcedure="false">{#N/A,#N/A,FALSE,"Summary";#N/A,#N/A,FALSE,"Signatures";#N/A,#N/A,FALSE,"FL Current";#N/A,#N/A,FALSE,"Assumptions";#N/A,#N/A,FALSE,"Assumptions";#N/A,#N/A,FALSE,"Assumptions";#N/A,#N/A,FALSE,"FL Last";#N/A,#N/A,FALSE,"FL Orig";#N/A,#N/A,FALSE,"C to G Explain"}</definedName>
    <definedName function="false" hidden="false" name="_Order1" vbProcedure="false">255</definedName>
    <definedName function="false" hidden="false" name="_Order1a" vbProcedure="false">0</definedName>
    <definedName function="false" hidden="false" name="_Order2" vbProcedure="false">255</definedName>
    <definedName function="false" hidden="false" name="_QTD1" vbProcedure="false">{"Nil","Nil",FALSE,"Detail P&amp;L-M";"Nil","Nil",FALSE,"Dep &amp; Amort-M";"Nil","Nil",FALSE,"Equity-M";"Nil","Nil",FALSE,"Debt &amp; Cash Flow-M";"Nil","Nil",FALSE,"Interest-M"}</definedName>
    <definedName function="false" hidden="false" name="_Regression_Int" vbProcedure="false">1</definedName>
    <definedName function="false" hidden="false" name="_rod1" vbProcedure="false">{#N/A,#N/A,FALSE,"Projections";#N/A,#N/A,FALSE,"Multiples Valuation";#N/A,#N/A,FALSE,"LBO";#N/A,#N/A,FALSE,"Multiples_Sensitivity";#N/A,#N/A,FALSE,"Summary"}</definedName>
    <definedName function="false" hidden="false" name="_SDU2" vbProcedure="false">{#N/A,#N/A,FALSE,"Aging Summary";#N/A,#N/A,FALSE,"Ratio Analysis";#N/A,#N/A,FALSE,"Test 120 Day Accts";#N/A,#N/A,FALSE,"Tickmarks"}</definedName>
    <definedName function="false" hidden="false" name="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w1" vbProcedure="false">{"PVGraph2",#N/A,FALSE,"PV Data"}</definedName>
    <definedName function="false" hidden="false" name="_w2" vbProcedure="false">{"PVGraph2",#N/A,FALSE,"PV Data"}</definedName>
    <definedName function="false" hidden="false" name="_w3" vbProcedure="false">{"PVGraph2",#N/A,FALSE,"PV Data"}</definedName>
    <definedName function="false" hidden="false" name="_wr1" vbProcedure="false">{"hist_bs",#N/A,FALSE,"Exhibit D,E1,E2";#N/A,#N/A,FALSE,"Exhibit E3";#N/A,#N/A,FALSE,"Mgmt. Projtn";#N/A,#N/A,FALSE,"Exhibit B-1";#N/A,#N/A,FALSE,"Exhibit A";#N/A,#N/A,FALSE,"WACC";#N/A,#N/A,FALSE,"Control";"hist_inc",#N/A,FALSE,"Exhibit D,E1,E2"}</definedName>
    <definedName function="false" hidden="false" name="_wrn2" vbProcedure="false">{#N/A,#N/A,FALSE,"ASSUMPTIONS";#N/A,#N/A,FALSE,"Valuation Summary";"page1",#N/A,FALSE,"PRESENTATION";"page2",#N/A,FALSE,"PRESENTATION";#N/A,#N/A,FALSE,"ORIGINAL_ROLLBACK"}</definedName>
    <definedName function="false" hidden="false" name="_wrn3" vbProcedure="false">{#N/A,#N/A,FALSE,"ASSUMPTIONS";#N/A,#N/A,FALSE,"Valuation Summary";"page1",#N/A,FALSE,"PRESENTATION";"page2",#N/A,FALSE,"PRESENTATION";#N/A,#N/A,FALSE,"ORIGINAL_ROLLBACK"}</definedName>
    <definedName function="false" hidden="false" name="_x1" vbProcedure="false">{#N/A,#N/A,FALSE,"FY97";#N/A,#N/A,FALSE,"FY98";#N/A,#N/A,FALSE,"FY99";#N/A,#N/A,FALSE,"FY00";#N/A,#N/A,FALSE,"FY01"}</definedName>
    <definedName function="false" hidden="false" name="_y2" vbProcedure="false">{"PVGraph2",#N/A,FALSE,"PV Data"}</definedName>
    <definedName function="false" hidden="false" name="_Zcomps2" vbProcedure="false">{0,0,0,0,1,-4105,28.3464566929134,28.3464566929134,28.346456664,28.3464566929134,2,TRUE,TRUE,FALSE,FALSE,FALSE,#N/A,1,85,1,2,"","","","&amp;""Kennerly,Roman Bold""&amp;14L&amp;12EHMAN &amp;14 B&amp;12ROTHERS","","",FALSE}</definedName>
    <definedName function="false" hidden="false" name="__eds2" vbProcedure="false">{"TOP",#N/A,TRUE,"TRIPLE OPTION EXPERIENCE";"actives",#N/A,TRUE,"TRIPLE OPTION EXPERIENCE";"experience",#N/A,TRUE,"TRIPLE OPTION EXPERIENCE";"Outacomp",#N/A,TRUE,"FEE FOR SERVICE EXPERIENCE ";"Outacomp",#N/A,TRUE,"FEE FOR SERVICE EXPERIENCE ";"Outret",#N/A,TRUE,"FEE FOR SERVICE EXPERIENCE ";"Outact",#N/A,TRUE,"FEE FOR SERVICE EXPERIENCE ";"OutRcomp",#N/A,TRUE,"FEE FOR SERVICE EXPERIENCE ";"Outact",#N/A,TRUE,"FEE FOR SERVICE EXPERIENCE ";"OutRcomp",#N/A,TRUE,"FEE FOR SERVICE EXPERIENCE ";"Outret",#N/A,TRUE,"FEE FOR SERVICE EXPERIENCE ";"actives",#N/A,TRUE,"TRIPLE OPTION EXPERIENCE";"TOP",#N/A,TRUE,"TRIPLE OPTION EXPERIENCE"}</definedName>
    <definedName function="false" hidden="false" name="__FDS_HYPERLINK_TOGGLE_STATE__" vbProcedure="false">"ON"</definedName>
    <definedName function="false" hidden="false" name="__IntlFixup" vbProcedure="false">TRUE()</definedName>
    <definedName function="false" hidden="false" name="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QTD1" vbProcedure="false">{"Nil","Nil",FALSE,"Detail P&amp;L-M";"Nil","Nil",FALSE,"Dep &amp; Amort-M";"Nil","Nil",FALSE,"Equity-M";"Nil","Nil",FALSE,"Debt &amp; Cash Flow-M";"Nil","Nil",FALSE,"Interest-M"}</definedName>
    <definedName function="false" hidden="false" name="__t9" vbProcedure="false">{#N/A,#N/A,TRUE,"FD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function="false" hidden="false" name="___I2" vbProcedure="false">{"PVGraph2",#N/A,FALSE,"PV Data"}</definedName>
    <definedName function="false" hidden="false" name="___I3" vbProcedure="false">{"PVGraph2",#N/A,FALSE,"PV Data"}</definedName>
    <definedName function="false" hidden="false" name="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w1" vbProcedure="false">{"PVGraph2",#N/A,FALSE,"PV Data"}</definedName>
    <definedName function="false" hidden="false" name="___w2" vbProcedure="false">{"PVGraph2",#N/A,FALSE,"PV Data"}</definedName>
    <definedName function="false" hidden="false" name="___w3" vbProcedure="false">{"PVGraph2",#N/A,FALSE,"PV Data"}</definedName>
    <definedName function="false" hidden="false" name="___y2" vbProcedure="false">{"PVGraph2",#N/A,FALSE,"PV Data"}</definedName>
    <definedName function="false" hidden="false" name="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I2" vbProcedure="false">{"PVGraph2",#N/A,FALSE,"PV Data"}</definedName>
    <definedName function="false" hidden="false" name="_____I3" vbProcedure="false">{"PVGraph2",#N/A,FALSE,"PV Data"}</definedName>
    <definedName function="false" hidden="false" name="____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_____w1" vbProcedure="false">{"PVGraph2",#N/A,FALSE,"PV Data"}</definedName>
    <definedName function="false" hidden="false" name="_____w2" vbProcedure="false">{"PVGraph2",#N/A,FALSE,"PV Data"}</definedName>
    <definedName function="false" hidden="false" name="_____w3" vbProcedure="false">{"PVGraph2",#N/A,FALSE,"PV Data"}</definedName>
    <definedName function="false" hidden="false" name="_____y2" vbProcedure="false">{"PVGraph2",#N/A,FALSE,"PV Data"}</definedName>
    <definedName function="false" hidden="false" name="____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false" name="אאא" vbProcedure="false">{#N/A,#N/A,FALSE,"מאזן בוחן";"כל_מאזן_בוחן",#N/A,FALSE,"מאזן בוחן"}</definedName>
    <definedName function="false" hidden="false" name="בככ"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s>
  <calcPr iterateCount="100" refMode="A1" iterate="false" iterateDelta="0.0001"/>
  <extLst>
    <ext xmlns:loext="http://schemas.libreoffice.org/" uri="{7626C862-2A13-11E5-B345-FEFF819CDC9F}">
      <loext:extCalcPr stringRefSyntax="ExcelA1"/>
    </ext>
  </extLst>
</workbook>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Min is 1 based out of HQ. We already have 1 in MX (contractor). Need to confirm how to classify in outlook. I am reflecting this as active HC=2
</t>
        </r>
      </text>
    </comment>
    <comment ref="A2" authorId="0">
      <text>
        <r>
          <rPr>
            <sz val="10"/>
            <rFont val="Arial"/>
            <family val="2"/>
          </rPr>
          <t xml:space="preserve">v3 relabel: source label was 'Bookings, deployments and production by month (base case). Dollars in $000s. Sep–Dec 26 = remaining 2026 (existing + for'. The values are whole dollars, not thousands (e.g. R13 total bookings 29,452,766; R29 CapEx 32,410,900). See 02-build_notes_v3.md I-30.</t>
        </r>
      </text>
    </comment>
    <comment ref="A7" authorId="0">
      <text>
        <r>
          <rPr>
            <sz val="10"/>
            <rFont val="Arial"/>
            <family val="2"/>
          </rPr>
          <t xml:space="preserve">v3 relabel: source label was 'New logos – bookings ($000s)'. The values are whole dollars, not thousands (e.g. R13 total bookings 29,452,766; R29 CapEx 32,410,900). See 02-build_notes_v3.md I-30.</t>
        </r>
      </text>
    </comment>
    <comment ref="A9" authorId="0">
      <text>
        <r>
          <rPr>
            <sz val="10"/>
            <rFont val="Arial"/>
            <family val="2"/>
          </rPr>
          <t xml:space="preserve">v3 relabel: source label was 'Expansion – bookings ($000s)'. The values are whole dollars, not thousands (e.g. R13 total bookings 29,452,766; R29 CapEx 32,410,900). See 02-build_notes_v3.md I-30.</t>
        </r>
      </text>
    </comment>
    <comment ref="A11" authorId="0">
      <text>
        <r>
          <rPr>
            <sz val="10"/>
            <rFont val="Arial"/>
            <family val="2"/>
          </rPr>
          <t xml:space="preserve">v3 relabel: source label was 'Existing &amp; forecast contracts – bookings ($000s)'. The values are whole dollars, not thousands (e.g. R13 total bookings 29,452,766; R29 CapEx 32,410,900). See 02-build_notes_v3.md I-30.</t>
        </r>
      </text>
    </comment>
    <comment ref="A13" authorId="0">
      <text>
        <r>
          <rPr>
            <sz val="10"/>
            <rFont val="Arial"/>
            <family val="2"/>
          </rPr>
          <t xml:space="preserve">v3 relabel: source label was 'Total bookings ($000s)'. The values are whole dollars, not thousands (e.g. R13 total bookings 29,452,766; R29 CapEx 32,410,900). See 02-build_notes_v3.md I-30.</t>
        </r>
      </text>
    </comment>
    <comment ref="A29" authorId="0">
      <text>
        <r>
          <rPr>
            <sz val="10"/>
            <rFont val="Arial"/>
            <family val="2"/>
          </rPr>
          <t xml:space="preserve">v3 relabel: source label was 'Production CapEx ($000s)'. The values are whole dollars, not thousands (e.g. R13 total bookings 29,452,766; R29 CapEx 32,410,900). See 02-build_notes_v3.md I-30.</t>
        </r>
      </text>
    </comment>
    <comment ref="A30" authorId="0">
      <text>
        <r>
          <rPr>
            <sz val="10"/>
            <rFont val="Arial"/>
            <family val="2"/>
          </rPr>
          <t xml:space="preserve">v3 relabel: source label was 'Deployment freight – expensed ($000s)'. The values are whole dollars, not thousands (e.g. R13 total bookings 29,452,766; R29 CapEx 32,410,900). See 02-build_notes_v3.md I-30.</t>
        </r>
      </text>
    </comment>
    <comment ref="A35" authorId="0">
      <text>
        <r>
          <rPr>
            <sz val="10"/>
            <rFont val="Arial"/>
            <family val="2"/>
          </rPr>
          <t xml:space="preserve">v3 relabel: source label was 'CapEx for 2028 go-lives – estimate ($000s)'. The values are whole dollars, not thousands (e.g. R13 total bookings 29,452,766; R29 CapEx 32,410,900). See 02-build_notes_v3.md I-30.</t>
        </r>
      </text>
    </comment>
    <comment ref="A38" authorId="0">
      <text>
        <r>
          <rPr>
            <sz val="10"/>
            <rFont val="Arial"/>
            <family val="2"/>
          </rPr>
          <t xml:space="preserve">v3 relabel: source label was 'CARR – end of period ($000s)'. The values are whole dollars, not thousands (e.g. R13 total bookings 29,452,766; R29 CapEx 32,410,900). See 02-build_notes_v3.md I-30.</t>
        </r>
      </text>
    </comment>
    <comment ref="A39" authorId="0">
      <text>
        <r>
          <rPr>
            <sz val="10"/>
            <rFont val="Arial"/>
            <family val="2"/>
          </rPr>
          <t xml:space="preserve">v3 relabel: source label was 'ARR – end of period ($000s)'. The values are whole dollars, not thousands (e.g. R13 total bookings 29,452,766; R29 CapEx 32,410,900). See 02-build_notes_v3.md I-30.</t>
        </r>
      </text>
    </comment>
    <comment ref="A40" authorId="0">
      <text>
        <r>
          <rPr>
            <sz val="10"/>
            <rFont val="Arial"/>
            <family val="2"/>
          </rPr>
          <t xml:space="preserve">v3 relabel: source label was 'Recognized revenue ($000s)'. The values are whole dollars, not thousands (e.g. R13 total bookings 29,452,766; R29 CapEx 32,410,900). See 02-build_notes_v3.md I-30.</t>
        </r>
      </text>
    </comment>
    <comment ref="A41" authorId="0">
      <text>
        <r>
          <rPr>
            <sz val="10"/>
            <rFont val="Arial"/>
            <family val="2"/>
          </rPr>
          <t xml:space="preserve">v3 relabel: source label was 'Billings ($000s)'. The values are whole dollars, not thousands (e.g. R13 total bookings 29,452,766; R29 CapEx 32,410,900). See 02-build_notes_v3.md I-30.</t>
        </r>
      </text>
    </comment>
    <comment ref="A42" authorId="0">
      <text>
        <r>
          <rPr>
            <sz val="10"/>
            <rFont val="Arial"/>
            <family val="2"/>
          </rPr>
          <t xml:space="preserve">v3 relabel: source label was 'Deferred revenue – end of period ($000s)'. The values are whole dollars, not thousands (e.g. R13 total bookings 29,452,766; R29 CapEx 32,410,900). See 02-build_notes_v3.md I-30.</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Lead time looks forward on DeploySum row 54 (Sep-26–Dec-27 only). Dec-27 hires for Jan-28 go-lives aren't captured unless the horizon is extended.
</t>
        </r>
      </text>
    </commen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Share of expansion deployments (DeploySum row 57) that are new customer locations needing a dedicated tech. Expansions at existing locations use the site's current tech.
</t>
        </r>
      </text>
    </comment>
    <comment ref="B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new-logo go-lives (DeploySum row 54), rounded. Used for hires needed after the DeploySum horizon (Dec-27 hires for Jan-28 go-lives with a 1-month lead time). Overwrite with a number if you have a 2028 forecast.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Default = Oct–Dec 2027 average expansion go-lives (DeploySum row 57), rounded. The new-location % (B12) is still applied. Overwrite with a number if you have a 2028 forecast.
</t>
        </r>
      </text>
    </comment>
    <comment ref="M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Floater techs cover site techs' vacation, sick days and turnover gaps. Typical range 1 per 8–12 site techs. Floaters use the tech salary, taxes, benefits and new-hire cost (B6:B9).
Reply:
	Travel (Regional/Master) Tech - based out of HQ. Flex for training, onboarding, demo support, temp coverage.
</t>
        </r>
      </text>
    </comment>
    <comment ref="M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Yes = staff floaters at 1 per L11 site techs (min L12). No = zero floaters (incl. current floaters in L13) – no field absence coverage is costed.
</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3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seasonal factors (5–8%). Benchmark: BLS 2023 private-sector absence rate 3.0% (1.6% of hours lost) for unplanned absence, plus ~4–6% for planned vacation/PTO. Source: BLS CPS Table 47, https://www.bls.gov/cps/data/aa2023/cpsaat47.pdf
</t>
        </r>
      </text>
    </comment>
    <comment ref="B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 set to Sep-26 required crew so Sep shows no hiring. Replace with actual current headcount. Hires = increases above this level.
</t>
        </r>
      </text>
    </comment>
    <comment ref="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Base crew needed at the 2/wk minimum tier (input). Independent of current staff (B9) – current staff only reduces hiring. Each step up adds C16:O16.
</t>
        </r>
      </text>
    </comment>
    <comment ref="M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Placeholder. Covers recruiting, onboarding, training, PPE &amp; ramp-up productivity loss; typical manufacturing ~$3–5K/hire. Charged on headcount increases only.
</t>
        </r>
      </text>
    </comment>
    <comment ref="M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Employees hired in the N months before the raise month don't get the raise (e.g., 6 = Apr–Sep 2027 hires excluded from the Oct-27 raise). Eligible headcount = headcount as of the month before that window.
</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how should the MeLi contract supervisor be handled? Currently costed in 5310 at the CXC supervisor rate ($8,704/month) and excluded from the 21 all-in techs. Fld Ops Payroll shows 0 current supervisors.
</t>
        </r>
      </text>
    </comment>
    <comment ref="B3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CONFIRM: where should the MeLi contractors map? This tab costs them in 5310 (CXC EOR); Fld Ops Payroll includes them in the 21 all-in techs costed as employees (5510).
</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B28" authorId="0">
      <text>
        <r>
          <rPr>
            <sz val="10"/>
            <rFont val="Arial"/>
            <family val="2"/>
          </rPr>
          <t xml:space="preserve">Linked to the FE tab in this workbook (rows 30, 31, 74, 75, 49, 50; columns B:J). Sep-26 is forecast.</t>
        </r>
      </text>
    </comment>
    <comment ref="E85" authorId="0">
      <text>
        <r>
          <rPr>
            <sz val="10"/>
            <rFont val="Arial"/>
            <family val="2"/>
          </rPr>
          <t xml:space="preserve">Linked to the FE tab: column N (2026 actual + forecast) and column AG (FY2027).</t>
        </r>
      </text>
    </comment>
  </commentList>
</comments>
</file>

<file path=xl/sharedStrings.xml><?xml version="1.0" encoding="utf-8"?>
<sst xmlns="http://schemas.openxmlformats.org/spreadsheetml/2006/main" count="4136" uniqueCount="2011">
  <si>
    <t xml:space="preserve">2027 COO Budget - Collation Notes (build v3, draft for review)</t>
  </si>
  <si>
    <t xml:space="preserve">Source</t>
  </si>
  <si>
    <t xml:space="preserve">Base: v2 collated workbook (COO book + SD FO/FE). New input: 2027_Sales_Deploy_Prod_to_COO_as_of_093026.xlsx (sha256 645e31303dcbbbd6...).</t>
  </si>
  <si>
    <t xml:space="preserve">Recalculated with LibreOffice 24.2.7.2 420(Build:2). Full notes: 02-build/02-build_notes_v3.md.</t>
  </si>
  <si>
    <t xml:space="preserve">What v3 changed</t>
  </si>
  <si>
    <t xml:space="preserve">1. DeploySum rows 3-49 refreshed from the 9/30/26 resolved file (row map by label; ARR row 39 kept empty). 410 external '[1]' cells stored as cached values (formulas listed below).</t>
  </si>
  <si>
    <t xml:space="preserve">2. PO 4100 (row 12) 2027 = DeploySum recognized revenue Jan-Dec 27 (row 40). Orchestrator assumption: all revenue to 4100.</t>
  </si>
  <si>
    <t xml:space="preserve">3. PO 5010-5020 (rows 19-22) 2027 = 'Depreciation Schedule' tab (straight-line; SlipLift 84 mo, SlipTray 120 mo; existing fleet = PO Dec-26 run rate).</t>
  </si>
  <si>
    <t xml:space="preserve">4. '$000s' labels on DeploySum relabelled to '$' (values are dollars), with comments. Tie-out rows 16-21 vs 54-64 added at DeploySum!A69:R76.</t>
  </si>
  <si>
    <t xml:space="preserve">5. No change to FO, FE, CO, PE, or PO lines other than 12 and 19-22 (verified: 0 formula / 0 value diffs vs v2).</t>
  </si>
  <si>
    <t xml:space="preserve">Headline (live formulas; v2 2027 shown for comparison)</t>
  </si>
  <si>
    <t xml:space="preserve">Line</t>
  </si>
  <si>
    <t xml:space="preserve">Col</t>
  </si>
  <si>
    <t xml:space="preserve">v2 2027</t>
  </si>
  <si>
    <t xml:space="preserve">v3 (live)</t>
  </si>
  <si>
    <t xml:space="preserve">Revenue</t>
  </si>
  <si>
    <t xml:space="preserve">N</t>
  </si>
  <si>
    <t xml:space="preserve">AG</t>
  </si>
  <si>
    <t xml:space="preserve">COGS</t>
  </si>
  <si>
    <t xml:space="preserve">Gross Profit</t>
  </si>
  <si>
    <t xml:space="preserve">Opex</t>
  </si>
  <si>
    <t xml:space="preserve">Net Income</t>
  </si>
  <si>
    <t xml:space="preserve">Depreciation (rows 19-22)</t>
  </si>
  <si>
    <t xml:space="preserve">Total cost (COGS + Opex)</t>
  </si>
  <si>
    <t xml:space="preserve">Assumptions register</t>
  </si>
  <si>
    <t xml:space="preserve">ID</t>
  </si>
  <si>
    <t xml:space="preserve">Assumption</t>
  </si>
  <si>
    <t xml:space="preserve">Value / effect</t>
  </si>
  <si>
    <t xml:space="preserve">Where</t>
  </si>
  <si>
    <t xml:space="preserve">A-01</t>
  </si>
  <si>
    <t xml:space="preserve">2027 revenue = DeploySum recognized revenue Jan-Dec 27</t>
  </si>
  <si>
    <t xml:space="preserve">15,563,646</t>
  </si>
  <si>
    <t xml:space="preserve">PO!U12:AF12 &lt;- DeploySum!F40:Q40</t>
  </si>
  <si>
    <t xml:space="preserve">DeploySum 9/30/26 (row 39 in that file)</t>
  </si>
  <si>
    <t xml:space="preserve">A-02</t>
  </si>
  <si>
    <t xml:space="preserve">All 2027 revenue maps to 4100 Subscription/Platform Fees</t>
  </si>
  <si>
    <t xml:space="preserve">4100 = 100%</t>
  </si>
  <si>
    <t xml:space="preserve">PO row 12</t>
  </si>
  <si>
    <t xml:space="preserve">orchestrator assumption (brief v3)</t>
  </si>
  <si>
    <t xml:space="preserve">A-03</t>
  </si>
  <si>
    <t xml:space="preserve">4500 Implementation and 4900 One-Time revenue stay 0 in 2027</t>
  </si>
  <si>
    <t xml:space="preserve">0</t>
  </si>
  <si>
    <t xml:space="preserve">PO rows 13, 15 (unchanged)</t>
  </si>
  <si>
    <t xml:space="preserve">orchestrator assumption (brief v3: source does not split them)</t>
  </si>
  <si>
    <t xml:space="preserve">A-04</t>
  </si>
  <si>
    <t xml:space="preserve">Straight-line depreciation, no salvage</t>
  </si>
  <si>
    <t xml:space="preserve">salvage 0%</t>
  </si>
  <si>
    <t xml:space="preserve">'Depreciation Schedule'!B12</t>
  </si>
  <si>
    <t xml:space="preserve">user-confirmed 2026-10-09</t>
  </si>
  <si>
    <t xml:space="preserve">A-05</t>
  </si>
  <si>
    <t xml:space="preserve">SlipLift useful life</t>
  </si>
  <si>
    <t xml:space="preserve">84 months</t>
  </si>
  <si>
    <t xml:space="preserve">'Depreciation Schedule'!B9</t>
  </si>
  <si>
    <t xml:space="preserve">A-06</t>
  </si>
  <si>
    <t xml:space="preserve">SlipTray useful life</t>
  </si>
  <si>
    <t xml:space="preserve">120 months</t>
  </si>
  <si>
    <t xml:space="preserve">'Depreciation Schedule'!B10</t>
  </si>
  <si>
    <t xml:space="preserve">A-07</t>
  </si>
  <si>
    <t xml:space="preserve">SlipLift unit cost</t>
  </si>
  <si>
    <t xml:space="preserve">65,000</t>
  </si>
  <si>
    <t xml:space="preserve">'Depreciation Schedule'!B6</t>
  </si>
  <si>
    <t xml:space="preserve">source: DeploySum!A46 note 3</t>
  </si>
  <si>
    <t xml:space="preserve">A-08</t>
  </si>
  <si>
    <t xml:space="preserve">SlipTray unit cost</t>
  </si>
  <si>
    <t xml:space="preserve">8,000</t>
  </si>
  <si>
    <t xml:space="preserve">'Depreciation Schedule'!B8</t>
  </si>
  <si>
    <t xml:space="preserve">A-09</t>
  </si>
  <si>
    <t xml:space="preserve">SlipLift peripherals cost per lift</t>
  </si>
  <si>
    <t xml:space="preserve">4,137.50</t>
  </si>
  <si>
    <t xml:space="preserve">'Depreciation Schedule'!B7 (formula)</t>
  </si>
  <si>
    <t xml:space="preserve">source: derived from DeploySum R29/R24/R25; reconciles every month (note shows $4,138 rounded)</t>
  </si>
  <si>
    <t xml:space="preserve">A-10</t>
  </si>
  <si>
    <t xml:space="preserve">Peripherals life = SlipLift life</t>
  </si>
  <si>
    <t xml:space="preserve">'Depreciation Schedule'!B11</t>
  </si>
  <si>
    <t xml:space="preserve">builder assumption (I-33)</t>
  </si>
  <si>
    <t xml:space="preserve">A-11</t>
  </si>
  <si>
    <t xml:space="preserve">Peripherals GL</t>
  </si>
  <si>
    <t xml:space="preserve">5020 Robot Peripherals</t>
  </si>
  <si>
    <t xml:space="preserve">'Depreciation Schedule'!B16</t>
  </si>
  <si>
    <t xml:space="preserve">builder assumption (I-33); alternative 5011</t>
  </si>
  <si>
    <t xml:space="preserve">A-12</t>
  </si>
  <si>
    <t xml:space="preserve">SlipLift GL</t>
  </si>
  <si>
    <t xml:space="preserve">5011 SlipLift Depreciation</t>
  </si>
  <si>
    <t xml:space="preserve">'Depreciation Schedule'!B14</t>
  </si>
  <si>
    <t xml:space="preserve">user-confirmed (handoff)</t>
  </si>
  <si>
    <t xml:space="preserve">A-13</t>
  </si>
  <si>
    <t xml:space="preserve">SlipTray GL</t>
  </si>
  <si>
    <t xml:space="preserve">5012 SlipCarrier Depreciation</t>
  </si>
  <si>
    <t xml:space="preserve">'Depreciation Schedule'!B15</t>
  </si>
  <si>
    <t xml:space="preserve">user-confirmed 2026-10-09 ('Trays = carriers')</t>
  </si>
  <si>
    <t xml:space="preserve">A-14</t>
  </si>
  <si>
    <t xml:space="preserve">In-service = go-live month (DeploySum rows 19/20); full month of depreciation in that month</t>
  </si>
  <si>
    <t xml:space="preserve">start delay 0; sensitivity: 1-month delay lowers 2027 by 274,833</t>
  </si>
  <si>
    <t xml:space="preserve">'Depreciation Schedule'!B13</t>
  </si>
  <si>
    <t xml:space="preserve">brief v3 convention (orchestrator; labelled; user may change)</t>
  </si>
  <si>
    <t xml:space="preserve">A-15</t>
  </si>
  <si>
    <t xml:space="preserve">Units built in 2027 for 2028 go-lives are not depreciated in 2027</t>
  </si>
  <si>
    <t xml:space="preserve">CapEx 9,446,375 excluded</t>
  </si>
  <si>
    <t xml:space="preserve">'Depreciation Schedule' section 7</t>
  </si>
  <si>
    <t xml:space="preserve">follows A-14 (not in service)</t>
  </si>
  <si>
    <t xml:space="preserve">A-16</t>
  </si>
  <si>
    <t xml:space="preserve">Existing fleet = PO Dec-26 monthly run rate</t>
  </si>
  <si>
    <t xml:space="preserve">159,270.72/month</t>
  </si>
  <si>
    <t xml:space="preserve">'Depreciation Schedule'!B21:B24 = PO!M19:M22</t>
  </si>
  <si>
    <t xml:space="preserve">orchestrator instruction (handoff)</t>
  </si>
  <si>
    <t xml:space="preserve">A-17</t>
  </si>
  <si>
    <t xml:space="preserve">Existing run rates stay flat all of 2027 (no end-of-life, retirement or disposal)</t>
  </si>
  <si>
    <t xml:space="preserve">1,911,249</t>
  </si>
  <si>
    <t xml:space="preserve">'Depreciation Schedule' rows 33-36</t>
  </si>
  <si>
    <t xml:space="preserve">builder assumption: no asset register in the files (I-32)</t>
  </si>
  <si>
    <t xml:space="preserve">A-18</t>
  </si>
  <si>
    <t xml:space="preserve">Oct-Dec 26 go-lives covered by the run rate, not added explicitly</t>
  </si>
  <si>
    <t xml:space="preserve">memo gap 39,057</t>
  </si>
  <si>
    <t xml:space="preserve">'Depreciation Schedule'!B17, section 5</t>
  </si>
  <si>
    <t xml:space="preserve">builder decision between the handoff's two options (I-31)</t>
  </si>
  <si>
    <t xml:space="preserve">A-19</t>
  </si>
  <si>
    <t xml:space="preserve">SlipBot 5010 continues at the Dec-26 run rate; no new SlipBots</t>
  </si>
  <si>
    <t xml:space="preserve">1,353,574</t>
  </si>
  <si>
    <t xml:space="preserve">'Depreciation Schedule'!B21</t>
  </si>
  <si>
    <t xml:space="preserve">orchestrator instruction to carry; status user to confirm (I-32); no builds per DeploySum note 4</t>
  </si>
  <si>
    <t xml:space="preserve">A-20</t>
  </si>
  <si>
    <t xml:space="preserve">'$000s' labels on DeploySum hold dollars; relabelled to '$' with comments</t>
  </si>
  <si>
    <t xml:space="preserve">13 labels</t>
  </si>
  <si>
    <t xml:space="preserve">DeploySum col A</t>
  </si>
  <si>
    <t xml:space="preserve">orchestrator instruction; evidence in I-30</t>
  </si>
  <si>
    <t xml:space="preserve">A-21</t>
  </si>
  <si>
    <t xml:space="preserve">ARR row (39) kept empty to keep the SD row map</t>
  </si>
  <si>
    <t xml:space="preserve">no data</t>
  </si>
  <si>
    <t xml:space="preserve">DeploySum row 39</t>
  </si>
  <si>
    <t xml:space="preserve">brief v2 item 1</t>
  </si>
  <si>
    <t xml:space="preserve">Issues (v3) - severity: HIGH = blocks sign-off or &gt; $250k; MED = $50k-250k or owner confirmation; LOW = &lt; $50k or hygiene</t>
  </si>
  <si>
    <t xml:space="preserve">Sev</t>
  </si>
  <si>
    <t xml:space="preserve">Location</t>
  </si>
  <si>
    <t xml:space="preserve">Finding</t>
  </si>
  <si>
    <t xml:space="preserve">Evidence</t>
  </si>
  <si>
    <t xml:space="preserve">2027 impact</t>
  </si>
  <si>
    <t xml:space="preserve">Basis</t>
  </si>
  <si>
    <t xml:space="preserve">Recommended action</t>
  </si>
  <si>
    <t xml:space="preserve">I-01</t>
  </si>
  <si>
    <t xml:space="preserve">MED</t>
  </si>
  <si>
    <t xml:space="preserve">PO!U12:AF12; PO!R12; PO!U13:AF13; PO!U15:AF15; DeploySum!F40:Q40</t>
  </si>
  <si>
    <t xml:space="preserve">Resolved by assumption in v3. 2027 revenue is now budgeted: PO!U12:AF12 = DeploySum!F40:Q40 (recognized revenue Jan-Dec 27; row 39 in the 9/30/26 file), all to 4100 Subscription/Platform Fees (orchestrator assumption). PO!R12 set to 'Manual'. Still open: 4500 Implementation Fees and 4900 One-Time Revenue stay 0 in 2027, and the source does not say whether recognized revenue includes them.</t>
  </si>
  <si>
    <t xml:space="preserve">PO!AG12 = 15,563,645.54; DeploySum FY27 recognized revenue (9/30/26 file R39) = 15,563,645.54; difference (0.00). 2026: 4500 85,861, 4900 975,000. Cross-check Sep-Dec 26: DeploySum recognized revenue 2,527,326 vs PO 4100 forecast (PO!J12:M12) 2,486,929 (difference 40,396), so the 4100 mapping is consistent with how PO forecasts 2026.</t>
  </si>
  <si>
    <t xml:space="preserve">not determinable (2026 4500+4900 = 1,060,861)</t>
  </si>
  <si>
    <t xml:space="preserve">impact not determinable; owner confirmation needed</t>
  </si>
  <si>
    <t xml:space="preserve">Finance/PO owner to confirm the 4100 mapping and whether 2027 implementation or one-time revenue should be budgeted on 4500/4900.</t>
  </si>
  <si>
    <t xml:space="preserve">I-02</t>
  </si>
  <si>
    <t xml:space="preserve">HIGH</t>
  </si>
  <si>
    <t xml:space="preserve">COO P&amp;L!AG132; FO!AG132; FE!AG132</t>
  </si>
  <si>
    <t xml:space="preserve">Replacing FO and FE with the SD versions moves 2027 COO Net Income by (6,574,348). The SD build is much heavier than the COO book's FO/FE.</t>
  </si>
  <si>
    <t xml:space="preserve">COO P&amp;L!AG132 before (5,277,004), after (11,851,351). FO!AG132 COO book (1,341,298) -&gt; SD (7,347,500); FE!AG132 COO book (752,002) -&gt; SD (1,320,148). Drivers: FO!N52 876,692 -&gt; AG52 3,238,031; FO!N47 255,704 -&gt; AG47 1,519,865; FO!N29 57,182 -&gt; AG29 765,000.</t>
  </si>
  <si>
    <t xml:space="preserve">(6,574,348)</t>
  </si>
  <si>
    <t xml:space="preserve">impact (6,574,348)</t>
  </si>
  <si>
    <t xml:space="preserve">COO and SD owner to review the FO/FE 2027 drivers (headcount, spare parts, deployment freight) before sign-off.</t>
  </si>
  <si>
    <t xml:space="preserve">I-03</t>
  </si>
  <si>
    <t xml:space="preserve">LOW</t>
  </si>
  <si>
    <t xml:space="preserve">DeploySum!A3:R49 (Collation Notes lists the formulas)</t>
  </si>
  <si>
    <t xml:space="preserve">Resolved in v3. DeploySum rows 3-49 now hold the resolved values from 2027_Sales_Deploy_Prod_to_COO_as_of_093026.xlsx. The 410 cells that link to the external workbook '[1]' are stored as that file's cached values; their formula text is on Collation Notes. The links are still not live (the [1] workbook was not supplied), so the next plan update needs a new resolved export.</t>
  </si>
  <si>
    <t xml:space="preserve">DeploySum errors: v2 {'#REF!': 463, '#N/A': 35}, v3 none (498 resolved). Every mapped cell B:R equals the 9/30/26 cached value (mismatches: 0). New-file sha256 645e31303dcbbbd6...</t>
  </si>
  <si>
    <t xml:space="preserve">hygiene</t>
  </si>
  <si>
    <t xml:space="preserve">Refresh DeploySum from a new resolved export when the plan changes. Keep the row map (ARR row 39 kept).</t>
  </si>
  <si>
    <t xml:space="preserve">I-04</t>
  </si>
  <si>
    <t xml:space="preserve">DeploySum!B53:R66; DeploySum!A69:R76 (v3 check block)</t>
  </si>
  <si>
    <t xml:space="preserve">The deployment-split drivers that feed Fld Ops Payroll, Fld Maint Budget and Fld Eng Budget (rows 53-66) are still typed values. v3 adds a live check: they now tie to the resolved rows 16-21 in every month Sep-26..FY27. So the FO/FE drivers are consistent with the 9/30/26 plan; they are just not linked.</t>
  </si>
  <si>
    <t xml:space="preserve">16+17 vs 54+57+60: FY 67 vs 67, max monthly diff 0; 18 vs 64: FY 67 vs 67, max monthly diff 0; 19 vs 55+58+61: FY 250 vs 250, max monthly diff 0; 20 vs 56+59+62: FY 1,036 vs 1,036, max monthly diff 0; 21 vs 63: FY 0 vs 0, max monthly diff 0. DeploySum!A76 = 'Tie-out rows 16-21 vs 54-64: OK'.</t>
  </si>
  <si>
    <t xml:space="preserve">Optional: replace rows 54-64 with formulas (or document the source) so they update with the plan.</t>
  </si>
  <si>
    <t xml:space="preserve">I-05</t>
  </si>
  <si>
    <t xml:space="preserve">Prod Payroll!B24:S81 (hidden); Prod Payroll!S41; PO!AG33:AG36</t>
  </si>
  <si>
    <t xml:space="preserve">The production payroll model now partly computes. It reads DeploySum rows 4, 24, 25, 27 and 28, which v3 resolved. Errors fell from 796 to 430. The remaining 430 are #NAME?: 16 cells use _xlfn.xlookup (row 48), which LibreOffice 24.2.7.2 does not support, and the rest are in rows 49-81 below them (#NAME? propagates). Excel may evaluate them; not tested. It still feeds no budget value: FO/FE/CO/PE show 0 diffs and PO payroll rows are typed. Now that it computes, 'Total lift payroll' 2027 is far above PO's typed production labour.</t>
  </si>
  <si>
    <t xml:space="preserve">Prod Payroll!S41 'Total lift payroll' (F:Q = Jan-Dec 27) = 1,622,423; tray (row 62), supervisor (row 79) and total (row 81) are still #NAME? in LibreOffice. PO 'Total - 5100 - Labor Expense - Production' AG36 = 652,820 (typed rows 33-35). Cells read from Prod Payroll by other sheets: typed raise inputs only (M5, M6, M9), unchanged.</t>
  </si>
  <si>
    <t xml:space="preserve">not determinable (exposure: lift payroll alone 1,622,423 vs PO 5100 652,820)</t>
  </si>
  <si>
    <t xml:space="preserve">PO owner to say which production payroll is right: the typed PO 5110-5140, or this model (open it in Excel to evaluate the XLOOKUP rows). See also I-17.</t>
  </si>
  <si>
    <t xml:space="preserve">I-06</t>
  </si>
  <si>
    <t xml:space="preserve">Fld Maint Budget!B30 (comment); Fld Ops Payroll!B11; FO!AG44; FO!AG52</t>
  </si>
  <si>
    <t xml:space="preserve">MeLi contractor double count: quantified at $0 in the current cells. The CONFIRM comment on Fld Maint Budget!B30 says Fld Ops Payroll includes MeLi in '21 all-in techs', but Fld Ops Payroll!B11 = 14 ('Current site techs on payroll (Sep-26) - Domestic Only') and Fld Maint Budget!B29 = B30 + Fld Ops Payroll!B11 = 21. So MeLi techs are costed in 5310 only. The comment describes an earlier state and is stale (Fld Maint Budget!A143 records the correction).</t>
  </si>
  <si>
    <t xml:space="preserve">FO 5310 (FO!AG44 = 575,268) = MeLi techs in role 346,920 + Merida contractors 123,900 + MeLi supervisor 104,448 (Fld Maint Budget rows 70-72 x B10/B11; row 84 = 575,268). FO 5510 current techs: Fld Ops Payroll!F20:Q20 = 14 each month (formula =$B$11); current-tech payroll 2027 1,094,774.</t>
  </si>
  <si>
    <t xml:space="preserve">impact 0</t>
  </si>
  <si>
    <t xml:space="preserve">SD owner to confirm and delete the stale CONFIRM comment on Fld Maint Budget!B30.</t>
  </si>
  <si>
    <t xml:space="preserve">I-07</t>
  </si>
  <si>
    <t xml:space="preserve">PO!U19:AF22; 'Depreciation Schedule'!A1:S126; COO P&amp;L!AG19:AG22</t>
  </si>
  <si>
    <t xml:space="preserve">Resolved by assumption in v3. 2027 depreciation is now budgeted from the new 'Depreciation Schedule' tab: straight-line, SlipLift 84 months, SlipTray 120 months, no salvage, full month from the go-live month. Existing fleet = PO Dec-26 run rate, carried flat. New units = DeploySum 2027 go-lives (rows 19/20). PO!R19:R22 set to 'Manual'. The open parts are logged separately: I-31 (Q4-26 go-lives), I-32 (existing-fleet run rates, SlipBot) and I-33 (peripherals).</t>
  </si>
  <si>
    <t xml:space="preserve">2027 depreciation 3,318,808 (2026 1,788,097): existing fleet 1,911,249, new 2027 go-lives 1,407,560. By GL: 5010 SlipBot 1,353,574; 5011 SlipLift 1,248,196; 5012 SlipCarrier (SlipTray) 418,898; 5020 Robot Peripherals 298,140. Python recompute from raw inputs vs workbook, all 48 GL-months: max diff 3.78e-10.</t>
  </si>
  <si>
    <t xml:space="preserve">not determinable (component decisions in I-31..I-33)</t>
  </si>
  <si>
    <t xml:space="preserve">PO owner/Finance to confirm the run-rate approach against the fixed-asset register, and resolve I-31..I-33.</t>
  </si>
  <si>
    <t xml:space="preserve">I-08</t>
  </si>
  <si>
    <t xml:space="preserve">PO!U28; PO!Y28; PO!AD28; PO!U38; PO!U42</t>
  </si>
  <si>
    <t xml:space="preserve">Typed plugs are added onto the driver formula in 2027 month cells (+15,000, +5,000). They are not visible in the method columns R:T.</t>
  </si>
  <si>
    <t xml:space="preserve">PO!U28 +5,000; PO!Y28 +5,000; PO!AD28 +5,000; PO!U38 +15,000; PO!U42 +15,000. Total plugs 45,000.</t>
  </si>
  <si>
    <t xml:space="preserve">45,000</t>
  </si>
  <si>
    <t xml:space="preserve">impact 45,000</t>
  </si>
  <si>
    <t xml:space="preserve">PO owner to move these amounts into a documented input (column S or a manual row), or remove them.</t>
  </si>
  <si>
    <t xml:space="preserve">I-09</t>
  </si>
  <si>
    <t xml:space="preserve">PE!W74:AF74; PE!W76</t>
  </si>
  <si>
    <t xml:space="preserve">Typed numbers overwrite the driver formula in some 2027 months (manual overrides inside a formula row).</t>
  </si>
  <si>
    <t xml:space="preserve">PE!W74=1,500, PE!X74=1,500, PE!Y74=2,000, PE!Z74=2,000, PE!AA74=2,500, PE!AB74=2,500, PE!AC74=3,000, PE!AD74=3,000, PE!AE74=3,500, PE!AF74=4,000, PE!W76=300. Total typed 25,800.</t>
  </si>
  <si>
    <t xml:space="preserve">25,800</t>
  </si>
  <si>
    <t xml:space="preserve">impact 25,800</t>
  </si>
  <si>
    <t xml:space="preserve">PE owner to confirm the overrides, or set the row method to Manual.</t>
  </si>
  <si>
    <t xml:space="preserve">I-10</t>
  </si>
  <si>
    <t xml:space="preserve">FO!AG58; FO!AG67; FO!AG91; FE!AG91; FO!AG116</t>
  </si>
  <si>
    <t xml:space="preserve">FO/FE lines with material 2026 spend have 2027 = 0, and FO Total Expense (SG&amp;A) is 0 for 2027. Fld Maint Budget!A99 says: 'Not budgeted here: 6100 Travel and 7550 Tools ($0 by design – field travel books to 5050/5360, field tools to 5330); new-hire onboarding (covered by the $2K new-hire cost in Fld Ops Payroll B9). Out of scope: 5920, 7200, 8600.'</t>
  </si>
  <si>
    <t xml:space="preserve">FO!AG58 5920 - Software - COGS: 2026 119,260 -&gt; 2027 0; FO!AG67 6610 - Salaries and Wages - SG&amp;A: 2026 50,575 -&gt; 2027 0; FO!AG91 7200 - Contractors: 2026 59,734 -&gt; 2027 0; FE!AG91 7200 - Contractors: 2026 154,857 -&gt; 2027 0; FO!N116 217,242 -&gt; AG116 0. 2026 total of these lines 384,425.</t>
  </si>
  <si>
    <t xml:space="preserve">not determinable (2026 base 384,425)</t>
  </si>
  <si>
    <t xml:space="preserve">SD owner to confirm whether these costs stop in 2027 or are budgeted elsewhere.</t>
  </si>
  <si>
    <t xml:space="preserve">I-11</t>
  </si>
  <si>
    <t xml:space="preserve">COO P&amp;L!AG12; COO P&amp;L!AG52; COO P&amp;L!AG19; COO P&amp;L!AG47 (+ variance table)</t>
  </si>
  <si>
    <t xml:space="preserve">98 rows have a 2027 budget that differs from 2026 by more than 50% and more than $50k (v3 values; list below).</t>
  </si>
  <si>
    <t xml:space="preserve">v3 values: 98 rows (v2: 98). Largest COO P&amp;L GL moves: COO P&amp;L!N12 6,363,078 -&gt; AG12 15,563,646; COO P&amp;L!N52 887,966 -&gt; AG52 3,238,031; COO P&amp;L!N47 319,694 -&gt; AG47 1,554,365; COO P&amp;L!N20 100,360 -&gt; AG20 1,248,196.</t>
  </si>
  <si>
    <t xml:space="preserve">not determinable</t>
  </si>
  <si>
    <t xml:space="preserve">Each dept owner to comment on their rows in the variance table.</t>
  </si>
  <si>
    <t xml:space="preserve">I-12</t>
  </si>
  <si>
    <t xml:space="preserve">Fld Maint Budget!B8; Fld Maint Budget!B78:M78; FO!AG46</t>
  </si>
  <si>
    <t xml:space="preserve">Site setup kit cost is flagged as a placeholder (Fld Maint Budget!D8: 'PLACEHOLDER – update when the kit list is priced (Spare Parts, Tool Kits, 5S for'). It feeds FO 5330.</t>
  </si>
  <si>
    <t xml:space="preserve">Fld Maint Budget!B8 = 4,500 $/new site; 'Site setup kits' 2027 (B78:M78) = 274,500. FO!N46 23,121 -&gt; AG46 288,069.</t>
  </si>
  <si>
    <t xml:space="preserve">not determinable (exposure 274,500)</t>
  </si>
  <si>
    <t xml:space="preserve">SD owner to price the kit list and replace B8.</t>
  </si>
  <si>
    <t xml:space="preserve">I-13</t>
  </si>
  <si>
    <t xml:space="preserve">Fld Ops Payroll!M11; Fld Ops Payroll!B12; Fld Ops Payroll!M14</t>
  </si>
  <si>
    <t xml:space="preserve">Two Fld Ops Payroll drivers are marked 'Placeholder' in the author's notes: site techs per floater (M11) and the share of expansion go-lives needing a tech (B12). M11 currently has no effect because the floater switch M14 = 'No' (floater payroll 2027 = 0). B12 drives expansion-tech payroll.</t>
  </si>
  <si>
    <t xml:space="preserve">M11 = 40, B12 = 0.6, M14 = 'No'. Expansion tech payroll 2027 (Fld Ops Payroll!F47:Q47) = 337,514.</t>
  </si>
  <si>
    <t xml:space="preserve">not determinable (exposure 337,514)</t>
  </si>
  <si>
    <t xml:space="preserve">SD owner to confirm or replace B12; M11 matters only if M14 is set to Yes.</t>
  </si>
  <si>
    <t xml:space="preserve">I-14</t>
  </si>
  <si>
    <t xml:space="preserve">Prod Payroll!M7; Prod Payroll!B9; Prod Payroll!A33; Fld Ops Payroll!B9; Old Draft!B142 (SD, not carried)</t>
  </si>
  <si>
    <t xml:space="preserve">More placeholder inputs: Prod Payroll new-hire cost, current headcount and absence factors (no budget effect while Prod Payroll is broken), and the Fld Ops Payroll new-hire cost per tech, which hidden Old Draft!B142 says overlaps an onboarding line.</t>
  </si>
  <si>
    <t xml:space="preserve">Fld Ops Payroll!B9 = 2,000; new-hire cost in FO 2027 (Fld Ops Payroll rows 34, 46, 59, 72, F:Q) = 138,000. Old Draft!B142: '7. Onboarding: 10 new hires Jan – Sep. The $2,000 Fld Ops Payroll placeholder (B9) overlaps this line; replace it with the actual cost here '.</t>
  </si>
  <si>
    <t xml:space="preserve">not determinable (exposure 138,000)</t>
  </si>
  <si>
    <t xml:space="preserve">SD owner to confirm B9 (and that onboarding is not also budgeted elsewhere).</t>
  </si>
  <si>
    <t xml:space="preserve">I-15</t>
  </si>
  <si>
    <t xml:space="preserve">Fld Maint Budget!B12 (comment); Fld Maint Budget!B11; Fld Ops Payroll!H11; Fld Ops Payroll!E12</t>
  </si>
  <si>
    <t xml:space="preserve">The CONFIRM comment on Fld Maint Budget!B12 says Fld Ops Payroll shows 0 current supervisors; it now shows H11 = 1 ('Current supervisors counted toward ratio (Sep-26) – Isaiah'), and E12 says 'Ratio = domestic techs only. MeLi contract supervisor budgeted in Fld Maint Budget B11.'. The MeLi contract supervisor (5310) and the domestic manager (5510) are different people, so there is no double count; the comment is stale.</t>
  </si>
  <si>
    <t xml:space="preserve">MeLi supervisor in 5310 2027 = 104,448 (Fld Maint Budget!B11 = 8,704/month x B12 = 1). Isaiah (Fld Ops Payroll row 77) 2027 = 120,900; incremental supervisors (row 73) 2027 = 193,632.</t>
  </si>
  <si>
    <t xml:space="preserve">SD owner to confirm and delete the stale comment.</t>
  </si>
  <si>
    <t xml:space="preserve">I-16</t>
  </si>
  <si>
    <t xml:space="preserve">Fld Maint T&amp;E Data!M5:M388 (SD, hidden, not carried)</t>
  </si>
  <si>
    <t xml:space="preserve">101 T&amp;E transactions are flagged 'Reclass needed' = Yes, totalling $27,804.02; booked GL differs from budget GL. 2 are tagged 'AI suggested' and 17 have tag basis 'Assumed'. If FO 2026 actuals were pulled on booked GL, these sit on the wrong 2026 lines; totals are unaffected, and no formula in the output reads this sheet.</t>
  </si>
  <si>
    <t xml:space="preserve">Top booked-&gt;budget GL pairs: 5050-&gt;5360 x34, 6100-&gt;5360 x16, 5360-&gt;5050 x14, 7550-&gt;5330 x12, 6100-&gt;5050 x8.</t>
  </si>
  <si>
    <t xml:space="preserve">27,804</t>
  </si>
  <si>
    <t xml:space="preserve">impact 27,804</t>
  </si>
  <si>
    <t xml:space="preserve">Finance to post the reclasses (or confirm none are needed).</t>
  </si>
  <si>
    <t xml:space="preserve">I-17</t>
  </si>
  <si>
    <t xml:space="preserve">Logistics&amp;WH Payroll!S51 (SD, not carried); PO!AG33:AG36</t>
  </si>
  <si>
    <t xml:space="preserve">The SD Logistics &amp; Warehouse payroll model ('Warehouse and logistics team payroll that rolls up to Production Operations, sized from th...') totals 547,441 for 2027 but is referenced by 0 formulas in either book. PO 2027 production labour (rows 33-35) is typed with no link, so the workbook cannot show whether warehouse payroll is inside it. If it is not, PO 2027 is understated by up to 547,441.</t>
  </si>
  <si>
    <t xml:space="preserve">Logistics&amp;WH Payroll 2027 (F51:Q51) = 547,441: Base salaries 440,293; Payroll taxes 29,940; Benefits 72,208; New-hire cost 5,000; Dec-27 headcount 9. PO 2027: 5110 - Salaries and Wages - Production 525,310; 5130 - Payroll Taxes - Production 19,105; 5140 - Benefits - Production 108,404; Total - 5100 - Labor Expense - Production 652,820. Logistics&amp;WH 2027 = 84% of PO 5100 total and 104% of PO 5110 salaries. PO 5350 Warehouse AG48 = 0; FO 5350 AG48 = 36,000 (Fld Maint Budget warehouse rent line).</t>
  </si>
  <si>
    <t xml:space="preserve">up to 547,441</t>
  </si>
  <si>
    <t xml:space="preserve">impact 547,441</t>
  </si>
  <si>
    <t xml:space="preserve">PO owner to confirm whether PO 5110-5140 include the warehouse team. If not, link PO to this model (it would then need to be carried into the workbook).</t>
  </si>
  <si>
    <t xml:space="preserve">I-18</t>
  </si>
  <si>
    <t xml:space="preserve">Fld Ops Payroll!B10; Fld Ops Payroll!B15; Fld Ops Payroll!B16</t>
  </si>
  <si>
    <t xml:space="preserve">The hiring horizon ends at Dec-27 (DeploySum row 54). Hires for Jan-28 go-lives use an Oct-Dec 27 average default rather than a forecast (documented by the author).</t>
  </si>
  <si>
    <t xml:space="preserve">B10 = 1; B15 = =ROUND(AVERAGE(DeploySum!O54:Q54),0) = 7; B16 = =ROUND(AVERAGE(DeploySum!O57:Q57),0) = 2; cell notes on B10/B15/B16.</t>
  </si>
  <si>
    <t xml:space="preserve">Overwrite B15/B16 if a 2028 go-live forecast exists.</t>
  </si>
  <si>
    <t xml:space="preserve">I-19</t>
  </si>
  <si>
    <t xml:space="preserve">FE!U30:AF75 (rows 30-31, 67-69, 74-75); Fld Eng Budget rows 28-33, 85-91</t>
  </si>
  <si>
    <t xml:space="preserve">FE and Fld Eng Budget link in both directions: Fld Eng Budget reads FE 2026 columns, and FE 2027 rows read Fld Eng Budget. LibreOffice recalculated with no errors (no cell-level circularity), but the structure is easy to break.</t>
  </si>
  <si>
    <t xml:space="preserve">Fld Eng Budget has 68 references to FE; FE has 84 references to Fld Eng Budget.</t>
  </si>
  <si>
    <t xml:space="preserve">Check Fld Eng Budget before editing the FE 2026 columns it reads.</t>
  </si>
  <si>
    <t xml:space="preserve">I-20</t>
  </si>
  <si>
    <t xml:space="preserve">SD sheets Prod Payroll, Old Draft, Fld Maint T&amp;E Data (hidden); DeploySum!A41:A42 (hidden rows 41-42)</t>
  </si>
  <si>
    <t xml:space="preserve">SD has 3 hidden sheets; Prod Payroll is carried and kept hidden, the others are not carried (FO/FE do not depend on them). DeploySum row visibility for rows 3-49 now follows the 9/30/26 file.</t>
  </si>
  <si>
    <t xml:space="preserve">Hidden in output: ['Prod Payroll']. DeploySum hidden rows v2 [30, 32, 33, 34, 35, 36, 40, 41, 42] -&gt; v3 [41, 42] (rows 30, 32-36 and recognized revenue row 40 are now visible, as in the 9/30/26 file).</t>
  </si>
  <si>
    <t xml:space="preserve">None, unless reviewers want Old Draft / T&amp;E Data in the pack.</t>
  </si>
  <si>
    <t xml:space="preserve">I-21</t>
  </si>
  <si>
    <t xml:space="preserve">Fld Maint T&amp;E Data!Q26 (SD)</t>
  </si>
  <si>
    <t xml:space="preserve">Old Draft dependence is contained: 1 cell(s) outside Old Draft read it, none in the FO/FE chain, so the output has 0 references to it.</t>
  </si>
  <si>
    <t xml:space="preserve">SD Fld Maint T&amp;E Data: 1 cell(s) e.g. Q26: ='Old Draft'!B28*'Old Draft'!B23. SD dependency map: Old Draft -&gt; {'Fld Maint T&amp;E Data': 458, 'Fld Ops Payroll': 131, 'DeploySum': 112}.</t>
  </si>
  <si>
    <t xml:space="preserve">None for the budget. Consider deleting Old Draft once the reference is re-pointed.</t>
  </si>
  <si>
    <t xml:space="preserve">I-22</t>
  </si>
  <si>
    <t xml:space="preserve">COO P&amp;L!A23:A24, B27, B37 (same rows on FO, PO, CO, FE, PE)</t>
  </si>
  <si>
    <t xml:space="preserve">Rows 23 and 24 carry the same label ('5025 - Freight and Delivery - Production (Summary)'). Row 23 is an empty header; row 24 holds postings inside row 27 (=SUM(B24:B26)). Row 37 (=B19+B22+B27+B28+B29+B30+B31+B36+B20+B21) covers every direct child of its section, so nothing is skipped today, but anything typed on row 23 would be left out.</t>
  </si>
  <si>
    <t xml:space="preserve">Subtotal scan on 6 sheets: 0 skipped lines with values. Non-empty cells on row 23 by tab: {COO P&amp;L: 0, FO: 0, PO: 0, CO: 0, FE: 0, PE: 0}. COO P&amp;L dept-sum formulas omitting a dept: 0.</t>
  </si>
  <si>
    <t xml:space="preserve">Optionally relabel row 23 as a header, or lock it.</t>
  </si>
  <si>
    <t xml:space="preserve">I-23</t>
  </si>
  <si>
    <t xml:space="preserve">COO P&amp;L!B65:M65; COO P&amp;L!C141</t>
  </si>
  <si>
    <t xml:space="preserve">COO P&amp;L row 65 (labelled 'Expense') holds an unlabelled gross-margin % formula (=IFERROR(B64/B16,"")). With 2027 revenue now budgeted, it shows a 2027 margin (AG65 = 21.9%). Row 141 shows an extreme ratio for Feb-26 caused by negative 2026 payroll postings.</t>
  </si>
  <si>
    <t xml:space="preserve">COO P&amp;L!C141 = -14.33 (ratio). PO!N67 (308,059) -&gt; AG67 0; PE!N35 (56,264) -&gt; AG35 0.</t>
  </si>
  <si>
    <t xml:space="preserve">Label row 65. Finance to explain the negative 2026 payroll postings in PO 6610 and PE 5140.</t>
  </si>
  <si>
    <t xml:space="preserve">I-24</t>
  </si>
  <si>
    <t xml:space="preserve">Workbook defined names (xl/workbook.xml &lt;definedNames&gt;, workbook scope, no cell); list in 02-build_pruned_names_v2.csv</t>
  </si>
  <si>
    <t xml:space="preserve">The COO book carries 14,310 legacy defined names from an old template. None is used by any formula, data validation, conditional format, chart or other name. v2 pruned the 5,345 unused names whose target is #REF! (5,330) or external-looking (15); 8,965 remain (string/array constants and plain values).</t>
  </si>
  <si>
    <t xml:space="preserve">Before 14,310, after 8,965. Usage scan covered cell formulas, data validations, conditional formats, charts, print areas/titles and other names (counts in the notes file). Names referenced: 0 from parts, 0 from other names. Pruned names still referenced: 0.</t>
  </si>
  <si>
    <t xml:space="preserve">Optional: purge the remaining constant-valued legacy names in Name Manager.</t>
  </si>
  <si>
    <t xml:space="preserve">I-25</t>
  </si>
  <si>
    <t xml:space="preserve">Prod Payroll!B24:S81; DeploySum!A1 (notes)</t>
  </si>
  <si>
    <t xml:space="preserve">Side effects of moving from Google Sheets to xlsx: threaded comments become plain notes (text kept); Google's '#ERROR!' has no Excel equivalent; LibreOffice saves error constants as '=#REF!' formulas. v3: DeploySum no longer has errors; Prod Payroll's remaining errors are now #NAME? (LibreOffice has no XLOOKUP), not #REF!.</t>
  </si>
  <si>
    <t xml:space="preserve">Errors v2 -&gt; v3: DeploySum {'#REF!': 463, '#N/A': 35} -&gt; none; Prod Payroll {'#REF!': 796} -&gt; {'#NAME?': 430}. New errors: 0.</t>
  </si>
  <si>
    <t xml:space="preserve">None; disclosed for reviewers.</t>
  </si>
  <si>
    <t xml:space="preserve">I-26</t>
  </si>
  <si>
    <t xml:space="preserve">Fld Eng Budget!B21; Fld Eng Budget!B67:M67; FE!AG67</t>
  </si>
  <si>
    <t xml:space="preserve">'Head of Service Delivery – Rasheen Henry' has no salary entered, so FE 6610 carries $0 for this current employee. The source note says: 'Source: user-provided. Current employee, in seat now. Enter annual salary in B21'.</t>
  </si>
  <si>
    <t xml:space="preserve">Fld Eng Budget!B21 = None; row 67 2027 = 0; FE!AG67 = 713,347 excludes it.</t>
  </si>
  <si>
    <t xml:space="preserve">not determinable (salary not in workbook)</t>
  </si>
  <si>
    <t xml:space="preserve">SD owner to enter the salary in Fld Eng Budget!B21 (or confirm it is budgeted in another dept).</t>
  </si>
  <si>
    <t xml:space="preserve">I-27</t>
  </si>
  <si>
    <t xml:space="preserve">Logistics&amp;WH Payroll!B56 (SD, not carried); FO!U52:AF52</t>
  </si>
  <si>
    <t xml:space="preserve">Logistics&amp;WH Payroll excludes MH-05 ('Less: MH-05 Material Handler, logistics support (counted on the FO tab)'), but FO 5510 2027 (FO!U52) sums only Fld Ops Payroll rows 21, 31, 34, 43, 46, 56, 59, 69, 72, 76, 77, none of which is an MH-05 seat; 'MH-05' appears nowhere outside Logistics&amp;WH Payroll. So this seat is in neither model.</t>
  </si>
  <si>
    <t xml:space="preserve">Logistics&amp;WH Payroll!B56 = -38,133 (deduction of MH-05's 2027 base pay, before burden). FO!U52 = ='Fld Ops Payroll'!F21+'Fld Ops Payroll'!F31+'Fld Ops Payroll'!F43+'Fld Ops Payroll'!F56+'Fld Ops Payroll'!F69+'Fld Ops Payroll'!F76+'Fld Ops Payroll'!F77+'Fld Ops Payroll'!F34+'Fld Ops Payroll'!F46+'Fld Ops Payroll'!F59+'Fld Ops Payroll'!F72. MH-05 mentions elsewhere: none.</t>
  </si>
  <si>
    <t xml:space="preserve">38,133 base pay missing (before burden)</t>
  </si>
  <si>
    <t xml:space="preserve">impact 38,133</t>
  </si>
  <si>
    <t xml:space="preserve">SD/PO owners to decide where MH-05 is budgeted and add it.</t>
  </si>
  <si>
    <t xml:space="preserve">I-28</t>
  </si>
  <si>
    <t xml:space="preserve">CO!AG67:AG69; PE!AG67:AG69; FE!AG67:AG69; Fld Eng Budget!A13:A21</t>
  </si>
  <si>
    <t xml:space="preserve">SG&amp;A payroll (6610/6630/6640) is non-zero on CO, FE and PE. FE is built from a named roster on Fld Eng Budget; CO and PE are typed monthly amounts with no roster, so the workbook cannot confirm that no person on the FE roster is also inside CO or PE.</t>
  </si>
  <si>
    <t xml:space="preserve">row 67: CO 528,452, FE 713,347, PE 1,078,020; row 68: CO 27,593, FE 48,508, PE 38,501; row 69: CO 62,916, FE 116,989, PE 95,116. 2027 months typed (no formula): CO yes, PE yes, FE no (formulas). FE roster: Fld Eng Budget!A13:A21.</t>
  </si>
  <si>
    <t xml:space="preserve">not determinable (no CO/PE roster)</t>
  </si>
  <si>
    <t xml:space="preserve">CO and PE owners to confirm their SG&amp;A payroll rosters exclude the people on Fld Eng Budget!A13:A21.</t>
  </si>
  <si>
    <t xml:space="preserve">I-29</t>
  </si>
  <si>
    <t xml:space="preserve">Prod Payroll!M9; Fld Ops Payroll!M7; Fld Eng Budget!B59 (row formula); PO!AD33; PO!AD34; PO!AD35; CO!AD67; CO!AD68; CO!AD69; PE!AD67; PE!AD68; PE!AD69</t>
  </si>
  <si>
    <t xml:space="preserve">Raise timing is consistent (same % and month everywhere), but the eligibility rule is not: Fld Ops Payroll and Logistics&amp;WH Payroll exclude staff hired in the months before the raise (Prod Payroll!M9), while Fld Eng Budget and the typed PO/CO/PE payroll rows apply the raise to the whole row.</t>
  </si>
  <si>
    <t xml:space="preserve">Prod Payroll!M5 = 0.03, M6 = 2027-10-01, M9 = 6. Steps found in typed rows: PO!AD33 3.00%; PO!AD34 3.00%; PO!AD35 3.00%; CO!AD67 3.00%; CO!AD68 3.00%; CO!AD69 3.00%; PE!AD67 3.00%; PE!AD68 3.00%; PE!AD69 3.00%; FE!AD67 3.00%; FE!AD68 3.00%; FE!AD69 3.00%.</t>
  </si>
  <si>
    <t xml:space="preserve">Payroll owners to confirm whether the eligibility rule should apply to all departments.</t>
  </si>
  <si>
    <t xml:space="preserve">I-30</t>
  </si>
  <si>
    <t xml:space="preserve">DeploySum!A2, A7, A9, A11, A13, A29, A30, A35, A38, A39, A40, A41, A42</t>
  </si>
  <si>
    <t xml:space="preserve">The source labels say '$000s', but the values are whole dollars. v3 relabelled the 13 cells to '$' (A2 text: 'Dollars in $ (relabelled in v3; the source said $000s)'). Each cell has a comment quoting the original label, so the change is visible, not silent.</t>
  </si>
  <si>
    <t xml:space="preserve">E.g. DeploySum!R13 total bookings 29,452,766 and R29 Production CapEx 32,410,900 are dollars: CapEx = units x unit cost in dollars (section 'Unit-cost reconciliation'), and recognized revenue is the same order as PO's 2026 revenue in dollars.</t>
  </si>
  <si>
    <t xml:space="preserve">Plan owner to fix the labels in the source (Revenue Roll-up / Deploy) so the next export is right.</t>
  </si>
  <si>
    <t xml:space="preserve">I-31</t>
  </si>
  <si>
    <t xml:space="preserve">'Depreciation Schedule'!A88:D97; PO!J20:M22; DeploySum!C19:E20</t>
  </si>
  <si>
    <t xml:space="preserve">Oct-Dec 26 go-lives are carried in the PO Dec-26 run rate (not added explicitly, so there is no double count). The PO forecast steps up for Q4-26 go-lives, but by fewer units than the 9/30/26 DeploySum: it covers 15 lifts and 53 trays, against DeploySum's 18 lifts and 67 trays. The 5020 step-ups cannot be reproduced from DeploySum's peripheral cost.</t>
  </si>
  <si>
    <t xml:space="preserve">PO 5011 monthly step-ups Oct/Nov/Dec: 6,964.29, 2,321.43, 2,321.43 = 9, 3, 3 lifts x 65,000/84. 5012: 1,933.33, 800.00, 800.00 = 29, 12, 12 trays x 8,000/120. 5020: 2,608.33, 1,025.00, 1,025.00 = 52.95, 20.81, 20.81 peripheral sets at 4,137.50/84 (not whole). DeploySum Oct/Nov/Dec lifts [9, 9, 0], trays [35, 32, 0]. Gap not budgeted: 3 lifts + 14 trays = 3,254.76/month, 39,057 for 2027 (plus up to 10,639 if Q4-26 lift peripherals are not in 5020).</t>
  </si>
  <si>
    <t xml:space="preserve">39,057 (up to 49,696 with peripherals)</t>
  </si>
  <si>
    <t xml:space="preserve">impact 39,057</t>
  </si>
  <si>
    <t xml:space="preserve">User/PO owner to choose: keep the PO run rate (current), or replace the Q4-26 step-ups with DeploySum's Oct-Dec 26 go-lives (Sep-26 run rate + explicit vintages). Do not do both.</t>
  </si>
  <si>
    <t xml:space="preserve">I-32</t>
  </si>
  <si>
    <t xml:space="preserve">'Depreciation Schedule'!B21:B24; PO!M19:M22; PO!U19:AF19</t>
  </si>
  <si>
    <t xml:space="preserve">Existing-fleet depreciation is carried flat at the PO Dec-26 run rate for all 12 months of 2027, as the handoff instructed. The workbook has no asset register, so it cannot show whether any of these assets reach the end of their life, or are retired, in 2027. The largest line is 5010 SlipBot: 112,797.85/month = 1,353,574 in 2027. Whether the SlipBot fleet is fully depreciated, retired or ongoing is not in the files. DeploySum note 4 says no SlipBots are built and existing bots are redeployed, which suggests the fleet is in use. 5020's run rate basis is also unknown (I-31).</t>
  </si>
  <si>
    <t xml:space="preserve">Dec-26 run rates (PO!M): 5010 112,797.85, 5011 20,444.90, 5012 6,502.64, 5020 19,525.33; 2027 existing total 1,911,249. 5010 2026 actuals Jan-Aug 141,122.35 -&gt; 127,510.00, forecast Sep-Dec flat 112,797.85; 2026 total 1,492,329.</t>
  </si>
  <si>
    <t xml:space="preserve">up to 1,353,574 (5010); 1,911,249 all existing lines</t>
  </si>
  <si>
    <t xml:space="preserve">impact 1,353,574</t>
  </si>
  <si>
    <t xml:space="preserve">USER DECISION: confirm SlipBot fleet status (fully depreciated / retired / ongoing) and the end-of-life month for any existing asset group. Change the section 2 input on the schedule if the run rate stops.</t>
  </si>
  <si>
    <t xml:space="preserve">I-33</t>
  </si>
  <si>
    <t xml:space="preserve">'Depreciation Schedule'!B7, B11, B16; PO!U22:AF22</t>
  </si>
  <si>
    <t xml:space="preserve">SlipLift peripherals (4,137.50 per lift, from DeploySum CapEx) are depreciated on 5020 Robot Peripherals over 84 months. Both the GL and the life are builder assumptions: the user gave lives for SlipLifts and SlipTrays only. 5020 was chosen because PO's 2026 forecast books 5011 at exactly $65,000/84 per lift, so PO keeps peripherals out of 5011.</t>
  </si>
  <si>
    <t xml:space="preserve">2027 new-peripheral depreciation 63,836 (Dec-27 12,313.99/month). Moving it to 5011 changes the GL split only, not the total. A different life changes the amount in proportion (e.g. 60 months: 89,370).</t>
  </si>
  <si>
    <t xml:space="preserve">63,836</t>
  </si>
  <si>
    <t xml:space="preserve">impact 63,836</t>
  </si>
  <si>
    <t xml:space="preserve">User to confirm the peripherals GL (5020 or 5011) and life; both are input cells.</t>
  </si>
  <si>
    <t xml:space="preserve">'$000s' relabel (DeploySum)</t>
  </si>
  <si>
    <t xml:space="preserve">Cell</t>
  </si>
  <si>
    <t xml:space="preserve">Source label</t>
  </si>
  <si>
    <t xml:space="preserve">v3 label</t>
  </si>
  <si>
    <t xml:space="preserve">A2</t>
  </si>
  <si>
    <t xml:space="preserve">Bookings, deployments and production by month (base case). Dollars in $000s. Sep–Dec 26 = remaining 2026 (existing + forecast contracts); FY2027 = Jan–Dec 27.</t>
  </si>
  <si>
    <t xml:space="preserve">Bookings, deployments and production by month (base case). Dollars in $ (relabelled in v3; the source said $000s). Sep–Dec 26 = remaining 2026 (existing + forecast contracts); FY2027 = Jan–Dec 27.</t>
  </si>
  <si>
    <t xml:space="preserve">A7</t>
  </si>
  <si>
    <t xml:space="preserve">New logos – bookings ($000s)</t>
  </si>
  <si>
    <t xml:space="preserve">New logos – bookings ($)</t>
  </si>
  <si>
    <t xml:space="preserve">A9</t>
  </si>
  <si>
    <t xml:space="preserve">Expansion – bookings ($000s)</t>
  </si>
  <si>
    <t xml:space="preserve">Expansion – bookings ($)</t>
  </si>
  <si>
    <t xml:space="preserve">A11</t>
  </si>
  <si>
    <t xml:space="preserve">Existing &amp; forecast contracts – bookings ($000s)</t>
  </si>
  <si>
    <t xml:space="preserve">Existing &amp; forecast contracts – bookings ($)</t>
  </si>
  <si>
    <t xml:space="preserve">A13</t>
  </si>
  <si>
    <t xml:space="preserve">Total bookings ($000s)</t>
  </si>
  <si>
    <t xml:space="preserve">Total bookings ($)</t>
  </si>
  <si>
    <t xml:space="preserve">A29</t>
  </si>
  <si>
    <t xml:space="preserve">Production CapEx ($000s)</t>
  </si>
  <si>
    <t xml:space="preserve">Production CapEx ($)</t>
  </si>
  <si>
    <t xml:space="preserve">A30</t>
  </si>
  <si>
    <t xml:space="preserve">Deployment freight – expensed ($000s)</t>
  </si>
  <si>
    <t xml:space="preserve">Deployment freight – expensed ($)</t>
  </si>
  <si>
    <t xml:space="preserve">A35</t>
  </si>
  <si>
    <t xml:space="preserve">CapEx for 2028 go-lives – estimate ($000s)</t>
  </si>
  <si>
    <t xml:space="preserve">CapEx for 2028 go-lives – estimate ($)</t>
  </si>
  <si>
    <t xml:space="preserve">A38</t>
  </si>
  <si>
    <t xml:space="preserve">CARR – end of period ($000s)</t>
  </si>
  <si>
    <t xml:space="preserve">CARR – end of period ($)</t>
  </si>
  <si>
    <t xml:space="preserve">A39</t>
  </si>
  <si>
    <t xml:space="preserve">ARR – end of period ($000s)</t>
  </si>
  <si>
    <t xml:space="preserve">ARR – end of period ($)</t>
  </si>
  <si>
    <t xml:space="preserve">A40</t>
  </si>
  <si>
    <t xml:space="preserve">Recognized revenue ($000s)</t>
  </si>
  <si>
    <t xml:space="preserve">Recognized revenue ($)</t>
  </si>
  <si>
    <t xml:space="preserve">A41</t>
  </si>
  <si>
    <t xml:space="preserve">Billings ($000s)</t>
  </si>
  <si>
    <t xml:space="preserve">Billings ($)</t>
  </si>
  <si>
    <t xml:space="preserve">A42</t>
  </si>
  <si>
    <t xml:space="preserve">Deferred revenue – end of period ($000s)</t>
  </si>
  <si>
    <t xml:space="preserve">Deferred revenue – end of period ($)</t>
  </si>
  <si>
    <t xml:space="preserve">DeploySum external-link formulas in the 9/30/26 file, stored as cached values</t>
  </si>
  <si>
    <t xml:space="preserve">v3 cell</t>
  </si>
  <si>
    <t xml:space="preserve">New-file cell</t>
  </si>
  <si>
    <t xml:space="preserve">Original formula (text)</t>
  </si>
  <si>
    <t xml:space="preserve">Stored value</t>
  </si>
  <si>
    <t xml:space="preserve">A3</t>
  </si>
  <si>
    <t xml:space="preserve">"Tie-out to Deploy Detail (bookings $, deployments, production): "&amp;IF(AND(SUMPRODUCT(ABS(B18:Q18-'[1]Deploy Detail'!K172:Z172))+ABS(R18-'[1]Deploy Detail'!AB172)&lt;0.01,SUMPRODUCT(ABS(B24:Q24+B25:Q25+B26:Q26-'[1]Deploy Detail'!K252:Z252))+ABS(SUM(R24:R26)-'[1]Deploy Detail'!AB252)&lt;0.01,SUMPRODUCT(ABS(B13:Q13-'[1]Deploy Detail'!K92:Z92))+ABS(R13-'[1]Deploy Detail'!AB92)&lt;0.5),"OK","CHECK")</t>
  </si>
  <si>
    <t xml:space="preserve">Tie-out to Deploy Detail (bookings $, deployments, production): OK</t>
  </si>
  <si>
    <t xml:space="preserve">B4</t>
  </si>
  <si>
    <t xml:space="preserve">'[1]Revenue Roll-up'!D17</t>
  </si>
  <si>
    <t xml:space="preserve">2026-09-30 00:00:00</t>
  </si>
  <si>
    <t xml:space="preserve">C4</t>
  </si>
  <si>
    <t xml:space="preserve">'[1]Revenue Roll-up'!E17</t>
  </si>
  <si>
    <t xml:space="preserve">2026-10-31 00:00:00</t>
  </si>
  <si>
    <t xml:space="preserve">D4</t>
  </si>
  <si>
    <t xml:space="preserve">'[1]Revenue Roll-up'!F17</t>
  </si>
  <si>
    <t xml:space="preserve">2026-11-30 00:00:00</t>
  </si>
  <si>
    <t xml:space="preserve">E4</t>
  </si>
  <si>
    <t xml:space="preserve">'[1]Revenue Roll-up'!G17</t>
  </si>
  <si>
    <t xml:space="preserve">2026-12-31 00:00:00</t>
  </si>
  <si>
    <t xml:space="preserve">F4</t>
  </si>
  <si>
    <t xml:space="preserve">'[1]Revenue Roll-up'!H17</t>
  </si>
  <si>
    <t xml:space="preserve">2027-01-31 00:00:00</t>
  </si>
  <si>
    <t xml:space="preserve">G4</t>
  </si>
  <si>
    <t xml:space="preserve">'[1]Revenue Roll-up'!I17</t>
  </si>
  <si>
    <t xml:space="preserve">2027-02-28 00:00:00</t>
  </si>
  <si>
    <t xml:space="preserve">H4</t>
  </si>
  <si>
    <t xml:space="preserve">'[1]Revenue Roll-up'!J17</t>
  </si>
  <si>
    <t xml:space="preserve">2027-03-31 00:00:00</t>
  </si>
  <si>
    <t xml:space="preserve">I4</t>
  </si>
  <si>
    <t xml:space="preserve">'[1]Revenue Roll-up'!K17</t>
  </si>
  <si>
    <t xml:space="preserve">2027-04-30 00:00:00</t>
  </si>
  <si>
    <t xml:space="preserve">J4</t>
  </si>
  <si>
    <t xml:space="preserve">'[1]Revenue Roll-up'!L17</t>
  </si>
  <si>
    <t xml:space="preserve">2027-05-31 00:00:00</t>
  </si>
  <si>
    <t xml:space="preserve">K4</t>
  </si>
  <si>
    <t xml:space="preserve">'[1]Revenue Roll-up'!M17</t>
  </si>
  <si>
    <t xml:space="preserve">2027-06-30 00:00:00</t>
  </si>
  <si>
    <t xml:space="preserve">L4</t>
  </si>
  <si>
    <t xml:space="preserve">'[1]Revenue Roll-up'!N17</t>
  </si>
  <si>
    <t xml:space="preserve">2027-07-31 00:00:00</t>
  </si>
  <si>
    <t xml:space="preserve">M4</t>
  </si>
  <si>
    <t xml:space="preserve">'[1]Revenue Roll-up'!O17</t>
  </si>
  <si>
    <t xml:space="preserve">2027-08-31 00:00:00</t>
  </si>
  <si>
    <t xml:space="preserve">N4</t>
  </si>
  <si>
    <t xml:space="preserve">'[1]Revenue Roll-up'!P17</t>
  </si>
  <si>
    <t xml:space="preserve">2027-09-30 00:00:00</t>
  </si>
  <si>
    <t xml:space="preserve">O4</t>
  </si>
  <si>
    <t xml:space="preserve">'[1]Revenue Roll-up'!Q17</t>
  </si>
  <si>
    <t xml:space="preserve">2027-10-31 00:00:00</t>
  </si>
  <si>
    <t xml:space="preserve">P4</t>
  </si>
  <si>
    <t xml:space="preserve">'[1]Revenue Roll-up'!R17</t>
  </si>
  <si>
    <t xml:space="preserve">2027-11-30 00:00:00</t>
  </si>
  <si>
    <t xml:space="preserve">Q4</t>
  </si>
  <si>
    <t xml:space="preserve">'[1]Revenue Roll-up'!S17</t>
  </si>
  <si>
    <t xml:space="preserve">2027-12-31 00:00:00</t>
  </si>
  <si>
    <t xml:space="preserve">B6</t>
  </si>
  <si>
    <t xml:space="preserve">'[1]Revenue Roll-up'!D51</t>
  </si>
  <si>
    <t xml:space="preserve">C6</t>
  </si>
  <si>
    <t xml:space="preserve">'[1]Revenue Roll-up'!E51</t>
  </si>
  <si>
    <t xml:space="preserve">D6</t>
  </si>
  <si>
    <t xml:space="preserve">'[1]Revenue Roll-up'!F51</t>
  </si>
  <si>
    <t xml:space="preserve">E6</t>
  </si>
  <si>
    <t xml:space="preserve">'[1]Revenue Roll-up'!G51</t>
  </si>
  <si>
    <t xml:space="preserve">F6</t>
  </si>
  <si>
    <t xml:space="preserve">'[1]Revenue Roll-up'!H51</t>
  </si>
  <si>
    <t xml:space="preserve">G6</t>
  </si>
  <si>
    <t xml:space="preserve">'[1]Revenue Roll-up'!I51</t>
  </si>
  <si>
    <t xml:space="preserve">H6</t>
  </si>
  <si>
    <t xml:space="preserve">'[1]Revenue Roll-up'!J51</t>
  </si>
  <si>
    <t xml:space="preserve">I6</t>
  </si>
  <si>
    <t xml:space="preserve">'[1]Revenue Roll-up'!K51</t>
  </si>
  <si>
    <t xml:space="preserve">J6</t>
  </si>
  <si>
    <t xml:space="preserve">'[1]Revenue Roll-up'!L51</t>
  </si>
  <si>
    <t xml:space="preserve">K6</t>
  </si>
  <si>
    <t xml:space="preserve">'[1]Revenue Roll-up'!M51</t>
  </si>
  <si>
    <t xml:space="preserve">L6</t>
  </si>
  <si>
    <t xml:space="preserve">'[1]Revenue Roll-up'!N51</t>
  </si>
  <si>
    <t xml:space="preserve">M6</t>
  </si>
  <si>
    <t xml:space="preserve">'[1]Revenue Roll-up'!O51</t>
  </si>
  <si>
    <t xml:space="preserve">N6</t>
  </si>
  <si>
    <t xml:space="preserve">'[1]Revenue Roll-up'!P51</t>
  </si>
  <si>
    <t xml:space="preserve">O6</t>
  </si>
  <si>
    <t xml:space="preserve">'[1]Revenue Roll-up'!Q51</t>
  </si>
  <si>
    <t xml:space="preserve">P6</t>
  </si>
  <si>
    <t xml:space="preserve">'[1]Revenue Roll-up'!R51</t>
  </si>
  <si>
    <t xml:space="preserve">Q6</t>
  </si>
  <si>
    <t xml:space="preserve">'[1]Revenue Roll-up'!S51</t>
  </si>
  <si>
    <t xml:space="preserve">R6</t>
  </si>
  <si>
    <t xml:space="preserve">'[1]Revenue Roll-up'!U51</t>
  </si>
  <si>
    <t xml:space="preserve">B7</t>
  </si>
  <si>
    <t xml:space="preserve">'[1]Revenue Roll-up'!D50</t>
  </si>
  <si>
    <t xml:space="preserve">C7</t>
  </si>
  <si>
    <t xml:space="preserve">'[1]Revenue Roll-up'!E50</t>
  </si>
  <si>
    <t xml:space="preserve">D7</t>
  </si>
  <si>
    <t xml:space="preserve">'[1]Revenue Roll-up'!F50</t>
  </si>
  <si>
    <t xml:space="preserve">E7</t>
  </si>
  <si>
    <t xml:space="preserve">'[1]Revenue Roll-up'!G50</t>
  </si>
  <si>
    <t xml:space="preserve">F7</t>
  </si>
  <si>
    <t xml:space="preserve">'[1]Revenue Roll-up'!H50</t>
  </si>
  <si>
    <t xml:space="preserve">G7</t>
  </si>
  <si>
    <t xml:space="preserve">'[1]Revenue Roll-up'!I50</t>
  </si>
  <si>
    <t xml:space="preserve">H7</t>
  </si>
  <si>
    <t xml:space="preserve">'[1]Revenue Roll-up'!J50</t>
  </si>
  <si>
    <t xml:space="preserve">I7</t>
  </si>
  <si>
    <t xml:space="preserve">'[1]Revenue Roll-up'!K50</t>
  </si>
  <si>
    <t xml:space="preserve">J7</t>
  </si>
  <si>
    <t xml:space="preserve">'[1]Revenue Roll-up'!L50</t>
  </si>
  <si>
    <t xml:space="preserve">K7</t>
  </si>
  <si>
    <t xml:space="preserve">'[1]Revenue Roll-up'!M50</t>
  </si>
  <si>
    <t xml:space="preserve">L7</t>
  </si>
  <si>
    <t xml:space="preserve">'[1]Revenue Roll-up'!N50</t>
  </si>
  <si>
    <t xml:space="preserve">M7</t>
  </si>
  <si>
    <t xml:space="preserve">'[1]Revenue Roll-up'!O50</t>
  </si>
  <si>
    <t xml:space="preserve">N7</t>
  </si>
  <si>
    <t xml:space="preserve">'[1]Revenue Roll-up'!P50</t>
  </si>
  <si>
    <t xml:space="preserve">O7</t>
  </si>
  <si>
    <t xml:space="preserve">'[1]Revenue Roll-up'!Q50</t>
  </si>
  <si>
    <t xml:space="preserve">P7</t>
  </si>
  <si>
    <t xml:space="preserve">'[1]Revenue Roll-up'!R50</t>
  </si>
  <si>
    <t xml:space="preserve">Q7</t>
  </si>
  <si>
    <t xml:space="preserve">'[1]Revenue Roll-up'!S50</t>
  </si>
  <si>
    <t xml:space="preserve">R7</t>
  </si>
  <si>
    <t xml:space="preserve">'[1]Revenue Roll-up'!U50</t>
  </si>
  <si>
    <t xml:space="preserve">B8</t>
  </si>
  <si>
    <t xml:space="preserve">'[1]Revenue Roll-up'!D65</t>
  </si>
  <si>
    <t xml:space="preserve">C8</t>
  </si>
  <si>
    <t xml:space="preserve">'[1]Revenue Roll-up'!E65</t>
  </si>
  <si>
    <t xml:space="preserve">D8</t>
  </si>
  <si>
    <t xml:space="preserve">'[1]Revenue Roll-up'!F65</t>
  </si>
  <si>
    <t xml:space="preserve">E8</t>
  </si>
  <si>
    <t xml:space="preserve">'[1]Revenue Roll-up'!G65</t>
  </si>
  <si>
    <t xml:space="preserve">F8</t>
  </si>
  <si>
    <t xml:space="preserve">'[1]Revenue Roll-up'!H65</t>
  </si>
  <si>
    <t xml:space="preserve">G8</t>
  </si>
  <si>
    <t xml:space="preserve">'[1]Revenue Roll-up'!I65</t>
  </si>
  <si>
    <t xml:space="preserve">H8</t>
  </si>
  <si>
    <t xml:space="preserve">'[1]Revenue Roll-up'!J65</t>
  </si>
  <si>
    <t xml:space="preserve">I8</t>
  </si>
  <si>
    <t xml:space="preserve">'[1]Revenue Roll-up'!K65</t>
  </si>
  <si>
    <t xml:space="preserve">J8</t>
  </si>
  <si>
    <t xml:space="preserve">'[1]Revenue Roll-up'!L65</t>
  </si>
  <si>
    <t xml:space="preserve">K8</t>
  </si>
  <si>
    <t xml:space="preserve">'[1]Revenue Roll-up'!M65</t>
  </si>
  <si>
    <t xml:space="preserve">L8</t>
  </si>
  <si>
    <t xml:space="preserve">'[1]Revenue Roll-up'!N65</t>
  </si>
  <si>
    <t xml:space="preserve">M8</t>
  </si>
  <si>
    <t xml:space="preserve">'[1]Revenue Roll-up'!O65</t>
  </si>
  <si>
    <t xml:space="preserve">N8</t>
  </si>
  <si>
    <t xml:space="preserve">'[1]Revenue Roll-up'!P65</t>
  </si>
  <si>
    <t xml:space="preserve">O8</t>
  </si>
  <si>
    <t xml:space="preserve">'[1]Revenue Roll-up'!Q65</t>
  </si>
  <si>
    <t xml:space="preserve">P8</t>
  </si>
  <si>
    <t xml:space="preserve">'[1]Revenue Roll-up'!R65</t>
  </si>
  <si>
    <t xml:space="preserve">Q8</t>
  </si>
  <si>
    <t xml:space="preserve">'[1]Revenue Roll-up'!S65</t>
  </si>
  <si>
    <t xml:space="preserve">R8</t>
  </si>
  <si>
    <t xml:space="preserve">'[1]Revenue Roll-up'!U65</t>
  </si>
  <si>
    <t xml:space="preserve">B9</t>
  </si>
  <si>
    <t xml:space="preserve">'[1]Revenue Roll-up'!D64</t>
  </si>
  <si>
    <t xml:space="preserve">C9</t>
  </si>
  <si>
    <t xml:space="preserve">'[1]Revenue Roll-up'!E64</t>
  </si>
  <si>
    <t xml:space="preserve">D9</t>
  </si>
  <si>
    <t xml:space="preserve">'[1]Revenue Roll-up'!F64</t>
  </si>
  <si>
    <t xml:space="preserve">E9</t>
  </si>
  <si>
    <t xml:space="preserve">'[1]Revenue Roll-up'!G64</t>
  </si>
  <si>
    <t xml:space="preserve">F9</t>
  </si>
  <si>
    <t xml:space="preserve">'[1]Revenue Roll-up'!H64</t>
  </si>
  <si>
    <t xml:space="preserve">G9</t>
  </si>
  <si>
    <t xml:space="preserve">'[1]Revenue Roll-up'!I64</t>
  </si>
  <si>
    <t xml:space="preserve">H9</t>
  </si>
  <si>
    <t xml:space="preserve">'[1]Revenue Roll-up'!J64</t>
  </si>
  <si>
    <t xml:space="preserve">I9</t>
  </si>
  <si>
    <t xml:space="preserve">'[1]Revenue Roll-up'!K64</t>
  </si>
  <si>
    <t xml:space="preserve">J9</t>
  </si>
  <si>
    <t xml:space="preserve">'[1]Revenue Roll-up'!L64</t>
  </si>
  <si>
    <t xml:space="preserve">K9</t>
  </si>
  <si>
    <t xml:space="preserve">'[1]Revenue Roll-up'!M64</t>
  </si>
  <si>
    <t xml:space="preserve">L9</t>
  </si>
  <si>
    <t xml:space="preserve">'[1]Revenue Roll-up'!N64</t>
  </si>
  <si>
    <t xml:space="preserve">M9</t>
  </si>
  <si>
    <t xml:space="preserve">'[1]Revenue Roll-up'!O64</t>
  </si>
  <si>
    <t xml:space="preserve">N9</t>
  </si>
  <si>
    <t xml:space="preserve">'[1]Revenue Roll-up'!P64</t>
  </si>
  <si>
    <t xml:space="preserve">O9</t>
  </si>
  <si>
    <t xml:space="preserve">'[1]Revenue Roll-up'!Q64</t>
  </si>
  <si>
    <t xml:space="preserve">P9</t>
  </si>
  <si>
    <t xml:space="preserve">'[1]Revenue Roll-up'!R64</t>
  </si>
  <si>
    <t xml:space="preserve">Q9</t>
  </si>
  <si>
    <t xml:space="preserve">'[1]Revenue Roll-up'!S64</t>
  </si>
  <si>
    <t xml:space="preserve">R9</t>
  </si>
  <si>
    <t xml:space="preserve">'[1]Revenue Roll-up'!U64</t>
  </si>
  <si>
    <t xml:space="preserve">B10</t>
  </si>
  <si>
    <t xml:space="preserve">COUNTIF('[1]Deploy Detail'!K21:K62,"&gt;0")</t>
  </si>
  <si>
    <t xml:space="preserve">C10</t>
  </si>
  <si>
    <t xml:space="preserve">COUNTIF('[1]Deploy Detail'!L21:L62,"&gt;0")</t>
  </si>
  <si>
    <t xml:space="preserve">D10</t>
  </si>
  <si>
    <t xml:space="preserve">COUNTIF('[1]Deploy Detail'!M21:M62,"&gt;0")</t>
  </si>
  <si>
    <t xml:space="preserve">E10</t>
  </si>
  <si>
    <t xml:space="preserve">COUNTIF('[1]Deploy Detail'!N21:N62,"&gt;0")</t>
  </si>
  <si>
    <t xml:space="preserve">F10</t>
  </si>
  <si>
    <t xml:space="preserve">COUNTIF('[1]Deploy Detail'!O21:O62,"&gt;0")</t>
  </si>
  <si>
    <t xml:space="preserve">G10</t>
  </si>
  <si>
    <t xml:space="preserve">COUNTIF('[1]Deploy Detail'!P21:P62,"&gt;0")</t>
  </si>
  <si>
    <t xml:space="preserve">H10</t>
  </si>
  <si>
    <t xml:space="preserve">COUNTIF('[1]Deploy Detail'!Q21:Q62,"&gt;0")</t>
  </si>
  <si>
    <t xml:space="preserve">I10</t>
  </si>
  <si>
    <t xml:space="preserve">COUNTIF('[1]Deploy Detail'!R21:R62,"&gt;0")</t>
  </si>
  <si>
    <t xml:space="preserve">J10</t>
  </si>
  <si>
    <t xml:space="preserve">COUNTIF('[1]Deploy Detail'!S21:S62,"&gt;0")</t>
  </si>
  <si>
    <t xml:space="preserve">K10</t>
  </si>
  <si>
    <t xml:space="preserve">COUNTIF('[1]Deploy Detail'!T21:T62,"&gt;0")</t>
  </si>
  <si>
    <t xml:space="preserve">L10</t>
  </si>
  <si>
    <t xml:space="preserve">COUNTIF('[1]Deploy Detail'!U21:U62,"&gt;0")</t>
  </si>
  <si>
    <t xml:space="preserve">M10</t>
  </si>
  <si>
    <t xml:space="preserve">COUNTIF('[1]Deploy Detail'!V21:V62,"&gt;0")</t>
  </si>
  <si>
    <t xml:space="preserve">N10</t>
  </si>
  <si>
    <t xml:space="preserve">COUNTIF('[1]Deploy Detail'!W21:W62,"&gt;0")</t>
  </si>
  <si>
    <t xml:space="preserve">O10</t>
  </si>
  <si>
    <t xml:space="preserve">COUNTIF('[1]Deploy Detail'!X21:X62,"&gt;0")</t>
  </si>
  <si>
    <t xml:space="preserve">P10</t>
  </si>
  <si>
    <t xml:space="preserve">COUNTIF('[1]Deploy Detail'!Y21:Y62,"&gt;0")</t>
  </si>
  <si>
    <t xml:space="preserve">Q10</t>
  </si>
  <si>
    <t xml:space="preserve">COUNTIF('[1]Deploy Detail'!Z21:Z62,"&gt;0")</t>
  </si>
  <si>
    <t xml:space="preserve">B11</t>
  </si>
  <si>
    <t xml:space="preserve">'[1]Deploy Detail'!K63</t>
  </si>
  <si>
    <t xml:space="preserve">C11</t>
  </si>
  <si>
    <t xml:space="preserve">'[1]Deploy Detail'!L63</t>
  </si>
  <si>
    <t xml:space="preserve">D11</t>
  </si>
  <si>
    <t xml:space="preserve">'[1]Deploy Detail'!M63</t>
  </si>
  <si>
    <t xml:space="preserve">E11</t>
  </si>
  <si>
    <t xml:space="preserve">'[1]Deploy Detail'!N63</t>
  </si>
  <si>
    <t xml:space="preserve">F11</t>
  </si>
  <si>
    <t xml:space="preserve">'[1]Deploy Detail'!O63</t>
  </si>
  <si>
    <t xml:space="preserve">G11</t>
  </si>
  <si>
    <t xml:space="preserve">'[1]Deploy Detail'!P63</t>
  </si>
  <si>
    <t xml:space="preserve">H11</t>
  </si>
  <si>
    <t xml:space="preserve">'[1]Deploy Detail'!Q63</t>
  </si>
  <si>
    <t xml:space="preserve">I11</t>
  </si>
  <si>
    <t xml:space="preserve">'[1]Deploy Detail'!R63</t>
  </si>
  <si>
    <t xml:space="preserve">J11</t>
  </si>
  <si>
    <t xml:space="preserve">'[1]Deploy Detail'!S63</t>
  </si>
  <si>
    <t xml:space="preserve">K11</t>
  </si>
  <si>
    <t xml:space="preserve">'[1]Deploy Detail'!T63</t>
  </si>
  <si>
    <t xml:space="preserve">L11</t>
  </si>
  <si>
    <t xml:space="preserve">'[1]Deploy Detail'!U63</t>
  </si>
  <si>
    <t xml:space="preserve">M11</t>
  </si>
  <si>
    <t xml:space="preserve">'[1]Deploy Detail'!V63</t>
  </si>
  <si>
    <t xml:space="preserve">N11</t>
  </si>
  <si>
    <t xml:space="preserve">'[1]Deploy Detail'!W63</t>
  </si>
  <si>
    <t xml:space="preserve">O11</t>
  </si>
  <si>
    <t xml:space="preserve">'[1]Deploy Detail'!X63</t>
  </si>
  <si>
    <t xml:space="preserve">P11</t>
  </si>
  <si>
    <t xml:space="preserve">'[1]Deploy Detail'!Y63</t>
  </si>
  <si>
    <t xml:space="preserve">Q11</t>
  </si>
  <si>
    <t xml:space="preserve">'[1]Deploy Detail'!Z63</t>
  </si>
  <si>
    <t xml:space="preserve">R11</t>
  </si>
  <si>
    <t xml:space="preserve">'[1]Deploy Detail'!AB63</t>
  </si>
  <si>
    <t xml:space="preserve">B16</t>
  </si>
  <si>
    <t xml:space="preserve">COUNTIFS('[1]2026 Exist New'!$U$9:$U$50,"Yes",'[1]2026 Exist New'!$E$9:$E$50,"SlipLift",'[1]2026 Exist New'!$I$9:$I$50,"&gt;"&amp;EOMONTH(B$4,-1),'[1]2026 Exist New'!$I$9:$I$50,"&lt;="&amp;B$4)+[1]Deploy!D36+[1]Deploy!D41</t>
  </si>
  <si>
    <t xml:space="preserve">C16</t>
  </si>
  <si>
    <t xml:space="preserve">COUNTIFS('[1]2026 Exist New'!$U$9:$U$50,"Yes",'[1]2026 Exist New'!$E$9:$E$50,"SlipLift",'[1]2026 Exist New'!$I$9:$I$50,"&gt;"&amp;EOMONTH(C$4,-1),'[1]2026 Exist New'!$I$9:$I$50,"&lt;="&amp;C$4)+[1]Deploy!E36+[1]Deploy!E41</t>
  </si>
  <si>
    <t xml:space="preserve">D16</t>
  </si>
  <si>
    <t xml:space="preserve">COUNTIFS('[1]2026 Exist New'!$U$9:$U$50,"Yes",'[1]2026 Exist New'!$E$9:$E$50,"SlipLift",'[1]2026 Exist New'!$I$9:$I$50,"&gt;"&amp;EOMONTH(D$4,-1),'[1]2026 Exist New'!$I$9:$I$50,"&lt;="&amp;D$4)+[1]Deploy!F36+[1]Deploy!F41</t>
  </si>
  <si>
    <t xml:space="preserve">E16</t>
  </si>
  <si>
    <t xml:space="preserve">COUNTIFS('[1]2026 Exist New'!$U$9:$U$50,"Yes",'[1]2026 Exist New'!$E$9:$E$50,"SlipLift",'[1]2026 Exist New'!$I$9:$I$50,"&gt;"&amp;EOMONTH(E$4,-1),'[1]2026 Exist New'!$I$9:$I$50,"&lt;="&amp;E$4)+[1]Deploy!G36+[1]Deploy!G41</t>
  </si>
  <si>
    <t xml:space="preserve">F16</t>
  </si>
  <si>
    <t xml:space="preserve">COUNTIFS('[1]2026 Exist New'!$U$9:$U$50,"Yes",'[1]2026 Exist New'!$E$9:$E$50,"SlipLift",'[1]2026 Exist New'!$I$9:$I$50,"&gt;"&amp;EOMONTH(F$4,-1),'[1]2026 Exist New'!$I$9:$I$50,"&lt;="&amp;F$4)+[1]Deploy!H36+[1]Deploy!H41</t>
  </si>
  <si>
    <t xml:space="preserve">G16</t>
  </si>
  <si>
    <t xml:space="preserve">COUNTIFS('[1]2026 Exist New'!$U$9:$U$50,"Yes",'[1]2026 Exist New'!$E$9:$E$50,"SlipLift",'[1]2026 Exist New'!$I$9:$I$50,"&gt;"&amp;EOMONTH(G$4,-1),'[1]2026 Exist New'!$I$9:$I$50,"&lt;="&amp;G$4)+[1]Deploy!I36+[1]Deploy!I41</t>
  </si>
  <si>
    <t xml:space="preserve">H16</t>
  </si>
  <si>
    <t xml:space="preserve">COUNTIFS('[1]2026 Exist New'!$U$9:$U$50,"Yes",'[1]2026 Exist New'!$E$9:$E$50,"SlipLift",'[1]2026 Exist New'!$I$9:$I$50,"&gt;"&amp;EOMONTH(H$4,-1),'[1]2026 Exist New'!$I$9:$I$50,"&lt;="&amp;H$4)+[1]Deploy!J36+[1]Deploy!J41</t>
  </si>
  <si>
    <t xml:space="preserve">I16</t>
  </si>
  <si>
    <t xml:space="preserve">COUNTIFS('[1]2026 Exist New'!$U$9:$U$50,"Yes",'[1]2026 Exist New'!$E$9:$E$50,"SlipLift",'[1]2026 Exist New'!$I$9:$I$50,"&gt;"&amp;EOMONTH(I$4,-1),'[1]2026 Exist New'!$I$9:$I$50,"&lt;="&amp;I$4)+[1]Deploy!K36+[1]Deploy!K41</t>
  </si>
  <si>
    <t xml:space="preserve">J16</t>
  </si>
  <si>
    <t xml:space="preserve">COUNTIFS('[1]2026 Exist New'!$U$9:$U$50,"Yes",'[1]2026 Exist New'!$E$9:$E$50,"SlipLift",'[1]2026 Exist New'!$I$9:$I$50,"&gt;"&amp;EOMONTH(J$4,-1),'[1]2026 Exist New'!$I$9:$I$50,"&lt;="&amp;J$4)+[1]Deploy!L36+[1]Deploy!L41</t>
  </si>
  <si>
    <t xml:space="preserve">K16</t>
  </si>
  <si>
    <t xml:space="preserve">COUNTIFS('[1]2026 Exist New'!$U$9:$U$50,"Yes",'[1]2026 Exist New'!$E$9:$E$50,"SlipLift",'[1]2026 Exist New'!$I$9:$I$50,"&gt;"&amp;EOMONTH(K$4,-1),'[1]2026 Exist New'!$I$9:$I$50,"&lt;="&amp;K$4)+[1]Deploy!M36+[1]Deploy!M41</t>
  </si>
  <si>
    <t xml:space="preserve">L16</t>
  </si>
  <si>
    <t xml:space="preserve">COUNTIFS('[1]2026 Exist New'!$U$9:$U$50,"Yes",'[1]2026 Exist New'!$E$9:$E$50,"SlipLift",'[1]2026 Exist New'!$I$9:$I$50,"&gt;"&amp;EOMONTH(L$4,-1),'[1]2026 Exist New'!$I$9:$I$50,"&lt;="&amp;L$4)+[1]Deploy!N36+[1]Deploy!N41</t>
  </si>
  <si>
    <t xml:space="preserve">M16</t>
  </si>
  <si>
    <t xml:space="preserve">COUNTIFS('[1]2026 Exist New'!$U$9:$U$50,"Yes",'[1]2026 Exist New'!$E$9:$E$50,"SlipLift",'[1]2026 Exist New'!$I$9:$I$50,"&gt;"&amp;EOMONTH(M$4,-1),'[1]2026 Exist New'!$I$9:$I$50,"&lt;="&amp;M$4)+[1]Deploy!O36+[1]Deploy!O41</t>
  </si>
  <si>
    <t xml:space="preserve">N16</t>
  </si>
  <si>
    <t xml:space="preserve">COUNTIFS('[1]2026 Exist New'!$U$9:$U$50,"Yes",'[1]2026 Exist New'!$E$9:$E$50,"SlipLift",'[1]2026 Exist New'!$I$9:$I$50,"&gt;"&amp;EOMONTH(N$4,-1),'[1]2026 Exist New'!$I$9:$I$50,"&lt;="&amp;N$4)+[1]Deploy!P36+[1]Deploy!P41</t>
  </si>
  <si>
    <t xml:space="preserve">O16</t>
  </si>
  <si>
    <t xml:space="preserve">COUNTIFS('[1]2026 Exist New'!$U$9:$U$50,"Yes",'[1]2026 Exist New'!$E$9:$E$50,"SlipLift",'[1]2026 Exist New'!$I$9:$I$50,"&gt;"&amp;EOMONTH(O$4,-1),'[1]2026 Exist New'!$I$9:$I$50,"&lt;="&amp;O$4)+[1]Deploy!Q36+[1]Deploy!Q41</t>
  </si>
  <si>
    <t xml:space="preserve">P16</t>
  </si>
  <si>
    <t xml:space="preserve">COUNTIFS('[1]2026 Exist New'!$U$9:$U$50,"Yes",'[1]2026 Exist New'!$E$9:$E$50,"SlipLift",'[1]2026 Exist New'!$I$9:$I$50,"&gt;"&amp;EOMONTH(P$4,-1),'[1]2026 Exist New'!$I$9:$I$50,"&lt;="&amp;P$4)+[1]Deploy!R36+[1]Deploy!R41</t>
  </si>
  <si>
    <t xml:space="preserve">Q16</t>
  </si>
  <si>
    <t xml:space="preserve">COUNTIFS('[1]2026 Exist New'!$U$9:$U$50,"Yes",'[1]2026 Exist New'!$E$9:$E$50,"SlipLift",'[1]2026 Exist New'!$I$9:$I$50,"&gt;"&amp;EOMONTH(Q$4,-1),'[1]2026 Exist New'!$I$9:$I$50,"&lt;="&amp;Q$4)+[1]Deploy!S36+[1]Deploy!S41</t>
  </si>
  <si>
    <t xml:space="preserve">R16</t>
  </si>
  <si>
    <t xml:space="preserve">COUNTIFS('[1]2026 Exist New'!$U$9:$U$50,"Yes",'[1]2026 Exist New'!$E$9:$E$50,"SlipLift",'[1]2026 Exist New'!$I$9:$I$50,"&gt;"&amp;EOMONTH($F$4,-1),'[1]2026 Exist New'!$I$9:$I$50,"&lt;="&amp;$Q$4)+[1]Deploy!U36+[1]Deploy!U41</t>
  </si>
  <si>
    <t xml:space="preserve">B17</t>
  </si>
  <si>
    <t xml:space="preserve">COUNTIFS('[1]2026 Exist New'!$U$9:$U$50,"Yes",'[1]2026 Exist New'!$E$9:$E$50,"SlipBot",'[1]2026 Exist New'!$I$9:$I$50,"&gt;"&amp;EOMONTH(B$4,-1),'[1]2026 Exist New'!$I$9:$I$50,"&lt;="&amp;B$4)</t>
  </si>
  <si>
    <t xml:space="preserve">C17</t>
  </si>
  <si>
    <t xml:space="preserve">COUNTIFS('[1]2026 Exist New'!$U$9:$U$50,"Yes",'[1]2026 Exist New'!$E$9:$E$50,"SlipBot",'[1]2026 Exist New'!$I$9:$I$50,"&gt;"&amp;EOMONTH(C$4,-1),'[1]2026 Exist New'!$I$9:$I$50,"&lt;="&amp;C$4)</t>
  </si>
  <si>
    <t xml:space="preserve">D17</t>
  </si>
  <si>
    <t xml:space="preserve">COUNTIFS('[1]2026 Exist New'!$U$9:$U$50,"Yes",'[1]2026 Exist New'!$E$9:$E$50,"SlipBot",'[1]2026 Exist New'!$I$9:$I$50,"&gt;"&amp;EOMONTH(D$4,-1),'[1]2026 Exist New'!$I$9:$I$50,"&lt;="&amp;D$4)</t>
  </si>
  <si>
    <t xml:space="preserve">E17</t>
  </si>
  <si>
    <t xml:space="preserve">COUNTIFS('[1]2026 Exist New'!$U$9:$U$50,"Yes",'[1]2026 Exist New'!$E$9:$E$50,"SlipBot",'[1]2026 Exist New'!$I$9:$I$50,"&gt;"&amp;EOMONTH(E$4,-1),'[1]2026 Exist New'!$I$9:$I$50,"&lt;="&amp;E$4)</t>
  </si>
  <si>
    <t xml:space="preserve">F17</t>
  </si>
  <si>
    <t xml:space="preserve">COUNTIFS('[1]2026 Exist New'!$U$9:$U$50,"Yes",'[1]2026 Exist New'!$E$9:$E$50,"SlipBot",'[1]2026 Exist New'!$I$9:$I$50,"&gt;"&amp;EOMONTH(F$4,-1),'[1]2026 Exist New'!$I$9:$I$50,"&lt;="&amp;F$4)</t>
  </si>
  <si>
    <t xml:space="preserve">G17</t>
  </si>
  <si>
    <t xml:space="preserve">COUNTIFS('[1]2026 Exist New'!$U$9:$U$50,"Yes",'[1]2026 Exist New'!$E$9:$E$50,"SlipBot",'[1]2026 Exist New'!$I$9:$I$50,"&gt;"&amp;EOMONTH(G$4,-1),'[1]2026 Exist New'!$I$9:$I$50,"&lt;="&amp;G$4)</t>
  </si>
  <si>
    <t xml:space="preserve">H17</t>
  </si>
  <si>
    <t xml:space="preserve">COUNTIFS('[1]2026 Exist New'!$U$9:$U$50,"Yes",'[1]2026 Exist New'!$E$9:$E$50,"SlipBot",'[1]2026 Exist New'!$I$9:$I$50,"&gt;"&amp;EOMONTH(H$4,-1),'[1]2026 Exist New'!$I$9:$I$50,"&lt;="&amp;H$4)</t>
  </si>
  <si>
    <t xml:space="preserve">I17</t>
  </si>
  <si>
    <t xml:space="preserve">COUNTIFS('[1]2026 Exist New'!$U$9:$U$50,"Yes",'[1]2026 Exist New'!$E$9:$E$50,"SlipBot",'[1]2026 Exist New'!$I$9:$I$50,"&gt;"&amp;EOMONTH(I$4,-1),'[1]2026 Exist New'!$I$9:$I$50,"&lt;="&amp;I$4)</t>
  </si>
  <si>
    <t xml:space="preserve">J17</t>
  </si>
  <si>
    <t xml:space="preserve">COUNTIFS('[1]2026 Exist New'!$U$9:$U$50,"Yes",'[1]2026 Exist New'!$E$9:$E$50,"SlipBot",'[1]2026 Exist New'!$I$9:$I$50,"&gt;"&amp;EOMONTH(J$4,-1),'[1]2026 Exist New'!$I$9:$I$50,"&lt;="&amp;J$4)</t>
  </si>
  <si>
    <t xml:space="preserve">K17</t>
  </si>
  <si>
    <t xml:space="preserve">COUNTIFS('[1]2026 Exist New'!$U$9:$U$50,"Yes",'[1]2026 Exist New'!$E$9:$E$50,"SlipBot",'[1]2026 Exist New'!$I$9:$I$50,"&gt;"&amp;EOMONTH(K$4,-1),'[1]2026 Exist New'!$I$9:$I$50,"&lt;="&amp;K$4)</t>
  </si>
  <si>
    <t xml:space="preserve">L17</t>
  </si>
  <si>
    <t xml:space="preserve">COUNTIFS('[1]2026 Exist New'!$U$9:$U$50,"Yes",'[1]2026 Exist New'!$E$9:$E$50,"SlipBot",'[1]2026 Exist New'!$I$9:$I$50,"&gt;"&amp;EOMONTH(L$4,-1),'[1]2026 Exist New'!$I$9:$I$50,"&lt;="&amp;L$4)</t>
  </si>
  <si>
    <t xml:space="preserve">M17</t>
  </si>
  <si>
    <t xml:space="preserve">COUNTIFS('[1]2026 Exist New'!$U$9:$U$50,"Yes",'[1]2026 Exist New'!$E$9:$E$50,"SlipBot",'[1]2026 Exist New'!$I$9:$I$50,"&gt;"&amp;EOMONTH(M$4,-1),'[1]2026 Exist New'!$I$9:$I$50,"&lt;="&amp;M$4)</t>
  </si>
  <si>
    <t xml:space="preserve">N17</t>
  </si>
  <si>
    <t xml:space="preserve">COUNTIFS('[1]2026 Exist New'!$U$9:$U$50,"Yes",'[1]2026 Exist New'!$E$9:$E$50,"SlipBot",'[1]2026 Exist New'!$I$9:$I$50,"&gt;"&amp;EOMONTH(N$4,-1),'[1]2026 Exist New'!$I$9:$I$50,"&lt;="&amp;N$4)</t>
  </si>
  <si>
    <t xml:space="preserve">O17</t>
  </si>
  <si>
    <t xml:space="preserve">COUNTIFS('[1]2026 Exist New'!$U$9:$U$50,"Yes",'[1]2026 Exist New'!$E$9:$E$50,"SlipBot",'[1]2026 Exist New'!$I$9:$I$50,"&gt;"&amp;EOMONTH(O$4,-1),'[1]2026 Exist New'!$I$9:$I$50,"&lt;="&amp;O$4)</t>
  </si>
  <si>
    <t xml:space="preserve">P17</t>
  </si>
  <si>
    <t xml:space="preserve">COUNTIFS('[1]2026 Exist New'!$U$9:$U$50,"Yes",'[1]2026 Exist New'!$E$9:$E$50,"SlipBot",'[1]2026 Exist New'!$I$9:$I$50,"&gt;"&amp;EOMONTH(P$4,-1),'[1]2026 Exist New'!$I$9:$I$50,"&lt;="&amp;P$4)</t>
  </si>
  <si>
    <t xml:space="preserve">Q17</t>
  </si>
  <si>
    <t xml:space="preserve">COUNTIFS('[1]2026 Exist New'!$U$9:$U$50,"Yes",'[1]2026 Exist New'!$E$9:$E$50,"SlipBot",'[1]2026 Exist New'!$I$9:$I$50,"&gt;"&amp;EOMONTH(Q$4,-1),'[1]2026 Exist New'!$I$9:$I$50,"&lt;="&amp;Q$4)</t>
  </si>
  <si>
    <t xml:space="preserve">R17</t>
  </si>
  <si>
    <t xml:space="preserve">COUNTIFS('[1]2026 Exist New'!$U$9:$U$50,"Yes",'[1]2026 Exist New'!$E$9:$E$50,"SlipBot",'[1]2026 Exist New'!$I$9:$I$50,"&gt;"&amp;EOMONTH($F$4,-1),'[1]2026 Exist New'!$I$9:$I$50,"&lt;="&amp;$Q$4)</t>
  </si>
  <si>
    <t xml:space="preserve">B19</t>
  </si>
  <si>
    <t xml:space="preserve">[1]Deploy!D47</t>
  </si>
  <si>
    <t xml:space="preserve">C19</t>
  </si>
  <si>
    <t xml:space="preserve">[1]Deploy!E47</t>
  </si>
  <si>
    <t xml:space="preserve">D19</t>
  </si>
  <si>
    <t xml:space="preserve">[1]Deploy!F47</t>
  </si>
  <si>
    <t xml:space="preserve">E19</t>
  </si>
  <si>
    <t xml:space="preserve">[1]Deploy!G47</t>
  </si>
  <si>
    <t xml:space="preserve">F19</t>
  </si>
  <si>
    <t xml:space="preserve">[1]Deploy!H47</t>
  </si>
  <si>
    <t xml:space="preserve">G19</t>
  </si>
  <si>
    <t xml:space="preserve">[1]Deploy!I47</t>
  </si>
  <si>
    <t xml:space="preserve">H19</t>
  </si>
  <si>
    <t xml:space="preserve">[1]Deploy!J47</t>
  </si>
  <si>
    <t xml:space="preserve">I19</t>
  </si>
  <si>
    <t xml:space="preserve">[1]Deploy!K47</t>
  </si>
  <si>
    <t xml:space="preserve">J19</t>
  </si>
  <si>
    <t xml:space="preserve">[1]Deploy!L47</t>
  </si>
  <si>
    <t xml:space="preserve">K19</t>
  </si>
  <si>
    <t xml:space="preserve">[1]Deploy!M47</t>
  </si>
  <si>
    <t xml:space="preserve">L19</t>
  </si>
  <si>
    <t xml:space="preserve">[1]Deploy!N47</t>
  </si>
  <si>
    <t xml:space="preserve">M19</t>
  </si>
  <si>
    <t xml:space="preserve">[1]Deploy!O47</t>
  </si>
  <si>
    <t xml:space="preserve">N19</t>
  </si>
  <si>
    <t xml:space="preserve">[1]Deploy!P47</t>
  </si>
  <si>
    <t xml:space="preserve">O19</t>
  </si>
  <si>
    <t xml:space="preserve">[1]Deploy!Q47</t>
  </si>
  <si>
    <t xml:space="preserve">P19</t>
  </si>
  <si>
    <t xml:space="preserve">[1]Deploy!R47</t>
  </si>
  <si>
    <t xml:space="preserve">Q19</t>
  </si>
  <si>
    <t xml:space="preserve">[1]Deploy!S47</t>
  </si>
  <si>
    <t xml:space="preserve">R19</t>
  </si>
  <si>
    <t xml:space="preserve">[1]Deploy!U47</t>
  </si>
  <si>
    <t xml:space="preserve">B20</t>
  </si>
  <si>
    <t xml:space="preserve">[1]Deploy!D48</t>
  </si>
  <si>
    <t xml:space="preserve">C20</t>
  </si>
  <si>
    <t xml:space="preserve">[1]Deploy!E48</t>
  </si>
  <si>
    <t xml:space="preserve">D20</t>
  </si>
  <si>
    <t xml:space="preserve">[1]Deploy!F48</t>
  </si>
  <si>
    <t xml:space="preserve">E20</t>
  </si>
  <si>
    <t xml:space="preserve">[1]Deploy!G48</t>
  </si>
  <si>
    <t xml:space="preserve">F20</t>
  </si>
  <si>
    <t xml:space="preserve">[1]Deploy!H48</t>
  </si>
  <si>
    <t xml:space="preserve">G20</t>
  </si>
  <si>
    <t xml:space="preserve">[1]Deploy!I48</t>
  </si>
  <si>
    <t xml:space="preserve">H20</t>
  </si>
  <si>
    <t xml:space="preserve">[1]Deploy!J48</t>
  </si>
  <si>
    <t xml:space="preserve">I20</t>
  </si>
  <si>
    <t xml:space="preserve">[1]Deploy!K48</t>
  </si>
  <si>
    <t xml:space="preserve">J20</t>
  </si>
  <si>
    <t xml:space="preserve">[1]Deploy!L48</t>
  </si>
  <si>
    <t xml:space="preserve">K20</t>
  </si>
  <si>
    <t xml:space="preserve">[1]Deploy!M48</t>
  </si>
  <si>
    <t xml:space="preserve">L20</t>
  </si>
  <si>
    <t xml:space="preserve">[1]Deploy!N48</t>
  </si>
  <si>
    <t xml:space="preserve">M20</t>
  </si>
  <si>
    <t xml:space="preserve">[1]Deploy!O48</t>
  </si>
  <si>
    <t xml:space="preserve">N20</t>
  </si>
  <si>
    <t xml:space="preserve">[1]Deploy!P48</t>
  </si>
  <si>
    <t xml:space="preserve">O20</t>
  </si>
  <si>
    <t xml:space="preserve">[1]Deploy!Q48</t>
  </si>
  <si>
    <t xml:space="preserve">P20</t>
  </si>
  <si>
    <t xml:space="preserve">[1]Deploy!R48</t>
  </si>
  <si>
    <t xml:space="preserve">Q20</t>
  </si>
  <si>
    <t xml:space="preserve">[1]Deploy!S48</t>
  </si>
  <si>
    <t xml:space="preserve">R20</t>
  </si>
  <si>
    <t xml:space="preserve">[1]Deploy!U48</t>
  </si>
  <si>
    <t xml:space="preserve">B21</t>
  </si>
  <si>
    <t xml:space="preserve">[1]Deploy!D49</t>
  </si>
  <si>
    <t xml:space="preserve">C21</t>
  </si>
  <si>
    <t xml:space="preserve">[1]Deploy!E49</t>
  </si>
  <si>
    <t xml:space="preserve">D21</t>
  </si>
  <si>
    <t xml:space="preserve">[1]Deploy!F49</t>
  </si>
  <si>
    <t xml:space="preserve">E21</t>
  </si>
  <si>
    <t xml:space="preserve">[1]Deploy!G49</t>
  </si>
  <si>
    <t xml:space="preserve">F21</t>
  </si>
  <si>
    <t xml:space="preserve">[1]Deploy!H49</t>
  </si>
  <si>
    <t xml:space="preserve">G21</t>
  </si>
  <si>
    <t xml:space="preserve">[1]Deploy!I49</t>
  </si>
  <si>
    <t xml:space="preserve">H21</t>
  </si>
  <si>
    <t xml:space="preserve">[1]Deploy!J49</t>
  </si>
  <si>
    <t xml:space="preserve">I21</t>
  </si>
  <si>
    <t xml:space="preserve">[1]Deploy!K49</t>
  </si>
  <si>
    <t xml:space="preserve">J21</t>
  </si>
  <si>
    <t xml:space="preserve">[1]Deploy!L49</t>
  </si>
  <si>
    <t xml:space="preserve">K21</t>
  </si>
  <si>
    <t xml:space="preserve">[1]Deploy!M49</t>
  </si>
  <si>
    <t xml:space="preserve">L21</t>
  </si>
  <si>
    <t xml:space="preserve">[1]Deploy!N49</t>
  </si>
  <si>
    <t xml:space="preserve">M21</t>
  </si>
  <si>
    <t xml:space="preserve">[1]Deploy!O49</t>
  </si>
  <si>
    <t xml:space="preserve">N21</t>
  </si>
  <si>
    <t xml:space="preserve">[1]Deploy!P49</t>
  </si>
  <si>
    <t xml:space="preserve">O21</t>
  </si>
  <si>
    <t xml:space="preserve">[1]Deploy!Q49</t>
  </si>
  <si>
    <t xml:space="preserve">P21</t>
  </si>
  <si>
    <t xml:space="preserve">[1]Deploy!R49</t>
  </si>
  <si>
    <t xml:space="preserve">Q21</t>
  </si>
  <si>
    <t xml:space="preserve">[1]Deploy!S49</t>
  </si>
  <si>
    <t xml:space="preserve">R21</t>
  </si>
  <si>
    <t xml:space="preserve">[1]Deploy!U49</t>
  </si>
  <si>
    <t xml:space="preserve">B24</t>
  </si>
  <si>
    <t xml:space="preserve">[1]Deploy!D53</t>
  </si>
  <si>
    <t xml:space="preserve">C24</t>
  </si>
  <si>
    <t xml:space="preserve">[1]Deploy!E53</t>
  </si>
  <si>
    <t xml:space="preserve">D24</t>
  </si>
  <si>
    <t xml:space="preserve">[1]Deploy!F53</t>
  </si>
  <si>
    <t xml:space="preserve">E24</t>
  </si>
  <si>
    <t xml:space="preserve">[1]Deploy!G53</t>
  </si>
  <si>
    <t xml:space="preserve">F24</t>
  </si>
  <si>
    <t xml:space="preserve">[1]Deploy!H53</t>
  </si>
  <si>
    <t xml:space="preserve">G24</t>
  </si>
  <si>
    <t xml:space="preserve">[1]Deploy!I53</t>
  </si>
  <si>
    <t xml:space="preserve">H24</t>
  </si>
  <si>
    <t xml:space="preserve">[1]Deploy!J53</t>
  </si>
  <si>
    <t xml:space="preserve">I24</t>
  </si>
  <si>
    <t xml:space="preserve">[1]Deploy!K53</t>
  </si>
  <si>
    <t xml:space="preserve">J24</t>
  </si>
  <si>
    <t xml:space="preserve">[1]Deploy!L53</t>
  </si>
  <si>
    <t xml:space="preserve">K24</t>
  </si>
  <si>
    <t xml:space="preserve">[1]Deploy!M53</t>
  </si>
  <si>
    <t xml:space="preserve">L24</t>
  </si>
  <si>
    <t xml:space="preserve">[1]Deploy!N53</t>
  </si>
  <si>
    <t xml:space="preserve">M24</t>
  </si>
  <si>
    <t xml:space="preserve">[1]Deploy!O53</t>
  </si>
  <si>
    <t xml:space="preserve">N24</t>
  </si>
  <si>
    <t xml:space="preserve">[1]Deploy!P53</t>
  </si>
  <si>
    <t xml:space="preserve">O24</t>
  </si>
  <si>
    <t xml:space="preserve">[1]Deploy!Q53</t>
  </si>
  <si>
    <t xml:space="preserve">P24</t>
  </si>
  <si>
    <t xml:space="preserve">[1]Deploy!R53</t>
  </si>
  <si>
    <t xml:space="preserve">Q24</t>
  </si>
  <si>
    <t xml:space="preserve">[1]Deploy!S53</t>
  </si>
  <si>
    <t xml:space="preserve">R24</t>
  </si>
  <si>
    <t xml:space="preserve">[1]Deploy!U53</t>
  </si>
  <si>
    <t xml:space="preserve">B25</t>
  </si>
  <si>
    <t xml:space="preserve">[1]Deploy!D54</t>
  </si>
  <si>
    <t xml:space="preserve">C25</t>
  </si>
  <si>
    <t xml:space="preserve">[1]Deploy!E54</t>
  </si>
  <si>
    <t xml:space="preserve">D25</t>
  </si>
  <si>
    <t xml:space="preserve">[1]Deploy!F54</t>
  </si>
  <si>
    <t xml:space="preserve">E25</t>
  </si>
  <si>
    <t xml:space="preserve">[1]Deploy!G54</t>
  </si>
  <si>
    <t xml:space="preserve">F25</t>
  </si>
  <si>
    <t xml:space="preserve">[1]Deploy!H54</t>
  </si>
  <si>
    <t xml:space="preserve">G25</t>
  </si>
  <si>
    <t xml:space="preserve">[1]Deploy!I54</t>
  </si>
  <si>
    <t xml:space="preserve">H25</t>
  </si>
  <si>
    <t xml:space="preserve">[1]Deploy!J54</t>
  </si>
  <si>
    <t xml:space="preserve">I25</t>
  </si>
  <si>
    <t xml:space="preserve">[1]Deploy!K54</t>
  </si>
  <si>
    <t xml:space="preserve">J25</t>
  </si>
  <si>
    <t xml:space="preserve">[1]Deploy!L54</t>
  </si>
  <si>
    <t xml:space="preserve">K25</t>
  </si>
  <si>
    <t xml:space="preserve">[1]Deploy!M54</t>
  </si>
  <si>
    <t xml:space="preserve">L25</t>
  </si>
  <si>
    <t xml:space="preserve">[1]Deploy!N54</t>
  </si>
  <si>
    <t xml:space="preserve">M25</t>
  </si>
  <si>
    <t xml:space="preserve">[1]Deploy!O54</t>
  </si>
  <si>
    <t xml:space="preserve">N25</t>
  </si>
  <si>
    <t xml:space="preserve">[1]Deploy!P54</t>
  </si>
  <si>
    <t xml:space="preserve">O25</t>
  </si>
  <si>
    <t xml:space="preserve">[1]Deploy!Q54</t>
  </si>
  <si>
    <t xml:space="preserve">P25</t>
  </si>
  <si>
    <t xml:space="preserve">[1]Deploy!R54</t>
  </si>
  <si>
    <t xml:space="preserve">Q25</t>
  </si>
  <si>
    <t xml:space="preserve">[1]Deploy!S54</t>
  </si>
  <si>
    <t xml:space="preserve">R25</t>
  </si>
  <si>
    <t xml:space="preserve">[1]Deploy!U54</t>
  </si>
  <si>
    <t xml:space="preserve">B26</t>
  </si>
  <si>
    <t xml:space="preserve">[1]Deploy!D55</t>
  </si>
  <si>
    <t xml:space="preserve">C26</t>
  </si>
  <si>
    <t xml:space="preserve">[1]Deploy!E55</t>
  </si>
  <si>
    <t xml:space="preserve">D26</t>
  </si>
  <si>
    <t xml:space="preserve">[1]Deploy!F55</t>
  </si>
  <si>
    <t xml:space="preserve">E26</t>
  </si>
  <si>
    <t xml:space="preserve">[1]Deploy!G55</t>
  </si>
  <si>
    <t xml:space="preserve">F26</t>
  </si>
  <si>
    <t xml:space="preserve">[1]Deploy!H55</t>
  </si>
  <si>
    <t xml:space="preserve">G26</t>
  </si>
  <si>
    <t xml:space="preserve">[1]Deploy!I55</t>
  </si>
  <si>
    <t xml:space="preserve">H26</t>
  </si>
  <si>
    <t xml:space="preserve">[1]Deploy!J55</t>
  </si>
  <si>
    <t xml:space="preserve">I26</t>
  </si>
  <si>
    <t xml:space="preserve">[1]Deploy!K55</t>
  </si>
  <si>
    <t xml:space="preserve">J26</t>
  </si>
  <si>
    <t xml:space="preserve">[1]Deploy!L55</t>
  </si>
  <si>
    <t xml:space="preserve">K26</t>
  </si>
  <si>
    <t xml:space="preserve">[1]Deploy!M55</t>
  </si>
  <si>
    <t xml:space="preserve">L26</t>
  </si>
  <si>
    <t xml:space="preserve">[1]Deploy!N55</t>
  </si>
  <si>
    <t xml:space="preserve">M26</t>
  </si>
  <si>
    <t xml:space="preserve">[1]Deploy!O55</t>
  </si>
  <si>
    <t xml:space="preserve">N26</t>
  </si>
  <si>
    <t xml:space="preserve">[1]Deploy!P55</t>
  </si>
  <si>
    <t xml:space="preserve">O26</t>
  </si>
  <si>
    <t xml:space="preserve">[1]Deploy!Q55</t>
  </si>
  <si>
    <t xml:space="preserve">P26</t>
  </si>
  <si>
    <t xml:space="preserve">[1]Deploy!R55</t>
  </si>
  <si>
    <t xml:space="preserve">Q26</t>
  </si>
  <si>
    <t xml:space="preserve">[1]Deploy!S55</t>
  </si>
  <si>
    <t xml:space="preserve">R26</t>
  </si>
  <si>
    <t xml:space="preserve">[1]Deploy!U55</t>
  </si>
  <si>
    <t xml:space="preserve">B29</t>
  </si>
  <si>
    <t xml:space="preserve">[1]Deploy!D68</t>
  </si>
  <si>
    <t xml:space="preserve">C29</t>
  </si>
  <si>
    <t xml:space="preserve">[1]Deploy!E68</t>
  </si>
  <si>
    <t xml:space="preserve">D29</t>
  </si>
  <si>
    <t xml:space="preserve">[1]Deploy!F68</t>
  </si>
  <si>
    <t xml:space="preserve">E29</t>
  </si>
  <si>
    <t xml:space="preserve">[1]Deploy!G68</t>
  </si>
  <si>
    <t xml:space="preserve">F29</t>
  </si>
  <si>
    <t xml:space="preserve">[1]Deploy!H68</t>
  </si>
  <si>
    <t xml:space="preserve">G29</t>
  </si>
  <si>
    <t xml:space="preserve">[1]Deploy!I68</t>
  </si>
  <si>
    <t xml:space="preserve">H29</t>
  </si>
  <si>
    <t xml:space="preserve">[1]Deploy!J68</t>
  </si>
  <si>
    <t xml:space="preserve">I29</t>
  </si>
  <si>
    <t xml:space="preserve">[1]Deploy!K68</t>
  </si>
  <si>
    <t xml:space="preserve">J29</t>
  </si>
  <si>
    <t xml:space="preserve">[1]Deploy!L68</t>
  </si>
  <si>
    <t xml:space="preserve">K29</t>
  </si>
  <si>
    <t xml:space="preserve">[1]Deploy!M68</t>
  </si>
  <si>
    <t xml:space="preserve">L29</t>
  </si>
  <si>
    <t xml:space="preserve">[1]Deploy!N68</t>
  </si>
  <si>
    <t xml:space="preserve">M29</t>
  </si>
  <si>
    <t xml:space="preserve">[1]Deploy!O68</t>
  </si>
  <si>
    <t xml:space="preserve">N29</t>
  </si>
  <si>
    <t xml:space="preserve">[1]Deploy!P68</t>
  </si>
  <si>
    <t xml:space="preserve">O29</t>
  </si>
  <si>
    <t xml:space="preserve">[1]Deploy!Q68</t>
  </si>
  <si>
    <t xml:space="preserve">P29</t>
  </si>
  <si>
    <t xml:space="preserve">[1]Deploy!R68</t>
  </si>
  <si>
    <t xml:space="preserve">Q29</t>
  </si>
  <si>
    <t xml:space="preserve">[1]Deploy!S68</t>
  </si>
  <si>
    <t xml:space="preserve">R29</t>
  </si>
  <si>
    <t xml:space="preserve">[1]Deploy!U68</t>
  </si>
  <si>
    <t xml:space="preserve">B30</t>
  </si>
  <si>
    <t xml:space="preserve">[1]Deploy!D69</t>
  </si>
  <si>
    <t xml:space="preserve">C30</t>
  </si>
  <si>
    <t xml:space="preserve">[1]Deploy!E69</t>
  </si>
  <si>
    <t xml:space="preserve">D30</t>
  </si>
  <si>
    <t xml:space="preserve">[1]Deploy!F69</t>
  </si>
  <si>
    <t xml:space="preserve">E30</t>
  </si>
  <si>
    <t xml:space="preserve">[1]Deploy!G69</t>
  </si>
  <si>
    <t xml:space="preserve">F30</t>
  </si>
  <si>
    <t xml:space="preserve">[1]Deploy!H69</t>
  </si>
  <si>
    <t xml:space="preserve">G30</t>
  </si>
  <si>
    <t xml:space="preserve">[1]Deploy!I69</t>
  </si>
  <si>
    <t xml:space="preserve">H30</t>
  </si>
  <si>
    <t xml:space="preserve">[1]Deploy!J69</t>
  </si>
  <si>
    <t xml:space="preserve">I30</t>
  </si>
  <si>
    <t xml:space="preserve">[1]Deploy!K69</t>
  </si>
  <si>
    <t xml:space="preserve">J30</t>
  </si>
  <si>
    <t xml:space="preserve">[1]Deploy!L69</t>
  </si>
  <si>
    <t xml:space="preserve">K30</t>
  </si>
  <si>
    <t xml:space="preserve">[1]Deploy!M69</t>
  </si>
  <si>
    <t xml:space="preserve">L30</t>
  </si>
  <si>
    <t xml:space="preserve">[1]Deploy!N69</t>
  </si>
  <si>
    <t xml:space="preserve">M30</t>
  </si>
  <si>
    <t xml:space="preserve">[1]Deploy!O69</t>
  </si>
  <si>
    <t xml:space="preserve">N30</t>
  </si>
  <si>
    <t xml:space="preserve">[1]Deploy!P69</t>
  </si>
  <si>
    <t xml:space="preserve">O30</t>
  </si>
  <si>
    <t xml:space="preserve">[1]Deploy!Q69</t>
  </si>
  <si>
    <t xml:space="preserve">P30</t>
  </si>
  <si>
    <t xml:space="preserve">[1]Deploy!R69</t>
  </si>
  <si>
    <t xml:space="preserve">Q30</t>
  </si>
  <si>
    <t xml:space="preserve">[1]Deploy!S69</t>
  </si>
  <si>
    <t xml:space="preserve">R30</t>
  </si>
  <si>
    <t xml:space="preserve">[1]Deploy!U69</t>
  </si>
  <si>
    <t xml:space="preserve">B33</t>
  </si>
  <si>
    <t xml:space="preserve">SUMIFS('[1]Deploy Detail'!$G$225:$G$236,'[1]Deploy Detail'!$E$225:$E$236,B$4,'[1]Deploy Detail'!$D$225:$D$236,"&gt;"&amp;'[1]Deploy Detail'!$B$13)+SUMIFS('[1]Deploy Detail'!$G$239:$G$250,'[1]Deploy Detail'!$E$239:$E$250,B$4,'[1]Deploy Detail'!$D$239:$D$250,"&gt;"&amp;'[1]Deploy Detail'!$B$13)</t>
  </si>
  <si>
    <t xml:space="preserve">C33</t>
  </si>
  <si>
    <t xml:space="preserve">SUMIFS('[1]Deploy Detail'!$G$225:$G$236,'[1]Deploy Detail'!$E$225:$E$236,C$4,'[1]Deploy Detail'!$D$225:$D$236,"&gt;"&amp;'[1]Deploy Detail'!$B$13)+SUMIFS('[1]Deploy Detail'!$G$239:$G$250,'[1]Deploy Detail'!$E$239:$E$250,C$4,'[1]Deploy Detail'!$D$239:$D$250,"&gt;"&amp;'[1]Deploy Detail'!$B$13)</t>
  </si>
  <si>
    <t xml:space="preserve">D33</t>
  </si>
  <si>
    <t xml:space="preserve">SUMIFS('[1]Deploy Detail'!$G$225:$G$236,'[1]Deploy Detail'!$E$225:$E$236,D$4,'[1]Deploy Detail'!$D$225:$D$236,"&gt;"&amp;'[1]Deploy Detail'!$B$13)+SUMIFS('[1]Deploy Detail'!$G$239:$G$250,'[1]Deploy Detail'!$E$239:$E$250,D$4,'[1]Deploy Detail'!$D$239:$D$250,"&gt;"&amp;'[1]Deploy Detail'!$B$13)</t>
  </si>
  <si>
    <t xml:space="preserve">E33</t>
  </si>
  <si>
    <t xml:space="preserve">SUMIFS('[1]Deploy Detail'!$G$225:$G$236,'[1]Deploy Detail'!$E$225:$E$236,E$4,'[1]Deploy Detail'!$D$225:$D$236,"&gt;"&amp;'[1]Deploy Detail'!$B$13)+SUMIFS('[1]Deploy Detail'!$G$239:$G$250,'[1]Deploy Detail'!$E$239:$E$250,E$4,'[1]Deploy Detail'!$D$239:$D$250,"&gt;"&amp;'[1]Deploy Detail'!$B$13)</t>
  </si>
  <si>
    <t xml:space="preserve">F33</t>
  </si>
  <si>
    <t xml:space="preserve">SUMIFS('[1]Deploy Detail'!$G$225:$G$236,'[1]Deploy Detail'!$E$225:$E$236,F$4,'[1]Deploy Detail'!$D$225:$D$236,"&gt;"&amp;'[1]Deploy Detail'!$B$13)+SUMIFS('[1]Deploy Detail'!$G$239:$G$250,'[1]Deploy Detail'!$E$239:$E$250,F$4,'[1]Deploy Detail'!$D$239:$D$250,"&gt;"&amp;'[1]Deploy Detail'!$B$13)</t>
  </si>
  <si>
    <t xml:space="preserve">G33</t>
  </si>
  <si>
    <t xml:space="preserve">SUMIFS('[1]Deploy Detail'!$G$225:$G$236,'[1]Deploy Detail'!$E$225:$E$236,G$4,'[1]Deploy Detail'!$D$225:$D$236,"&gt;"&amp;'[1]Deploy Detail'!$B$13)+SUMIFS('[1]Deploy Detail'!$G$239:$G$250,'[1]Deploy Detail'!$E$239:$E$250,G$4,'[1]Deploy Detail'!$D$239:$D$250,"&gt;"&amp;'[1]Deploy Detail'!$B$13)</t>
  </si>
  <si>
    <t xml:space="preserve">H33</t>
  </si>
  <si>
    <t xml:space="preserve">SUMIFS('[1]Deploy Detail'!$G$225:$G$236,'[1]Deploy Detail'!$E$225:$E$236,H$4,'[1]Deploy Detail'!$D$225:$D$236,"&gt;"&amp;'[1]Deploy Detail'!$B$13)+SUMIFS('[1]Deploy Detail'!$G$239:$G$250,'[1]Deploy Detail'!$E$239:$E$250,H$4,'[1]Deploy Detail'!$D$239:$D$250,"&gt;"&amp;'[1]Deploy Detail'!$B$13)</t>
  </si>
  <si>
    <t xml:space="preserve">I33</t>
  </si>
  <si>
    <t xml:space="preserve">SUMIFS('[1]Deploy Detail'!$G$225:$G$236,'[1]Deploy Detail'!$E$225:$E$236,I$4,'[1]Deploy Detail'!$D$225:$D$236,"&gt;"&amp;'[1]Deploy Detail'!$B$13)+SUMIFS('[1]Deploy Detail'!$G$239:$G$250,'[1]Deploy Detail'!$E$239:$E$250,I$4,'[1]Deploy Detail'!$D$239:$D$250,"&gt;"&amp;'[1]Deploy Detail'!$B$13)</t>
  </si>
  <si>
    <t xml:space="preserve">J33</t>
  </si>
  <si>
    <t xml:space="preserve">SUMIFS('[1]Deploy Detail'!$G$225:$G$236,'[1]Deploy Detail'!$E$225:$E$236,J$4,'[1]Deploy Detail'!$D$225:$D$236,"&gt;"&amp;'[1]Deploy Detail'!$B$13)+SUMIFS('[1]Deploy Detail'!$G$239:$G$250,'[1]Deploy Detail'!$E$239:$E$250,J$4,'[1]Deploy Detail'!$D$239:$D$250,"&gt;"&amp;'[1]Deploy Detail'!$B$13)</t>
  </si>
  <si>
    <t xml:space="preserve">K33</t>
  </si>
  <si>
    <t xml:space="preserve">SUMIFS('[1]Deploy Detail'!$G$225:$G$236,'[1]Deploy Detail'!$E$225:$E$236,K$4,'[1]Deploy Detail'!$D$225:$D$236,"&gt;"&amp;'[1]Deploy Detail'!$B$13)+SUMIFS('[1]Deploy Detail'!$G$239:$G$250,'[1]Deploy Detail'!$E$239:$E$250,K$4,'[1]Deploy Detail'!$D$239:$D$250,"&gt;"&amp;'[1]Deploy Detail'!$B$13)</t>
  </si>
  <si>
    <t xml:space="preserve">L33</t>
  </si>
  <si>
    <t xml:space="preserve">SUMIFS('[1]Deploy Detail'!$G$225:$G$236,'[1]Deploy Detail'!$E$225:$E$236,L$4,'[1]Deploy Detail'!$D$225:$D$236,"&gt;"&amp;'[1]Deploy Detail'!$B$13)+SUMIFS('[1]Deploy Detail'!$G$239:$G$250,'[1]Deploy Detail'!$E$239:$E$250,L$4,'[1]Deploy Detail'!$D$239:$D$250,"&gt;"&amp;'[1]Deploy Detail'!$B$13)</t>
  </si>
  <si>
    <t xml:space="preserve">M33</t>
  </si>
  <si>
    <t xml:space="preserve">SUMIFS('[1]Deploy Detail'!$G$225:$G$236,'[1]Deploy Detail'!$E$225:$E$236,M$4,'[1]Deploy Detail'!$D$225:$D$236,"&gt;"&amp;'[1]Deploy Detail'!$B$13)+SUMIFS('[1]Deploy Detail'!$G$239:$G$250,'[1]Deploy Detail'!$E$239:$E$250,M$4,'[1]Deploy Detail'!$D$239:$D$250,"&gt;"&amp;'[1]Deploy Detail'!$B$13)</t>
  </si>
  <si>
    <t xml:space="preserve">N33</t>
  </si>
  <si>
    <t xml:space="preserve">SUMIFS('[1]Deploy Detail'!$G$225:$G$236,'[1]Deploy Detail'!$E$225:$E$236,N$4,'[1]Deploy Detail'!$D$225:$D$236,"&gt;"&amp;'[1]Deploy Detail'!$B$13)+SUMIFS('[1]Deploy Detail'!$G$239:$G$250,'[1]Deploy Detail'!$E$239:$E$250,N$4,'[1]Deploy Detail'!$D$239:$D$250,"&gt;"&amp;'[1]Deploy Detail'!$B$13)</t>
  </si>
  <si>
    <t xml:space="preserve">O33</t>
  </si>
  <si>
    <t xml:space="preserve">SUMIFS('[1]Deploy Detail'!$G$225:$G$236,'[1]Deploy Detail'!$E$225:$E$236,O$4,'[1]Deploy Detail'!$D$225:$D$236,"&gt;"&amp;'[1]Deploy Detail'!$B$13)+SUMIFS('[1]Deploy Detail'!$G$239:$G$250,'[1]Deploy Detail'!$E$239:$E$250,O$4,'[1]Deploy Detail'!$D$239:$D$250,"&gt;"&amp;'[1]Deploy Detail'!$B$13)</t>
  </si>
  <si>
    <t xml:space="preserve">P33</t>
  </si>
  <si>
    <t xml:space="preserve">SUMIFS('[1]Deploy Detail'!$G$225:$G$236,'[1]Deploy Detail'!$E$225:$E$236,P$4,'[1]Deploy Detail'!$D$225:$D$236,"&gt;"&amp;'[1]Deploy Detail'!$B$13)+SUMIFS('[1]Deploy Detail'!$G$239:$G$250,'[1]Deploy Detail'!$E$239:$E$250,P$4,'[1]Deploy Detail'!$D$239:$D$250,"&gt;"&amp;'[1]Deploy Detail'!$B$13)</t>
  </si>
  <si>
    <t xml:space="preserve">Q33</t>
  </si>
  <si>
    <t xml:space="preserve">SUMIFS('[1]Deploy Detail'!$G$225:$G$236,'[1]Deploy Detail'!$E$225:$E$236,Q$4,'[1]Deploy Detail'!$D$225:$D$236,"&gt;"&amp;'[1]Deploy Detail'!$B$13)+SUMIFS('[1]Deploy Detail'!$G$239:$G$250,'[1]Deploy Detail'!$E$239:$E$250,Q$4,'[1]Deploy Detail'!$D$239:$D$250,"&gt;"&amp;'[1]Deploy Detail'!$B$13)</t>
  </si>
  <si>
    <t xml:space="preserve">B34</t>
  </si>
  <si>
    <t xml:space="preserve">SUMIFS('[1]Deploy Detail'!$H$225:$H$236,'[1]Deploy Detail'!$E$225:$E$236,B$4,'[1]Deploy Detail'!$D$225:$D$236,"&gt;"&amp;'[1]Deploy Detail'!$B$13)+SUMIFS('[1]Deploy Detail'!$H$239:$H$250,'[1]Deploy Detail'!$E$239:$E$250,B$4,'[1]Deploy Detail'!$D$239:$D$250,"&gt;"&amp;'[1]Deploy Detail'!$B$13)</t>
  </si>
  <si>
    <t xml:space="preserve">C34</t>
  </si>
  <si>
    <t xml:space="preserve">SUMIFS('[1]Deploy Detail'!$H$225:$H$236,'[1]Deploy Detail'!$E$225:$E$236,C$4,'[1]Deploy Detail'!$D$225:$D$236,"&gt;"&amp;'[1]Deploy Detail'!$B$13)+SUMIFS('[1]Deploy Detail'!$H$239:$H$250,'[1]Deploy Detail'!$E$239:$E$250,C$4,'[1]Deploy Detail'!$D$239:$D$250,"&gt;"&amp;'[1]Deploy Detail'!$B$13)</t>
  </si>
  <si>
    <t xml:space="preserve">D34</t>
  </si>
  <si>
    <t xml:space="preserve">SUMIFS('[1]Deploy Detail'!$H$225:$H$236,'[1]Deploy Detail'!$E$225:$E$236,D$4,'[1]Deploy Detail'!$D$225:$D$236,"&gt;"&amp;'[1]Deploy Detail'!$B$13)+SUMIFS('[1]Deploy Detail'!$H$239:$H$250,'[1]Deploy Detail'!$E$239:$E$250,D$4,'[1]Deploy Detail'!$D$239:$D$250,"&gt;"&amp;'[1]Deploy Detail'!$B$13)</t>
  </si>
  <si>
    <t xml:space="preserve">E34</t>
  </si>
  <si>
    <t xml:space="preserve">SUMIFS('[1]Deploy Detail'!$H$225:$H$236,'[1]Deploy Detail'!$E$225:$E$236,E$4,'[1]Deploy Detail'!$D$225:$D$236,"&gt;"&amp;'[1]Deploy Detail'!$B$13)+SUMIFS('[1]Deploy Detail'!$H$239:$H$250,'[1]Deploy Detail'!$E$239:$E$250,E$4,'[1]Deploy Detail'!$D$239:$D$250,"&gt;"&amp;'[1]Deploy Detail'!$B$13)</t>
  </si>
  <si>
    <t xml:space="preserve">F34</t>
  </si>
  <si>
    <t xml:space="preserve">SUMIFS('[1]Deploy Detail'!$H$225:$H$236,'[1]Deploy Detail'!$E$225:$E$236,F$4,'[1]Deploy Detail'!$D$225:$D$236,"&gt;"&amp;'[1]Deploy Detail'!$B$13)+SUMIFS('[1]Deploy Detail'!$H$239:$H$250,'[1]Deploy Detail'!$E$239:$E$250,F$4,'[1]Deploy Detail'!$D$239:$D$250,"&gt;"&amp;'[1]Deploy Detail'!$B$13)</t>
  </si>
  <si>
    <t xml:space="preserve">G34</t>
  </si>
  <si>
    <t xml:space="preserve">SUMIFS('[1]Deploy Detail'!$H$225:$H$236,'[1]Deploy Detail'!$E$225:$E$236,G$4,'[1]Deploy Detail'!$D$225:$D$236,"&gt;"&amp;'[1]Deploy Detail'!$B$13)+SUMIFS('[1]Deploy Detail'!$H$239:$H$250,'[1]Deploy Detail'!$E$239:$E$250,G$4,'[1]Deploy Detail'!$D$239:$D$250,"&gt;"&amp;'[1]Deploy Detail'!$B$13)</t>
  </si>
  <si>
    <t xml:space="preserve">H34</t>
  </si>
  <si>
    <t xml:space="preserve">SUMIFS('[1]Deploy Detail'!$H$225:$H$236,'[1]Deploy Detail'!$E$225:$E$236,H$4,'[1]Deploy Detail'!$D$225:$D$236,"&gt;"&amp;'[1]Deploy Detail'!$B$13)+SUMIFS('[1]Deploy Detail'!$H$239:$H$250,'[1]Deploy Detail'!$E$239:$E$250,H$4,'[1]Deploy Detail'!$D$239:$D$250,"&gt;"&amp;'[1]Deploy Detail'!$B$13)</t>
  </si>
  <si>
    <t xml:space="preserve">I34</t>
  </si>
  <si>
    <t xml:space="preserve">SUMIFS('[1]Deploy Detail'!$H$225:$H$236,'[1]Deploy Detail'!$E$225:$E$236,I$4,'[1]Deploy Detail'!$D$225:$D$236,"&gt;"&amp;'[1]Deploy Detail'!$B$13)+SUMIFS('[1]Deploy Detail'!$H$239:$H$250,'[1]Deploy Detail'!$E$239:$E$250,I$4,'[1]Deploy Detail'!$D$239:$D$250,"&gt;"&amp;'[1]Deploy Detail'!$B$13)</t>
  </si>
  <si>
    <t xml:space="preserve">J34</t>
  </si>
  <si>
    <t xml:space="preserve">SUMIFS('[1]Deploy Detail'!$H$225:$H$236,'[1]Deploy Detail'!$E$225:$E$236,J$4,'[1]Deploy Detail'!$D$225:$D$236,"&gt;"&amp;'[1]Deploy Detail'!$B$13)+SUMIFS('[1]Deploy Detail'!$H$239:$H$250,'[1]Deploy Detail'!$E$239:$E$250,J$4,'[1]Deploy Detail'!$D$239:$D$250,"&gt;"&amp;'[1]Deploy Detail'!$B$13)</t>
  </si>
  <si>
    <t xml:space="preserve">K34</t>
  </si>
  <si>
    <t xml:space="preserve">SUMIFS('[1]Deploy Detail'!$H$225:$H$236,'[1]Deploy Detail'!$E$225:$E$236,K$4,'[1]Deploy Detail'!$D$225:$D$236,"&gt;"&amp;'[1]Deploy Detail'!$B$13)+SUMIFS('[1]Deploy Detail'!$H$239:$H$250,'[1]Deploy Detail'!$E$239:$E$250,K$4,'[1]Deploy Detail'!$D$239:$D$250,"&gt;"&amp;'[1]Deploy Detail'!$B$13)</t>
  </si>
  <si>
    <t xml:space="preserve">L34</t>
  </si>
  <si>
    <t xml:space="preserve">SUMIFS('[1]Deploy Detail'!$H$225:$H$236,'[1]Deploy Detail'!$E$225:$E$236,L$4,'[1]Deploy Detail'!$D$225:$D$236,"&gt;"&amp;'[1]Deploy Detail'!$B$13)+SUMIFS('[1]Deploy Detail'!$H$239:$H$250,'[1]Deploy Detail'!$E$239:$E$250,L$4,'[1]Deploy Detail'!$D$239:$D$250,"&gt;"&amp;'[1]Deploy Detail'!$B$13)</t>
  </si>
  <si>
    <t xml:space="preserve">M34</t>
  </si>
  <si>
    <t xml:space="preserve">SUMIFS('[1]Deploy Detail'!$H$225:$H$236,'[1]Deploy Detail'!$E$225:$E$236,M$4,'[1]Deploy Detail'!$D$225:$D$236,"&gt;"&amp;'[1]Deploy Detail'!$B$13)+SUMIFS('[1]Deploy Detail'!$H$239:$H$250,'[1]Deploy Detail'!$E$239:$E$250,M$4,'[1]Deploy Detail'!$D$239:$D$250,"&gt;"&amp;'[1]Deploy Detail'!$B$13)</t>
  </si>
  <si>
    <t xml:space="preserve">N34</t>
  </si>
  <si>
    <t xml:space="preserve">SUMIFS('[1]Deploy Detail'!$H$225:$H$236,'[1]Deploy Detail'!$E$225:$E$236,N$4,'[1]Deploy Detail'!$D$225:$D$236,"&gt;"&amp;'[1]Deploy Detail'!$B$13)+SUMIFS('[1]Deploy Detail'!$H$239:$H$250,'[1]Deploy Detail'!$E$239:$E$250,N$4,'[1]Deploy Detail'!$D$239:$D$250,"&gt;"&amp;'[1]Deploy Detail'!$B$13)</t>
  </si>
  <si>
    <t xml:space="preserve">O34</t>
  </si>
  <si>
    <t xml:space="preserve">SUMIFS('[1]Deploy Detail'!$H$225:$H$236,'[1]Deploy Detail'!$E$225:$E$236,O$4,'[1]Deploy Detail'!$D$225:$D$236,"&gt;"&amp;'[1]Deploy Detail'!$B$13)+SUMIFS('[1]Deploy Detail'!$H$239:$H$250,'[1]Deploy Detail'!$E$239:$E$250,O$4,'[1]Deploy Detail'!$D$239:$D$250,"&gt;"&amp;'[1]Deploy Detail'!$B$13)</t>
  </si>
  <si>
    <t xml:space="preserve">P34</t>
  </si>
  <si>
    <t xml:space="preserve">SUMIFS('[1]Deploy Detail'!$H$225:$H$236,'[1]Deploy Detail'!$E$225:$E$236,P$4,'[1]Deploy Detail'!$D$225:$D$236,"&gt;"&amp;'[1]Deploy Detail'!$B$13)+SUMIFS('[1]Deploy Detail'!$H$239:$H$250,'[1]Deploy Detail'!$E$239:$E$250,P$4,'[1]Deploy Detail'!$D$239:$D$250,"&gt;"&amp;'[1]Deploy Detail'!$B$13)</t>
  </si>
  <si>
    <t xml:space="preserve">Q34</t>
  </si>
  <si>
    <t xml:space="preserve">SUMIFS('[1]Deploy Detail'!$H$225:$H$236,'[1]Deploy Detail'!$E$225:$E$236,Q$4,'[1]Deploy Detail'!$D$225:$D$236,"&gt;"&amp;'[1]Deploy Detail'!$B$13)+SUMIFS('[1]Deploy Detail'!$H$239:$H$250,'[1]Deploy Detail'!$E$239:$E$250,Q$4,'[1]Deploy Detail'!$D$239:$D$250,"&gt;"&amp;'[1]Deploy Detail'!$B$13)</t>
  </si>
  <si>
    <t xml:space="preserve">B35</t>
  </si>
  <si>
    <t xml:space="preserve">B33*([1]Deploy!$B$7+[1]Deploy!$B$14)+B34*[1]Deploy!$B$8</t>
  </si>
  <si>
    <t xml:space="preserve">C35</t>
  </si>
  <si>
    <t xml:space="preserve">C33*([1]Deploy!$B$7+[1]Deploy!$B$14)+C34*[1]Deploy!$B$8</t>
  </si>
  <si>
    <t xml:space="preserve">D35</t>
  </si>
  <si>
    <t xml:space="preserve">D33*([1]Deploy!$B$7+[1]Deploy!$B$14)+D34*[1]Deploy!$B$8</t>
  </si>
  <si>
    <t xml:space="preserve">E35</t>
  </si>
  <si>
    <t xml:space="preserve">E33*([1]Deploy!$B$7+[1]Deploy!$B$14)+E34*[1]Deploy!$B$8</t>
  </si>
  <si>
    <t xml:space="preserve">F35</t>
  </si>
  <si>
    <t xml:space="preserve">F33*([1]Deploy!$B$7+[1]Deploy!$B$14)+F34*[1]Deploy!$B$8</t>
  </si>
  <si>
    <t xml:space="preserve">G35</t>
  </si>
  <si>
    <t xml:space="preserve">G33*([1]Deploy!$B$7+[1]Deploy!$B$14)+G34*[1]Deploy!$B$8</t>
  </si>
  <si>
    <t xml:space="preserve">H35</t>
  </si>
  <si>
    <t xml:space="preserve">H33*([1]Deploy!$B$7+[1]Deploy!$B$14)+H34*[1]Deploy!$B$8</t>
  </si>
  <si>
    <t xml:space="preserve">I35</t>
  </si>
  <si>
    <t xml:space="preserve">I33*([1]Deploy!$B$7+[1]Deploy!$B$14)+I34*[1]Deploy!$B$8</t>
  </si>
  <si>
    <t xml:space="preserve">J35</t>
  </si>
  <si>
    <t xml:space="preserve">J33*([1]Deploy!$B$7+[1]Deploy!$B$14)+J34*[1]Deploy!$B$8</t>
  </si>
  <si>
    <t xml:space="preserve">K35</t>
  </si>
  <si>
    <t xml:space="preserve">K33*([1]Deploy!$B$7+[1]Deploy!$B$14)+K34*[1]Deploy!$B$8</t>
  </si>
  <si>
    <t xml:space="preserve">L35</t>
  </si>
  <si>
    <t xml:space="preserve">L33*([1]Deploy!$B$7+[1]Deploy!$B$14)+L34*[1]Deploy!$B$8</t>
  </si>
  <si>
    <t xml:space="preserve">M35</t>
  </si>
  <si>
    <t xml:space="preserve">M33*([1]Deploy!$B$7+[1]Deploy!$B$14)+M34*[1]Deploy!$B$8</t>
  </si>
  <si>
    <t xml:space="preserve">N35</t>
  </si>
  <si>
    <t xml:space="preserve">N33*([1]Deploy!$B$7+[1]Deploy!$B$14)+N34*[1]Deploy!$B$8</t>
  </si>
  <si>
    <t xml:space="preserve">O35</t>
  </si>
  <si>
    <t xml:space="preserve">O33*([1]Deploy!$B$7+[1]Deploy!$B$14)+O34*[1]Deploy!$B$8</t>
  </si>
  <si>
    <t xml:space="preserve">P35</t>
  </si>
  <si>
    <t xml:space="preserve">P33*([1]Deploy!$B$7+[1]Deploy!$B$14)+P34*[1]Deploy!$B$8</t>
  </si>
  <si>
    <t xml:space="preserve">Q35</t>
  </si>
  <si>
    <t xml:space="preserve">Q33*([1]Deploy!$B$7+[1]Deploy!$B$14)+Q34*[1]Deploy!$B$8</t>
  </si>
  <si>
    <t xml:space="preserve">R35</t>
  </si>
  <si>
    <t xml:space="preserve">R33*([1]Deploy!$B$7+[1]Deploy!$B$14)+R34*[1]Deploy!$B$8</t>
  </si>
  <si>
    <t xml:space="preserve">B38</t>
  </si>
  <si>
    <t xml:space="preserve">'[1]Revenue Roll-up'!D24</t>
  </si>
  <si>
    <t xml:space="preserve">C38</t>
  </si>
  <si>
    <t xml:space="preserve">'[1]Revenue Roll-up'!E24</t>
  </si>
  <si>
    <t xml:space="preserve">D38</t>
  </si>
  <si>
    <t xml:space="preserve">'[1]Revenue Roll-up'!F24</t>
  </si>
  <si>
    <t xml:space="preserve">E38</t>
  </si>
  <si>
    <t xml:space="preserve">'[1]Revenue Roll-up'!G24</t>
  </si>
  <si>
    <t xml:space="preserve">F38</t>
  </si>
  <si>
    <t xml:space="preserve">'[1]Revenue Roll-up'!H24</t>
  </si>
  <si>
    <t xml:space="preserve">G38</t>
  </si>
  <si>
    <t xml:space="preserve">'[1]Revenue Roll-up'!I24</t>
  </si>
  <si>
    <t xml:space="preserve">H38</t>
  </si>
  <si>
    <t xml:space="preserve">'[1]Revenue Roll-up'!J24</t>
  </si>
  <si>
    <t xml:space="preserve">I38</t>
  </si>
  <si>
    <t xml:space="preserve">'[1]Revenue Roll-up'!K24</t>
  </si>
  <si>
    <t xml:space="preserve">J38</t>
  </si>
  <si>
    <t xml:space="preserve">'[1]Revenue Roll-up'!L24</t>
  </si>
  <si>
    <t xml:space="preserve">K38</t>
  </si>
  <si>
    <t xml:space="preserve">'[1]Revenue Roll-up'!M24</t>
  </si>
  <si>
    <t xml:space="preserve">L38</t>
  </si>
  <si>
    <t xml:space="preserve">'[1]Revenue Roll-up'!N24</t>
  </si>
  <si>
    <t xml:space="preserve">M38</t>
  </si>
  <si>
    <t xml:space="preserve">'[1]Revenue Roll-up'!O24</t>
  </si>
  <si>
    <t xml:space="preserve">N38</t>
  </si>
  <si>
    <t xml:space="preserve">'[1]Revenue Roll-up'!P24</t>
  </si>
  <si>
    <t xml:space="preserve">O38</t>
  </si>
  <si>
    <t xml:space="preserve">'[1]Revenue Roll-up'!Q24</t>
  </si>
  <si>
    <t xml:space="preserve">P38</t>
  </si>
  <si>
    <t xml:space="preserve">'[1]Revenue Roll-up'!R24</t>
  </si>
  <si>
    <t xml:space="preserve">Q38</t>
  </si>
  <si>
    <t xml:space="preserve">'[1]Revenue Roll-up'!S24</t>
  </si>
  <si>
    <t xml:space="preserve">R38</t>
  </si>
  <si>
    <t xml:space="preserve">B40</t>
  </si>
  <si>
    <t xml:space="preserve">B39</t>
  </si>
  <si>
    <t xml:space="preserve">'[1]Revenue Roll-up'!D38</t>
  </si>
  <si>
    <t xml:space="preserve">C40</t>
  </si>
  <si>
    <t xml:space="preserve">C39</t>
  </si>
  <si>
    <t xml:space="preserve">'[1]Revenue Roll-up'!E38</t>
  </si>
  <si>
    <t xml:space="preserve">D40</t>
  </si>
  <si>
    <t xml:space="preserve">D39</t>
  </si>
  <si>
    <t xml:space="preserve">'[1]Revenue Roll-up'!F38</t>
  </si>
  <si>
    <t xml:space="preserve">E40</t>
  </si>
  <si>
    <t xml:space="preserve">E39</t>
  </si>
  <si>
    <t xml:space="preserve">'[1]Revenue Roll-up'!G38</t>
  </si>
  <si>
    <t xml:space="preserve">F40</t>
  </si>
  <si>
    <t xml:space="preserve">F39</t>
  </si>
  <si>
    <t xml:space="preserve">'[1]Revenue Roll-up'!H38</t>
  </si>
  <si>
    <t xml:space="preserve">G40</t>
  </si>
  <si>
    <t xml:space="preserve">G39</t>
  </si>
  <si>
    <t xml:space="preserve">'[1]Revenue Roll-up'!I38</t>
  </si>
  <si>
    <t xml:space="preserve">H40</t>
  </si>
  <si>
    <t xml:space="preserve">H39</t>
  </si>
  <si>
    <t xml:space="preserve">'[1]Revenue Roll-up'!J38</t>
  </si>
  <si>
    <t xml:space="preserve">I40</t>
  </si>
  <si>
    <t xml:space="preserve">I39</t>
  </si>
  <si>
    <t xml:space="preserve">'[1]Revenue Roll-up'!K38</t>
  </si>
  <si>
    <t xml:space="preserve">J40</t>
  </si>
  <si>
    <t xml:space="preserve">J39</t>
  </si>
  <si>
    <t xml:space="preserve">'[1]Revenue Roll-up'!L38</t>
  </si>
  <si>
    <t xml:space="preserve">K40</t>
  </si>
  <si>
    <t xml:space="preserve">K39</t>
  </si>
  <si>
    <t xml:space="preserve">'[1]Revenue Roll-up'!M38</t>
  </si>
  <si>
    <t xml:space="preserve">L40</t>
  </si>
  <si>
    <t xml:space="preserve">L39</t>
  </si>
  <si>
    <t xml:space="preserve">'[1]Revenue Roll-up'!N38</t>
  </si>
  <si>
    <t xml:space="preserve">M40</t>
  </si>
  <si>
    <t xml:space="preserve">M39</t>
  </si>
  <si>
    <t xml:space="preserve">'[1]Revenue Roll-up'!O38</t>
  </si>
  <si>
    <t xml:space="preserve">N40</t>
  </si>
  <si>
    <t xml:space="preserve">N39</t>
  </si>
  <si>
    <t xml:space="preserve">'[1]Revenue Roll-up'!P38</t>
  </si>
  <si>
    <t xml:space="preserve">O40</t>
  </si>
  <si>
    <t xml:space="preserve">O39</t>
  </si>
  <si>
    <t xml:space="preserve">'[1]Revenue Roll-up'!Q38</t>
  </si>
  <si>
    <t xml:space="preserve">P40</t>
  </si>
  <si>
    <t xml:space="preserve">P39</t>
  </si>
  <si>
    <t xml:space="preserve">'[1]Revenue Roll-up'!R38</t>
  </si>
  <si>
    <t xml:space="preserve">Q40</t>
  </si>
  <si>
    <t xml:space="preserve">Q39</t>
  </si>
  <si>
    <t xml:space="preserve">'[1]Revenue Roll-up'!S38</t>
  </si>
  <si>
    <t xml:space="preserve">R40</t>
  </si>
  <si>
    <t xml:space="preserve">R39</t>
  </si>
  <si>
    <t xml:space="preserve">'[1]Revenue Roll-up'!U38</t>
  </si>
  <si>
    <t xml:space="preserve">B41</t>
  </si>
  <si>
    <t xml:space="preserve">'[1]Revenue Roll-up'!D40</t>
  </si>
  <si>
    <t xml:space="preserve">C41</t>
  </si>
  <si>
    <t xml:space="preserve">'[1]Revenue Roll-up'!E40</t>
  </si>
  <si>
    <t xml:space="preserve">D41</t>
  </si>
  <si>
    <t xml:space="preserve">'[1]Revenue Roll-up'!F40</t>
  </si>
  <si>
    <t xml:space="preserve">E41</t>
  </si>
  <si>
    <t xml:space="preserve">'[1]Revenue Roll-up'!G40</t>
  </si>
  <si>
    <t xml:space="preserve">F41</t>
  </si>
  <si>
    <t xml:space="preserve">'[1]Revenue Roll-up'!H40</t>
  </si>
  <si>
    <t xml:space="preserve">G41</t>
  </si>
  <si>
    <t xml:space="preserve">'[1]Revenue Roll-up'!I40</t>
  </si>
  <si>
    <t xml:space="preserve">H41</t>
  </si>
  <si>
    <t xml:space="preserve">'[1]Revenue Roll-up'!J40</t>
  </si>
  <si>
    <t xml:space="preserve">I41</t>
  </si>
  <si>
    <t xml:space="preserve">'[1]Revenue Roll-up'!K40</t>
  </si>
  <si>
    <t xml:space="preserve">J41</t>
  </si>
  <si>
    <t xml:space="preserve">'[1]Revenue Roll-up'!L40</t>
  </si>
  <si>
    <t xml:space="preserve">K41</t>
  </si>
  <si>
    <t xml:space="preserve">'[1]Revenue Roll-up'!M40</t>
  </si>
  <si>
    <t xml:space="preserve">L41</t>
  </si>
  <si>
    <t xml:space="preserve">'[1]Revenue Roll-up'!N40</t>
  </si>
  <si>
    <t xml:space="preserve">M41</t>
  </si>
  <si>
    <t xml:space="preserve">'[1]Revenue Roll-up'!O40</t>
  </si>
  <si>
    <t xml:space="preserve">N41</t>
  </si>
  <si>
    <t xml:space="preserve">'[1]Revenue Roll-up'!P40</t>
  </si>
  <si>
    <t xml:space="preserve">O41</t>
  </si>
  <si>
    <t xml:space="preserve">'[1]Revenue Roll-up'!Q40</t>
  </si>
  <si>
    <t xml:space="preserve">P41</t>
  </si>
  <si>
    <t xml:space="preserve">'[1]Revenue Roll-up'!R40</t>
  </si>
  <si>
    <t xml:space="preserve">Q41</t>
  </si>
  <si>
    <t xml:space="preserve">'[1]Revenue Roll-up'!S40</t>
  </si>
  <si>
    <t xml:space="preserve">R41</t>
  </si>
  <si>
    <t xml:space="preserve">'[1]Revenue Roll-up'!U40</t>
  </si>
  <si>
    <t xml:space="preserve">B42</t>
  </si>
  <si>
    <t xml:space="preserve">'[1]Revenue Roll-up'!D45</t>
  </si>
  <si>
    <t xml:space="preserve">C42</t>
  </si>
  <si>
    <t xml:space="preserve">'[1]Revenue Roll-up'!E45</t>
  </si>
  <si>
    <t xml:space="preserve">D42</t>
  </si>
  <si>
    <t xml:space="preserve">'[1]Revenue Roll-up'!F45</t>
  </si>
  <si>
    <t xml:space="preserve">E42</t>
  </si>
  <si>
    <t xml:space="preserve">'[1]Revenue Roll-up'!G45</t>
  </si>
  <si>
    <t xml:space="preserve">F42</t>
  </si>
  <si>
    <t xml:space="preserve">'[1]Revenue Roll-up'!H45</t>
  </si>
  <si>
    <t xml:space="preserve">G42</t>
  </si>
  <si>
    <t xml:space="preserve">'[1]Revenue Roll-up'!I45</t>
  </si>
  <si>
    <t xml:space="preserve">H42</t>
  </si>
  <si>
    <t xml:space="preserve">'[1]Revenue Roll-up'!J45</t>
  </si>
  <si>
    <t xml:space="preserve">I42</t>
  </si>
  <si>
    <t xml:space="preserve">'[1]Revenue Roll-up'!K45</t>
  </si>
  <si>
    <t xml:space="preserve">J42</t>
  </si>
  <si>
    <t xml:space="preserve">'[1]Revenue Roll-up'!L45</t>
  </si>
  <si>
    <t xml:space="preserve">K42</t>
  </si>
  <si>
    <t xml:space="preserve">'[1]Revenue Roll-up'!M45</t>
  </si>
  <si>
    <t xml:space="preserve">L42</t>
  </si>
  <si>
    <t xml:space="preserve">'[1]Revenue Roll-up'!N45</t>
  </si>
  <si>
    <t xml:space="preserve">M42</t>
  </si>
  <si>
    <t xml:space="preserve">'[1]Revenue Roll-up'!O45</t>
  </si>
  <si>
    <t xml:space="preserve">N42</t>
  </si>
  <si>
    <t xml:space="preserve">'[1]Revenue Roll-up'!P45</t>
  </si>
  <si>
    <t xml:space="preserve">O42</t>
  </si>
  <si>
    <t xml:space="preserve">'[1]Revenue Roll-up'!Q45</t>
  </si>
  <si>
    <t xml:space="preserve">P42</t>
  </si>
  <si>
    <t xml:space="preserve">'[1]Revenue Roll-up'!R45</t>
  </si>
  <si>
    <t xml:space="preserve">Q42</t>
  </si>
  <si>
    <t xml:space="preserve">'[1]Revenue Roll-up'!S45</t>
  </si>
  <si>
    <t xml:space="preserve">R42</t>
  </si>
  <si>
    <t xml:space="preserve">A45</t>
  </si>
  <si>
    <t xml:space="preserve">A44</t>
  </si>
  <si>
    <t xml:space="preserve">"1. Timing: bookings go live "&amp;'[1]Deploy Detail'!B8&amp;" months after booking (new logos &amp; expansion); units are built "&amp;[1]Deploy!B16&amp;" months before go-live."</t>
  </si>
  <si>
    <t xml:space="preserve">1. Timing: bookings go live 3 months after booking (new logos &amp; expansion); units are built 2 months before go-live.</t>
  </si>
  <si>
    <t xml:space="preserve">A46</t>
  </si>
  <si>
    <t xml:space="preserve">"2. Deal size: new-logo deal = "&amp;[1]Deploy!B18&amp;" SlipLifts + "&amp;[1]Deploy!B19&amp;" SlipTrays ("&amp;TEXT('[1]New Sales'!B8,"$#,##0")&amp;"); expansion deal = "&amp;[1]Deploy!B20&amp;" SlipLifts + "&amp;[1]Deploy!B21&amp;" SlipTrays ("&amp;TEXT([1]Expansion!B11,"$#,##0")&amp;"). Deal counts are whole numbers."</t>
  </si>
  <si>
    <t xml:space="preserve">2. Deal size: new-logo deal = 4 SlipLifts + 12 SlipTrays ($316,000); expansion deal = 2 SlipLifts + 25 SlipTrays ($215,000). Deal counts are whole numbers.</t>
  </si>
  <si>
    <t xml:space="preserve">A47</t>
  </si>
  <si>
    <t xml:space="preserve">"3. Unit cost (CapEx): SlipLift "&amp;TEXT([1]Deploy!B7,"$#,##0")&amp;" + "&amp;TEXT([1]Deploy!B14,"$#,##0")&amp;" peripherals, SlipTray "&amp;TEXT([1]Deploy!B8,"$#,##0")&amp;", SlipBot "&amp;TEXT([1]Deploy!B6,"$#,##0")&amp;". Freight "&amp;TEXT([1]Deploy!B15,"$#,##0")&amp;" per deployment (expensed)."</t>
  </si>
  <si>
    <t xml:space="preserve">3. Unit cost (CapEx): SlipLift $65,000 + $4,138 peripherals, SlipTray $8,000, SlipBot $36,000. Freight $5,000 per deployment (expensed).</t>
  </si>
  <si>
    <t xml:space="preserve">A48</t>
  </si>
  <si>
    <t xml:space="preserve">"4. SlipBots: "&amp;IF([1]Deploy!B17="Y","none are built – returned/existing bots are redeployed (incl. the Meli bridge bots).","built per deployments.")&amp;" Only contracts flagged 'New production = Yes' create deployments and production."</t>
  </si>
  <si>
    <t xml:space="preserve">4. SlipBots: none are built – returned/existing bots are redeployed (incl. the Meli bridge bots). Only contracts flagged 'New production = Yes' create deployments and production.</t>
  </si>
  <si>
    <t xml:space="preserve">A49</t>
  </si>
  <si>
    <t xml:space="preserve">"5. Sep–Dec 26 bookings include unsigned forecast of "&amp;TEXT(SUMIFS('[1]2026 Exist New'!$P$9:$P$50,'[1]2026 Exist New'!$D$9:$D$50,"Forecast (unsigned)"),"$#,##0")&amp;" (Arconic + placeholders) at 100%; bookings are gross ACV."</t>
  </si>
  <si>
    <t xml:space="preserve">5. Sep–Dec 26 bookings include unsigned forecast of $2,264,000 (Arconic + placeholders) at 100%; bookings are gross ACV.</t>
  </si>
  <si>
    <t xml:space="preserve">Total COO Departments</t>
  </si>
  <si>
    <t xml:space="preserve">2026 Actuals/Forecast &amp; 2027 Budget</t>
  </si>
  <si>
    <t xml:space="preserve">Actual</t>
  </si>
  <si>
    <t xml:space="preserve">Forecast</t>
  </si>
  <si>
    <t xml:space="preserve">Budget</t>
  </si>
  <si>
    <t xml:space="preserve">YOY</t>
  </si>
  <si>
    <t xml:space="preserve"> </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</si>
  <si>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</si>
  <si>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</si>
  <si>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</si>
  <si>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</si>
  <si>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</si>
  <si>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</si>
  <si>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</si>
  <si>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</si>
  <si>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</si>
  <si>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</si>
  <si>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</si>
  <si>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</si>
  <si>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 Total Rev</t>
  </si>
  <si>
    <t xml:space="preserve">2027</t>
  </si>
  <si>
    <t xml:space="preserve">Fav / (Unfav)</t>
  </si>
  <si>
    <t xml:space="preserve">Ordinary Income/Expense</t>
  </si>
  <si>
    <t xml:space="preserve">Income</t>
  </si>
  <si>
    <t xml:space="preserve">4000 - Sales</t>
  </si>
  <si>
    <t xml:space="preserve">4100 - Subscription/Platform Fees</t>
  </si>
  <si>
    <t xml:space="preserve">4500 - Implementation Fees</t>
  </si>
  <si>
    <t xml:space="preserve">Total - 4000 - Sales</t>
  </si>
  <si>
    <t xml:space="preserve">4900 - One-Time Revenue</t>
  </si>
  <si>
    <t xml:space="preserve">Total - Income</t>
  </si>
  <si>
    <t xml:space="preserve">Cost Of Sales</t>
  </si>
  <si>
    <t xml:space="preserve">5000 - Robot Production and Deployment</t>
  </si>
  <si>
    <t xml:space="preserve">5010 - SlipBot Depreciation</t>
  </si>
  <si>
    <t xml:space="preserve">5011 - SlipLift Depreciation</t>
  </si>
  <si>
    <t xml:space="preserve">5012 - SlipCarrier Depreciation</t>
  </si>
  <si>
    <t xml:space="preserve">5020 - Robot Peripherals Depreciation</t>
  </si>
  <si>
    <t xml:space="preserve">5025 - Freight and Delivery - Production (Summary)</t>
  </si>
  <si>
    <t xml:space="preserve">5026 - Freight and Delivery - Production - Expedited</t>
  </si>
  <si>
    <t xml:space="preserve">5027 - Freight and Delivery - Production - Standard</t>
  </si>
  <si>
    <t xml:space="preserve">Total - 5025 - Freight and Delivery - Production (Summary)</t>
  </si>
  <si>
    <t xml:space="preserve">5030 - Production Tools and Supplies</t>
  </si>
  <si>
    <t xml:space="preserve">5040 - Freight &amp; Delivery - Deployment</t>
  </si>
  <si>
    <t xml:space="preserve">5050 - Travel - Deployment</t>
  </si>
  <si>
    <t xml:space="preserve">5060 - Meals - Deployment</t>
  </si>
  <si>
    <t xml:space="preserve">5100 - Labor Expense - Production</t>
  </si>
  <si>
    <t xml:space="preserve">5110 - Salaries and Wages - Production</t>
  </si>
  <si>
    <t xml:space="preserve">5130 - Payroll Taxes - Production</t>
  </si>
  <si>
    <t xml:space="preserve">5140 - Benefits - Production</t>
  </si>
  <si>
    <t xml:space="preserve">Total - 5100 - Labor Expense - Production</t>
  </si>
  <si>
    <t xml:space="preserve">Total - 5000 - Robot Production and Deployment</t>
  </si>
  <si>
    <t xml:space="preserve">5015 - Supplies and Materials</t>
  </si>
  <si>
    <t xml:space="preserve">5028 - Duties &amp; Tariffs - Production</t>
  </si>
  <si>
    <t xml:space="preserve">5029 - Processing Fee - Production</t>
  </si>
  <si>
    <t xml:space="preserve">5070 - Scrap</t>
  </si>
  <si>
    <t xml:space="preserve">5201 - Inventory Adjustments</t>
  </si>
  <si>
    <t xml:space="preserve">5300 - Maintenance</t>
  </si>
  <si>
    <t xml:space="preserve">5310 - Contractors - Field</t>
  </si>
  <si>
    <t xml:space="preserve">5320 - Freight &amp; Delivery - Maintenance</t>
  </si>
  <si>
    <t xml:space="preserve">5330 - Maintenance Tools and Supplies</t>
  </si>
  <si>
    <t xml:space="preserve">5340 - Spare Parts</t>
  </si>
  <si>
    <t xml:space="preserve">5350 - Warehouse</t>
  </si>
  <si>
    <t xml:space="preserve">5360 - Travel - Maintenance</t>
  </si>
  <si>
    <t xml:space="preserve">5370 - Meals - Maintenance</t>
  </si>
  <si>
    <t xml:space="preserve">5500 - Labor Expense - Field Operations</t>
  </si>
  <si>
    <t xml:space="preserve">5510 - :Salaries and Wages - Field Operations</t>
  </si>
  <si>
    <t xml:space="preserve">5530 - :Payroll Taxes - Field Operations</t>
  </si>
  <si>
    <t xml:space="preserve">5540 - :Benefits - Field Operations</t>
  </si>
  <si>
    <t xml:space="preserve">Total - 5500 - Labor Expense - Field Operations</t>
  </si>
  <si>
    <t xml:space="preserve">Total - 5300 - Maintenance</t>
  </si>
  <si>
    <t xml:space="preserve">5900 - Other COGS</t>
  </si>
  <si>
    <t xml:space="preserve">5920 - Software - COGS</t>
  </si>
  <si>
    <t xml:space="preserve">5950 - Certification Expense</t>
  </si>
  <si>
    <t xml:space="preserve">5980 - Employee Meals</t>
  </si>
  <si>
    <t xml:space="preserve">Total - 5900 - Other COGS</t>
  </si>
  <si>
    <t xml:space="preserve">5990 - Purchase Discounts</t>
  </si>
  <si>
    <t xml:space="preserve">Total - Cost Of Sales</t>
  </si>
  <si>
    <t xml:space="preserve">Expense</t>
  </si>
  <si>
    <t xml:space="preserve">6000 - Labor Expense - SG&amp;A</t>
  </si>
  <si>
    <t xml:space="preserve">6610 - Salaries and Wages - SG&amp;A</t>
  </si>
  <si>
    <t xml:space="preserve">6630 - Payroll Taxes - SG&amp;A</t>
  </si>
  <si>
    <t xml:space="preserve">6640 - Benefits - SG&amp;A</t>
  </si>
  <si>
    <t xml:space="preserve">6650 - Commissions - SG&amp;A</t>
  </si>
  <si>
    <t xml:space="preserve">6660 - Recruiting</t>
  </si>
  <si>
    <t xml:space="preserve">6670 - Stock Compensation Expense</t>
  </si>
  <si>
    <t xml:space="preserve">Total - 6000 - Labor Expense - SG&amp;A</t>
  </si>
  <si>
    <t xml:space="preserve">6100 - Travel</t>
  </si>
  <si>
    <t xml:space="preserve">6110 - Travel Meals</t>
  </si>
  <si>
    <t xml:space="preserve">6120 - Meals and Entertainment</t>
  </si>
  <si>
    <t xml:space="preserve">6200 - Advertising</t>
  </si>
  <si>
    <t xml:space="preserve">6210 - Marketing Expense</t>
  </si>
  <si>
    <t xml:space="preserve">6220 - Trade Shows</t>
  </si>
  <si>
    <t xml:space="preserve">6400 - Memberships and Subscriptions</t>
  </si>
  <si>
    <t xml:space="preserve">6500 - Demos</t>
  </si>
  <si>
    <t xml:space="preserve">6510 - Storage Facilities - Demos</t>
  </si>
  <si>
    <t xml:space="preserve">6520 - Truck Rental - Demos</t>
  </si>
  <si>
    <t xml:space="preserve">6530 - Other Demo Expense</t>
  </si>
  <si>
    <t xml:space="preserve">6540 - Travel - Demos</t>
  </si>
  <si>
    <t xml:space="preserve">6550 - Meals - Demos</t>
  </si>
  <si>
    <t xml:space="preserve">Total - 6500 - Demos</t>
  </si>
  <si>
    <t xml:space="preserve">7000 - Professional Fees</t>
  </si>
  <si>
    <t xml:space="preserve">7050 - Education</t>
  </si>
  <si>
    <t xml:space="preserve">7100 - Legal Expense</t>
  </si>
  <si>
    <t xml:space="preserve">7200 - Contractors</t>
  </si>
  <si>
    <t xml:space="preserve">7300 - R&amp;D Expense</t>
  </si>
  <si>
    <t xml:space="preserve">7500 - Facility Expenses</t>
  </si>
  <si>
    <t xml:space="preserve">7510 - Custodial</t>
  </si>
  <si>
    <t xml:space="preserve">7550 - Tools and Equipment</t>
  </si>
  <si>
    <t xml:space="preserve">7600 - Freight &amp; Delivery</t>
  </si>
  <si>
    <t xml:space="preserve">7610 - Duties &amp; Tariffs - Other</t>
  </si>
  <si>
    <t xml:space="preserve">7700 - Inventory Obsolescence-old</t>
  </si>
  <si>
    <t xml:space="preserve">8100 - Technology</t>
  </si>
  <si>
    <t xml:space="preserve">8200 - Building Rent or Lease</t>
  </si>
  <si>
    <t xml:space="preserve">8250 - Equipment/Vehicle Rentals</t>
  </si>
  <si>
    <t xml:space="preserve">8300 - Office Expenses</t>
  </si>
  <si>
    <t xml:space="preserve">8400 - Office Equipment and Small Furniture</t>
  </si>
  <si>
    <t xml:space="preserve">8450 - Postage &amp; Shipping</t>
  </si>
  <si>
    <t xml:space="preserve">8500 - Commercial Insurance</t>
  </si>
  <si>
    <t xml:space="preserve">8600 - Repairs and Maintenance</t>
  </si>
  <si>
    <t xml:space="preserve">8700 - Utilities and Telecom Expense</t>
  </si>
  <si>
    <t xml:space="preserve">8800 - Bank Charges</t>
  </si>
  <si>
    <t xml:space="preserve">8810 - Processing Fee - Other</t>
  </si>
  <si>
    <t xml:space="preserve">8900 - Payroll Fees</t>
  </si>
  <si>
    <t xml:space="preserve">8950 - Financing Taxes</t>
  </si>
  <si>
    <t xml:space="preserve">8955 - Other Taxes and Licenses</t>
  </si>
  <si>
    <t xml:space="preserve">8960 - Bad Debts</t>
  </si>
  <si>
    <t xml:space="preserve">8995 - Miscellaneous Expense</t>
  </si>
  <si>
    <t xml:space="preserve">9999 - Uncategorized Expenses</t>
  </si>
  <si>
    <t xml:space="preserve">Total - Expense</t>
  </si>
  <si>
    <t xml:space="preserve">Net Ordinary Income</t>
  </si>
  <si>
    <t xml:space="preserve">Other Income and Expenses</t>
  </si>
  <si>
    <t xml:space="preserve">Other Income</t>
  </si>
  <si>
    <t xml:space="preserve">9100 - Interest Earned</t>
  </si>
  <si>
    <t xml:space="preserve">9150 - Other Income</t>
  </si>
  <si>
    <t xml:space="preserve">Total - Other Income</t>
  </si>
  <si>
    <t xml:space="preserve">Other Expense</t>
  </si>
  <si>
    <t xml:space="preserve">9200 - Cash Sweep Fees</t>
  </si>
  <si>
    <t xml:space="preserve">9300 - Interest Expense</t>
  </si>
  <si>
    <t xml:space="preserve">9401 - Depreciation Expenses</t>
  </si>
  <si>
    <t xml:space="preserve">9450 - Loss on Disposal of Fixed Assets</t>
  </si>
  <si>
    <t xml:space="preserve">9600 - Income Tax Expense</t>
  </si>
  <si>
    <t xml:space="preserve">9710 - Rounding Gain/Loss</t>
  </si>
  <si>
    <t xml:space="preserve">Total - Other Expense</t>
  </si>
  <si>
    <t xml:space="preserve">Net Other Income</t>
  </si>
  <si>
    <t xml:space="preserve">check</t>
  </si>
  <si>
    <t xml:space="preserve">Salaries and Wages</t>
  </si>
  <si>
    <t xml:space="preserve">Commissions</t>
  </si>
  <si>
    <t xml:space="preserve">Payroll Taxes</t>
  </si>
  <si>
    <t xml:space="preserve">Benefits</t>
  </si>
  <si>
    <t xml:space="preserve">Taxes and Benefits % of Salaries, Wages &amp; Commissions</t>
  </si>
  <si>
    <t xml:space="preserve">Field Operations</t>
  </si>
  <si>
    <t xml:space="preserve">Annual Input</t>
  </si>
  <si>
    <t xml:space="preserve">Input Method</t>
  </si>
  <si>
    <t xml:space="preserve">"Even" spread</t>
  </si>
  <si>
    <t xml:space="preserve">Growth %</t>
  </si>
  <si>
    <t xml:space="preserve">Even</t>
  </si>
  <si>
    <t xml:space="preserve">Manual</t>
  </si>
  <si>
    <t xml:space="preserve">Production Operations</t>
  </si>
  <si>
    <t xml:space="preserve">Notes</t>
  </si>
  <si>
    <t xml:space="preserve">v3: = DeploySum!F40:Q40 recognized revenue Jan-Dec 27 (9/30/26 file row 39). Orchestrator assumption: all to 4100; 4500/4900 stay 0.</t>
  </si>
  <si>
    <t xml:space="preserve">v3: from 'Depreciation Schedule' row 79 (straight-line; see inputs).</t>
  </si>
  <si>
    <t xml:space="preserve">v3: from 'Depreciation Schedule' row 80 (straight-line; see inputs).</t>
  </si>
  <si>
    <t xml:space="preserve">v3: from 'Depreciation Schedule' row 81 (straight-line; see inputs).</t>
  </si>
  <si>
    <t xml:space="preserve">v3: from 'Depreciation Schedule' row 82 (straight-line; see inputs).</t>
  </si>
  <si>
    <t xml:space="preserve">Additional funds added to Jan for new building set up</t>
  </si>
  <si>
    <t xml:space="preserve">Does this live in production or field?</t>
  </si>
  <si>
    <t xml:space="preserve">Jan increase for new production line set up</t>
  </si>
  <si>
    <t xml:space="preserve">YOY Growth</t>
  </si>
  <si>
    <t xml:space="preserve">Should this be in a different cost center?</t>
  </si>
  <si>
    <t xml:space="preserve">New Building management</t>
  </si>
  <si>
    <t xml:space="preserve">Finance expectations?</t>
  </si>
  <si>
    <t xml:space="preserve">Additional Fork Lift?</t>
  </si>
  <si>
    <t xml:space="preserve">New Building expenses?</t>
  </si>
  <si>
    <t xml:space="preserve">Scale Ramp</t>
  </si>
  <si>
    <t xml:space="preserve">Central Operations</t>
  </si>
  <si>
    <t xml:space="preserve">Field Engineering</t>
  </si>
  <si>
    <t xml:space="preserve">Production Engineering</t>
  </si>
  <si>
    <t xml:space="preserve">Is this where AE will live?</t>
  </si>
  <si>
    <t xml:space="preserve">2027 Production &amp; Deployment Plan — Summary for COO</t>
  </si>
  <si>
    <t xml:space="preserve">FY2027</t>
  </si>
  <si>
    <t xml:space="preserve">BOOKINGS</t>
  </si>
  <si>
    <t xml:space="preserve">New logos – deals booked (#)</t>
  </si>
  <si>
    <t xml:space="preserve">Expansion – deals booked (#)</t>
  </si>
  <si>
    <t xml:space="preserve">Existing &amp; forecast contracts – booked (#)</t>
  </si>
  <si>
    <t xml:space="preserve">Total bookings (#)</t>
  </si>
  <si>
    <t xml:space="preserve">DEPLOYMENTS (deals going live)</t>
  </si>
  <si>
    <t xml:space="preserve">SlipLift deployments (#)</t>
  </si>
  <si>
    <t xml:space="preserve">SlipBot deployments (#)</t>
  </si>
  <si>
    <t xml:space="preserve">Total deployments (#)</t>
  </si>
  <si>
    <t xml:space="preserve">SlipLifts going live (units)</t>
  </si>
  <si>
    <t xml:space="preserve">SlipTrays going live (units)</t>
  </si>
  <si>
    <t xml:space="preserve">SlipBots going live (units)</t>
  </si>
  <si>
    <t xml:space="preserve">PRODUCTION (units to build, by production month)</t>
  </si>
  <si>
    <t xml:space="preserve">SlipLifts to build</t>
  </si>
  <si>
    <t xml:space="preserve">SlipTrays to build</t>
  </si>
  <si>
    <t xml:space="preserve">SlipBots to build</t>
  </si>
  <si>
    <t xml:space="preserve">SlipLifts – avg per week (units ÷ weeks in month)</t>
  </si>
  <si>
    <t xml:space="preserve">SlipTrays – avg per week (units ÷ weeks in month)</t>
  </si>
  <si>
    <t xml:space="preserve">OF WHICH (already included in the production lines above): builds in Nov/Dec-27 for Q1-28 go-lives from Q4-27 bookings</t>
  </si>
  <si>
    <t xml:space="preserve">SlipLifts built for 2028 go-lives</t>
  </si>
  <si>
    <t xml:space="preserve">SlipTrays built for 2028 go-lives</t>
  </si>
  <si>
    <t xml:space="preserve">OTHER CONTEXT</t>
  </si>
  <si>
    <t xml:space="preserve">KEY ASSUMPTIONS &amp; NOTES</t>
  </si>
  <si>
    <t xml:space="preserve">6. Production includes Nov/Dec-27 builds for Jan–Feb 28 go-lives from Q4-27 bookings (the 'of which' lines). </t>
  </si>
  <si>
    <t xml:space="preserve">DEPLOYMENT SPLIT – NEW LOGOS vs EXPANSION (deals going live, by go-live month)</t>
  </si>
  <si>
    <t xml:space="preserve">Month</t>
  </si>
  <si>
    <t xml:space="preserve">New logos – deployments (#) (incl. 2026 Exist New 'New Logo' rows)</t>
  </si>
  <si>
    <t xml:space="preserve">   SlipLifts going live (units)</t>
  </si>
  <si>
    <t xml:space="preserve">   SlipTrays going live (units)</t>
  </si>
  <si>
    <t xml:space="preserve">Expansion – deployments (#)</t>
  </si>
  <si>
    <t xml:space="preserve">Existing &amp; forecast contracts – deployments (#) (excl. 'New Logo' rows)</t>
  </si>
  <si>
    <t xml:space="preserve">   SlipBots going live (units)</t>
  </si>
  <si>
    <t xml:space="preserve">New logos – % of deployments</t>
  </si>
  <si>
    <t xml:space="preserve">Expansion – % of deployments</t>
  </si>
  <si>
    <t xml:space="preserve">Tie-out to Total deployments (row 18): OK</t>
  </si>
  <si>
    <t xml:space="preserve">v3 CHECK (added by the collation build): deployment rows 16-21 vs split rows 54-64 (0 = ties)</t>
  </si>
  <si>
    <t xml:space="preserve">Row 16+17 deployments − (rows 54+57+60)</t>
  </si>
  <si>
    <t xml:space="preserve">Row 18 total deployments − row 64</t>
  </si>
  <si>
    <t xml:space="preserve">Row 19 SlipLifts going live − (rows 55+58+61)</t>
  </si>
  <si>
    <t xml:space="preserve">Row 20 SlipTrays going live − (rows 56+59+62)</t>
  </si>
  <si>
    <t xml:space="preserve">Row 21 SlipBots going live − row 63</t>
  </si>
  <si>
    <t xml:space="preserve">Row 17 SlipBot deployments (memo; no split row - must be 0 for row 16 to tie alone)</t>
  </si>
  <si>
    <t xml:space="preserve">Depreciation Schedule - 2027 budget (added in collation build v3)</t>
  </si>
  <si>
    <t xml:space="preserve">Straight-line, no salvage. Yellow cells are inputs. Section 4 feeds PO rows 19-22 (U:AF), which roll into COO P&amp;L. Sections 5-7 are memo checks and do not feed the budget.</t>
  </si>
  <si>
    <t xml:space="preserve">1. INPUTS</t>
  </si>
  <si>
    <t xml:space="preserve">Input</t>
  </si>
  <si>
    <t xml:space="preserve">Value</t>
  </si>
  <si>
    <t xml:space="preserve">Unit</t>
  </si>
  <si>
    <t xml:space="preserve">Source / status</t>
  </si>
  <si>
    <t xml:space="preserve">SlipLift unit cost ($ per lift)</t>
  </si>
  <si>
    <t xml:space="preserve">$</t>
  </si>
  <si>
    <t xml:space="preserve">DeploySum!A46 (note 3, 9/30/26 file A46): 'SlipLift $65,000'. Stated in the source.</t>
  </si>
  <si>
    <t xml:space="preserve">SlipLift peripherals ($ per lift)</t>
  </si>
  <si>
    <t xml:space="preserve">Derived: (FY27 CapEx DeploySum!R29 − SlipTrays to build R25 × tray cost) ÷ SlipLifts to build R24 − lift cost = 4,137.50. Note 3 shows '$4,138' because its TEXT format rounds to whole dollars. Reconciles every month (section 6).</t>
  </si>
  <si>
    <t xml:space="preserve">SlipTray unit cost ($ per tray)</t>
  </si>
  <si>
    <t xml:space="preserve">DeploySum!A46 (note 3): 'SlipTray $8,000'. Stated in the source.</t>
  </si>
  <si>
    <t xml:space="preserve">SlipLift useful life (months)</t>
  </si>
  <si>
    <t xml:space="preserve">months</t>
  </si>
  <si>
    <t xml:space="preserve">User-confirmed 2026-10-09: 7 years, straight-line.</t>
  </si>
  <si>
    <t xml:space="preserve">SlipTray useful life (months)</t>
  </si>
  <si>
    <t xml:space="preserve">User-confirmed 2026-10-09: 10 years, straight-line.</t>
  </si>
  <si>
    <t xml:space="preserve">SlipLift peripherals useful life (months)</t>
  </si>
  <si>
    <t xml:space="preserve">Builder assumption: same life as the SlipLift (no life given for peripherals). User to confirm.</t>
  </si>
  <si>
    <t xml:space="preserve">Salvage value (% of cost)</t>
  </si>
  <si>
    <t xml:space="preserve">%</t>
  </si>
  <si>
    <t xml:space="preserve">Brief v3 / user: no salvage value.</t>
  </si>
  <si>
    <t xml:space="preserve">Depreciation start: months after the go-live month</t>
  </si>
  <si>
    <t xml:space="preserve">Brief v3 convention (labelled, user may change): 0 = full month of depreciation in the go-live month (DeploySum rows 19/20); 1 = start the month after go-live.</t>
  </si>
  <si>
    <t xml:space="preserve">GL - SlipLift</t>
  </si>
  <si>
    <t xml:space="preserve">GL</t>
  </si>
  <si>
    <t xml:space="preserve">User-confirmed (handoff): SlipLift -&gt; 5011 SlipLift Depreciation (PO row 20).</t>
  </si>
  <si>
    <t xml:space="preserve">GL - SlipTray</t>
  </si>
  <si>
    <t xml:space="preserve">User-confirmed 2026-10-09 ('Trays = carriers'): SlipTray -&gt; 5012 SlipCarrier Depreciation (PO row 21).</t>
  </si>
  <si>
    <t xml:space="preserve">GL - SlipLift peripherals</t>
  </si>
  <si>
    <t xml:space="preserve">Builder assumption: 5020 Robot Peripherals Depreciation (PO row 22), because PO's 2026 forecast books 5011 at exactly $65,000/84 per lift, i.e. without peripherals. Alternative: 5011. User to confirm.</t>
  </si>
  <si>
    <t xml:space="preserve">Oct-Dec 26 go-lives (DeploySum C19:E20)</t>
  </si>
  <si>
    <t xml:space="preserve">In run rate</t>
  </si>
  <si>
    <t xml:space="preserve">text</t>
  </si>
  <si>
    <t xml:space="preserve">Decision: NOT added explicitly; they are carried inside the PO Dec-26 run rate (section 2), which steps up for Q4-26 go-lives. Never both. Unit-count gap vs DeploySum is shown as a memo in section 5.</t>
  </si>
  <si>
    <t xml:space="preserve">2. EXISTING FLEET (in service before Jan-27): Dec-26 monthly run rate from PO 2026 forecast, carried flat</t>
  </si>
  <si>
    <t xml:space="preserve">Value ($/month)</t>
  </si>
  <si>
    <t xml:space="preserve">5010 - SlipBot Depreciation - existing fleet, Dec-26 run rate</t>
  </si>
  <si>
    <t xml:space="preserve">PO!M19 (Dec-26 forecast; J:M flat at this value). SlipBot fleet status - fully depreciated, retired or ongoing - is not in the workbook: USER TO CONFIRM. DeploySum note 4: no SlipBots are built; existing bots are redeployed.</t>
  </si>
  <si>
    <t xml:space="preserve">5011 - SlipLift Depreciation - existing fleet, Dec-26 run rate</t>
  </si>
  <si>
    <t xml:space="preserve">PO!M20 (Dec-26 forecast). Includes the PO forecast's Q4-26 step-ups (+9, +3, +3 lifts at $65,000/84).</t>
  </si>
  <si>
    <t xml:space="preserve">5012 - SlipCarrier Depreciation - existing fleet, Dec-26 run rate</t>
  </si>
  <si>
    <t xml:space="preserve">PO!M21 (Dec-26 forecast). Includes the PO forecast's Q4-26 step-ups (+29, +12, +12 trays at $8,000/120).</t>
  </si>
  <si>
    <t xml:space="preserve">5020 - Robot Peripherals Depreciation - existing fleet, Dec-26 run rate</t>
  </si>
  <si>
    <t xml:space="preserve">PO!M22 (Dec-26 forecast). Q4-26 step-ups (+2,608.33, +1,025, +1,025) do not match DeploySum peripherals; basis unknown.</t>
  </si>
  <si>
    <t xml:space="preserve">3. MONTHLY CALCULATION (2027)</t>
  </si>
  <si>
    <t xml:space="preserve">Go-live month #</t>
  </si>
  <si>
    <t xml:space="preserve">Units</t>
  </si>
  <si>
    <t xml:space="preserve">$/month per row</t>
  </si>
  <si>
    <t xml:space="preserve">Source / formula</t>
  </si>
  <si>
    <t xml:space="preserve">Month # (Jan-27 = 1)</t>
  </si>
  <si>
    <t xml:space="preserve">DeploySum!F19:Q19 (9/30/26 file row 19); FY check vs DeploySum!R19</t>
  </si>
  <si>
    <t xml:space="preserve">DeploySum!F20:Q20 (9/30/26 file row 20); FY check vs DeploySum!R20</t>
  </si>
  <si>
    <t xml:space="preserve">Existing fleet (section 2), flat</t>
  </si>
  <si>
    <t xml:space="preserve">Section 2 input B21, every month</t>
  </si>
  <si>
    <t xml:space="preserve">Section 2 input B22, every month</t>
  </si>
  <si>
    <t xml:space="preserve">Section 2 input B23, every month</t>
  </si>
  <si>
    <t xml:space="preserve">Section 2 input B24, every month</t>
  </si>
  <si>
    <t xml:space="preserve">New SlipLifts (2027 go-lives): one row per go-live month</t>
  </si>
  <si>
    <t xml:space="preserve">SlipLift - go-live Jan-27</t>
  </si>
  <si>
    <t xml:space="preserve">Units x cost x (1 - salvage) / life; on from go-live month + start delay; GL from inputs</t>
  </si>
  <si>
    <t xml:space="preserve">SlipLift - go-live Feb-27</t>
  </si>
  <si>
    <t xml:space="preserve">SlipLift - go-live Mar-27</t>
  </si>
  <si>
    <t xml:space="preserve">SlipLift - go-live Apr-27</t>
  </si>
  <si>
    <t xml:space="preserve">SlipLift - go-live May-27</t>
  </si>
  <si>
    <t xml:space="preserve">SlipLift - go-live Jun-27</t>
  </si>
  <si>
    <t xml:space="preserve">SlipLift - go-live Jul-27</t>
  </si>
  <si>
    <t xml:space="preserve">SlipLift - go-live Aug-27</t>
  </si>
  <si>
    <t xml:space="preserve">SlipLift - go-live Sep-27</t>
  </si>
  <si>
    <t xml:space="preserve">SlipLift - go-live Oct-27</t>
  </si>
  <si>
    <t xml:space="preserve">SlipLift - go-live Nov-27</t>
  </si>
  <si>
    <t xml:space="preserve">SlipLift - go-live Dec-27</t>
  </si>
  <si>
    <t xml:space="preserve">New SlipTrays (2027 go-lives): one row per go-live month</t>
  </si>
  <si>
    <t xml:space="preserve">SlipTray - go-live Jan-27</t>
  </si>
  <si>
    <t xml:space="preserve">SlipTray - go-live Feb-27</t>
  </si>
  <si>
    <t xml:space="preserve">SlipTray - go-live Mar-27</t>
  </si>
  <si>
    <t xml:space="preserve">SlipTray - go-live Apr-27</t>
  </si>
  <si>
    <t xml:space="preserve">SlipTray - go-live May-27</t>
  </si>
  <si>
    <t xml:space="preserve">SlipTray - go-live Jun-27</t>
  </si>
  <si>
    <t xml:space="preserve">SlipTray - go-live Jul-27</t>
  </si>
  <si>
    <t xml:space="preserve">SlipTray - go-live Aug-27</t>
  </si>
  <si>
    <t xml:space="preserve">SlipTray - go-live Sep-27</t>
  </si>
  <si>
    <t xml:space="preserve">SlipTray - go-live Oct-27</t>
  </si>
  <si>
    <t xml:space="preserve">SlipTray - go-live Nov-27</t>
  </si>
  <si>
    <t xml:space="preserve">SlipTray - go-live Dec-27</t>
  </si>
  <si>
    <t xml:space="preserve">New SlipLift peripherals (same units as SlipLifts)</t>
  </si>
  <si>
    <t xml:space="preserve">SlipLift peripherals - go-live Jan-27</t>
  </si>
  <si>
    <t xml:space="preserve">SlipLift peripherals - go-live Feb-27</t>
  </si>
  <si>
    <t xml:space="preserve">SlipLift peripherals - go-live Mar-27</t>
  </si>
  <si>
    <t xml:space="preserve">SlipLift peripherals - go-live Apr-27</t>
  </si>
  <si>
    <t xml:space="preserve">SlipLift peripherals - go-live May-27</t>
  </si>
  <si>
    <t xml:space="preserve">SlipLift peripherals - go-live Jun-27</t>
  </si>
  <si>
    <t xml:space="preserve">SlipLift peripherals - go-live Jul-27</t>
  </si>
  <si>
    <t xml:space="preserve">SlipLift peripherals - go-live Aug-27</t>
  </si>
  <si>
    <t xml:space="preserve">SlipLift peripherals - go-live Sep-27</t>
  </si>
  <si>
    <t xml:space="preserve">SlipLift peripherals - go-live Oct-27</t>
  </si>
  <si>
    <t xml:space="preserve">SlipLift peripherals - go-live Nov-27</t>
  </si>
  <si>
    <t xml:space="preserve">SlipLift peripherals - go-live Dec-27</t>
  </si>
  <si>
    <t xml:space="preserve">4. OUTPUT BY GL (feeds PO rows 19-22, columns U:AF)</t>
  </si>
  <si>
    <t xml:space="preserve">GL line</t>
  </si>
  <si>
    <t xml:space="preserve">PO row</t>
  </si>
  <si>
    <t xml:space="preserve">-&gt; PO!U19:AF19</t>
  </si>
  <si>
    <t xml:space="preserve">-&gt; PO!U20:AF20</t>
  </si>
  <si>
    <t xml:space="preserve">-&gt; PO!U21:AF21</t>
  </si>
  <si>
    <t xml:space="preserve">-&gt; PO!U22:AF22</t>
  </si>
  <si>
    <t xml:space="preserve">Total depreciation 2027</t>
  </si>
  <si>
    <t xml:space="preserve">  of which existing fleet (section 2)</t>
  </si>
  <si>
    <t xml:space="preserve">  of which new 2027 go-lives</t>
  </si>
  <si>
    <t xml:space="preserve">Check: GL outputs − all calc lines (must be 0; a non-0 means a GL input is not one of 5010/5011/5012/5020)</t>
  </si>
  <si>
    <t xml:space="preserve">5. MEMO (not in budget): Oct-Dec 26 go-lives - DeploySum vs the step-ups inside the PO Dec-26 run rate</t>
  </si>
  <si>
    <t xml:space="preserve">Item</t>
  </si>
  <si>
    <t xml:space="preserve">SlipLift (5011)</t>
  </si>
  <si>
    <t xml:space="preserve">SlipTray (5012)</t>
  </si>
  <si>
    <t xml:space="preserve">Peripherals (5020)</t>
  </si>
  <si>
    <t xml:space="preserve">PO forecast Dec-26 − Sep-26 run rate ($/month) (PO!M − PO!J)</t>
  </si>
  <si>
    <t xml:space="preserve">Monthly depreciation per unit at the inputs above ($/month)</t>
  </si>
  <si>
    <t xml:space="preserve">Units implied by the PO step-up (row 1 ÷ row 2)</t>
  </si>
  <si>
    <t xml:space="preserve">DeploySum units going live Oct-Dec 26 (C:E)</t>
  </si>
  <si>
    <t xml:space="preserve">Gap: DeploySum − PO step-up (units)</t>
  </si>
  <si>
    <t xml:space="preserve">n/a - 5020 step-ups are not a whole number of DeploySum peripheral sets</t>
  </si>
  <si>
    <t xml:space="preserve">Gap in $/month at the inputs (not budgeted)</t>
  </si>
  <si>
    <t xml:space="preserve">n/a - 5020 basis unknown</t>
  </si>
  <si>
    <t xml:space="preserve">Gap for 12 months of 2027 (not budgeted)</t>
  </si>
  <si>
    <t xml:space="preserve">n/a</t>
  </si>
  <si>
    <t xml:space="preserve">PO forecast step-ups by month: 5011 +9 (Oct), +3 (Nov), +3 (Dec) lifts; 5012 +29, +12, +12 trays. DeploySum: lifts 9, 9, 0; trays 35, 32, 0. Oct lifts match; the rest do not.</t>
  </si>
  <si>
    <t xml:space="preserve">6. MEMO: unit-cost reconciliation - Production CapEx (DeploySum row 29) vs units to build (rows 24/25)</t>
  </si>
  <si>
    <t xml:space="preserve">Production month</t>
  </si>
  <si>
    <t xml:space="preserve">CapEx (DeploySum)</t>
  </si>
  <si>
    <t xml:space="preserve">CapEx ÷ all units (single price)</t>
  </si>
  <si>
    <t xml:space="preserve">Lifts×(lift+periph)+trays×tray</t>
  </si>
  <si>
    <t xml:space="preserve">Residual</t>
  </si>
  <si>
    <t xml:space="preserve">Using note's rounded $4,138</t>
  </si>
  <si>
    <t xml:space="preserve">Residual (rounded)</t>
  </si>
  <si>
    <t xml:space="preserve">Total Sep-26..Dec-27</t>
  </si>
  <si>
    <t xml:space="preserve">Max |residual| any month (derived peripherals)</t>
  </si>
  <si>
    <t xml:space="preserve">7. MEMO: depreciable cost of 2027 go-lives vs Production CapEx (builds run 2 months before go-live, note 1)</t>
  </si>
  <si>
    <t xml:space="preserve">Depreciable cost of 2027 go-lives: lifts×(lift+periph) + trays×tray</t>
  </si>
  <si>
    <t xml:space="preserve">FY27 Production CapEx (DeploySum!R29)</t>
  </si>
  <si>
    <t xml:space="preserve">less: CapEx for 2028 go-lives (DeploySum!R35)</t>
  </si>
  <si>
    <t xml:space="preserve">plus: Nov-Dec 26 builds for Jan-Feb 27 go-lives (DeploySum!D29+E29)</t>
  </si>
  <si>
    <t xml:space="preserve">Bridge total</t>
  </si>
  <si>
    <t xml:space="preserve">Difference (must be 0)</t>
  </si>
  <si>
    <t xml:space="preserve">Field Maintenance Payroll Model – Total Field Payroll</t>
  </si>
  <si>
    <t xml:space="preserve">Total field payroll: current staff on payroll (Sep-26) + incremental techs for new-logo go-lives (DeploySum row 54) and expansions at new locations (row 57 × %), plus floaters, supervisors, and named Field Ops management/coordination roles (Isaiah, Rebecca). Placeholder inputs in yellow.</t>
  </si>
  <si>
    <t xml:space="preserve">FIELD TECH ASSUMPTIONS</t>
  </si>
  <si>
    <t xml:space="preserve">Tech</t>
  </si>
  <si>
    <t xml:space="preserve">FIELD SUPERVISOR ASSUMPTIONS</t>
  </si>
  <si>
    <t xml:space="preserve">RAISE ASSUMPTIONS</t>
  </si>
  <si>
    <t xml:space="preserve">Techs per deployment needing a tech (FTE)</t>
  </si>
  <si>
    <t xml:space="preserve">Avg annual salary per supervisor ($)</t>
  </si>
  <si>
    <t xml:space="preserve">Annual raise (% of salary)</t>
  </si>
  <si>
    <t xml:space="preserve">Avg annual salary per tech ($)</t>
  </si>
  <si>
    <t xml:space="preserve">Payroll taxes (% of salary)</t>
  </si>
  <si>
    <t xml:space="preserve">Raise effective month</t>
  </si>
  <si>
    <t xml:space="preserve">Benefits (% of salary)</t>
  </si>
  <si>
    <t xml:space="preserve">Raise eligibility – min months employed</t>
  </si>
  <si>
    <t xml:space="preserve">Techs per supervisor (add 1 per X)</t>
  </si>
  <si>
    <t xml:space="preserve">Raise links to Prod Payroll (green) – overwrite to set separately.</t>
  </si>
  <si>
    <t xml:space="preserve">New-hire cost per tech ($)</t>
  </si>
  <si>
    <t xml:space="preserve">Minimum # of supervisors</t>
  </si>
  <si>
    <t xml:space="preserve">Hire lead time (months before go-live)</t>
  </si>
  <si>
    <t xml:space="preserve">New-hire cost per supervisor ($)</t>
  </si>
  <si>
    <t xml:space="preserve">FLOATER TECH ASSUMPTIONS</t>
  </si>
  <si>
    <t xml:space="preserve">Current site techs on payroll (Sep-26) - Domestic Only</t>
  </si>
  <si>
    <t xml:space="preserve">Current supervisors counted toward ratio (Sep-26) – Isaiah</t>
  </si>
  <si>
    <t xml:space="preserve">Site techs per floater</t>
  </si>
  <si>
    <t xml:space="preserve">Expansion go-lives at NEW locations (% needing a tech)</t>
  </si>
  <si>
    <t xml:space="preserve">Ratio = domestic techs only. MeLi contract supervisor budgeted in Fld Maint Budget B11.</t>
  </si>
  <si>
    <t xml:space="preserve">Minimum # of floaters</t>
  </si>
  <si>
    <t xml:space="preserve">Total = current staff (Sep-26) + incremental: each new-logo go-live and each expansion at a new location adds a dedicated tech. Lead time = months hired before go-live.</t>
  </si>
  <si>
    <t xml:space="preserve">Current floaters (Sep-26)</t>
  </si>
  <si>
    <t xml:space="preserve">DEC-27 HIRING LOOK-AHEAD (Jan-28 go-lives)</t>
  </si>
  <si>
    <t xml:space="preserve">Per month</t>
  </si>
  <si>
    <t xml:space="preserve">NAMED ROLE ASSUMPTIONS</t>
  </si>
  <si>
    <t xml:space="preserve">Use floater pool? (Yes/No)</t>
  </si>
  <si>
    <t xml:space="preserve">No</t>
  </si>
  <si>
    <t xml:space="preserve">New-logo go-lives beyond Dec-27 (#/month)</t>
  </si>
  <si>
    <t xml:space="preserve">Rebecca – Operations Coordinator base annual salary ($)</t>
  </si>
  <si>
    <t xml:space="preserve">Expansion go-lives beyond Dec-27 (#/month)</t>
  </si>
  <si>
    <t xml:space="preserve">Isaiah – Manager base annual salary ($)</t>
  </si>
  <si>
    <t xml:space="preserve">CURRENT FIELD TECHNICIANS – ON PAYROLL OCT-26 ($)</t>
  </si>
  <si>
    <t xml:space="preserve">Sep–Dec 2026</t>
  </si>
  <si>
    <t xml:space="preserve">Current site techs (#)</t>
  </si>
  <si>
    <t xml:space="preserve">Base salaries</t>
  </si>
  <si>
    <t xml:space="preserve">Payroll taxes</t>
  </si>
  <si>
    <t xml:space="preserve">Total current tech payroll</t>
  </si>
  <si>
    <t xml:space="preserve">NEW LOGO FIELD TECHNICIANS ($)</t>
  </si>
  <si>
    <t xml:space="preserve">Month # (helper)</t>
  </si>
  <si>
    <t xml:space="preserve">New-logo deployments going live (#)</t>
  </si>
  <si>
    <t xml:space="preserve">New techs hired (#) – lead time applied</t>
  </si>
  <si>
    <t xml:space="preserve">Incremental new-logo tech headcount (cumulative)</t>
  </si>
  <si>
    <t xml:space="preserve">New-hire cost</t>
  </si>
  <si>
    <t xml:space="preserve">Total new-logo tech payroll</t>
  </si>
  <si>
    <t xml:space="preserve">EXPANSION FIELD TECHNICIANS ($)</t>
  </si>
  <si>
    <t xml:space="preserve">Expansion deployments going live (#)</t>
  </si>
  <si>
    <t xml:space="preserve">Expansion go-lives – lead time applied (#)</t>
  </si>
  <si>
    <t xml:space="preserve">Cumulative new-location sites needing a tech (end of period)</t>
  </si>
  <si>
    <t xml:space="preserve">Incremental expansion tech headcount (cumulative)</t>
  </si>
  <si>
    <t xml:space="preserve">New techs hired (#)</t>
  </si>
  <si>
    <t xml:space="preserve">Total expansion tech payroll</t>
  </si>
  <si>
    <t xml:space="preserve">FLOATER FIELD TECHNICIANS ($)</t>
  </si>
  <si>
    <t xml:space="preserve">Total site tech headcount (current + new logo + expansion)</t>
  </si>
  <si>
    <t xml:space="preserve">Required floaters (no step-down)</t>
  </si>
  <si>
    <t xml:space="preserve">Current floaters on payroll (Sep-26)</t>
  </si>
  <si>
    <t xml:space="preserve">Incremental floaters needed</t>
  </si>
  <si>
    <t xml:space="preserve">Total floater headcount</t>
  </si>
  <si>
    <t xml:space="preserve">New floater hires (#)</t>
  </si>
  <si>
    <t xml:space="preserve">Total floater tech payroll</t>
  </si>
  <si>
    <t xml:space="preserve">FIELD SUPERVISORS – ALL FIELD TECHS ($)</t>
  </si>
  <si>
    <t xml:space="preserve">Total domestic tech headcount (site techs + floaters)</t>
  </si>
  <si>
    <t xml:space="preserve">Required supervisors (no step-down)</t>
  </si>
  <si>
    <t xml:space="preserve">Current supervisors counted toward ratio (Isaiah – costed in rows 75-80)</t>
  </si>
  <si>
    <t xml:space="preserve">Incremental supervisors needed (costed below)</t>
  </si>
  <si>
    <t xml:space="preserve">Total supervisor headcount (incl. Isaiah)</t>
  </si>
  <si>
    <t xml:space="preserve">New supervisor hires (#)</t>
  </si>
  <si>
    <t xml:space="preserve">Total field supervisor payroll</t>
  </si>
  <si>
    <t xml:space="preserve">FIELD OPS MANAGEMENT &amp; COORDINATION ($)</t>
  </si>
  <si>
    <t xml:space="preserve">Rebecca – Operations Coordinator (base salary)</t>
  </si>
  <si>
    <t xml:space="preserve">Isaiah – Manager (base salary; counts toward supervisor ratio)</t>
  </si>
  <si>
    <t xml:space="preserve">Total management &amp; coordination payroll</t>
  </si>
  <si>
    <t xml:space="preserve">TOTAL FIELD PAYROLL</t>
  </si>
  <si>
    <t xml:space="preserve">Production Payroll Model – SlipLifts &amp; SlipTrays</t>
  </si>
  <si>
    <t xml:space="preserve">rojas</t>
  </si>
  <si>
    <t xml:space="preserve">Total production payroll: current staff on payroll (Sep-26) + incremental hires required by the build schedule (DeploySum). Sep–Dec 2026 forecast &amp; FY2027 budget.</t>
  </si>
  <si>
    <t xml:space="preserve">PRODUCTION STAFF ASSUMPTIONS</t>
  </si>
  <si>
    <t xml:space="preserve">Lift</t>
  </si>
  <si>
    <t xml:space="preserve">Tray</t>
  </si>
  <si>
    <t xml:space="preserve">SUPERVISOR ASSUMPTIONS</t>
  </si>
  <si>
    <t xml:space="preserve">RAISE &amp; NEW-HIRE ASSUMPTIONS</t>
  </si>
  <si>
    <t xml:space="preserve">Employee Productivity Tiers</t>
  </si>
  <si>
    <t xml:space="preserve">% Employees</t>
  </si>
  <si>
    <t xml:space="preserve">Hourly Pay</t>
  </si>
  <si>
    <t xml:space="preserve">Salary</t>
  </si>
  <si>
    <t xml:space="preserve">Avg annual salary per employee ($)</t>
  </si>
  <si>
    <t xml:space="preserve">Tier 1</t>
  </si>
  <si>
    <t xml:space="preserve">Tier 2</t>
  </si>
  <si>
    <t xml:space="preserve">New-hire cost – production ($)</t>
  </si>
  <si>
    <t xml:space="preserve">Tier 3</t>
  </si>
  <si>
    <t xml:space="preserve">Minimum staffing tier (units/wk) – applies in low/zero months</t>
  </si>
  <si>
    <t xml:space="preserve">Employees per supervisor (add 1 per X)</t>
  </si>
  <si>
    <t xml:space="preserve">New-hire cost – supervisor ($)</t>
  </si>
  <si>
    <t xml:space="preserve">Current staff on payroll (Sep-26)</t>
  </si>
  <si>
    <t xml:space="preserve">Raise eligibility – min mths employed</t>
  </si>
  <si>
    <t xml:space="preserve">Total Average Salary</t>
  </si>
  <si>
    <t xml:space="preserve">Partial weeks round UP to next tier (e.g., 4.2/wk → 5/wk crew)</t>
  </si>
  <si>
    <t xml:space="preserve">Current supervisors on payroll (Sep-26)</t>
  </si>
  <si>
    <t xml:space="preserve">OT premium (× regular hourly rate)</t>
  </si>
  <si>
    <t xml:space="preserve">Supervisors = combined lift + tray headcount ÷ X, rounded up (e.g., 11 employees ÷ 10 → 2)</t>
  </si>
  <si>
    <t xml:space="preserve">LIFT STAFFING GRID</t>
  </si>
  <si>
    <t xml:space="preserve">Lifts / week</t>
  </si>
  <si>
    <t xml:space="preserve">Incremental employees</t>
  </si>
  <si>
    <t xml:space="preserve">← B13 = current employees at 2/wk; C13:O13 = added at each tier</t>
  </si>
  <si>
    <t xml:space="preserve">Total employees</t>
  </si>
  <si>
    <t xml:space="preserve">TRAY STAFFING GRID</t>
  </si>
  <si>
    <t xml:space="preserve">Trays / week</t>
  </si>
  <si>
    <t xml:space="preserve">← B19 = current employees at 10 trays/wk; C19:O19 = added at each tier. Tier values in row 18 are editable.</t>
  </si>
  <si>
    <t xml:space="preserve">LIFT MONTHLY PAYROLL ($)</t>
  </si>
  <si>
    <t xml:space="preserve">SlipLifts to build (units)</t>
  </si>
  <si>
    <t xml:space="preserve">Avg lifts built per week</t>
  </si>
  <si>
    <t xml:space="preserve">← totals = avg rate</t>
  </si>
  <si>
    <t xml:space="preserve">Staffing tier used (lifts/wk)</t>
  </si>
  <si>
    <t xml:space="preserve">Required headcount – lift (no step-down)</t>
  </si>
  <si>
    <t xml:space="preserve">Incremental headcount needed</t>
  </si>
  <si>
    <t xml:space="preserve">Total lift headcount</t>
  </si>
  <si>
    <t xml:space="preserve">← totals = avg headcount</t>
  </si>
  <si>
    <t xml:space="preserve">Absence coverage factor (vac/sick/etc, % of base)</t>
  </si>
  <si>
    <t xml:space="preserve">← totals = effective avg %</t>
  </si>
  <si>
    <t xml:space="preserve">Absence coverage cost</t>
  </si>
  <si>
    <t xml:space="preserve">Overtime hours (% of regular hours)</t>
  </si>
  <si>
    <t xml:space="preserve">Overtime cost</t>
  </si>
  <si>
    <t xml:space="preserve">New lift hires</t>
  </si>
  <si>
    <t xml:space="preserve">Total lift payroll</t>
  </si>
  <si>
    <t xml:space="preserve">Capacity check (rate vs. max tier)</t>
  </si>
  <si>
    <t xml:space="preserve">TRAY MONTHLY PAYROLL ($)</t>
  </si>
  <si>
    <t xml:space="preserve">SlipTrays to build (units)</t>
  </si>
  <si>
    <t xml:space="preserve">Avg trays built per week</t>
  </si>
  <si>
    <t xml:space="preserve">Staffing tier used (trays/wk)</t>
  </si>
  <si>
    <t xml:space="preserve">Required headcount – tray (no step-down)</t>
  </si>
  <si>
    <t xml:space="preserve">Total tray headcount</t>
  </si>
  <si>
    <t xml:space="preserve">New tray hires</t>
  </si>
  <si>
    <t xml:space="preserve">Total tray payroll</t>
  </si>
  <si>
    <t xml:space="preserve">SUPERVISOR MONTHLY PAYROLL ($)</t>
  </si>
  <si>
    <t xml:space="preserve">Total production headcount (lifts + trays)</t>
  </si>
  <si>
    <t xml:space="preserve">Total supervisor headcount</t>
  </si>
  <si>
    <t xml:space="preserve">← totals = avg supervisors</t>
  </si>
  <si>
    <t xml:space="preserve">New supervisor hires</t>
  </si>
  <si>
    <t xml:space="preserve">Total supervisor payroll</t>
  </si>
  <si>
    <t xml:space="preserve">TOTAL PRODUCTION PAYROLL (lifts + trays + supervisors)</t>
  </si>
  <si>
    <t xml:space="preserve">Field Maintenance Budget v2 – FY2027 (Jan–Dec)</t>
  </si>
  <si>
    <t xml:space="preserve">About this tab</t>
  </si>
  <si>
    <t xml:space="preserve">Simplified FY2027 Field Maintenance budget by GL. Drivers link to DeploySum (deployment split, rows 54–62) and Fld Ops Payroll; yellow cells are inputs, green text links to other tabs. New sites = new logos + existing contracts + expansions at new customer locations; expansions at existing locations use the site's current tech and kit. FE deployment travel is budgeted on the FE sheet; all deployment travel books to 5050. MeLi techs are counted only in 5310 (CXC EOR). Calculation logic, clashes with other tabs and open items are listed at the bottom. The FO ROLL-UP BY GL block maps to the FO tab in COO Dept P&amp;Ls 2027.</t>
  </si>
  <si>
    <t xml:space="preserve">INPUTS</t>
  </si>
  <si>
    <t xml:space="preserve">Basis / source</t>
  </si>
  <si>
    <t xml:space="preserve">Tech deployment travel per trip</t>
  </si>
  <si>
    <t xml:space="preserve">$ / trip</t>
  </si>
  <si>
    <t xml:space="preserve">2026 tech-only deployment travel, blended (Topicz, Southwire, Corning, MeLi go-live, MeLi Monterrey: $12,667 ÷ 5). JLG PA excluded</t>
  </si>
  <si>
    <t xml:space="preserve">New sites needing tech travel</t>
  </si>
  <si>
    <t xml:space="preserve">FE travels every deployment (FE sheet); techs supplement where FE is short</t>
  </si>
  <si>
    <t xml:space="preserve">Recurring field travel</t>
  </si>
  <si>
    <t xml:space="preserve">$ / month</t>
  </si>
  <si>
    <t xml:space="preserve">2026 run rate: coverage $1,331 + special projects $1,445 + manager visits $1,216</t>
  </si>
  <si>
    <t xml:space="preserve">Site setup kit</t>
  </si>
  <si>
    <t xml:space="preserve">$ / new site</t>
  </si>
  <si>
    <t xml:space="preserve">PLACEHOLDER – update when the kit list is priced (Spare Parts, Tool Kits, 5S for Deployment)</t>
  </si>
  <si>
    <t xml:space="preserve">Tools &amp; consumables</t>
  </si>
  <si>
    <t xml:space="preserve">$ / domestic tech-month</t>
  </si>
  <si>
    <t xml:space="preserve">2026 tools $4,005 + ticket consumables $1,323 ÷ 193 tech-months</t>
  </si>
  <si>
    <t xml:space="preserve">MeLi tech rate (CXC EOR)</t>
  </si>
  <si>
    <t xml:space="preserve">$ / head / month</t>
  </si>
  <si>
    <t xml:space="preserve">cxc_model Site &amp; Phase Rollup: Phase 1 tech-only average</t>
  </si>
  <si>
    <t xml:space="preserve">MeLi supervisor rate (CXC EOR)</t>
  </si>
  <si>
    <t xml:space="preserve">cxc_model Site &amp; Phase Rollup</t>
  </si>
  <si>
    <t xml:space="preserve">MeLi contractor supervisors</t>
  </si>
  <si>
    <t xml:space="preserve">#</t>
  </si>
  <si>
    <t xml:space="preserve">In role</t>
  </si>
  <si>
    <t xml:space="preserve">Merida techs</t>
  </si>
  <si>
    <t xml:space="preserve">Contractors, aligned with Merida expansion</t>
  </si>
  <si>
    <t xml:space="preserve">Merida start month</t>
  </si>
  <si>
    <t xml:space="preserve">month</t>
  </si>
  <si>
    <t xml:space="preserve">Domestic techs removed for Merida</t>
  </si>
  <si>
    <t xml:space="preserve">Merida is an international expansion, handled as a one-off: removes the domestic techs the standard expansion logic would add. 3 Merida contractor techs are costed in 5310 instead</t>
  </si>
  <si>
    <t xml:space="preserve">Existing-fleet spare parts run rate</t>
  </si>
  <si>
    <t xml:space="preserve">FO tab 5340 actuals, Jan–Jul 26 average ($147,799 ÷ 7)</t>
  </si>
  <si>
    <t xml:space="preserve">Aging-fleet repair uplift</t>
  </si>
  <si>
    <t xml:space="preserve">Assumption: more frequent repairs as the existing fleet ages; brings the starting rate to $31,000</t>
  </si>
  <si>
    <t xml:space="preserve">Spare parts starting run rate (Dec-26)</t>
  </si>
  <si>
    <t xml:space="preserve">Calculated: existing-fleet run rate × (1 + aging uplift)</t>
  </si>
  <si>
    <t xml:space="preserve">SlipLifts in field at Dec-26</t>
  </si>
  <si>
    <t xml:space="preserve">units</t>
  </si>
  <si>
    <t xml:space="preserve">Spare parts stay flat at the starting rate until this is entered</t>
  </si>
  <si>
    <t xml:space="preserve">Spare parts freight</t>
  </si>
  <si>
    <t xml:space="preserve">% of spares</t>
  </si>
  <si>
    <t xml:space="preserve">2026 parts &amp; parcel freight $1,644/mo ÷ $31,000</t>
  </si>
  <si>
    <t xml:space="preserve">Equipment moves &amp; returns</t>
  </si>
  <si>
    <t xml:space="preserve">2026 run rate</t>
  </si>
  <si>
    <t xml:space="preserve">Freight cost per truck</t>
  </si>
  <si>
    <t xml:space="preserve">$ / truck</t>
  </si>
  <si>
    <t xml:space="preserve">FTL average</t>
  </si>
  <si>
    <t xml:space="preserve">SlipLifts per truck</t>
  </si>
  <si>
    <t xml:space="preserve">Shipping Configurations deck</t>
  </si>
  <si>
    <t xml:space="preserve">Heavy trays per truck</t>
  </si>
  <si>
    <t xml:space="preserve">Minimum trucks per deployment</t>
  </si>
  <si>
    <t xml:space="preserve">Every planned deployment ships at least one truck</t>
  </si>
  <si>
    <t xml:space="preserve">Warehouse</t>
  </si>
  <si>
    <t xml:space="preserve">FO tab Sep–Dec 26 forecast; Jan–Aug 26 actual avg $2,370</t>
  </si>
  <si>
    <t xml:space="preserve">ASSUMPTIONS CARRIED FROM FLD OPS PAYROLL</t>
  </si>
  <si>
    <t xml:space="preserve">Current field techs, all-in (domestic + MeLi contractor techs)</t>
  </si>
  <si>
    <t xml:space="preserve">Fld Ops Payroll B11 – all-in total of 21 (Q2/Q3 split not used)</t>
  </si>
  <si>
    <t xml:space="preserve">of which MeLi contractor techs</t>
  </si>
  <si>
    <t xml:space="preserve">Guadalajara 2, Monterrey 2, Mexico City 3. Mapped to 5310 Contractors only (CXC EOR)</t>
  </si>
  <si>
    <t xml:space="preserve">Techs per deployment needing a tech</t>
  </si>
  <si>
    <t xml:space="preserve">FTE</t>
  </si>
  <si>
    <t xml:space="preserve">Fld Ops Payroll B5</t>
  </si>
  <si>
    <t xml:space="preserve">Expansions at new customer locations</t>
  </si>
  <si>
    <t xml:space="preserve">Fld Ops Payroll B12 – share of expansions (DeploySum row 57) at new locations needing a dedicated tech</t>
  </si>
  <si>
    <t xml:space="preserve">Hire lead time</t>
  </si>
  <si>
    <t xml:space="preserve">months before go-live</t>
  </si>
  <si>
    <t xml:space="preserve">Fld Ops Payroll B10</t>
  </si>
  <si>
    <t xml:space="preserve">Techs per supervisor</t>
  </si>
  <si>
    <t xml:space="preserve">Fld Ops Payroll H8</t>
  </si>
  <si>
    <t xml:space="preserve">Fld Ops Payroll M11</t>
  </si>
  <si>
    <t xml:space="preserve">New-hire cost per tech (covers onboarding)</t>
  </si>
  <si>
    <t xml:space="preserve">$ / hire</t>
  </si>
  <si>
    <t xml:space="preserve">Fld Ops Payroll B9 – onboarding is budgeted in payroll, not here</t>
  </si>
  <si>
    <t xml:space="preserve">Domestic technicians today</t>
  </si>
  <si>
    <t xml:space="preserve">Calculated: all-in total less MeLi contractor techs</t>
  </si>
  <si>
    <t xml:space="preserve">DRIVERS (#)</t>
  </si>
  <si>
    <t xml:space="preserve">New-logo go-lives</t>
  </si>
  <si>
    <t xml:space="preserve">Existing &amp; forecast contract go-lives</t>
  </si>
  <si>
    <t xml:space="preserve">Expansion go-lives</t>
  </si>
  <si>
    <t xml:space="preserve">Total deployments</t>
  </si>
  <si>
    <t xml:space="preserve">New sites (new logos + existing contracts + new-location expansions)</t>
  </si>
  <si>
    <t xml:space="preserve">Tech deployment trips</t>
  </si>
  <si>
    <t xml:space="preserve">SlipLifts going live – new logos</t>
  </si>
  <si>
    <t xml:space="preserve">SlipLifts going live – expansions</t>
  </si>
  <si>
    <t xml:space="preserve">SlipLifts going live – existing contracts</t>
  </si>
  <si>
    <t xml:space="preserve">SlipLifts going live – total</t>
  </si>
  <si>
    <t xml:space="preserve">SlipTrays going live – new logos</t>
  </si>
  <si>
    <t xml:space="preserve">SlipTrays going live – expansions</t>
  </si>
  <si>
    <t xml:space="preserve">SlipTrays going live – existing contracts</t>
  </si>
  <si>
    <t xml:space="preserve">SlipTrays going live – total</t>
  </si>
  <si>
    <t xml:space="preserve">Trucks – new logos (per deployment, rounded up)</t>
  </si>
  <si>
    <t xml:space="preserve">Trucks – expansions (per deployment, rounded up)</t>
  </si>
  <si>
    <t xml:space="preserve">Trucks – existing contracts (per deployment, rounded up)</t>
  </si>
  <si>
    <t xml:space="preserve">Truck shipments – total</t>
  </si>
  <si>
    <t xml:space="preserve">SlipLifts in field (end of month)</t>
  </si>
  <si>
    <t xml:space="preserve">SlipLift fleet growth vs Dec-26 (%)</t>
  </si>
  <si>
    <t xml:space="preserve">HEADCOUNT (#)</t>
  </si>
  <si>
    <t xml:space="preserve">FY2027 avg</t>
  </si>
  <si>
    <t xml:space="preserve">Domestic techs – current</t>
  </si>
  <si>
    <t xml:space="preserve">Incremental site techs – new logos (Fld Ops Payroll)</t>
  </si>
  <si>
    <t xml:space="preserve">Incremental site techs – expansions (Fld Ops Payroll)</t>
  </si>
  <si>
    <t xml:space="preserve">Floaters (Fld Ops Payroll)</t>
  </si>
  <si>
    <t xml:space="preserve">Merida one-off: remove domestic techs (international expansion)</t>
  </si>
  <si>
    <t xml:space="preserve">Total domestic techs</t>
  </si>
  <si>
    <t xml:space="preserve">Field supervisors (Fld Ops Payroll; budgeted in payroll)</t>
  </si>
  <si>
    <t xml:space="preserve">MeLi contractor techs (in role)</t>
  </si>
  <si>
    <t xml:space="preserve">Merida contractor techs (international one-off, from start month)</t>
  </si>
  <si>
    <t xml:space="preserve">MeLi contractor supervisor</t>
  </si>
  <si>
    <t xml:space="preserve">Total MeLi contractors (5310 only)</t>
  </si>
  <si>
    <t xml:space="preserve">BUDGET BY LINE ($)</t>
  </si>
  <si>
    <t xml:space="preserve">Tech deployment travel</t>
  </si>
  <si>
    <t xml:space="preserve">Recurring field travel (coverage, special projects, manager visits)</t>
  </si>
  <si>
    <t xml:space="preserve">Site setup kits</t>
  </si>
  <si>
    <t xml:space="preserve">Deployment-driven: cost scales with deployments (new logos/expansions). Booked to 5330 by design.</t>
  </si>
  <si>
    <t xml:space="preserve">Tools &amp; consumables (domestic techs)</t>
  </si>
  <si>
    <t xml:space="preserve">Spare parts</t>
  </si>
  <si>
    <t xml:space="preserve">Deployment freight</t>
  </si>
  <si>
    <t xml:space="preserve">MeLi contractors (CXC EOR)</t>
  </si>
  <si>
    <t xml:space="preserve">Total Field Maintenance</t>
  </si>
  <si>
    <t xml:space="preserve">FO ROLL-UP BY GL ($)</t>
  </si>
  <si>
    <t xml:space="preserve">Total by GL</t>
  </si>
  <si>
    <t xml:space="preserve">Check: GL total less line total (should be 0)</t>
  </si>
  <si>
    <t xml:space="preserve">Not budgeted here: 6100 Travel and 7550 Tools ($0 by design – field travel books to 5050/5360, field tools to 5330); new-hire onboarding (covered by the $2K new-hire cost in Fld Ops Payroll B9). Out of scope: 5920, 7200, 8600.</t>
  </si>
  <si>
    <t xml:space="preserve">2026 → 2027 BRIDGE BY GL</t>
  </si>
  <si>
    <t xml:space="preserve">2026 FO forecast ($)</t>
  </si>
  <si>
    <t xml:space="preserve">FY2027 budget ($)</t>
  </si>
  <si>
    <t xml:space="preserve">Change ($)</t>
  </si>
  <si>
    <t xml:space="preserve">What drives the change</t>
  </si>
  <si>
    <t xml:space="preserve">Trucks rounded up per deployment (new logos, expansions, existing contracts) from DeploySum lift and tray volumes, × $/truck</t>
  </si>
  <si>
    <t xml:space="preserve">Tech travel on 30% of new sites; FE travels every deployment (FE sheet). 2026 deployment travel sat mostly in FE</t>
  </si>
  <si>
    <t xml:space="preserve">MeLi 7 techs + 1 supervisor all year; +3 Merida techs from Mar-27 (CXC EOR). 2026 is a partial year</t>
  </si>
  <si>
    <t xml:space="preserve">Spare parts freight tracks spares (5.3%) + fixed equipment moves</t>
  </si>
  <si>
    <t xml:space="preserve">Site setup kits ($4,500 placeholder × new sites) + tools &amp; consumables per domestic tech-month</t>
  </si>
  <si>
    <t xml:space="preserve">Existing-fleet run rate ($21.1K) + aging uplift = $31K start; grows with % change in SlipLifts in field</t>
  </si>
  <si>
    <t xml:space="preserve">Fixed monthly warehouse cost</t>
  </si>
  <si>
    <t xml:space="preserve">Recurring field travel only; onboarding sits in Fld Ops Payroll</t>
  </si>
  <si>
    <t xml:space="preserve">Total</t>
  </si>
  <si>
    <t xml:space="preserve">2026 forecast also includes 6100 $26.9K and 7550 $11.7K that move into 5050/5360/5330 in 2027.</t>
  </si>
  <si>
    <t xml:space="preserve">CALCULATION LOGIC</t>
  </si>
  <si>
    <t xml:space="preserve">Deployments and volumes: DeploySum deployment split (rows 54–62) – new logos (54–56), expansions (57–59), existing &amp; forecast contracts (60–62); deployment counts, SlipLifts and SlipTrays going live by month.</t>
  </si>
  <si>
    <t xml:space="preserve">New sites = new-logo go-lives + existing-contract go-lives + expansions × 'expansions at new customer locations' (Fld Ops Payroll B12). Expansions at existing locations use the site's current tech and kit: no tech travel, no kit.</t>
  </si>
  <si>
    <t xml:space="preserve">Deployment freight (5040): for each deployment type, trucks = deployments × MAX(ROUNDUP(SlipLifts per deployment ÷ lifts per truck), ROUNDUP(trays per deployment ÷ trays per truck), minimum trucks per deployment). Rounding is per deployment, so two sites going live in the same month never share a truck. Freight = trucks × $/truck.</t>
  </si>
  <si>
    <t xml:space="preserve">Spare parts (5340): starting run rate = existing-fleet run rate (FO tab, Jan–Jul 26 average) × (1 + aging-fleet repair uplift). Monthly spares = starting run rate × (1 + % change in SlipLifts in field vs Dec-26). SlipLifts in field = Dec-26 installed base + cumulative SlipLifts going live from DeploySum.</t>
  </si>
  <si>
    <t xml:space="preserve">Tech deployment travel (5050) = new sites × 30% × blended travel per trip. Site setup kits (5330) = new sites × kit price.</t>
  </si>
  <si>
    <t xml:space="preserve">Tools &amp; consumables (5330) = total domestic techs × rate per tech-month. Domestic techs = current (Fld Ops Payroll B11 all-in total less MeLi contractor techs) + incremental new-logo and expansion techs + floaters (Fld Ops Payroll rows 30, 41, 54), less the Merida one-off adjustment. MeLi techs are excluded.</t>
  </si>
  <si>
    <t xml:space="preserve">MeLi contractors (5310) = (MeLi techs in role + Merida techs from the start month) × tech rate + supervisor × supervisor rate. Merida is an international expansion modeled as a one-off, outside the standard expansion logic.</t>
  </si>
  <si>
    <t xml:space="preserve">NOTES &amp; CONFIRMATIONS</t>
  </si>
  <si>
    <t xml:space="preserve">1. Merida is an international expansion and breaks the standard pattern. Handled as a one-off: 3 contractor techs in 5310 from Mar-27; the 3 domestic techs the expansion logic would add are removed from domestic headcount (B15). If the Merida go-live is in DeploySum expansions (row 57), its kit, travel and freight still run through the standard logic.</t>
  </si>
  <si>
    <t xml:space="preserve">2. Timing: kits and freight land in the deployment (go-live) month. Fld Ops Payroll hires 1 month ahead (B10) to cover training and onboarding lead time – reference assumption only.</t>
  </si>
  <si>
    <t xml:space="preserve">3. FO tab labor (5510–5540) now links to Fld Ops Payroll: $3.96M for 2027 (5510 wages incl. new-hire cost $3.24M, 5530 taxes $0.21M, 5540 benefits $0.51M). MeLi contractors stay in 5310 only.</t>
  </si>
  <si>
    <t xml:space="preserve">4. Spare parts: the existing-fleet base ($21.1K/month, incl. SlipBot sites) plus aging uplift sets the starting rate; incremental growth is driven by SlipLifts – confirmed.</t>
  </si>
  <si>
    <t xml:space="preserve">OPEN ITEMS</t>
  </si>
  <si>
    <t xml:space="preserve">1. MeLi rates are CXC quotes pending the MSA; MXN-based, so FX-sensitive. Entity formation out of scope.</t>
  </si>
  <si>
    <t xml:space="preserve">FOR LATER REVIEW</t>
  </si>
  <si>
    <t xml:space="preserve">Payroll correction: if MeLi contractors map to 5310 only (note 1), Fld Ops Payroll B11 should carry the 14 domestic techs rather than 21, to avoid counting MeLi in both 5510 and 5310.</t>
  </si>
  <si>
    <t xml:space="preserve">Field Engineering Budget – FY2027 (Jan–Dec)</t>
  </si>
  <si>
    <t xml:space="preserve">FY2027 Field Engineering budget by GL, linked both ways with the FE tab. FE travels to every deployment; deployment travel is a per-deployment rate from 2026 FE tab actuals times DeploySum go-lives, weighted for expansions, and feeds FE tab rows 30, 31, 74 and 75. Non-deployment travel (6100/6110) is the 2026 run rate plus a buffer for special projects. Payroll (6610/6630/6640) is built from named salaries in the Payroll Inputs table and feeds FE tab rows 67–69. Yellow cells are inputs, green text links to other tabs. Technician deployment travel sits on Fld Maint Budget.</t>
  </si>
  <si>
    <t xml:space="preserve">Field Engineers (headcount)</t>
  </si>
  <si>
    <t xml:space="preserve">Source: user-provided. Current Field Engineers: Hogan Welch, James Mead, James Murphy, Liz (see Payroll Inputs)</t>
  </si>
  <si>
    <t xml:space="preserve">Share of deployment travel booked to FE</t>
  </si>
  <si>
    <t xml:space="preserve">Source: user-provided. 100% stays on the FE tab until a decision on moving deployment travel to Applications Engineering; lower this if AE takes it on</t>
  </si>
  <si>
    <t xml:space="preserve">Linked: Fld Ops Payroll B12. Costed as a full deployment</t>
  </si>
  <si>
    <t xml:space="preserve">Equipment-add expansion weight</t>
  </si>
  <si>
    <t xml:space="preserve">% of a full deployment</t>
  </si>
  <si>
    <t xml:space="preserve">Source: user-provided expansion rule (adding equipment at an existing site costs 30% of a deployment)</t>
  </si>
  <si>
    <t xml:space="preserve">Non-deployment travel buffer</t>
  </si>
  <si>
    <t xml:space="preserve">% above 2026 run rate</t>
  </si>
  <si>
    <t xml:space="preserve">Assumption: headroom for special projects, escalations and RCA visits as the fleet grows. Adjust as needed</t>
  </si>
  <si>
    <t xml:space="preserve">2026 deployments in rate window</t>
  </si>
  <si>
    <t xml:space="preserve">Source: user-provided. Rivian, Mercado Libre, Home Depot Perth Amboy, Home Depot Swedesboro, Southwire, Meta, GE, JLG PA, Corning. </t>
  </si>
  <si>
    <t xml:space="preserve">PAYROLL INPUTS</t>
  </si>
  <si>
    <t xml:space="preserve">Annual salary</t>
  </si>
  <si>
    <t xml:space="preserve">Start month</t>
  </si>
  <si>
    <t xml:space="preserve">Field Engineer – Hogan Welch</t>
  </si>
  <si>
    <t xml:space="preserve">Source: user-provided. Current employee</t>
  </si>
  <si>
    <t xml:space="preserve">Field Engineer – James Mead</t>
  </si>
  <si>
    <t xml:space="preserve">Field Engineer – James Murphy</t>
  </si>
  <si>
    <t xml:space="preserve">Field Engineer – Elizabeth Ferry</t>
  </si>
  <si>
    <t xml:space="preserve">Customer Support Manager – Seng</t>
  </si>
  <si>
    <t xml:space="preserve">Customer Support Specialist – Jessica</t>
  </si>
  <si>
    <t xml:space="preserve">Customer Support Specialist – New hire</t>
  </si>
  <si>
    <t xml:space="preserve">Source: user-provided. New hire starting Aug-27 at Jessica's rate (links to B18)</t>
  </si>
  <si>
    <t xml:space="preserve">Field Engineering Manager</t>
  </si>
  <si>
    <t xml:space="preserve">Source: user-provided. Start month set to Jan-27 – update if the role starts later</t>
  </si>
  <si>
    <t xml:space="preserve">Head of Service Delivery – Rasheen Henry</t>
  </si>
  <si>
    <t xml:space="preserve">Source: user-provided. Current employee, in seat now. Enter annual salary in B21</t>
  </si>
  <si>
    <t xml:space="preserve">Linked: Fld Ops Payroll B7</t>
  </si>
  <si>
    <t xml:space="preserve">Linked: Fld Ops Payroll B8</t>
  </si>
  <si>
    <t xml:space="preserve">Linked: Fld Ops Payroll M5 (Prod Payroll)</t>
  </si>
  <si>
    <t xml:space="preserve">Linked: Fld Ops Payroll M6 (Prod Payroll)</t>
  </si>
  <si>
    <t xml:space="preserve">2026 FE TAB ACTUALS ($)</t>
  </si>
  <si>
    <t xml:space="preserve">Jan–Sep 26</t>
  </si>
  <si>
    <t xml:space="preserve">5050 Travel - Deployment</t>
  </si>
  <si>
    <t xml:space="preserve">5060 Meals - Deployment</t>
  </si>
  <si>
    <t xml:space="preserve">6100 Travel</t>
  </si>
  <si>
    <t xml:space="preserve">6110 Travel Meals</t>
  </si>
  <si>
    <t xml:space="preserve">5360 Travel - Maintenance</t>
  </si>
  <si>
    <t xml:space="preserve">5370 Meals - Maintenance</t>
  </si>
  <si>
    <t xml:space="preserve">Sep-26 is the FE tab forecast, not an actual. 6540/6550 demo travel excluded (demo budget).</t>
  </si>
  <si>
    <t xml:space="preserve">RATE DERIVATION</t>
  </si>
  <si>
    <t xml:space="preserve">Calculation</t>
  </si>
  <si>
    <t xml:space="preserve">Deployment travel, Jan–Sep 26 (5050 + 5060)</t>
  </si>
  <si>
    <t xml:space="preserve">Window includes Sep forecast because Corning SAT and JLG PA travel fell Aug–Sep</t>
  </si>
  <si>
    <t xml:space="preserve">Mercado Libre month (May-26)</t>
  </si>
  <si>
    <t xml:space="preserve">Multi-week travel and coverage rotation</t>
  </si>
  <si>
    <t xml:space="preserve">Typical month, Jan–Aug excl. May</t>
  </si>
  <si>
    <t xml:space="preserve">Average of the other 7 actual months</t>
  </si>
  <si>
    <t xml:space="preserve">Mercado Libre rotation excess removed</t>
  </si>
  <si>
    <t xml:space="preserve">May less a typical month; treated as a one-off</t>
  </si>
  <si>
    <t xml:space="preserve">Normalized deployment travel</t>
  </si>
  <si>
    <t xml:space="preserve">FE deployment travel per deployment</t>
  </si>
  <si>
    <t xml:space="preserve">$ / deployment</t>
  </si>
  <si>
    <t xml:space="preserve">Normalized travel ÷ 2026 deployments in window</t>
  </si>
  <si>
    <t xml:space="preserve">Meals share of deployment travel (5060)</t>
  </si>
  <si>
    <t xml:space="preserve">Splits the rate between 5050 and 5060</t>
  </si>
  <si>
    <t xml:space="preserve">Non-deployment travel run rate, Jan–Aug 26</t>
  </si>
  <si>
    <t xml:space="preserve">6100, 6110, 5360, 5370 actuals ÷ 8 months</t>
  </si>
  <si>
    <t xml:space="preserve">Meals share of non-deployment travel</t>
  </si>
  <si>
    <t xml:space="preserve">6110 + 5370 ÷ total; splits 6100 / 6110</t>
  </si>
  <si>
    <t xml:space="preserve">Non-deployment travel budget</t>
  </si>
  <si>
    <t xml:space="preserve">Run rate plus buffer, flat across 2027</t>
  </si>
  <si>
    <t xml:space="preserve">   Expansions at new customer locations</t>
  </si>
  <si>
    <t xml:space="preserve">   Equipment-add expansions</t>
  </si>
  <si>
    <t xml:space="preserve">Weighted FE deployments</t>
  </si>
  <si>
    <t xml:space="preserve">Deployments per Field Engineer</t>
  </si>
  <si>
    <t xml:space="preserve">PAYROLL ($)</t>
  </si>
  <si>
    <t xml:space="preserve">Total salaries</t>
  </si>
  <si>
    <t xml:space="preserve">Total payroll</t>
  </si>
  <si>
    <t xml:space="preserve">BUDGET BY GL ($)</t>
  </si>
  <si>
    <t xml:space="preserve">6100 Travel (non-deployment)</t>
  </si>
  <si>
    <t xml:space="preserve">6110 Travel Meals (non-deployment)</t>
  </si>
  <si>
    <t xml:space="preserve">6610 Salaries and Wages - SG&amp;A</t>
  </si>
  <si>
    <t xml:space="preserve">6630 Payroll Taxes - SG&amp;A</t>
  </si>
  <si>
    <t xml:space="preserve">6640 Benefits - SG&amp;A</t>
  </si>
  <si>
    <t xml:space="preserve">Total Field Engineering</t>
  </si>
  <si>
    <t xml:space="preserve">   of which travel</t>
  </si>
  <si>
    <t xml:space="preserve">FE TAB ROLL-UP</t>
  </si>
  <si>
    <t xml:space="preserve">FE tab row</t>
  </si>
  <si>
    <t xml:space="preserve">Direction</t>
  </si>
  <si>
    <t xml:space="preserve">FY2027 budget</t>
  </si>
  <si>
    <t xml:space="preserve">2026 FE tab (act + fcst)</t>
  </si>
  <si>
    <t xml:space="preserve">Change vs 2026</t>
  </si>
  <si>
    <t xml:space="preserve">FE tab FY2027</t>
  </si>
  <si>
    <t xml:space="preserve">To FE tab</t>
  </si>
  <si>
    <t xml:space="preserve">Travel rows feed FE tab U:AF (Input Method set to Manual). Payroll rows are built from the Payroll Inputs table (rows 12–25) and feed FE tab rows 67–69, so payroll changes are made on this tab. Column G should equal column D; a gap means a link is broken.</t>
  </si>
  <si>
    <t xml:space="preserve">NOTES AND OPEN ITEMS</t>
  </si>
  <si>
    <t xml:space="preserve">1. Source: 2026 actuals (Jan–Aug) and forecast (Sep–Dec) link to the FE tab in this workbook, copied from COO Dept P&amp;Ls 2027 Budget. The FE department is not in the Field Ops NetSuite transaction detail, so line-level FE spend could not be checked.</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</si>
  <si>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40.</t>
  </si>
  <si>
    <t xml:space="preserve">2. Deployment rate: Jan–Sep 26 deployment travel, less the Mercado Libre rotation excess in May, divided by the 9 named 2026 deployments. Each deployment ran at least two weeks. Each $1,000 change in the rate moves FY27 by $1,000 times the weighted deployments in row 53.</t>
  </si>
  <si>
    <t xml:space="preserve">4. 6100 is treated as non-deployment travel. FE's small 5360/5370 spend is folded into the non-deployment run rate and budgeted in 6100/6110.</t>
  </si>
  <si>
    <t xml:space="preserve">5. Applications Engineering: FE may scale back deployment travel if AE takes it on. B6 keeps 100% on the FE tab until that is decided; moving the remainder to AE only needs that one input changed.</t>
  </si>
  <si>
    <t xml:space="preserve">6. Payroll: rows 48–50 pull from FE tab rows 67–69 (2027 budget columns U:AF). The FE tab is the source for payroll; change it there.</t>
  </si>
  <si>
    <t xml:space="preserve">6. Payroll: built from named salaries in the Payroll Inputs table (rows 12–25) and the Payroll block (rows 58–71), covering Field Engineers, Customer Support (Seng, Jessica and a second Customer Support Specialist from Aug-27 at Jessica's rate), the Field Engineering Manager and the Head of Service Delivery. Taxes, benefits and raise link to Fld Ops Payroll. Rows 78–80 feed FE tab rows 67–69 (U:AF); change payroll here, not on the FE tab.</t>
  </si>
  <si>
    <t xml:space="preserve">7. Capacity: row 54 shows deployments per Field Engineer, peaking at 2.5 per engineer in Nov–Dec 27. Technician deployment travel on Fld Maint Budget (30% of new sites) is the coverage for those peaks.</t>
  </si>
</sst>
</file>

<file path=xl/styles.xml><?xml version="1.0" encoding="utf-8"?>
<styleSheet xmlns="http://schemas.openxmlformats.org/spreadsheetml/2006/main">
  <numFmts count="28">
    <numFmt numFmtId="164" formatCode="General"/>
    <numFmt numFmtId="165" formatCode="#,##0;\(#,##0\)"/>
    <numFmt numFmtId="166" formatCode="0.0%"/>
    <numFmt numFmtId="167" formatCode="#,##0_);\(#,##0\)"/>
    <numFmt numFmtId="168" formatCode="mmm\-yy"/>
    <numFmt numFmtId="169" formatCode="#,##0.00;\(#,##0.00\);\-"/>
    <numFmt numFmtId="170" formatCode="0%"/>
    <numFmt numFmtId="171" formatCode="\$#,##0;&quot;($&quot;#,##0\);\-"/>
    <numFmt numFmtId="172" formatCode="#,##0;\(#,##0\);\-"/>
    <numFmt numFmtId="173" formatCode="\$#,##0,;&quot;($&quot;#,##0,\);\-"/>
    <numFmt numFmtId="174" formatCode="#,##0.0;\(#,##0.0\);\-"/>
    <numFmt numFmtId="175" formatCode="0.0%;\(0.0%\);\-"/>
    <numFmt numFmtId="176" formatCode="#,##0;\(#,##0\);0"/>
    <numFmt numFmtId="177" formatCode="#,##0.00;\(#,##0.00\);\-"/>
    <numFmt numFmtId="178" formatCode="0"/>
    <numFmt numFmtId="179" formatCode="@"/>
    <numFmt numFmtId="180" formatCode="#,##0;\(#,##0\);\-"/>
    <numFmt numFmtId="181" formatCode="#,##0.00"/>
    <numFmt numFmtId="182" formatCode="0.0"/>
    <numFmt numFmtId="183" formatCode="\$#,##0"/>
    <numFmt numFmtId="184" formatCode="#,##0"/>
    <numFmt numFmtId="185" formatCode="\$#,##0.00;&quot;($&quot;#,##0.00\);\-"/>
    <numFmt numFmtId="186" formatCode="\$#,##0_);&quot;($&quot;#,##0\)"/>
    <numFmt numFmtId="187" formatCode="\$#,##0.00_);&quot;($&quot;#,##0.00\)"/>
    <numFmt numFmtId="188" formatCode="0.0\x"/>
    <numFmt numFmtId="189" formatCode="0.0;\(0.0\);\-"/>
    <numFmt numFmtId="190" formatCode="\$#,##0.00"/>
    <numFmt numFmtId="191" formatCode="mmm\-d"/>
  </numFmts>
  <fonts count="53">
    <font>
      <sz val="11"/>
      <color theme="1"/>
      <name val="Calibri"/>
      <family val="0"/>
      <charset val="1"/>
    </font>
    <font>
      <sz val="10"/>
      <name val="Arial"/>
      <family val="0"/>
    </font>
    <font>
      <sz val="10"/>
      <name val="Arial"/>
      <family val="0"/>
    </font>
    <font>
      <sz val="10"/>
      <name val="Arial"/>
      <family val="0"/>
    </font>
    <font>
      <b val="true"/>
      <sz val="14"/>
      <name val="Cambria"/>
      <family val="0"/>
      <charset val="1"/>
    </font>
    <font>
      <b val="true"/>
      <sz val="12"/>
      <name val="Cambria"/>
      <family val="0"/>
      <charset val="1"/>
    </font>
    <font>
      <b val="true"/>
      <sz val="11"/>
      <name val="Cambria"/>
      <family val="0"/>
      <charset val="1"/>
    </font>
    <font>
      <b val="true"/>
      <sz val="16"/>
      <color theme="1"/>
      <name val="Calibri"/>
      <family val="0"/>
      <charset val="1"/>
    </font>
    <font>
      <sz val="10"/>
      <color theme="1"/>
      <name val="Calibri"/>
      <family val="0"/>
      <charset val="1"/>
    </font>
    <font>
      <b val="true"/>
      <sz val="12"/>
      <color theme="1"/>
      <name val="Calibri"/>
      <family val="0"/>
      <charset val="1"/>
    </font>
    <font>
      <b val="true"/>
      <sz val="10"/>
      <color theme="1"/>
      <name val="Calibri"/>
      <family val="0"/>
      <charset val="1"/>
    </font>
    <font>
      <b val="true"/>
      <sz val="10"/>
      <color rgb="FF0000CC"/>
      <name val="Calibri"/>
      <family val="0"/>
      <charset val="1"/>
    </font>
    <font>
      <b val="true"/>
      <sz val="10"/>
      <color rgb="FF000000"/>
      <name val="Calibri"/>
      <family val="0"/>
      <charset val="1"/>
    </font>
    <font>
      <sz val="10"/>
      <color rgb="FF000000"/>
      <name val="Calibri"/>
      <family val="0"/>
      <charset val="1"/>
    </font>
    <font>
      <sz val="10"/>
      <color rgb="FF008000"/>
      <name val="Calibri"/>
      <family val="0"/>
      <charset val="1"/>
    </font>
    <font>
      <sz val="10"/>
      <color rgb="FF060606"/>
      <name val="Calibri"/>
      <family val="0"/>
      <charset val="1"/>
    </font>
    <font>
      <b val="true"/>
      <sz val="10"/>
      <color rgb="FF0070C0"/>
      <name val="Calibri"/>
      <family val="0"/>
      <charset val="1"/>
    </font>
    <font>
      <i val="true"/>
      <sz val="10"/>
      <color theme="1"/>
      <name val="Calibri"/>
      <family val="0"/>
      <charset val="1"/>
    </font>
    <font>
      <b val="true"/>
      <sz val="16"/>
      <color rgb="FF0000CC"/>
      <name val="Calibri"/>
      <family val="0"/>
      <charset val="1"/>
    </font>
    <font>
      <sz val="10"/>
      <color rgb="FF0000CC"/>
      <name val="Calibri"/>
      <family val="0"/>
      <charset val="1"/>
    </font>
    <font>
      <b val="true"/>
      <sz val="10"/>
      <color rgb="FF993300"/>
      <name val="Calibri"/>
      <family val="0"/>
      <charset val="1"/>
    </font>
    <font>
      <sz val="10"/>
      <color theme="6"/>
      <name val="Calibri"/>
      <family val="0"/>
      <charset val="1"/>
    </font>
    <font>
      <sz val="10"/>
      <color rgb="FF007E00"/>
      <name val="Calibri"/>
      <family val="0"/>
      <charset val="1"/>
    </font>
    <font>
      <i val="true"/>
      <sz val="11"/>
      <color rgb="FF595959"/>
      <name val="Calibri"/>
      <family val="0"/>
      <charset val="1"/>
    </font>
    <font>
      <sz val="9"/>
      <color rgb="FF595959"/>
      <name val="Calibri"/>
      <family val="0"/>
      <charset val="1"/>
    </font>
    <font>
      <b val="true"/>
      <sz val="11"/>
      <color rgb="FFFFFFFF"/>
      <name val="Calibri"/>
      <family val="0"/>
      <charset val="1"/>
    </font>
    <font>
      <b val="true"/>
      <sz val="11"/>
      <color theme="1"/>
      <name val="Calibri"/>
      <family val="0"/>
      <charset val="1"/>
    </font>
    <font>
      <i val="true"/>
      <sz val="11"/>
      <color theme="1"/>
      <name val="Calibri"/>
      <family val="0"/>
      <charset val="1"/>
    </font>
    <font>
      <b val="true"/>
      <sz val="10"/>
      <color rgb="FFC00000"/>
      <name val="Calibri"/>
      <family val="0"/>
      <charset val="1"/>
    </font>
    <font>
      <sz val="10"/>
      <name val="Arial"/>
      <family val="2"/>
    </font>
    <font>
      <sz val="11"/>
      <color rgb="FF0000FF"/>
      <name val="Cambria"/>
      <family val="0"/>
      <charset val="1"/>
    </font>
    <font>
      <b val="true"/>
      <sz val="14"/>
      <color theme="1"/>
      <name val="Calibri"/>
      <family val="0"/>
      <charset val="1"/>
    </font>
    <font>
      <sz val="11"/>
      <color rgb="FF0000FF"/>
      <name val="Calibri"/>
      <family val="0"/>
      <charset val="1"/>
    </font>
    <font>
      <sz val="11"/>
      <color rgb="FF008000"/>
      <name val="Calibri"/>
      <family val="0"/>
      <charset val="1"/>
    </font>
    <font>
      <i val="true"/>
      <sz val="9"/>
      <color rgb="FF595959"/>
      <name val="Calibri"/>
      <family val="0"/>
      <charset val="1"/>
    </font>
    <font>
      <i val="true"/>
      <sz val="11"/>
      <color rgb="FF808080"/>
      <name val="Calibri"/>
      <family val="0"/>
      <charset val="1"/>
    </font>
    <font>
      <b val="true"/>
      <sz val="14"/>
      <color theme="1"/>
      <name val="Aptos Narrow"/>
      <family val="0"/>
      <charset val="1"/>
    </font>
    <font>
      <sz val="11"/>
      <color theme="1"/>
      <name val="Aptos Narrow"/>
      <family val="0"/>
      <charset val="1"/>
    </font>
    <font>
      <i val="true"/>
      <sz val="11"/>
      <color rgb="FF595959"/>
      <name val="Aptos Narrow"/>
      <family val="0"/>
      <charset val="1"/>
    </font>
    <font>
      <b val="true"/>
      <sz val="11"/>
      <color rgb="FFFFFFFF"/>
      <name val="Aptos Narrow"/>
      <family val="0"/>
      <charset val="1"/>
    </font>
    <font>
      <b val="true"/>
      <sz val="11"/>
      <color theme="1"/>
      <name val="Aptos Narrow"/>
      <family val="0"/>
      <charset val="1"/>
    </font>
    <font>
      <sz val="11"/>
      <color rgb="FF0000FF"/>
      <name val="Aptos Narrow"/>
      <family val="0"/>
      <charset val="1"/>
    </font>
    <font>
      <sz val="11"/>
      <color rgb="FF0000CC"/>
      <name val="Aptos Narrow"/>
      <family val="0"/>
      <charset val="1"/>
    </font>
    <font>
      <sz val="11"/>
      <color rgb="FF000000"/>
      <name val="Aptos Narrow"/>
      <family val="0"/>
      <charset val="1"/>
    </font>
    <font>
      <b val="true"/>
      <sz val="11"/>
      <color rgb="FF000000"/>
      <name val="Aptos Narrow"/>
      <family val="0"/>
      <charset val="1"/>
    </font>
    <font>
      <b val="true"/>
      <sz val="11"/>
      <color rgb="FF0000FF"/>
      <name val="Aptos Narrow"/>
      <family val="0"/>
      <charset val="1"/>
    </font>
    <font>
      <sz val="11"/>
      <color rgb="FF008000"/>
      <name val="Aptos Narrow"/>
      <family val="0"/>
      <charset val="1"/>
    </font>
    <font>
      <i val="true"/>
      <sz val="11"/>
      <color theme="1"/>
      <name val="Aptos Narrow"/>
      <family val="0"/>
      <charset val="1"/>
    </font>
    <font>
      <b val="true"/>
      <sz val="14"/>
      <color rgb="FF1F3764"/>
      <name val="Calibri"/>
      <family val="0"/>
      <charset val="1"/>
    </font>
    <font>
      <b val="true"/>
      <sz val="10"/>
      <color rgb="FFFFFFFF"/>
      <name val="Calibri"/>
      <family val="0"/>
      <charset val="1"/>
    </font>
    <font>
      <sz val="10"/>
      <color rgb="FF0000FF"/>
      <name val="Calibri"/>
      <family val="0"/>
      <charset val="1"/>
    </font>
    <font>
      <sz val="10"/>
      <color rgb="FF007F00"/>
      <name val="Calibri"/>
      <family val="0"/>
      <charset val="1"/>
    </font>
    <font>
      <b val="true"/>
      <sz val="14"/>
      <color rgb="FF1F3864"/>
      <name val="Calibri"/>
      <family val="0"/>
      <charset val="1"/>
    </font>
  </fonts>
  <fills count="21">
    <fill>
      <patternFill patternType="none"/>
    </fill>
    <fill>
      <patternFill patternType="gray125"/>
    </fill>
    <fill>
      <patternFill patternType="solid">
        <fgColor rgb="FFDDEBF7"/>
        <bgColor rgb="FFDBE9F7"/>
      </patternFill>
    </fill>
    <fill>
      <patternFill patternType="solid">
        <fgColor rgb="FFD0D0D0"/>
        <bgColor rgb="FFD8D8D8"/>
      </patternFill>
    </fill>
    <fill>
      <patternFill patternType="solid">
        <fgColor rgb="FFDBE9F7"/>
        <bgColor rgb="FFDDEBF7"/>
      </patternFill>
    </fill>
    <fill>
      <patternFill patternType="solid">
        <fgColor rgb="FFFAE2D5"/>
        <bgColor rgb="FFFFF2CC"/>
      </patternFill>
    </fill>
    <fill>
      <patternFill patternType="solid">
        <fgColor rgb="FFA6C9EB"/>
        <bgColor rgb="FFBDD7EE"/>
      </patternFill>
    </fill>
    <fill>
      <patternFill patternType="solid">
        <fgColor rgb="FFD8D8D8"/>
        <bgColor rgb="FFD9D9D9"/>
      </patternFill>
    </fill>
    <fill>
      <patternFill patternType="solid">
        <fgColor rgb="FFD9F2D0"/>
        <bgColor rgb="FFDDEBF7"/>
      </patternFill>
    </fill>
    <fill>
      <patternFill patternType="solid">
        <fgColor rgb="FFFFFFCC"/>
        <bgColor rgb="FFFFF2CC"/>
      </patternFill>
    </fill>
    <fill>
      <patternFill patternType="solid">
        <fgColor rgb="FFC6E0B4"/>
        <bgColor rgb="FFB3E5A1"/>
      </patternFill>
    </fill>
    <fill>
      <patternFill patternType="solid">
        <fgColor rgb="FF1F3864"/>
        <bgColor rgb="FF1E3863"/>
      </patternFill>
    </fill>
    <fill>
      <patternFill patternType="solid">
        <fgColor rgb="FFBDD7EE"/>
        <bgColor rgb="FFD0D0D0"/>
      </patternFill>
    </fill>
    <fill>
      <patternFill patternType="solid">
        <fgColor rgb="FFF2F2F2"/>
        <bgColor rgb="FFDDEBF7"/>
      </patternFill>
    </fill>
    <fill>
      <patternFill patternType="solid">
        <fgColor rgb="FFF8CBAD"/>
        <bgColor rgb="FFFFC7CE"/>
      </patternFill>
    </fill>
    <fill>
      <patternFill patternType="solid">
        <fgColor rgb="FFFFE699"/>
        <bgColor rgb="FFFFF2CC"/>
      </patternFill>
    </fill>
    <fill>
      <patternFill patternType="solid">
        <fgColor rgb="FFD9D9D9"/>
        <bgColor rgb="FFD8D8D8"/>
      </patternFill>
    </fill>
    <fill>
      <patternFill patternType="solid">
        <fgColor rgb="FFFFF2CC"/>
        <bgColor rgb="FFFFFFCC"/>
      </patternFill>
    </fill>
    <fill>
      <patternFill patternType="solid">
        <fgColor rgb="FFD9E1F2"/>
        <bgColor rgb="FFDBE9F7"/>
      </patternFill>
    </fill>
    <fill>
      <patternFill patternType="solid">
        <fgColor rgb="FF1F3764"/>
        <bgColor rgb="FF1F3864"/>
      </patternFill>
    </fill>
    <fill>
      <patternFill patternType="solid">
        <fgColor rgb="FFFFFFFF"/>
        <bgColor rgb="FFF2F2F2"/>
      </patternFill>
    </fill>
  </fills>
  <borders count="14">
    <border diagonalUp="false" diagonalDown="false">
      <left/>
      <right/>
      <top/>
      <bottom/>
      <diagonal/>
    </border>
    <border diagonalUp="false" diagonalDown="false">
      <left/>
      <right/>
      <top/>
      <bottom style="thin"/>
      <diagonal/>
    </border>
    <border diagonalUp="false" diagonalDown="false">
      <left/>
      <right/>
      <top style="dotted">
        <color rgb="FFC0C0C0"/>
      </top>
      <bottom/>
      <diagonal/>
    </border>
    <border diagonalUp="false" diagonalDown="false">
      <left/>
      <right/>
      <top style="thin"/>
      <bottom/>
      <diagonal/>
    </border>
    <border diagonalUp="false" diagonalDown="false">
      <left/>
      <right/>
      <top style="thin"/>
      <bottom style="thin"/>
      <diagonal/>
    </border>
    <border diagonalUp="false" diagonalDown="false">
      <left/>
      <right/>
      <top style="dotted">
        <color rgb="FF969696"/>
      </top>
      <bottom/>
      <diagonal/>
    </border>
    <border diagonalUp="false" diagonalDown="false">
      <left/>
      <right/>
      <top/>
      <bottom style="medium"/>
      <diagonal/>
    </border>
    <border diagonalUp="false" diagonalDown="false">
      <left/>
      <right/>
      <top style="thin"/>
      <bottom style="double"/>
      <diagonal/>
    </border>
    <border diagonalUp="false" diagonalDown="false">
      <left/>
      <right style="thin">
        <color rgb="FF7F7F7F"/>
      </right>
      <top/>
      <bottom/>
      <diagonal/>
    </border>
    <border diagonalUp="false" diagonalDown="false">
      <left/>
      <right style="thin">
        <color rgb="FF7F7F7F"/>
      </right>
      <top style="thin"/>
      <bottom/>
      <diagonal/>
    </border>
    <border diagonalUp="false" diagonalDown="false">
      <left/>
      <right style="thin">
        <color rgb="FF7F7F7F"/>
      </right>
      <top style="thin"/>
      <bottom style="thin"/>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1F3764"/>
      </top>
      <bottom/>
      <diagonal/>
    </border>
    <border diagonalUp="false" diagonalDown="false">
      <left/>
      <right/>
      <top style="thin">
        <color rgb="FF1E3863"/>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11" fillId="4" borderId="0" xfId="0" applyFont="true" applyBorder="false" applyAlignment="true" applyProtection="false">
      <alignment horizontal="center" vertical="bottom" textRotation="0" wrapText="false" indent="0" shrinkToFit="false"/>
      <protection locked="true" hidden="false"/>
    </xf>
    <xf numFmtId="164" fontId="11" fillId="5"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center" vertical="bottom" textRotation="0" wrapText="false" indent="0" shrinkToFit="false"/>
      <protection locked="true" hidden="false"/>
    </xf>
    <xf numFmtId="168" fontId="10" fillId="4" borderId="0" xfId="0" applyFont="true" applyBorder="false" applyAlignment="true" applyProtection="false">
      <alignment horizontal="center" vertical="bottom" textRotation="0" wrapText="false" indent="0" shrinkToFit="false"/>
      <protection locked="true" hidden="false"/>
    </xf>
    <xf numFmtId="168" fontId="10" fillId="5" borderId="0" xfId="0" applyFont="true" applyBorder="fals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4" fontId="12" fillId="0" borderId="2" xfId="0" applyFont="true" applyBorder="true" applyAlignment="true" applyProtection="false">
      <alignment horizontal="left" vertical="bottom" textRotation="0" wrapText="false" indent="0" shrinkToFit="false"/>
      <protection locked="true" hidden="false"/>
    </xf>
    <xf numFmtId="167" fontId="10" fillId="0" borderId="3" xfId="0" applyFont="true" applyBorder="true" applyAlignment="true" applyProtection="false">
      <alignment horizontal="general" vertical="bottom" textRotation="0" wrapText="false" indent="0" shrinkToFit="false"/>
      <protection locked="true" hidden="false"/>
    </xf>
    <xf numFmtId="166" fontId="10" fillId="0" borderId="3" xfId="0" applyFont="true" applyBorder="true" applyAlignment="true" applyProtection="false">
      <alignment horizontal="general" vertical="bottom" textRotation="0" wrapText="false" indent="0" shrinkToFit="false"/>
      <protection locked="true" hidden="false"/>
    </xf>
    <xf numFmtId="164" fontId="12" fillId="6" borderId="2" xfId="0" applyFont="true" applyBorder="true" applyAlignment="true" applyProtection="false">
      <alignment horizontal="left" vertical="bottom" textRotation="0" wrapText="false" indent="0" shrinkToFit="false"/>
      <protection locked="true" hidden="false"/>
    </xf>
    <xf numFmtId="167" fontId="10" fillId="6" borderId="3" xfId="0" applyFont="true" applyBorder="true" applyAlignment="true" applyProtection="false">
      <alignment horizontal="general" vertical="bottom" textRotation="0" wrapText="false" indent="0" shrinkToFit="false"/>
      <protection locked="true" hidden="false"/>
    </xf>
    <xf numFmtId="166" fontId="10" fillId="6" borderId="3" xfId="0" applyFont="true" applyBorder="true" applyAlignment="true" applyProtection="false">
      <alignment horizontal="general" vertical="bottom" textRotation="0" wrapText="false" indent="0" shrinkToFit="false"/>
      <protection locked="true" hidden="false"/>
    </xf>
    <xf numFmtId="167" fontId="10" fillId="0" borderId="4" xfId="0" applyFont="true" applyBorder="true" applyAlignment="true" applyProtection="false">
      <alignment horizontal="general" vertical="bottom" textRotation="0" wrapText="false" indent="0" shrinkToFit="false"/>
      <protection locked="true" hidden="false"/>
    </xf>
    <xf numFmtId="166" fontId="10" fillId="0" borderId="4"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6" fontId="16"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2" fillId="7" borderId="2" xfId="0" applyFont="true" applyBorder="true" applyAlignment="true" applyProtection="false">
      <alignment horizontal="left" vertical="bottom" textRotation="0" wrapText="false" indent="0" shrinkToFit="false"/>
      <protection locked="true" hidden="false"/>
    </xf>
    <xf numFmtId="167" fontId="10" fillId="7" borderId="3" xfId="0" applyFont="true" applyBorder="true" applyAlignment="true" applyProtection="false">
      <alignment horizontal="general" vertical="bottom" textRotation="0" wrapText="false" indent="0" shrinkToFit="false"/>
      <protection locked="true" hidden="false"/>
    </xf>
    <xf numFmtId="166" fontId="10" fillId="7" borderId="3" xfId="0" applyFont="true" applyBorder="tru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center" textRotation="0" wrapText="false" indent="0" shrinkToFit="false"/>
      <protection locked="true" hidden="false"/>
    </xf>
    <xf numFmtId="164" fontId="8" fillId="0" borderId="6" xfId="0" applyFont="true" applyBorder="true" applyAlignment="true" applyProtection="false">
      <alignment horizontal="general" vertical="bottom" textRotation="0" wrapText="false" indent="0" shrinkToFit="false"/>
      <protection locked="true" hidden="false"/>
    </xf>
    <xf numFmtId="169" fontId="16" fillId="0" borderId="6" xfId="0" applyFont="true" applyBorder="true" applyAlignment="true" applyProtection="false">
      <alignment horizontal="general" vertical="bottom" textRotation="0" wrapText="false" indent="0" shrinkToFit="false"/>
      <protection locked="true" hidden="false"/>
    </xf>
    <xf numFmtId="169" fontId="17" fillId="0" borderId="6" xfId="0" applyFont="true" applyBorder="true" applyAlignment="true" applyProtection="false">
      <alignment horizontal="right" vertical="bottom" textRotation="0" wrapText="false" indent="0" shrinkToFit="false"/>
      <protection locked="true" hidden="false"/>
    </xf>
    <xf numFmtId="166" fontId="16" fillId="0" borderId="6" xfId="0" applyFont="true" applyBorder="true" applyAlignment="true" applyProtection="false">
      <alignment horizontal="general" vertical="bottom" textRotation="0" wrapText="false" indent="0" shrinkToFit="false"/>
      <protection locked="true" hidden="false"/>
    </xf>
    <xf numFmtId="167" fontId="17" fillId="0" borderId="6" xfId="0" applyFont="true" applyBorder="true" applyAlignment="true" applyProtection="false">
      <alignment horizontal="right" vertical="bottom" textRotation="0" wrapText="false" indent="0" shrinkToFit="false"/>
      <protection locked="true" hidden="false"/>
    </xf>
    <xf numFmtId="164" fontId="17" fillId="0" borderId="0" xfId="0" applyFont="true" applyBorder="false" applyAlignment="true" applyProtection="false">
      <alignment horizontal="right"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6" fontId="8" fillId="0" borderId="0" xfId="0" applyFont="true" applyBorder="false" applyAlignment="true" applyProtection="false">
      <alignment horizontal="left"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7" fontId="8" fillId="0" borderId="4" xfId="0" applyFont="true" applyBorder="tru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left" vertical="bottom" textRotation="0" wrapText="false" indent="0" shrinkToFit="false"/>
      <protection locked="true" hidden="false"/>
    </xf>
    <xf numFmtId="170" fontId="19" fillId="0" borderId="0" xfId="0" applyFont="true" applyBorder="false" applyAlignment="true" applyProtection="false">
      <alignment horizontal="center" vertical="bottom" textRotation="0" wrapText="false" indent="0" shrinkToFit="false"/>
      <protection locked="true" hidden="false"/>
    </xf>
    <xf numFmtId="166" fontId="19" fillId="0"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general" vertical="bottom" textRotation="0" wrapText="false" indent="0" shrinkToFit="false"/>
      <protection locked="true" hidden="false"/>
    </xf>
    <xf numFmtId="164" fontId="20" fillId="8" borderId="0" xfId="0" applyFont="true" applyBorder="false" applyAlignment="true" applyProtection="false">
      <alignment horizontal="center" vertical="bottom" textRotation="0" wrapText="false" indent="0" shrinkToFit="false"/>
      <protection locked="true" hidden="false"/>
    </xf>
    <xf numFmtId="167" fontId="19" fillId="9" borderId="0" xfId="0" applyFont="true" applyBorder="false" applyAlignment="true" applyProtection="false">
      <alignment horizontal="general" vertical="bottom" textRotation="0" wrapText="false" indent="0" shrinkToFit="false"/>
      <protection locked="true" hidden="false"/>
    </xf>
    <xf numFmtId="164" fontId="19" fillId="8" borderId="0" xfId="0" applyFont="true" applyBorder="false" applyAlignment="true" applyProtection="false">
      <alignment horizontal="general" vertical="bottom" textRotation="0" wrapText="false" indent="0" shrinkToFit="false"/>
      <protection locked="true" hidden="false"/>
    </xf>
    <xf numFmtId="171" fontId="19" fillId="8" borderId="0" xfId="0" applyFont="true" applyBorder="false" applyAlignment="true" applyProtection="false">
      <alignment horizontal="general" vertical="bottom" textRotation="0" wrapText="false" indent="0" shrinkToFit="false"/>
      <protection locked="true" hidden="false"/>
    </xf>
    <xf numFmtId="166" fontId="19" fillId="8" borderId="0" xfId="0" applyFont="true" applyBorder="false" applyAlignment="true" applyProtection="false">
      <alignment horizontal="center" vertical="bottom" textRotation="0" wrapText="false" indent="0" shrinkToFit="false"/>
      <protection locked="true" hidden="false"/>
    </xf>
    <xf numFmtId="167" fontId="19" fillId="0" borderId="0" xfId="0" applyFont="true" applyBorder="false" applyAlignment="true" applyProtection="false">
      <alignment horizontal="general" vertical="bottom" textRotation="0" wrapText="false" indent="0" shrinkToFit="false"/>
      <protection locked="true" hidden="false"/>
    </xf>
    <xf numFmtId="167" fontId="21" fillId="9" borderId="0" xfId="0" applyFont="true" applyBorder="false" applyAlignment="true" applyProtection="false">
      <alignment horizontal="general" vertical="bottom" textRotation="0" wrapText="false" indent="0" shrinkToFit="false"/>
      <protection locked="true" hidden="false"/>
    </xf>
    <xf numFmtId="167" fontId="22" fillId="9" borderId="0" xfId="0" applyFont="true" applyBorder="false" applyAlignment="true" applyProtection="false">
      <alignment horizontal="general" vertical="bottom" textRotation="0" wrapText="false" indent="0" shrinkToFit="false"/>
      <protection locked="true" hidden="false"/>
    </xf>
    <xf numFmtId="167" fontId="19" fillId="7" borderId="0" xfId="0" applyFont="true" applyBorder="false" applyAlignment="true" applyProtection="false">
      <alignment horizontal="general" vertical="bottom" textRotation="0" wrapText="false" indent="0" shrinkToFit="false"/>
      <protection locked="true" hidden="false"/>
    </xf>
    <xf numFmtId="167" fontId="19" fillId="4" borderId="0" xfId="0" applyFont="true" applyBorder="fals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general" vertical="bottom" textRotation="0" wrapText="false" indent="0" shrinkToFit="false"/>
      <protection locked="true" hidden="false"/>
    </xf>
    <xf numFmtId="164" fontId="12" fillId="0" borderId="5" xfId="0" applyFont="true" applyBorder="true" applyAlignment="true" applyProtection="false">
      <alignment horizontal="left" vertical="bottom" textRotation="0" wrapText="false" indent="0" shrinkToFit="false"/>
      <protection locked="true" hidden="false"/>
    </xf>
    <xf numFmtId="167" fontId="21" fillId="0" borderId="0" xfId="0" applyFont="true" applyBorder="false" applyAlignment="true" applyProtection="false">
      <alignment horizontal="general" vertical="bottom" textRotation="0" wrapText="false" indent="0" shrinkToFit="false"/>
      <protection locked="true" hidden="false"/>
    </xf>
    <xf numFmtId="167" fontId="10" fillId="0" borderId="7" xfId="0" applyFont="true" applyBorder="true" applyAlignment="true" applyProtection="false">
      <alignment horizontal="general" vertical="bottom" textRotation="0" wrapText="false" indent="0" shrinkToFit="false"/>
      <protection locked="true" hidden="false"/>
    </xf>
    <xf numFmtId="166" fontId="10" fillId="0" borderId="7" xfId="0" applyFont="true" applyBorder="tru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1" fillId="4" borderId="0" xfId="0" applyFont="true" applyBorder="false" applyAlignment="true" applyProtection="false">
      <alignment horizontal="general" vertical="bottom" textRotation="0" wrapText="false" indent="0" shrinkToFit="false"/>
      <protection locked="true" hidden="false"/>
    </xf>
    <xf numFmtId="164" fontId="13" fillId="1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center" vertical="bottom" textRotation="0" wrapText="false" indent="0" shrinkToFit="false"/>
      <protection locked="true" hidden="false"/>
    </xf>
    <xf numFmtId="168" fontId="25" fillId="11" borderId="0" xfId="0" applyFont="true" applyBorder="false" applyAlignment="true" applyProtection="false">
      <alignment horizontal="center" vertical="bottom" textRotation="0" wrapText="false" indent="0" shrinkToFit="false"/>
      <protection locked="true" hidden="false"/>
    </xf>
    <xf numFmtId="168" fontId="25" fillId="11" borderId="8" xfId="0" applyFont="true" applyBorder="true" applyAlignment="true" applyProtection="false">
      <alignment horizontal="center" vertical="bottom" textRotation="0" wrapText="false" indent="0" shrinkToFit="false"/>
      <protection locked="true" hidden="false"/>
    </xf>
    <xf numFmtId="164" fontId="10" fillId="12" borderId="0" xfId="0" applyFont="true" applyBorder="false" applyAlignment="true" applyProtection="false">
      <alignment horizontal="general" vertical="bottom" textRotation="0" wrapText="false" indent="0" shrinkToFit="false"/>
      <protection locked="true" hidden="false"/>
    </xf>
    <xf numFmtId="164" fontId="26" fillId="12" borderId="0" xfId="0" applyFont="true" applyBorder="false" applyAlignment="true" applyProtection="false">
      <alignment horizontal="general" vertical="bottom" textRotation="0" wrapText="false" indent="0" shrinkToFit="false"/>
      <protection locked="true" hidden="false"/>
    </xf>
    <xf numFmtId="164" fontId="26" fillId="12" borderId="8" xfId="0" applyFont="true" applyBorder="tru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2" fontId="0" fillId="0" borderId="8" xfId="0" applyFont="false" applyBorder="true" applyAlignment="true" applyProtection="false">
      <alignment horizontal="general" vertical="bottom" textRotation="0" wrapText="false" indent="0" shrinkToFit="false"/>
      <protection locked="true" hidden="false"/>
    </xf>
    <xf numFmtId="172" fontId="0" fillId="13"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3" fontId="0" fillId="0" borderId="8" xfId="0" applyFont="false" applyBorder="true" applyAlignment="true" applyProtection="false">
      <alignment horizontal="general" vertical="bottom" textRotation="0" wrapText="false" indent="0" shrinkToFit="false"/>
      <protection locked="true" hidden="false"/>
    </xf>
    <xf numFmtId="173" fontId="0" fillId="13" borderId="0" xfId="0" applyFont="false" applyBorder="false" applyAlignment="true" applyProtection="false">
      <alignment horizontal="general" vertical="bottom" textRotation="0" wrapText="false" indent="0" shrinkToFit="false"/>
      <protection locked="true" hidden="false"/>
    </xf>
    <xf numFmtId="164" fontId="10" fillId="0" borderId="3" xfId="0" applyFont="true" applyBorder="true" applyAlignment="true" applyProtection="false">
      <alignment horizontal="general" vertical="bottom" textRotation="0" wrapText="false" indent="0" shrinkToFit="false"/>
      <protection locked="true" hidden="false"/>
    </xf>
    <xf numFmtId="172" fontId="26" fillId="0" borderId="3" xfId="0" applyFont="true" applyBorder="true" applyAlignment="true" applyProtection="false">
      <alignment horizontal="general" vertical="bottom" textRotation="0" wrapText="false" indent="0" shrinkToFit="false"/>
      <protection locked="true" hidden="false"/>
    </xf>
    <xf numFmtId="172" fontId="26" fillId="0" borderId="9" xfId="0" applyFont="true" applyBorder="true" applyAlignment="true" applyProtection="false">
      <alignment horizontal="general" vertical="bottom" textRotation="0" wrapText="false" indent="0" shrinkToFit="false"/>
      <protection locked="true" hidden="false"/>
    </xf>
    <xf numFmtId="172" fontId="26" fillId="13" borderId="3" xfId="0" applyFont="true" applyBorder="true" applyAlignment="true" applyProtection="false">
      <alignment horizontal="general" vertical="bottom" textRotation="0" wrapText="false" indent="0" shrinkToFit="false"/>
      <protection locked="true" hidden="false"/>
    </xf>
    <xf numFmtId="164" fontId="10" fillId="0" borderId="4" xfId="0" applyFont="true" applyBorder="true" applyAlignment="true" applyProtection="false">
      <alignment horizontal="general" vertical="bottom" textRotation="0" wrapText="false" indent="0" shrinkToFit="false"/>
      <protection locked="true" hidden="false"/>
    </xf>
    <xf numFmtId="173" fontId="26" fillId="0" borderId="4" xfId="0" applyFont="true" applyBorder="true" applyAlignment="true" applyProtection="false">
      <alignment horizontal="general" vertical="bottom" textRotation="0" wrapText="false" indent="0" shrinkToFit="false"/>
      <protection locked="true" hidden="false"/>
    </xf>
    <xf numFmtId="173" fontId="26" fillId="0" borderId="10" xfId="0" applyFont="true" applyBorder="true" applyAlignment="true" applyProtection="false">
      <alignment horizontal="general" vertical="bottom" textRotation="0" wrapText="false" indent="0" shrinkToFit="false"/>
      <protection locked="true" hidden="false"/>
    </xf>
    <xf numFmtId="173" fontId="26" fillId="13" borderId="4" xfId="0" applyFont="true" applyBorder="true" applyAlignment="tru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general" vertical="bottom" textRotation="0" wrapText="false" indent="0" shrinkToFit="false"/>
      <protection locked="true" hidden="false"/>
    </xf>
    <xf numFmtId="164" fontId="0" fillId="13" borderId="0" xfId="0" applyFont="false" applyBorder="false" applyAlignment="true" applyProtection="false">
      <alignment horizontal="general" vertical="bottom" textRotation="0" wrapText="false" indent="0" shrinkToFit="false"/>
      <protection locked="true" hidden="false"/>
    </xf>
    <xf numFmtId="164" fontId="10" fillId="10" borderId="0" xfId="0" applyFont="true" applyBorder="false" applyAlignment="true" applyProtection="false">
      <alignment horizontal="general" vertical="bottom" textRotation="0" wrapText="false" indent="0" shrinkToFit="false"/>
      <protection locked="true" hidden="false"/>
    </xf>
    <xf numFmtId="164" fontId="26" fillId="10" borderId="0" xfId="0" applyFont="true" applyBorder="false" applyAlignment="true" applyProtection="false">
      <alignment horizontal="general" vertical="bottom" textRotation="0" wrapText="false" indent="0" shrinkToFit="false"/>
      <protection locked="true" hidden="false"/>
    </xf>
    <xf numFmtId="164" fontId="26" fillId="10" borderId="8" xfId="0" applyFont="true" applyBorder="true" applyAlignment="true" applyProtection="false">
      <alignment horizontal="general" vertical="bottom" textRotation="0" wrapText="false" indent="0" shrinkToFit="false"/>
      <protection locked="true" hidden="false"/>
    </xf>
    <xf numFmtId="164" fontId="10" fillId="14" borderId="0" xfId="0" applyFont="true" applyBorder="false" applyAlignment="true" applyProtection="false">
      <alignment horizontal="general" vertical="bottom" textRotation="0" wrapText="false" indent="0" shrinkToFit="false"/>
      <protection locked="true" hidden="false"/>
    </xf>
    <xf numFmtId="164" fontId="26" fillId="14" borderId="0" xfId="0" applyFont="true" applyBorder="false" applyAlignment="true" applyProtection="false">
      <alignment horizontal="general" vertical="bottom" textRotation="0" wrapText="false" indent="0" shrinkToFit="false"/>
      <protection locked="true" hidden="false"/>
    </xf>
    <xf numFmtId="164" fontId="26" fillId="14" borderId="8"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4" fontId="27" fillId="0" borderId="0" xfId="0" applyFont="true" applyBorder="false" applyAlignment="true" applyProtection="false">
      <alignment horizontal="general" vertical="bottom" textRotation="0" wrapText="false" indent="0" shrinkToFit="false"/>
      <protection locked="true" hidden="false"/>
    </xf>
    <xf numFmtId="174" fontId="27" fillId="0" borderId="8" xfId="0" applyFont="true" applyBorder="true" applyAlignment="true" applyProtection="false">
      <alignment horizontal="general" vertical="bottom" textRotation="0" wrapText="false" indent="0" shrinkToFit="false"/>
      <protection locked="true" hidden="false"/>
    </xf>
    <xf numFmtId="174" fontId="27" fillId="13" borderId="0" xfId="0" applyFont="true" applyBorder="false" applyAlignment="true" applyProtection="false">
      <alignment horizontal="general" vertical="bottom" textRotation="0" wrapText="false" indent="0" shrinkToFit="false"/>
      <protection locked="true" hidden="false"/>
    </xf>
    <xf numFmtId="164" fontId="8" fillId="0" borderId="3" xfId="0" applyFont="true" applyBorder="true" applyAlignment="true" applyProtection="false">
      <alignment horizontal="general" vertical="bottom" textRotation="0" wrapText="false" indent="0" shrinkToFit="false"/>
      <protection locked="true" hidden="false"/>
    </xf>
    <xf numFmtId="173" fontId="0" fillId="0" borderId="3" xfId="0" applyFont="false" applyBorder="true" applyAlignment="true" applyProtection="false">
      <alignment horizontal="general" vertical="bottom" textRotation="0" wrapText="false" indent="0" shrinkToFit="false"/>
      <protection locked="true" hidden="false"/>
    </xf>
    <xf numFmtId="173" fontId="0" fillId="0" borderId="9" xfId="0" applyFont="false" applyBorder="true" applyAlignment="true" applyProtection="false">
      <alignment horizontal="general" vertical="bottom" textRotation="0" wrapText="false" indent="0" shrinkToFit="false"/>
      <protection locked="true" hidden="false"/>
    </xf>
    <xf numFmtId="173" fontId="0" fillId="13" borderId="3" xfId="0" applyFont="false" applyBorder="true" applyAlignment="true" applyProtection="false">
      <alignment horizontal="general" vertical="bottom" textRotation="0" wrapText="false" indent="0" shrinkToFit="false"/>
      <protection locked="true" hidden="false"/>
    </xf>
    <xf numFmtId="164" fontId="28" fillId="15" borderId="0" xfId="0" applyFont="true" applyBorder="false" applyAlignment="true" applyProtection="false">
      <alignment horizontal="general" vertical="bottom" textRotation="0" wrapText="false" indent="0" shrinkToFit="false"/>
      <protection locked="true" hidden="false"/>
    </xf>
    <xf numFmtId="164" fontId="26" fillId="15" borderId="0" xfId="0" applyFont="true" applyBorder="false" applyAlignment="true" applyProtection="false">
      <alignment horizontal="general" vertical="bottom" textRotation="0" wrapText="false" indent="0" shrinkToFit="false"/>
      <protection locked="true" hidden="false"/>
    </xf>
    <xf numFmtId="164" fontId="26" fillId="15" borderId="8" xfId="0" applyFont="true" applyBorder="true" applyAlignment="true" applyProtection="false">
      <alignment horizontal="general" vertical="bottom" textRotation="0" wrapText="false" indent="0" shrinkToFit="false"/>
      <protection locked="true" hidden="false"/>
    </xf>
    <xf numFmtId="172" fontId="27" fillId="0" borderId="0" xfId="0" applyFont="true" applyBorder="false" applyAlignment="true" applyProtection="false">
      <alignment horizontal="general" vertical="bottom" textRotation="0" wrapText="false" indent="0" shrinkToFit="false"/>
      <protection locked="true" hidden="false"/>
    </xf>
    <xf numFmtId="172" fontId="27" fillId="0" borderId="8" xfId="0" applyFont="true" applyBorder="true" applyAlignment="true" applyProtection="false">
      <alignment horizontal="general" vertical="bottom" textRotation="0" wrapText="false" indent="0" shrinkToFit="false"/>
      <protection locked="true" hidden="false"/>
    </xf>
    <xf numFmtId="172" fontId="27" fillId="13" borderId="0" xfId="0" applyFont="true" applyBorder="false" applyAlignment="true" applyProtection="false">
      <alignment horizontal="general" vertical="bottom" textRotation="0" wrapText="false" indent="0" shrinkToFit="false"/>
      <protection locked="true" hidden="false"/>
    </xf>
    <xf numFmtId="173" fontId="27" fillId="0" borderId="0" xfId="0" applyFont="true" applyBorder="false" applyAlignment="true" applyProtection="false">
      <alignment horizontal="general" vertical="bottom" textRotation="0" wrapText="false" indent="0" shrinkToFit="false"/>
      <protection locked="true" hidden="false"/>
    </xf>
    <xf numFmtId="173" fontId="27" fillId="0" borderId="8" xfId="0" applyFont="true" applyBorder="true" applyAlignment="true" applyProtection="false">
      <alignment horizontal="general" vertical="bottom" textRotation="0" wrapText="false" indent="0" shrinkToFit="false"/>
      <protection locked="true" hidden="false"/>
    </xf>
    <xf numFmtId="173" fontId="27" fillId="13" borderId="0" xfId="0" applyFont="true" applyBorder="false" applyAlignment="true" applyProtection="false">
      <alignment horizontal="general" vertical="bottom" textRotation="0" wrapText="false" indent="0" shrinkToFit="false"/>
      <protection locked="true" hidden="false"/>
    </xf>
    <xf numFmtId="164" fontId="10" fillId="16" borderId="0" xfId="0" applyFont="true" applyBorder="false" applyAlignment="true" applyProtection="false">
      <alignment horizontal="general" vertical="bottom" textRotation="0" wrapText="false" indent="0" shrinkToFit="false"/>
      <protection locked="true" hidden="false"/>
    </xf>
    <xf numFmtId="164" fontId="26" fillId="16" borderId="0" xfId="0" applyFont="true" applyBorder="false" applyAlignment="true" applyProtection="false">
      <alignment horizontal="general" vertical="bottom" textRotation="0" wrapText="false" indent="0" shrinkToFit="false"/>
      <protection locked="true" hidden="false"/>
    </xf>
    <xf numFmtId="164" fontId="26" fillId="16" borderId="8"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72" fontId="26" fillId="0" borderId="0" xfId="0" applyFont="true" applyBorder="false" applyAlignment="true" applyProtection="false">
      <alignment horizontal="general" vertical="bottom" textRotation="0" wrapText="false" indent="0" shrinkToFit="false"/>
      <protection locked="true" hidden="false"/>
    </xf>
    <xf numFmtId="172" fontId="26" fillId="0" borderId="8" xfId="0" applyFont="true" applyBorder="true" applyAlignment="true" applyProtection="false">
      <alignment horizontal="general" vertical="bottom" textRotation="0" wrapText="false" indent="0" shrinkToFit="false"/>
      <protection locked="true" hidden="false"/>
    </xf>
    <xf numFmtId="172" fontId="26" fillId="13" borderId="0" xfId="0" applyFont="true" applyBorder="false" applyAlignment="true" applyProtection="false">
      <alignment horizontal="general" vertical="bottom" textRotation="0" wrapText="false" indent="0" shrinkToFit="false"/>
      <protection locked="true" hidden="false"/>
    </xf>
    <xf numFmtId="172" fontId="26" fillId="0" borderId="4" xfId="0" applyFont="true" applyBorder="true" applyAlignment="true" applyProtection="false">
      <alignment horizontal="general" vertical="bottom" textRotation="0" wrapText="false" indent="0" shrinkToFit="false"/>
      <protection locked="true" hidden="false"/>
    </xf>
    <xf numFmtId="172" fontId="26" fillId="0" borderId="10" xfId="0" applyFont="true" applyBorder="true" applyAlignment="true" applyProtection="false">
      <alignment horizontal="general" vertical="bottom" textRotation="0" wrapText="false" indent="0" shrinkToFit="false"/>
      <protection locked="true" hidden="false"/>
    </xf>
    <xf numFmtId="172" fontId="26" fillId="13" borderId="4" xfId="0" applyFont="true" applyBorder="true" applyAlignment="true" applyProtection="false">
      <alignment horizontal="general" vertical="bottom" textRotation="0" wrapText="false" indent="0" shrinkToFit="false"/>
      <protection locked="true" hidden="false"/>
    </xf>
    <xf numFmtId="175" fontId="27" fillId="0" borderId="0" xfId="0" applyFont="true" applyBorder="false" applyAlignment="true" applyProtection="false">
      <alignment horizontal="general" vertical="bottom" textRotation="0" wrapText="false" indent="0" shrinkToFit="false"/>
      <protection locked="true" hidden="false"/>
    </xf>
    <xf numFmtId="175" fontId="27" fillId="0" borderId="8" xfId="0" applyFont="true" applyBorder="true" applyAlignment="true" applyProtection="false">
      <alignment horizontal="general" vertical="bottom" textRotation="0" wrapText="false" indent="0" shrinkToFit="false"/>
      <protection locked="true" hidden="false"/>
    </xf>
    <xf numFmtId="175" fontId="27" fillId="1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77" fontId="30" fillId="17" borderId="0" xfId="0" applyFont="true" applyBorder="false" applyAlignment="false" applyProtection="false">
      <alignment horizontal="general" vertical="bottom" textRotation="0" wrapText="false" indent="0" shrinkToFit="false"/>
      <protection locked="true" hidden="false"/>
    </xf>
    <xf numFmtId="178" fontId="30" fillId="17" borderId="0" xfId="0" applyFont="true" applyBorder="false" applyAlignment="false" applyProtection="false">
      <alignment horizontal="general" vertical="bottom" textRotation="0" wrapText="false" indent="0" shrinkToFit="false"/>
      <protection locked="true" hidden="false"/>
    </xf>
    <xf numFmtId="166" fontId="30" fillId="17" borderId="0" xfId="0" applyFont="true" applyBorder="false" applyAlignment="false" applyProtection="false">
      <alignment horizontal="general" vertical="bottom" textRotation="0" wrapText="false" indent="0" shrinkToFit="false"/>
      <protection locked="true" hidden="false"/>
    </xf>
    <xf numFmtId="179" fontId="30" fillId="17" borderId="0" xfId="0" applyFont="true" applyBorder="false" applyAlignment="false" applyProtection="false">
      <alignment horizontal="general" vertical="bottom" textRotation="0" wrapText="false" indent="0" shrinkToFit="false"/>
      <protection locked="true" hidden="false"/>
    </xf>
    <xf numFmtId="168" fontId="6" fillId="2" borderId="0" xfId="0" applyFont="true" applyBorder="false" applyAlignment="false" applyProtection="false">
      <alignment horizontal="general" vertical="bottom" textRotation="0" wrapText="false" indent="0" shrinkToFit="false"/>
      <protection locked="true" hidden="false"/>
    </xf>
    <xf numFmtId="180"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7" fontId="0" fillId="0" borderId="0" xfId="0" applyFont="false" applyBorder="false" applyAlignment="false" applyProtection="false">
      <alignment horizontal="general" vertical="bottom" textRotation="0" wrapText="false" indent="0" shrinkToFit="false"/>
      <protection locked="true" hidden="false"/>
    </xf>
    <xf numFmtId="178" fontId="0" fillId="0" borderId="0" xfId="0" applyFont="false" applyBorder="false" applyAlignment="false" applyProtection="false">
      <alignment horizontal="general" vertical="bottom" textRotation="0" wrapText="false" indent="0" shrinkToFit="false"/>
      <protection locked="true" hidden="false"/>
    </xf>
    <xf numFmtId="181"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general" vertical="center" textRotation="0" wrapText="false" indent="0" shrinkToFit="false"/>
      <protection locked="true" hidden="false"/>
    </xf>
    <xf numFmtId="164" fontId="25" fillId="11" borderId="0" xfId="0" applyFont="true" applyBorder="false" applyAlignment="true" applyProtection="false">
      <alignment horizontal="right" vertical="center" textRotation="0" wrapText="false" indent="0" shrinkToFit="false"/>
      <protection locked="true" hidden="false"/>
    </xf>
    <xf numFmtId="164" fontId="25" fillId="11" borderId="0" xfId="0" applyFont="true" applyBorder="false" applyAlignment="true" applyProtection="false">
      <alignment horizontal="general" vertical="bottom" textRotation="0" wrapText="false" indent="0" shrinkToFit="false"/>
      <protection locked="true" hidden="false"/>
    </xf>
    <xf numFmtId="182" fontId="32" fillId="9" borderId="0" xfId="0" applyFont="true" applyBorder="false" applyAlignment="true" applyProtection="false">
      <alignment horizontal="general" vertical="bottom" textRotation="0" wrapText="false" indent="0" shrinkToFit="false"/>
      <protection locked="true" hidden="false"/>
    </xf>
    <xf numFmtId="183" fontId="32" fillId="9" borderId="0" xfId="0" applyFont="true" applyBorder="false" applyAlignment="true" applyProtection="false">
      <alignment horizontal="general" vertical="bottom" textRotation="0" wrapText="false" indent="0" shrinkToFit="false"/>
      <protection locked="true" hidden="false"/>
    </xf>
    <xf numFmtId="166" fontId="33" fillId="0" borderId="0" xfId="0" applyFont="true" applyBorder="false" applyAlignment="true" applyProtection="false">
      <alignment horizontal="general" vertical="bottom" textRotation="0" wrapText="false" indent="0" shrinkToFit="false"/>
      <protection locked="true" hidden="false"/>
    </xf>
    <xf numFmtId="166" fontId="32" fillId="9" borderId="0" xfId="0" applyFont="true" applyBorder="false" applyAlignment="true" applyProtection="false">
      <alignment horizontal="general" vertical="bottom" textRotation="0" wrapText="false" indent="0" shrinkToFit="false"/>
      <protection locked="true" hidden="false"/>
    </xf>
    <xf numFmtId="168" fontId="33" fillId="0" borderId="0" xfId="0" applyFont="true" applyBorder="false" applyAlignment="true" applyProtection="false">
      <alignment horizontal="general" vertical="bottom" textRotation="0" wrapText="false" indent="0" shrinkToFit="false"/>
      <protection locked="true" hidden="false"/>
    </xf>
    <xf numFmtId="178" fontId="33" fillId="0" borderId="0" xfId="0" applyFont="true" applyBorder="false" applyAlignment="true" applyProtection="false">
      <alignment horizontal="general" vertical="bottom" textRotation="0" wrapText="false" indent="0" shrinkToFit="false"/>
      <protection locked="true" hidden="false"/>
    </xf>
    <xf numFmtId="178" fontId="32" fillId="9"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81" fontId="32" fillId="9" borderId="0" xfId="0" applyFont="true" applyBorder="false" applyAlignment="true" applyProtection="false">
      <alignment horizontal="general" vertical="bottom" textRotation="0" wrapText="false" indent="0" shrinkToFit="false"/>
      <protection locked="true" hidden="false"/>
    </xf>
    <xf numFmtId="170" fontId="32" fillId="9" borderId="0" xfId="0" applyFont="true" applyBorder="false" applyAlignment="true" applyProtection="false">
      <alignment horizontal="general" vertical="bottom" textRotation="0" wrapText="false" indent="0" shrinkToFit="false"/>
      <protection locked="true" hidden="false"/>
    </xf>
    <xf numFmtId="178" fontId="32" fillId="0" borderId="0" xfId="0" applyFont="true" applyBorder="false" applyAlignment="true" applyProtection="false">
      <alignment horizontal="general" vertical="bottom" textRotation="0" wrapText="false" indent="0" shrinkToFit="false"/>
      <protection locked="true" hidden="false"/>
    </xf>
    <xf numFmtId="178" fontId="32" fillId="9" borderId="0" xfId="0" applyFont="true" applyBorder="false" applyAlignment="true" applyProtection="false">
      <alignment horizontal="right" vertical="bottom" textRotation="0" wrapText="false" indent="0" shrinkToFit="false"/>
      <protection locked="true" hidden="false"/>
    </xf>
    <xf numFmtId="178" fontId="33" fillId="9" borderId="0" xfId="0" applyFont="true" applyBorder="false" applyAlignment="true" applyProtection="false">
      <alignment horizontal="general" vertical="bottom" textRotation="0" wrapText="false" indent="0" shrinkToFit="false"/>
      <protection locked="true" hidden="false"/>
    </xf>
    <xf numFmtId="164" fontId="25" fillId="11" borderId="0" xfId="0" applyFont="true" applyBorder="false" applyAlignment="true" applyProtection="false">
      <alignment horizontal="left" vertical="bottom" textRotation="0" wrapText="false" indent="0" shrinkToFit="false"/>
      <protection locked="true" hidden="false"/>
    </xf>
    <xf numFmtId="172" fontId="0" fillId="0" borderId="0" xfId="0" applyFont="false" applyBorder="false" applyAlignment="true" applyProtection="false">
      <alignment horizontal="right" vertical="bottom" textRotation="0" wrapText="false" indent="0" shrinkToFit="false"/>
      <protection locked="true" hidden="false"/>
    </xf>
    <xf numFmtId="182" fontId="26" fillId="13" borderId="0" xfId="0" applyFont="true" applyBorder="false" applyAlignment="true" applyProtection="false">
      <alignment horizontal="right" vertical="bottom" textRotation="0" wrapText="false" indent="0" shrinkToFit="false"/>
      <protection locked="true" hidden="false"/>
    </xf>
    <xf numFmtId="171" fontId="0" fillId="0" borderId="0" xfId="0" applyFont="false" applyBorder="false" applyAlignment="true" applyProtection="false">
      <alignment horizontal="right" vertical="bottom" textRotation="0" wrapText="false" indent="0" shrinkToFit="false"/>
      <protection locked="true" hidden="false"/>
    </xf>
    <xf numFmtId="171" fontId="26" fillId="13" borderId="0" xfId="0" applyFont="true" applyBorder="false" applyAlignment="true" applyProtection="false">
      <alignment horizontal="right" vertical="bottom" textRotation="0" wrapText="false" indent="0" shrinkToFit="false"/>
      <protection locked="true" hidden="false"/>
    </xf>
    <xf numFmtId="164" fontId="26" fillId="0" borderId="7" xfId="0" applyFont="true" applyBorder="true" applyAlignment="true" applyProtection="false">
      <alignment horizontal="general" vertical="bottom" textRotation="0" wrapText="false" indent="0" shrinkToFit="false"/>
      <protection locked="true" hidden="false"/>
    </xf>
    <xf numFmtId="171" fontId="26" fillId="0" borderId="7" xfId="0" applyFont="true" applyBorder="true" applyAlignment="true" applyProtection="false">
      <alignment horizontal="right" vertical="bottom" textRotation="0" wrapText="false" indent="0" shrinkToFit="false"/>
      <protection locked="true" hidden="false"/>
    </xf>
    <xf numFmtId="171" fontId="26" fillId="13" borderId="7" xfId="0" applyFont="true" applyBorder="true" applyAlignment="true" applyProtection="false">
      <alignment horizontal="right"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72" fontId="35" fillId="0" borderId="0" xfId="0" applyFont="true" applyBorder="false" applyAlignment="true" applyProtection="false">
      <alignment horizontal="right" vertical="bottom" textRotation="0" wrapText="false" indent="0" shrinkToFit="false"/>
      <protection locked="true" hidden="false"/>
    </xf>
    <xf numFmtId="174" fontId="26" fillId="13" borderId="0" xfId="0" applyFont="true" applyBorder="false" applyAlignment="true" applyProtection="false">
      <alignment horizontal="right" vertical="bottom" textRotation="0" wrapText="false" indent="0" shrinkToFit="false"/>
      <protection locked="true" hidden="false"/>
    </xf>
    <xf numFmtId="172" fontId="33" fillId="0" borderId="0" xfId="0" applyFont="true" applyBorder="false" applyAlignment="true" applyProtection="false">
      <alignment horizontal="right" vertical="bottom" textRotation="0" wrapText="false" indent="0" shrinkToFit="false"/>
      <protection locked="true" hidden="false"/>
    </xf>
    <xf numFmtId="184" fontId="26" fillId="13" borderId="0" xfId="0" applyFont="true" applyBorder="false" applyAlignment="true" applyProtection="false">
      <alignment horizontal="right" vertical="bottom" textRotation="0" wrapText="false" indent="0" shrinkToFit="false"/>
      <protection locked="true" hidden="false"/>
    </xf>
    <xf numFmtId="164" fontId="26" fillId="18" borderId="7" xfId="0" applyFont="true" applyBorder="true" applyAlignment="true" applyProtection="false">
      <alignment horizontal="general" vertical="bottom" textRotation="0" wrapText="false" indent="0" shrinkToFit="false"/>
      <protection locked="true" hidden="false"/>
    </xf>
    <xf numFmtId="171" fontId="26" fillId="18" borderId="7" xfId="0" applyFont="true" applyBorder="true" applyAlignment="true" applyProtection="false">
      <alignment horizontal="right"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11" borderId="0" xfId="0" applyFont="true" applyBorder="false" applyAlignment="true" applyProtection="false">
      <alignment horizontal="general" vertical="center" textRotation="0" wrapText="false" indent="0" shrinkToFit="false"/>
      <protection locked="true" hidden="false"/>
    </xf>
    <xf numFmtId="164" fontId="39" fillId="11" borderId="0" xfId="0" applyFont="true" applyBorder="false" applyAlignment="true" applyProtection="false">
      <alignment horizontal="right" vertical="center" textRotation="0" wrapText="false" indent="0" shrinkToFit="false"/>
      <protection locked="true" hidden="false"/>
    </xf>
    <xf numFmtId="164" fontId="39" fillId="11"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0" fillId="0" borderId="1" xfId="0" applyFont="true" applyBorder="true" applyAlignment="true" applyProtection="false">
      <alignment horizontal="center" vertical="bottom" textRotation="0" wrapText="false" indent="0" shrinkToFit="false"/>
      <protection locked="true" hidden="false"/>
    </xf>
    <xf numFmtId="183" fontId="37" fillId="0" borderId="0" xfId="0" applyFont="true" applyBorder="false" applyAlignment="true" applyProtection="false">
      <alignment horizontal="general" vertical="bottom" textRotation="0" wrapText="false" indent="0" shrinkToFit="false"/>
      <protection locked="true" hidden="false"/>
    </xf>
    <xf numFmtId="183"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general" vertical="bottom" textRotation="0" wrapText="false" indent="0" shrinkToFit="false"/>
      <protection locked="true" hidden="false"/>
    </xf>
    <xf numFmtId="166" fontId="41" fillId="9" borderId="0" xfId="0" applyFont="true" applyBorder="false" applyAlignment="true" applyProtection="false">
      <alignment horizontal="center" vertical="bottom" textRotation="0" wrapText="false" indent="0" shrinkToFit="false"/>
      <protection locked="true" hidden="false"/>
    </xf>
    <xf numFmtId="185" fontId="42" fillId="9" borderId="0" xfId="0" applyFont="true" applyBorder="false" applyAlignment="true" applyProtection="false">
      <alignment horizontal="center" vertical="bottom" textRotation="0" wrapText="false" indent="0" shrinkToFit="false"/>
      <protection locked="true" hidden="false"/>
    </xf>
    <xf numFmtId="186" fontId="37" fillId="0" borderId="0" xfId="0" applyFont="true" applyBorder="false" applyAlignment="true" applyProtection="false">
      <alignment horizontal="general" vertical="bottom" textRotation="0" wrapText="false" indent="0" shrinkToFit="false"/>
      <protection locked="true" hidden="false"/>
    </xf>
    <xf numFmtId="168" fontId="41" fillId="9" borderId="0" xfId="0" applyFont="true" applyBorder="false" applyAlignment="true" applyProtection="false">
      <alignment horizontal="general" vertical="bottom" textRotation="0" wrapText="false" indent="0" shrinkToFit="false"/>
      <protection locked="true" hidden="false"/>
    </xf>
    <xf numFmtId="166" fontId="37" fillId="0" borderId="0" xfId="0" applyFont="true" applyBorder="false" applyAlignment="true" applyProtection="false">
      <alignment horizontal="center" vertical="bottom" textRotation="0" wrapText="false" indent="0" shrinkToFit="false"/>
      <protection locked="true" hidden="false"/>
    </xf>
    <xf numFmtId="178" fontId="41" fillId="9"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center" vertical="bottom" textRotation="0" wrapText="false" indent="0" shrinkToFit="false"/>
      <protection locked="true" hidden="false"/>
    </xf>
    <xf numFmtId="166" fontId="40" fillId="0" borderId="0" xfId="0" applyFont="true" applyBorder="false" applyAlignment="true" applyProtection="false">
      <alignment horizontal="center" vertical="bottom" textRotation="0" wrapText="false" indent="0" shrinkToFit="false"/>
      <protection locked="true" hidden="false"/>
    </xf>
    <xf numFmtId="187" fontId="40" fillId="0" borderId="0" xfId="0" applyFont="true" applyBorder="false" applyAlignment="true" applyProtection="false">
      <alignment horizontal="center" vertical="bottom" textRotation="0" wrapText="false" indent="0" shrinkToFit="false"/>
      <protection locked="true" hidden="false"/>
    </xf>
    <xf numFmtId="186" fontId="40"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8" fontId="41" fillId="9" borderId="0" xfId="0" applyFont="true" applyBorder="false" applyAlignment="true" applyProtection="false">
      <alignment horizontal="general" vertical="bottom" textRotation="0" wrapText="false" indent="0" shrinkToFit="false"/>
      <protection locked="true" hidden="false"/>
    </xf>
    <xf numFmtId="164" fontId="44" fillId="18" borderId="11" xfId="0" applyFont="true" applyBorder="true" applyAlignment="true" applyProtection="false">
      <alignment horizontal="general" vertical="bottom" textRotation="0" wrapText="false" indent="0" shrinkToFit="false"/>
      <protection locked="true" hidden="false"/>
    </xf>
    <xf numFmtId="178" fontId="44" fillId="18" borderId="11" xfId="0" applyFont="true" applyBorder="true" applyAlignment="true" applyProtection="false">
      <alignment horizontal="center" vertical="bottom" textRotation="0" wrapText="false" indent="0" shrinkToFit="false"/>
      <protection locked="true" hidden="false"/>
    </xf>
    <xf numFmtId="164" fontId="37" fillId="0" borderId="11" xfId="0" applyFont="true" applyBorder="true" applyAlignment="true" applyProtection="false">
      <alignment horizontal="general" vertical="bottom" textRotation="0" wrapText="false" indent="0" shrinkToFit="false"/>
      <protection locked="true" hidden="false"/>
    </xf>
    <xf numFmtId="172" fontId="41" fillId="9" borderId="11" xfId="0" applyFont="true" applyBorder="true" applyAlignment="true" applyProtection="false">
      <alignment horizontal="center" vertical="bottom" textRotation="0" wrapText="false" indent="0" shrinkToFit="false"/>
      <protection locked="true" hidden="false"/>
    </xf>
    <xf numFmtId="164" fontId="40" fillId="0" borderId="11" xfId="0" applyFont="true" applyBorder="true" applyAlignment="true" applyProtection="false">
      <alignment horizontal="general" vertical="bottom" textRotation="0" wrapText="false" indent="0" shrinkToFit="false"/>
      <protection locked="true" hidden="false"/>
    </xf>
    <xf numFmtId="172" fontId="44" fillId="0" borderId="11" xfId="0" applyFont="true" applyBorder="true" applyAlignment="true" applyProtection="false">
      <alignment horizontal="center" vertical="bottom" textRotation="0" wrapText="false" indent="0" shrinkToFit="false"/>
      <protection locked="true" hidden="false"/>
    </xf>
    <xf numFmtId="178" fontId="45" fillId="18" borderId="11" xfId="0" applyFont="true" applyBorder="tru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left" vertical="bottom" textRotation="0" wrapText="false" indent="0" shrinkToFit="false"/>
      <protection locked="true" hidden="false"/>
    </xf>
    <xf numFmtId="168" fontId="39" fillId="11" borderId="0" xfId="0" applyFont="true" applyBorder="false" applyAlignment="true" applyProtection="false">
      <alignment horizontal="center" vertical="bottom" textRotation="0" wrapText="false" indent="0" shrinkToFit="false"/>
      <protection locked="true" hidden="false"/>
    </xf>
    <xf numFmtId="164" fontId="39" fillId="11" borderId="0" xfId="0" applyFont="true" applyBorder="false" applyAlignment="true" applyProtection="false">
      <alignment horizontal="center" vertical="bottom" textRotation="0" wrapText="false" indent="0" shrinkToFit="false"/>
      <protection locked="true" hidden="false"/>
    </xf>
    <xf numFmtId="172" fontId="46" fillId="0" borderId="0" xfId="0" applyFont="true" applyBorder="false" applyAlignment="true" applyProtection="false">
      <alignment horizontal="general" vertical="bottom" textRotation="0" wrapText="false" indent="0" shrinkToFit="false"/>
      <protection locked="true" hidden="false"/>
    </xf>
    <xf numFmtId="172" fontId="40" fillId="13" borderId="0" xfId="0" applyFont="true" applyBorder="false" applyAlignment="true" applyProtection="false">
      <alignment horizontal="general" vertical="bottom" textRotation="0" wrapText="false" indent="0" shrinkToFit="false"/>
      <protection locked="true" hidden="false"/>
    </xf>
    <xf numFmtId="189" fontId="46" fillId="0" borderId="0" xfId="0" applyFont="true" applyBorder="false" applyAlignment="true" applyProtection="false">
      <alignment horizontal="general" vertical="bottom" textRotation="0" wrapText="false" indent="0" shrinkToFit="false"/>
      <protection locked="true" hidden="false"/>
    </xf>
    <xf numFmtId="189" fontId="40" fillId="13" borderId="0" xfId="0" applyFont="true" applyBorder="false" applyAlignment="true" applyProtection="false">
      <alignment horizontal="general" vertical="bottom" textRotation="0" wrapText="false" indent="0" shrinkToFit="false"/>
      <protection locked="true" hidden="false"/>
    </xf>
    <xf numFmtId="178" fontId="37" fillId="0" borderId="0" xfId="0" applyFont="true" applyBorder="false" applyAlignment="true" applyProtection="false">
      <alignment horizontal="right" vertical="bottom" textRotation="0" wrapText="false" indent="0" shrinkToFit="false"/>
      <protection locked="true" hidden="false"/>
    </xf>
    <xf numFmtId="164" fontId="40" fillId="13" borderId="0" xfId="0" applyFont="true" applyBorder="false" applyAlignment="true" applyProtection="false">
      <alignment horizontal="right" vertical="bottom" textRotation="0" wrapText="false" indent="0" shrinkToFit="false"/>
      <protection locked="true" hidden="false"/>
    </xf>
    <xf numFmtId="172" fontId="37" fillId="0" borderId="0" xfId="0" applyFont="true" applyBorder="false" applyAlignment="true" applyProtection="false">
      <alignment horizontal="right" vertical="bottom" textRotation="0" wrapText="false" indent="0" shrinkToFit="false"/>
      <protection locked="true" hidden="false"/>
    </xf>
    <xf numFmtId="174" fontId="40" fillId="13" borderId="0" xfId="0" applyFont="true" applyBorder="false" applyAlignment="true" applyProtection="false">
      <alignment horizontal="right" vertical="bottom" textRotation="0" wrapText="false" indent="0" shrinkToFit="false"/>
      <protection locked="true" hidden="false"/>
    </xf>
    <xf numFmtId="171" fontId="37" fillId="0" borderId="0" xfId="0" applyFont="true" applyBorder="false" applyAlignment="true" applyProtection="false">
      <alignment horizontal="right" vertical="bottom" textRotation="0" wrapText="false" indent="0" shrinkToFit="false"/>
      <protection locked="true" hidden="false"/>
    </xf>
    <xf numFmtId="171" fontId="40" fillId="13" borderId="0" xfId="0" applyFont="true" applyBorder="false" applyAlignment="true" applyProtection="false">
      <alignment horizontal="right" vertical="bottom" textRotation="0" wrapText="false" indent="0" shrinkToFit="false"/>
      <protection locked="true" hidden="false"/>
    </xf>
    <xf numFmtId="166" fontId="41" fillId="9" borderId="0" xfId="0" applyFont="true" applyBorder="false" applyAlignment="true" applyProtection="false">
      <alignment horizontal="right" vertical="bottom" textRotation="0" wrapText="false" indent="0" shrinkToFit="false"/>
      <protection locked="true" hidden="false"/>
    </xf>
    <xf numFmtId="166" fontId="40" fillId="13" borderId="0" xfId="0" applyFont="true" applyBorder="false" applyAlignment="true" applyProtection="false">
      <alignment horizontal="right" vertical="bottom" textRotation="0" wrapText="false" indent="0" shrinkToFit="false"/>
      <protection locked="true" hidden="false"/>
    </xf>
    <xf numFmtId="164" fontId="40" fillId="0" borderId="7" xfId="0" applyFont="true" applyBorder="true" applyAlignment="true" applyProtection="false">
      <alignment horizontal="general" vertical="bottom" textRotation="0" wrapText="false" indent="0" shrinkToFit="false"/>
      <protection locked="true" hidden="false"/>
    </xf>
    <xf numFmtId="171" fontId="40" fillId="0" borderId="7" xfId="0" applyFont="true" applyBorder="true" applyAlignment="true" applyProtection="false">
      <alignment horizontal="right" vertical="bottom" textRotation="0" wrapText="false" indent="0" shrinkToFit="false"/>
      <protection locked="true" hidden="false"/>
    </xf>
    <xf numFmtId="171" fontId="40" fillId="13" borderId="7" xfId="0" applyFont="true" applyBorder="true" applyAlignment="true" applyProtection="false">
      <alignment horizontal="right" vertical="bottom" textRotation="0" wrapText="false" indent="0" shrinkToFit="false"/>
      <protection locked="true" hidden="false"/>
    </xf>
    <xf numFmtId="164" fontId="37" fillId="0" borderId="0" xfId="0" applyFont="true" applyBorder="false" applyAlignment="true" applyProtection="false">
      <alignment horizontal="right"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0" fillId="18" borderId="7" xfId="0" applyFont="true" applyBorder="true" applyAlignment="true" applyProtection="false">
      <alignment horizontal="general" vertical="bottom" textRotation="0" wrapText="false" indent="0" shrinkToFit="false"/>
      <protection locked="true" hidden="false"/>
    </xf>
    <xf numFmtId="171" fontId="40" fillId="18" borderId="7" xfId="0" applyFont="true" applyBorder="true" applyAlignment="true" applyProtection="false">
      <alignment horizontal="right" vertical="bottom" textRotation="0" wrapText="false" indent="0" shrinkToFit="false"/>
      <protection locked="true" hidden="false"/>
    </xf>
    <xf numFmtId="164" fontId="4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49" fillId="19" borderId="0" xfId="0" applyFont="true" applyBorder="false" applyAlignment="true" applyProtection="false">
      <alignment horizontal="general" vertical="center" textRotation="0" wrapText="true" indent="0" shrinkToFit="false"/>
      <protection locked="true" hidden="false"/>
    </xf>
    <xf numFmtId="171" fontId="50" fillId="9" borderId="0" xfId="0" applyFont="true" applyBorder="false" applyAlignment="true" applyProtection="false">
      <alignment horizontal="right" vertical="center" textRotation="0" wrapText="false" indent="0" shrinkToFit="false"/>
      <protection locked="true" hidden="false"/>
    </xf>
    <xf numFmtId="170" fontId="50" fillId="9" borderId="0" xfId="0" applyFont="true" applyBorder="false" applyAlignment="true" applyProtection="false">
      <alignment horizontal="right" vertical="center" textRotation="0" wrapText="false" indent="0" shrinkToFit="false"/>
      <protection locked="true" hidden="false"/>
    </xf>
    <xf numFmtId="190" fontId="50" fillId="9" borderId="0" xfId="0" applyFont="true" applyBorder="false" applyAlignment="true" applyProtection="false">
      <alignment horizontal="right" vertical="center" textRotation="0" wrapText="false" indent="0" shrinkToFit="false"/>
      <protection locked="true" hidden="false"/>
    </xf>
    <xf numFmtId="184" fontId="50" fillId="9" borderId="0" xfId="0" applyFont="true" applyBorder="false" applyAlignment="true" applyProtection="false">
      <alignment horizontal="right" vertical="center" textRotation="0" wrapText="false" indent="0" shrinkToFit="false"/>
      <protection locked="true" hidden="false"/>
    </xf>
    <xf numFmtId="168" fontId="50" fillId="9" borderId="0" xfId="0" applyFont="true" applyBorder="false" applyAlignment="true" applyProtection="false">
      <alignment horizontal="right" vertical="center" textRotation="0" wrapText="false" indent="0" shrinkToFit="false"/>
      <protection locked="true" hidden="false"/>
    </xf>
    <xf numFmtId="191" fontId="8" fillId="0" borderId="0" xfId="0" applyFont="true" applyBorder="false" applyAlignment="true" applyProtection="false">
      <alignment horizontal="general" vertical="center" textRotation="0" wrapText="false" indent="0" shrinkToFit="false"/>
      <protection locked="true" hidden="false"/>
    </xf>
    <xf numFmtId="166" fontId="50" fillId="9" borderId="0" xfId="0" applyFont="true" applyBorder="false" applyAlignment="true" applyProtection="false">
      <alignment horizontal="right" vertical="center" textRotation="0" wrapText="false" indent="0" shrinkToFit="false"/>
      <protection locked="true" hidden="false"/>
    </xf>
    <xf numFmtId="171" fontId="10" fillId="20" borderId="0" xfId="0" applyFont="true" applyBorder="false" applyAlignment="true" applyProtection="false">
      <alignment horizontal="right" vertical="center" textRotation="0" wrapText="false" indent="0" shrinkToFit="false"/>
      <protection locked="true" hidden="false"/>
    </xf>
    <xf numFmtId="164" fontId="13" fillId="0" borderId="0" xfId="0" applyFont="true" applyBorder="false" applyAlignment="true" applyProtection="false">
      <alignment horizontal="general" vertical="center" textRotation="0" wrapText="false" indent="0" shrinkToFit="false"/>
      <protection locked="true" hidden="false"/>
    </xf>
    <xf numFmtId="184" fontId="13" fillId="0" borderId="0" xfId="0" applyFont="true" applyBorder="false" applyAlignment="true" applyProtection="false">
      <alignment horizontal="right" vertical="center" textRotation="0" wrapText="false" indent="0" shrinkToFit="false"/>
      <protection locked="true" hidden="false"/>
    </xf>
    <xf numFmtId="182" fontId="51" fillId="0" borderId="0" xfId="0" applyFont="true" applyBorder="false" applyAlignment="true" applyProtection="false">
      <alignment horizontal="right" vertical="center" textRotation="0" wrapText="false" indent="0" shrinkToFit="false"/>
      <protection locked="true" hidden="false"/>
    </xf>
    <xf numFmtId="170" fontId="51" fillId="0" borderId="0" xfId="0" applyFont="true" applyBorder="false" applyAlignment="true" applyProtection="false">
      <alignment horizontal="right" vertical="center" textRotation="0" wrapText="false" indent="0" shrinkToFit="false"/>
      <protection locked="true" hidden="false"/>
    </xf>
    <xf numFmtId="184" fontId="51" fillId="0" borderId="0" xfId="0" applyFont="true" applyBorder="false" applyAlignment="true" applyProtection="false">
      <alignment horizontal="right" vertical="center" textRotation="0" wrapText="false" indent="0" shrinkToFit="false"/>
      <protection locked="true" hidden="false"/>
    </xf>
    <xf numFmtId="171" fontId="51" fillId="0" borderId="0" xfId="0" applyFont="true" applyBorder="false" applyAlignment="true" applyProtection="false">
      <alignment horizontal="right" vertical="center" textRotation="0" wrapText="false" indent="0" shrinkToFit="false"/>
      <protection locked="true" hidden="false"/>
    </xf>
    <xf numFmtId="184" fontId="10" fillId="0" borderId="0" xfId="0" applyFont="true" applyBorder="false" applyAlignment="true" applyProtection="false">
      <alignment horizontal="right" vertical="center" textRotation="0" wrapText="false" indent="0" shrinkToFit="false"/>
      <protection locked="true" hidden="false"/>
    </xf>
    <xf numFmtId="168" fontId="49" fillId="19" borderId="0" xfId="0" applyFont="true" applyBorder="false" applyAlignment="true" applyProtection="false">
      <alignment horizontal="right" vertical="center" textRotation="0" wrapText="true" indent="0" shrinkToFit="false"/>
      <protection locked="true" hidden="false"/>
    </xf>
    <xf numFmtId="164" fontId="49" fillId="19" borderId="0" xfId="0" applyFont="true" applyBorder="false" applyAlignment="true" applyProtection="false">
      <alignment horizontal="right" vertical="center" textRotation="0" wrapText="true" indent="0" shrinkToFit="false"/>
      <protection locked="true" hidden="false"/>
    </xf>
    <xf numFmtId="174" fontId="51" fillId="0" borderId="0" xfId="0" applyFont="true" applyBorder="false" applyAlignment="true" applyProtection="false">
      <alignment horizontal="general" vertical="center" textRotation="0" wrapText="false" indent="0" shrinkToFit="false"/>
      <protection locked="true" hidden="false"/>
    </xf>
    <xf numFmtId="174" fontId="8"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false" indent="0" shrinkToFit="false"/>
      <protection locked="true" hidden="false"/>
    </xf>
    <xf numFmtId="174" fontId="10" fillId="0" borderId="0" xfId="0" applyFont="true" applyBorder="false" applyAlignment="true" applyProtection="false">
      <alignment horizontal="general" vertical="center" textRotation="0" wrapText="false" indent="0" shrinkToFit="false"/>
      <protection locked="true" hidden="false"/>
    </xf>
    <xf numFmtId="172" fontId="8" fillId="0" borderId="0" xfId="0" applyFont="true" applyBorder="false" applyAlignment="true" applyProtection="false">
      <alignment horizontal="general" vertical="center" textRotation="0" wrapText="false" indent="0" shrinkToFit="false"/>
      <protection locked="true" hidden="false"/>
    </xf>
    <xf numFmtId="175" fontId="8" fillId="0" borderId="0" xfId="0" applyFont="true" applyBorder="false" applyAlignment="true" applyProtection="false">
      <alignment horizontal="general" vertical="center" textRotation="0" wrapText="false" indent="0" shrinkToFit="false"/>
      <protection locked="true" hidden="false"/>
    </xf>
    <xf numFmtId="171" fontId="8"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10" fillId="0" borderId="12" xfId="0" applyFont="true" applyBorder="true" applyAlignment="true" applyProtection="false">
      <alignment horizontal="general" vertical="center" textRotation="0" wrapText="false" indent="0" shrinkToFit="false"/>
      <protection locked="true" hidden="false"/>
    </xf>
    <xf numFmtId="171" fontId="10" fillId="0" borderId="12" xfId="0" applyFont="true" applyBorder="true" applyAlignment="true" applyProtection="false">
      <alignment horizontal="general" vertical="center" textRotation="0" wrapText="false" indent="0" shrinkToFit="false"/>
      <protection locked="true" hidden="false"/>
    </xf>
    <xf numFmtId="171" fontId="49" fillId="19" borderId="0" xfId="0" applyFont="true" applyBorder="false" applyAlignment="true" applyProtection="false">
      <alignment horizontal="right" vertical="center" textRotation="0" wrapText="tru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52" fillId="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false" indent="0" shrinkToFit="false"/>
      <protection locked="true" hidden="false"/>
    </xf>
    <xf numFmtId="175" fontId="50" fillId="9" borderId="0" xfId="0" applyFont="true" applyBorder="false" applyAlignment="true" applyProtection="false">
      <alignment horizontal="right" vertical="center" textRotation="0" wrapText="false" indent="0" shrinkToFit="false"/>
      <protection locked="true" hidden="false"/>
    </xf>
    <xf numFmtId="175" fontId="51" fillId="0" borderId="0" xfId="0" applyFont="true" applyBorder="false" applyAlignment="true" applyProtection="false">
      <alignment horizontal="right" vertical="center" textRotation="0" wrapText="false" indent="0" shrinkToFit="false"/>
      <protection locked="true" hidden="false"/>
    </xf>
    <xf numFmtId="183" fontId="50" fillId="9" borderId="0" xfId="0" applyFont="true" applyBorder="false" applyAlignment="true" applyProtection="false">
      <alignment horizontal="right" vertical="center" textRotation="0" wrapText="false" indent="0" shrinkToFit="false"/>
      <protection locked="true" hidden="false"/>
    </xf>
    <xf numFmtId="166" fontId="51" fillId="0" borderId="0" xfId="0" applyFont="true" applyBorder="false" applyAlignment="true" applyProtection="false">
      <alignment horizontal="right" vertical="center" textRotation="0" wrapText="false" indent="0" shrinkToFit="false"/>
      <protection locked="true" hidden="false"/>
    </xf>
    <xf numFmtId="168" fontId="51" fillId="0" borderId="0" xfId="0" applyFont="true" applyBorder="false" applyAlignment="true" applyProtection="false">
      <alignment horizontal="right" vertical="center" textRotation="0" wrapText="false" indent="0" shrinkToFit="false"/>
      <protection locked="true" hidden="false"/>
    </xf>
    <xf numFmtId="168" fontId="49" fillId="11" borderId="0" xfId="0" applyFont="true" applyBorder="false" applyAlignment="true" applyProtection="false">
      <alignment horizontal="right" vertical="center" textRotation="0" wrapText="false" indent="0" shrinkToFit="false"/>
      <protection locked="true" hidden="false"/>
    </xf>
    <xf numFmtId="171" fontId="22" fillId="0" borderId="0" xfId="0" applyFont="true" applyBorder="false" applyAlignment="true" applyProtection="false">
      <alignment horizontal="general" vertical="center" textRotation="0" wrapText="false" indent="0" shrinkToFit="false"/>
      <protection locked="true" hidden="false"/>
    </xf>
    <xf numFmtId="171" fontId="10" fillId="0" borderId="0" xfId="0" applyFont="true" applyBorder="false" applyAlignment="true" applyProtection="false">
      <alignment horizontal="general" vertical="center" textRotation="0" wrapText="false" indent="0" shrinkToFit="false"/>
      <protection locked="true" hidden="false"/>
    </xf>
    <xf numFmtId="164" fontId="8" fillId="0" borderId="13" xfId="0" applyFont="true" applyBorder="true" applyAlignment="true" applyProtection="false">
      <alignment horizontal="general" vertical="center" textRotation="0" wrapText="false" indent="0" shrinkToFit="false"/>
      <protection locked="true" hidden="false"/>
    </xf>
    <xf numFmtId="174" fontId="8" fillId="0" borderId="13" xfId="0" applyFont="true" applyBorder="true" applyAlignment="true" applyProtection="false">
      <alignment horizontal="general" vertical="center" textRotation="0" wrapText="false" indent="0" shrinkToFit="false"/>
      <protection locked="true" hidden="false"/>
    </xf>
    <xf numFmtId="164" fontId="10" fillId="0" borderId="13" xfId="0" applyFont="true" applyBorder="true" applyAlignment="true" applyProtection="false">
      <alignment horizontal="general" vertical="center" textRotation="0" wrapText="false" indent="0" shrinkToFit="false"/>
      <protection locked="true" hidden="false"/>
    </xf>
    <xf numFmtId="171" fontId="10" fillId="0" borderId="13" xfId="0" applyFont="true" applyBorder="true" applyAlignment="true" applyProtection="false">
      <alignment horizontal="general" vertical="center" textRotation="0" wrapText="false" indent="0" shrinkToFit="false"/>
      <protection locked="true" hidden="false"/>
    </xf>
    <xf numFmtId="171" fontId="22" fillId="20" borderId="0" xfId="0" applyFont="true" applyBorder="false" applyAlignment="true" applyProtection="false">
      <alignment horizontal="general" vertical="center" textRotation="0" wrapText="false" indent="0" shrinkToFit="false"/>
      <protection locked="true" hidden="false"/>
    </xf>
    <xf numFmtId="164" fontId="49" fillId="11" borderId="0" xfId="0" applyFont="true" applyBorder="false" applyAlignment="true" applyProtection="false">
      <alignment horizontal="general" vertical="center" textRotation="0" wrapText="true" indent="0" shrinkToFit="false"/>
      <protection locked="true" hidden="false"/>
    </xf>
    <xf numFmtId="164" fontId="49" fillId="11" borderId="0" xfId="0" applyFont="true" applyBorder="false" applyAlignment="true" applyProtection="false">
      <alignment horizontal="right" vertical="center" textRotation="0" wrapText="true" indent="0" shrinkToFit="false"/>
      <protection locked="true" hidden="false"/>
    </xf>
    <xf numFmtId="178"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color rgb="FF0000FF"/>
      </font>
    </dxf>
    <dxf>
      <font>
        <color rgb="FFC00000"/>
      </font>
      <fill>
        <patternFill>
          <bgColor rgb="FFFFC7CE"/>
        </patternFill>
      </fill>
    </dxf>
  </dxfs>
  <colors>
    <indexedColors>
      <rgbColor rgb="FF000000"/>
      <rgbColor rgb="FFFFFFFF"/>
      <rgbColor rgb="FFC00000"/>
      <rgbColor rgb="FF00FF00"/>
      <rgbColor rgb="FF0000FF"/>
      <rgbColor rgb="FFFFF2CC"/>
      <rgbColor rgb="FFFF00FF"/>
      <rgbColor rgb="FFF2F2F2"/>
      <rgbColor rgb="FF800000"/>
      <rgbColor rgb="FF008000"/>
      <rgbColor rgb="FF000080"/>
      <rgbColor rgb="FF7F7F7F"/>
      <rgbColor rgb="FF800080"/>
      <rgbColor rgb="FF196B24"/>
      <rgbColor rgb="FFC0C0C0"/>
      <rgbColor rgb="FF808080"/>
      <rgbColor rgb="FFD0D0D0"/>
      <rgbColor rgb="FF993366"/>
      <rgbColor rgb="FFFFFFCC"/>
      <rgbColor rgb="FFDDEBF7"/>
      <rgbColor rgb="FF660066"/>
      <rgbColor rgb="FFD8D8D8"/>
      <rgbColor rgb="FF0070C0"/>
      <rgbColor rgb="FFBDD7EE"/>
      <rgbColor rgb="FF000080"/>
      <rgbColor rgb="FFFF00FF"/>
      <rgbColor rgb="FFB3E5A1"/>
      <rgbColor rgb="FF00FFFF"/>
      <rgbColor rgb="FF800080"/>
      <rgbColor rgb="FF800000"/>
      <rgbColor rgb="FF007F00"/>
      <rgbColor rgb="FF0000CC"/>
      <rgbColor rgb="FF00CCFF"/>
      <rgbColor rgb="FFDBE9F7"/>
      <rgbColor rgb="FFD9F2D0"/>
      <rgbColor rgb="FFFFE699"/>
      <rgbColor rgb="FFA6C9EB"/>
      <rgbColor rgb="FFFFC7CE"/>
      <rgbColor rgb="FFBFBFBF"/>
      <rgbColor rgb="FFF8CBAD"/>
      <rgbColor rgb="FF3366FF"/>
      <rgbColor rgb="FFD9E1F2"/>
      <rgbColor rgb="FF8ED873"/>
      <rgbColor rgb="FFC6E0B4"/>
      <rgbColor rgb="FFD9D9D9"/>
      <rgbColor rgb="FFFAE2D5"/>
      <rgbColor rgb="FF595959"/>
      <rgbColor rgb="FF969696"/>
      <rgbColor rgb="FF1E3863"/>
      <rgbColor rgb="FF007E00"/>
      <rgbColor rgb="FF060606"/>
      <rgbColor rgb="FF275317"/>
      <rgbColor rgb="FF993300"/>
      <rgbColor rgb="FF993366"/>
      <rgbColor rgb="FF1F3864"/>
      <rgbColor rgb="FF1F37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1.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2.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40"/>
    <col collapsed="false" customWidth="true" hidden="false" outlineLevel="0" max="5" min="4" style="0" width="60"/>
    <col collapsed="false" customWidth="true" hidden="false" outlineLevel="0" max="6" min="6" style="0" width="28"/>
    <col collapsed="false" customWidth="true" hidden="false" outlineLevel="0" max="7" min="7" style="0" width="30"/>
    <col collapsed="false" customWidth="true" hidden="false" outlineLevel="0" max="8" min="8" style="0" width="50"/>
  </cols>
  <sheetData>
    <row r="1" customFormat="false" ht="17.3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0" t="s">
        <v>2</v>
      </c>
    </row>
    <row r="5" customFormat="false" ht="15" hidden="false" customHeight="false" outlineLevel="0" collapsed="false">
      <c r="A5" s="0" t="s">
        <v>3</v>
      </c>
    </row>
    <row r="7" customFormat="false" ht="15" hidden="false" customHeight="false" outlineLevel="0" collapsed="false">
      <c r="A7" s="2" t="s">
        <v>4</v>
      </c>
    </row>
    <row r="8" customFormat="false" ht="15" hidden="false" customHeight="false" outlineLevel="0" collapsed="false">
      <c r="A8" s="0" t="s">
        <v>5</v>
      </c>
    </row>
    <row r="9" customFormat="false" ht="15" hidden="false" customHeight="false" outlineLevel="0" collapsed="false">
      <c r="A9" s="0" t="s">
        <v>6</v>
      </c>
    </row>
    <row r="10" customFormat="false" ht="15" hidden="false" customHeight="false" outlineLevel="0" collapsed="false">
      <c r="A10" s="0" t="s">
        <v>7</v>
      </c>
    </row>
    <row r="11" customFormat="false" ht="15" hidden="false" customHeight="false" outlineLevel="0" collapsed="false">
      <c r="A11" s="0" t="s">
        <v>8</v>
      </c>
    </row>
    <row r="12" customFormat="false" ht="15" hidden="false" customHeight="false" outlineLevel="0" collapsed="false">
      <c r="A12" s="0" t="s">
        <v>9</v>
      </c>
    </row>
    <row r="14" customFormat="false" ht="15" hidden="false" customHeight="false" outlineLevel="0" collapsed="false">
      <c r="A14" s="2" t="s">
        <v>10</v>
      </c>
    </row>
    <row r="15" customFormat="false" ht="15" hidden="false" customHeight="false" outlineLevel="0" collapsed="false">
      <c r="A15" s="3" t="s">
        <v>11</v>
      </c>
      <c r="B15" s="3" t="s">
        <v>12</v>
      </c>
      <c r="C15" s="3" t="s">
        <v>13</v>
      </c>
      <c r="D15" s="3" t="s">
        <v>14</v>
      </c>
    </row>
    <row r="16" customFormat="false" ht="15" hidden="false" customHeight="false" outlineLevel="0" collapsed="false">
      <c r="A16" s="4" t="s">
        <v>15</v>
      </c>
      <c r="B16" s="4" t="s">
        <v>16</v>
      </c>
      <c r="C16" s="5" t="n">
        <v>7423939.54333333</v>
      </c>
      <c r="D16" s="5" t="n">
        <f aca="false">'COO P&amp;L'!N16</f>
        <v>7423939.54333333</v>
      </c>
    </row>
    <row r="17" customFormat="false" ht="15" hidden="false" customHeight="false" outlineLevel="0" collapsed="false">
      <c r="A17" s="4" t="s">
        <v>15</v>
      </c>
      <c r="B17" s="4" t="s">
        <v>17</v>
      </c>
      <c r="C17" s="5" t="n">
        <v>0</v>
      </c>
      <c r="D17" s="5" t="n">
        <f aca="false">'COO P&amp;L'!AG16</f>
        <v>15563645.5416667</v>
      </c>
    </row>
    <row r="18" customFormat="false" ht="15" hidden="false" customHeight="false" outlineLevel="0" collapsed="false">
      <c r="A18" s="4" t="s">
        <v>18</v>
      </c>
      <c r="B18" s="4" t="s">
        <v>16</v>
      </c>
      <c r="C18" s="5" t="n">
        <v>4478015.61476191</v>
      </c>
      <c r="D18" s="5" t="n">
        <f aca="false">'COO P&amp;L'!N63</f>
        <v>4478015.61476191</v>
      </c>
    </row>
    <row r="19" customFormat="false" ht="15" hidden="false" customHeight="false" outlineLevel="0" collapsed="false">
      <c r="A19" s="4" t="s">
        <v>18</v>
      </c>
      <c r="B19" s="4" t="s">
        <v>17</v>
      </c>
      <c r="C19" s="5" t="n">
        <v>8833208.99446155</v>
      </c>
      <c r="D19" s="5" t="n">
        <f aca="false">'COO P&amp;L'!AG63</f>
        <v>12152017.1582711</v>
      </c>
    </row>
    <row r="20" customFormat="false" ht="15" hidden="false" customHeight="false" outlineLevel="0" collapsed="false">
      <c r="A20" s="4" t="s">
        <v>19</v>
      </c>
      <c r="B20" s="4" t="s">
        <v>16</v>
      </c>
      <c r="C20" s="5" t="n">
        <v>2945923.92857143</v>
      </c>
      <c r="D20" s="5" t="n">
        <f aca="false">'COO P&amp;L'!N64</f>
        <v>2945923.92857143</v>
      </c>
    </row>
    <row r="21" customFormat="false" ht="15" hidden="false" customHeight="false" outlineLevel="0" collapsed="false">
      <c r="A21" s="4" t="s">
        <v>19</v>
      </c>
      <c r="B21" s="4" t="s">
        <v>17</v>
      </c>
      <c r="C21" s="5" t="n">
        <v>-8833208.99446155</v>
      </c>
      <c r="D21" s="5" t="n">
        <f aca="false">'COO P&amp;L'!AG64</f>
        <v>3411628.3833956</v>
      </c>
    </row>
    <row r="22" customFormat="false" ht="15" hidden="false" customHeight="false" outlineLevel="0" collapsed="false">
      <c r="A22" s="4" t="s">
        <v>20</v>
      </c>
      <c r="B22" s="4" t="s">
        <v>16</v>
      </c>
      <c r="C22" s="5" t="n">
        <v>3929957.3</v>
      </c>
      <c r="D22" s="5" t="n">
        <f aca="false">'COO P&amp;L'!N116</f>
        <v>3929957.3</v>
      </c>
    </row>
    <row r="23" customFormat="false" ht="15" hidden="false" customHeight="false" outlineLevel="0" collapsed="false">
      <c r="A23" s="4" t="s">
        <v>20</v>
      </c>
      <c r="B23" s="4" t="s">
        <v>17</v>
      </c>
      <c r="C23" s="5" t="n">
        <v>3018142.34406938</v>
      </c>
      <c r="D23" s="5" t="n">
        <f aca="false">'COO P&amp;L'!AG116</f>
        <v>3018142.34406938</v>
      </c>
    </row>
    <row r="24" customFormat="false" ht="15" hidden="false" customHeight="false" outlineLevel="0" collapsed="false">
      <c r="A24" s="4" t="s">
        <v>21</v>
      </c>
      <c r="B24" s="4" t="s">
        <v>16</v>
      </c>
      <c r="C24" s="5" t="n">
        <v>-899222.051428571</v>
      </c>
      <c r="D24" s="5" t="n">
        <f aca="false">'COO P&amp;L'!N132</f>
        <v>-899222.051428571</v>
      </c>
    </row>
    <row r="25" customFormat="false" ht="15" hidden="false" customHeight="false" outlineLevel="0" collapsed="false">
      <c r="A25" s="4" t="s">
        <v>21</v>
      </c>
      <c r="B25" s="4" t="s">
        <v>17</v>
      </c>
      <c r="C25" s="5" t="n">
        <v>-11851351.3385309</v>
      </c>
      <c r="D25" s="5" t="n">
        <f aca="false">'COO P&amp;L'!AG132</f>
        <v>393486.03932622</v>
      </c>
    </row>
    <row r="26" customFormat="false" ht="28.35" hidden="false" customHeight="false" outlineLevel="0" collapsed="false">
      <c r="A26" s="4" t="s">
        <v>22</v>
      </c>
      <c r="B26" s="4" t="s">
        <v>17</v>
      </c>
      <c r="C26" s="5" t="n">
        <v>0</v>
      </c>
      <c r="D26" s="5" t="n">
        <f aca="false">SUM('COO P&amp;L'!AG19:AG22)</f>
        <v>3318808.16380952</v>
      </c>
    </row>
    <row r="27" customFormat="false" ht="41.75" hidden="false" customHeight="false" outlineLevel="0" collapsed="false">
      <c r="A27" s="4" t="s">
        <v>23</v>
      </c>
      <c r="B27" s="4" t="s">
        <v>17</v>
      </c>
      <c r="C27" s="5" t="n">
        <v>11851351.3385309</v>
      </c>
      <c r="D27" s="5" t="n">
        <f aca="false">'COO P&amp;L'!AG63+'COO P&amp;L'!AG116</f>
        <v>15170159.5023404</v>
      </c>
    </row>
    <row r="29" customFormat="false" ht="15" hidden="false" customHeight="false" outlineLevel="0" collapsed="false">
      <c r="A29" s="2" t="s">
        <v>24</v>
      </c>
    </row>
    <row r="30" customFormat="false" ht="15" hidden="false" customHeight="false" outlineLevel="0" collapsed="false">
      <c r="A30" s="3" t="s">
        <v>25</v>
      </c>
      <c r="B30" s="3" t="s">
        <v>26</v>
      </c>
      <c r="C30" s="3" t="s">
        <v>27</v>
      </c>
      <c r="D30" s="3" t="s">
        <v>28</v>
      </c>
      <c r="E30" s="3" t="s">
        <v>1</v>
      </c>
    </row>
    <row r="31" customFormat="false" ht="95.5" hidden="false" customHeight="false" outlineLevel="0" collapsed="false">
      <c r="A31" s="4" t="s">
        <v>29</v>
      </c>
      <c r="B31" s="4" t="s">
        <v>30</v>
      </c>
      <c r="C31" s="4" t="s">
        <v>31</v>
      </c>
      <c r="D31" s="4" t="s">
        <v>32</v>
      </c>
      <c r="E31" s="4" t="s">
        <v>33</v>
      </c>
    </row>
    <row r="32" customFormat="false" ht="95.5" hidden="false" customHeight="false" outlineLevel="0" collapsed="false">
      <c r="A32" s="4" t="s">
        <v>34</v>
      </c>
      <c r="B32" s="4" t="s">
        <v>35</v>
      </c>
      <c r="C32" s="4" t="s">
        <v>36</v>
      </c>
      <c r="D32" s="4" t="s">
        <v>37</v>
      </c>
      <c r="E32" s="4" t="s">
        <v>38</v>
      </c>
    </row>
    <row r="33" customFormat="false" ht="108.95" hidden="false" customHeight="false" outlineLevel="0" collapsed="false">
      <c r="A33" s="4" t="s">
        <v>39</v>
      </c>
      <c r="B33" s="4" t="s">
        <v>40</v>
      </c>
      <c r="C33" s="4" t="s">
        <v>41</v>
      </c>
      <c r="D33" s="4" t="s">
        <v>42</v>
      </c>
      <c r="E33" s="4" t="s">
        <v>43</v>
      </c>
    </row>
    <row r="34" customFormat="false" ht="68.65" hidden="false" customHeight="false" outlineLevel="0" collapsed="false">
      <c r="A34" s="4" t="s">
        <v>44</v>
      </c>
      <c r="B34" s="4" t="s">
        <v>45</v>
      </c>
      <c r="C34" s="4" t="s">
        <v>46</v>
      </c>
      <c r="D34" s="4" t="s">
        <v>47</v>
      </c>
      <c r="E34" s="4" t="s">
        <v>48</v>
      </c>
    </row>
    <row r="35" customFormat="false" ht="28.35" hidden="false" customHeight="false" outlineLevel="0" collapsed="false">
      <c r="A35" s="4" t="s">
        <v>49</v>
      </c>
      <c r="B35" s="4" t="s">
        <v>50</v>
      </c>
      <c r="C35" s="4" t="s">
        <v>51</v>
      </c>
      <c r="D35" s="4" t="s">
        <v>52</v>
      </c>
      <c r="E35" s="4" t="s">
        <v>48</v>
      </c>
    </row>
    <row r="36" customFormat="false" ht="28.35" hidden="false" customHeight="false" outlineLevel="0" collapsed="false">
      <c r="A36" s="4" t="s">
        <v>53</v>
      </c>
      <c r="B36" s="4" t="s">
        <v>54</v>
      </c>
      <c r="C36" s="4" t="s">
        <v>55</v>
      </c>
      <c r="D36" s="4" t="s">
        <v>56</v>
      </c>
      <c r="E36" s="4" t="s">
        <v>48</v>
      </c>
    </row>
    <row r="37" customFormat="false" ht="28.35" hidden="false" customHeight="false" outlineLevel="0" collapsed="false">
      <c r="A37" s="4" t="s">
        <v>57</v>
      </c>
      <c r="B37" s="4" t="s">
        <v>58</v>
      </c>
      <c r="C37" s="4" t="s">
        <v>59</v>
      </c>
      <c r="D37" s="4" t="s">
        <v>60</v>
      </c>
      <c r="E37" s="4" t="s">
        <v>61</v>
      </c>
    </row>
    <row r="38" customFormat="false" ht="28.35" hidden="false" customHeight="false" outlineLevel="0" collapsed="false">
      <c r="A38" s="4" t="s">
        <v>62</v>
      </c>
      <c r="B38" s="4" t="s">
        <v>63</v>
      </c>
      <c r="C38" s="4" t="s">
        <v>64</v>
      </c>
      <c r="D38" s="4" t="s">
        <v>65</v>
      </c>
      <c r="E38" s="4" t="s">
        <v>61</v>
      </c>
    </row>
    <row r="39" customFormat="false" ht="55.2" hidden="false" customHeight="false" outlineLevel="0" collapsed="false">
      <c r="A39" s="4" t="s">
        <v>66</v>
      </c>
      <c r="B39" s="4" t="s">
        <v>67</v>
      </c>
      <c r="C39" s="4" t="s">
        <v>68</v>
      </c>
      <c r="D39" s="4" t="s">
        <v>69</v>
      </c>
      <c r="E39" s="4" t="s">
        <v>70</v>
      </c>
    </row>
    <row r="40" customFormat="false" ht="41.75" hidden="false" customHeight="false" outlineLevel="0" collapsed="false">
      <c r="A40" s="4" t="s">
        <v>71</v>
      </c>
      <c r="B40" s="4" t="s">
        <v>72</v>
      </c>
      <c r="C40" s="4" t="s">
        <v>51</v>
      </c>
      <c r="D40" s="4" t="s">
        <v>73</v>
      </c>
      <c r="E40" s="4" t="s">
        <v>74</v>
      </c>
    </row>
    <row r="41" customFormat="false" ht="28.35" hidden="false" customHeight="false" outlineLevel="0" collapsed="false">
      <c r="A41" s="4" t="s">
        <v>75</v>
      </c>
      <c r="B41" s="4" t="s">
        <v>76</v>
      </c>
      <c r="C41" s="4" t="s">
        <v>77</v>
      </c>
      <c r="D41" s="4" t="s">
        <v>78</v>
      </c>
      <c r="E41" s="4" t="s">
        <v>79</v>
      </c>
    </row>
    <row r="42" customFormat="false" ht="15" hidden="false" customHeight="false" outlineLevel="0" collapsed="false">
      <c r="A42" s="4" t="s">
        <v>80</v>
      </c>
      <c r="B42" s="4" t="s">
        <v>81</v>
      </c>
      <c r="C42" s="4" t="s">
        <v>82</v>
      </c>
      <c r="D42" s="4" t="s">
        <v>83</v>
      </c>
      <c r="E42" s="4" t="s">
        <v>84</v>
      </c>
    </row>
    <row r="43" customFormat="false" ht="15" hidden="false" customHeight="false" outlineLevel="0" collapsed="false">
      <c r="A43" s="4" t="s">
        <v>85</v>
      </c>
      <c r="B43" s="4" t="s">
        <v>86</v>
      </c>
      <c r="C43" s="4" t="s">
        <v>87</v>
      </c>
      <c r="D43" s="4" t="s">
        <v>88</v>
      </c>
      <c r="E43" s="4" t="s">
        <v>89</v>
      </c>
    </row>
    <row r="44" customFormat="false" ht="135.8" hidden="false" customHeight="false" outlineLevel="0" collapsed="false">
      <c r="A44" s="4" t="s">
        <v>90</v>
      </c>
      <c r="B44" s="4" t="s">
        <v>91</v>
      </c>
      <c r="C44" s="4" t="s">
        <v>92</v>
      </c>
      <c r="D44" s="4" t="s">
        <v>93</v>
      </c>
      <c r="E44" s="4" t="s">
        <v>94</v>
      </c>
    </row>
    <row r="45" customFormat="false" ht="95.5" hidden="false" customHeight="false" outlineLevel="0" collapsed="false">
      <c r="A45" s="4" t="s">
        <v>95</v>
      </c>
      <c r="B45" s="4" t="s">
        <v>96</v>
      </c>
      <c r="C45" s="4" t="s">
        <v>97</v>
      </c>
      <c r="D45" s="4" t="s">
        <v>98</v>
      </c>
      <c r="E45" s="4" t="s">
        <v>99</v>
      </c>
    </row>
    <row r="46" customFormat="false" ht="68.65" hidden="false" customHeight="false" outlineLevel="0" collapsed="false">
      <c r="A46" s="4" t="s">
        <v>100</v>
      </c>
      <c r="B46" s="4" t="s">
        <v>101</v>
      </c>
      <c r="C46" s="4" t="s">
        <v>102</v>
      </c>
      <c r="D46" s="4" t="s">
        <v>103</v>
      </c>
      <c r="E46" s="4" t="s">
        <v>104</v>
      </c>
    </row>
    <row r="47" customFormat="false" ht="122.35" hidden="false" customHeight="false" outlineLevel="0" collapsed="false">
      <c r="A47" s="4" t="s">
        <v>105</v>
      </c>
      <c r="B47" s="4" t="s">
        <v>106</v>
      </c>
      <c r="C47" s="4" t="s">
        <v>107</v>
      </c>
      <c r="D47" s="4" t="s">
        <v>108</v>
      </c>
      <c r="E47" s="4" t="s">
        <v>109</v>
      </c>
    </row>
    <row r="48" customFormat="false" ht="95.5" hidden="false" customHeight="false" outlineLevel="0" collapsed="false">
      <c r="A48" s="4" t="s">
        <v>110</v>
      </c>
      <c r="B48" s="4" t="s">
        <v>111</v>
      </c>
      <c r="C48" s="4" t="s">
        <v>112</v>
      </c>
      <c r="D48" s="4" t="s">
        <v>113</v>
      </c>
      <c r="E48" s="4" t="s">
        <v>114</v>
      </c>
    </row>
    <row r="49" customFormat="false" ht="108.95" hidden="false" customHeight="false" outlineLevel="0" collapsed="false">
      <c r="A49" s="4" t="s">
        <v>115</v>
      </c>
      <c r="B49" s="4" t="s">
        <v>116</v>
      </c>
      <c r="C49" s="4" t="s">
        <v>117</v>
      </c>
      <c r="D49" s="4" t="s">
        <v>118</v>
      </c>
      <c r="E49" s="4" t="s">
        <v>119</v>
      </c>
    </row>
    <row r="50" customFormat="false" ht="108.95" hidden="false" customHeight="false" outlineLevel="0" collapsed="false">
      <c r="A50" s="4" t="s">
        <v>120</v>
      </c>
      <c r="B50" s="4" t="s">
        <v>121</v>
      </c>
      <c r="C50" s="4" t="s">
        <v>122</v>
      </c>
      <c r="D50" s="4" t="s">
        <v>123</v>
      </c>
      <c r="E50" s="4" t="s">
        <v>124</v>
      </c>
    </row>
    <row r="51" customFormat="false" ht="82.05" hidden="false" customHeight="false" outlineLevel="0" collapsed="false">
      <c r="A51" s="4" t="s">
        <v>125</v>
      </c>
      <c r="B51" s="4" t="s">
        <v>126</v>
      </c>
      <c r="C51" s="4" t="s">
        <v>127</v>
      </c>
      <c r="D51" s="4" t="s">
        <v>128</v>
      </c>
      <c r="E51" s="4" t="s">
        <v>129</v>
      </c>
    </row>
    <row r="53" customFormat="false" ht="15" hidden="false" customHeight="false" outlineLevel="0" collapsed="false">
      <c r="A53" s="2" t="s">
        <v>130</v>
      </c>
    </row>
    <row r="54" customFormat="false" ht="15" hidden="false" customHeight="false" outlineLevel="0" collapsed="false">
      <c r="A54" s="3" t="s">
        <v>25</v>
      </c>
      <c r="B54" s="3" t="s">
        <v>131</v>
      </c>
      <c r="C54" s="3" t="s">
        <v>132</v>
      </c>
      <c r="D54" s="3" t="s">
        <v>133</v>
      </c>
      <c r="E54" s="3" t="s">
        <v>134</v>
      </c>
      <c r="F54" s="3" t="s">
        <v>135</v>
      </c>
      <c r="G54" s="3" t="s">
        <v>136</v>
      </c>
      <c r="H54" s="3" t="s">
        <v>137</v>
      </c>
    </row>
    <row r="55" customFormat="false" ht="82.05" hidden="false" customHeight="false" outlineLevel="0" collapsed="false">
      <c r="A55" s="4" t="s">
        <v>138</v>
      </c>
      <c r="B55" s="4" t="s">
        <v>139</v>
      </c>
      <c r="C55" s="4" t="s">
        <v>140</v>
      </c>
      <c r="D55" s="4" t="s">
        <v>141</v>
      </c>
      <c r="E55" s="4" t="s">
        <v>142</v>
      </c>
      <c r="F55" s="4" t="s">
        <v>143</v>
      </c>
      <c r="G55" s="4" t="s">
        <v>144</v>
      </c>
      <c r="H55" s="4" t="s">
        <v>145</v>
      </c>
    </row>
    <row r="56" customFormat="false" ht="68.65" hidden="false" customHeight="false" outlineLevel="0" collapsed="false">
      <c r="A56" s="4" t="s">
        <v>146</v>
      </c>
      <c r="B56" s="4" t="s">
        <v>147</v>
      </c>
      <c r="C56" s="4" t="s">
        <v>148</v>
      </c>
      <c r="D56" s="4" t="s">
        <v>149</v>
      </c>
      <c r="E56" s="4" t="s">
        <v>150</v>
      </c>
      <c r="F56" s="4" t="s">
        <v>151</v>
      </c>
      <c r="G56" s="4" t="s">
        <v>152</v>
      </c>
      <c r="H56" s="4" t="s">
        <v>153</v>
      </c>
    </row>
    <row r="57" customFormat="false" ht="82.05" hidden="false" customHeight="false" outlineLevel="0" collapsed="false">
      <c r="A57" s="4" t="s">
        <v>154</v>
      </c>
      <c r="B57" s="4" t="s">
        <v>155</v>
      </c>
      <c r="C57" s="4" t="s">
        <v>156</v>
      </c>
      <c r="D57" s="4" t="s">
        <v>157</v>
      </c>
      <c r="E57" s="4" t="s">
        <v>158</v>
      </c>
      <c r="F57" s="4" t="s">
        <v>41</v>
      </c>
      <c r="G57" s="4" t="s">
        <v>159</v>
      </c>
      <c r="H57" s="4" t="s">
        <v>160</v>
      </c>
    </row>
    <row r="58" customFormat="false" ht="68.65" hidden="false" customHeight="false" outlineLevel="0" collapsed="false">
      <c r="A58" s="4" t="s">
        <v>161</v>
      </c>
      <c r="B58" s="4" t="s">
        <v>155</v>
      </c>
      <c r="C58" s="4" t="s">
        <v>162</v>
      </c>
      <c r="D58" s="4" t="s">
        <v>163</v>
      </c>
      <c r="E58" s="4" t="s">
        <v>164</v>
      </c>
      <c r="F58" s="4" t="s">
        <v>41</v>
      </c>
      <c r="G58" s="4" t="s">
        <v>159</v>
      </c>
      <c r="H58" s="4" t="s">
        <v>165</v>
      </c>
    </row>
    <row r="59" customFormat="false" ht="122.35" hidden="false" customHeight="false" outlineLevel="0" collapsed="false">
      <c r="A59" s="4" t="s">
        <v>166</v>
      </c>
      <c r="B59" s="4" t="s">
        <v>139</v>
      </c>
      <c r="C59" s="4" t="s">
        <v>167</v>
      </c>
      <c r="D59" s="4" t="s">
        <v>168</v>
      </c>
      <c r="E59" s="4" t="s">
        <v>169</v>
      </c>
      <c r="F59" s="4" t="s">
        <v>170</v>
      </c>
      <c r="G59" s="4" t="s">
        <v>144</v>
      </c>
      <c r="H59" s="4" t="s">
        <v>171</v>
      </c>
    </row>
    <row r="60" customFormat="false" ht="95.5" hidden="false" customHeight="false" outlineLevel="0" collapsed="false">
      <c r="A60" s="4" t="s">
        <v>172</v>
      </c>
      <c r="B60" s="4" t="s">
        <v>155</v>
      </c>
      <c r="C60" s="4" t="s">
        <v>173</v>
      </c>
      <c r="D60" s="4" t="s">
        <v>174</v>
      </c>
      <c r="E60" s="4" t="s">
        <v>175</v>
      </c>
      <c r="F60" s="4" t="s">
        <v>41</v>
      </c>
      <c r="G60" s="4" t="s">
        <v>176</v>
      </c>
      <c r="H60" s="4" t="s">
        <v>177</v>
      </c>
    </row>
    <row r="61" customFormat="false" ht="95.5" hidden="false" customHeight="false" outlineLevel="0" collapsed="false">
      <c r="A61" s="4" t="s">
        <v>178</v>
      </c>
      <c r="B61" s="4" t="s">
        <v>139</v>
      </c>
      <c r="C61" s="4" t="s">
        <v>179</v>
      </c>
      <c r="D61" s="4" t="s">
        <v>180</v>
      </c>
      <c r="E61" s="4" t="s">
        <v>181</v>
      </c>
      <c r="F61" s="4" t="s">
        <v>182</v>
      </c>
      <c r="G61" s="4" t="s">
        <v>144</v>
      </c>
      <c r="H61" s="4" t="s">
        <v>183</v>
      </c>
    </row>
    <row r="62" customFormat="false" ht="28.35" hidden="false" customHeight="false" outlineLevel="0" collapsed="false">
      <c r="A62" s="4" t="s">
        <v>184</v>
      </c>
      <c r="B62" s="4" t="s">
        <v>155</v>
      </c>
      <c r="C62" s="4" t="s">
        <v>185</v>
      </c>
      <c r="D62" s="4" t="s">
        <v>186</v>
      </c>
      <c r="E62" s="4" t="s">
        <v>187</v>
      </c>
      <c r="F62" s="4" t="s">
        <v>188</v>
      </c>
      <c r="G62" s="4" t="s">
        <v>189</v>
      </c>
      <c r="H62" s="4" t="s">
        <v>190</v>
      </c>
    </row>
    <row r="63" customFormat="false" ht="41.75" hidden="false" customHeight="false" outlineLevel="0" collapsed="false">
      <c r="A63" s="4" t="s">
        <v>191</v>
      </c>
      <c r="B63" s="4" t="s">
        <v>155</v>
      </c>
      <c r="C63" s="4" t="s">
        <v>192</v>
      </c>
      <c r="D63" s="4" t="s">
        <v>193</v>
      </c>
      <c r="E63" s="4" t="s">
        <v>194</v>
      </c>
      <c r="F63" s="4" t="s">
        <v>195</v>
      </c>
      <c r="G63" s="4" t="s">
        <v>196</v>
      </c>
      <c r="H63" s="4" t="s">
        <v>197</v>
      </c>
    </row>
    <row r="64" customFormat="false" ht="82.05" hidden="false" customHeight="false" outlineLevel="0" collapsed="false">
      <c r="A64" s="4" t="s">
        <v>198</v>
      </c>
      <c r="B64" s="4" t="s">
        <v>139</v>
      </c>
      <c r="C64" s="4" t="s">
        <v>199</v>
      </c>
      <c r="D64" s="4" t="s">
        <v>200</v>
      </c>
      <c r="E64" s="4" t="s">
        <v>201</v>
      </c>
      <c r="F64" s="4" t="s">
        <v>202</v>
      </c>
      <c r="G64" s="4" t="s">
        <v>144</v>
      </c>
      <c r="H64" s="4" t="s">
        <v>203</v>
      </c>
    </row>
    <row r="65" customFormat="false" ht="55.2" hidden="false" customHeight="false" outlineLevel="0" collapsed="false">
      <c r="A65" s="4" t="s">
        <v>204</v>
      </c>
      <c r="B65" s="4" t="s">
        <v>139</v>
      </c>
      <c r="C65" s="4" t="s">
        <v>205</v>
      </c>
      <c r="D65" s="4" t="s">
        <v>206</v>
      </c>
      <c r="E65" s="4" t="s">
        <v>207</v>
      </c>
      <c r="F65" s="4" t="s">
        <v>208</v>
      </c>
      <c r="G65" s="4" t="s">
        <v>144</v>
      </c>
      <c r="H65" s="4" t="s">
        <v>209</v>
      </c>
    </row>
    <row r="66" customFormat="false" ht="41.75" hidden="false" customHeight="false" outlineLevel="0" collapsed="false">
      <c r="A66" s="4" t="s">
        <v>210</v>
      </c>
      <c r="B66" s="4" t="s">
        <v>139</v>
      </c>
      <c r="C66" s="4" t="s">
        <v>211</v>
      </c>
      <c r="D66" s="4" t="s">
        <v>212</v>
      </c>
      <c r="E66" s="4" t="s">
        <v>213</v>
      </c>
      <c r="F66" s="4" t="s">
        <v>214</v>
      </c>
      <c r="G66" s="4" t="s">
        <v>144</v>
      </c>
      <c r="H66" s="4" t="s">
        <v>215</v>
      </c>
    </row>
    <row r="67" customFormat="false" ht="68.65" hidden="false" customHeight="false" outlineLevel="0" collapsed="false">
      <c r="A67" s="4" t="s">
        <v>216</v>
      </c>
      <c r="B67" s="4" t="s">
        <v>139</v>
      </c>
      <c r="C67" s="4" t="s">
        <v>217</v>
      </c>
      <c r="D67" s="4" t="s">
        <v>218</v>
      </c>
      <c r="E67" s="4" t="s">
        <v>219</v>
      </c>
      <c r="F67" s="4" t="s">
        <v>220</v>
      </c>
      <c r="G67" s="4" t="s">
        <v>144</v>
      </c>
      <c r="H67" s="4" t="s">
        <v>221</v>
      </c>
    </row>
    <row r="68" customFormat="false" ht="55.2" hidden="false" customHeight="false" outlineLevel="0" collapsed="false">
      <c r="A68" s="4" t="s">
        <v>222</v>
      </c>
      <c r="B68" s="4" t="s">
        <v>139</v>
      </c>
      <c r="C68" s="4" t="s">
        <v>223</v>
      </c>
      <c r="D68" s="4" t="s">
        <v>224</v>
      </c>
      <c r="E68" s="4" t="s">
        <v>225</v>
      </c>
      <c r="F68" s="4" t="s">
        <v>226</v>
      </c>
      <c r="G68" s="4" t="s">
        <v>144</v>
      </c>
      <c r="H68" s="4" t="s">
        <v>227</v>
      </c>
    </row>
    <row r="69" customFormat="false" ht="95.5" hidden="false" customHeight="false" outlineLevel="0" collapsed="false">
      <c r="A69" s="4" t="s">
        <v>228</v>
      </c>
      <c r="B69" s="4" t="s">
        <v>155</v>
      </c>
      <c r="C69" s="4" t="s">
        <v>229</v>
      </c>
      <c r="D69" s="4" t="s">
        <v>230</v>
      </c>
      <c r="E69" s="4" t="s">
        <v>231</v>
      </c>
      <c r="F69" s="4" t="s">
        <v>41</v>
      </c>
      <c r="G69" s="4" t="s">
        <v>176</v>
      </c>
      <c r="H69" s="4" t="s">
        <v>232</v>
      </c>
    </row>
    <row r="70" customFormat="false" ht="68.65" hidden="false" customHeight="false" outlineLevel="0" collapsed="false">
      <c r="A70" s="4" t="s">
        <v>233</v>
      </c>
      <c r="B70" s="4" t="s">
        <v>155</v>
      </c>
      <c r="C70" s="4" t="s">
        <v>234</v>
      </c>
      <c r="D70" s="4" t="s">
        <v>235</v>
      </c>
      <c r="E70" s="4" t="s">
        <v>236</v>
      </c>
      <c r="F70" s="4" t="s">
        <v>237</v>
      </c>
      <c r="G70" s="4" t="s">
        <v>238</v>
      </c>
      <c r="H70" s="4" t="s">
        <v>239</v>
      </c>
    </row>
    <row r="71" customFormat="false" ht="108.95" hidden="false" customHeight="false" outlineLevel="0" collapsed="false">
      <c r="A71" s="4" t="s">
        <v>240</v>
      </c>
      <c r="B71" s="4" t="s">
        <v>147</v>
      </c>
      <c r="C71" s="4" t="s">
        <v>241</v>
      </c>
      <c r="D71" s="4" t="s">
        <v>242</v>
      </c>
      <c r="E71" s="4" t="s">
        <v>243</v>
      </c>
      <c r="F71" s="4" t="s">
        <v>244</v>
      </c>
      <c r="G71" s="4" t="s">
        <v>245</v>
      </c>
      <c r="H71" s="4" t="s">
        <v>246</v>
      </c>
    </row>
    <row r="72" customFormat="false" ht="41.75" hidden="false" customHeight="false" outlineLevel="0" collapsed="false">
      <c r="A72" s="4" t="s">
        <v>247</v>
      </c>
      <c r="B72" s="4" t="s">
        <v>155</v>
      </c>
      <c r="C72" s="4" t="s">
        <v>248</v>
      </c>
      <c r="D72" s="4" t="s">
        <v>249</v>
      </c>
      <c r="E72" s="4" t="s">
        <v>250</v>
      </c>
      <c r="F72" s="4" t="s">
        <v>208</v>
      </c>
      <c r="G72" s="4" t="s">
        <v>159</v>
      </c>
      <c r="H72" s="4" t="s">
        <v>251</v>
      </c>
    </row>
    <row r="73" customFormat="false" ht="55.2" hidden="false" customHeight="false" outlineLevel="0" collapsed="false">
      <c r="A73" s="4" t="s">
        <v>252</v>
      </c>
      <c r="B73" s="4" t="s">
        <v>155</v>
      </c>
      <c r="C73" s="4" t="s">
        <v>253</v>
      </c>
      <c r="D73" s="4" t="s">
        <v>254</v>
      </c>
      <c r="E73" s="4" t="s">
        <v>255</v>
      </c>
      <c r="F73" s="4" t="s">
        <v>208</v>
      </c>
      <c r="G73" s="4" t="s">
        <v>159</v>
      </c>
      <c r="H73" s="4" t="s">
        <v>256</v>
      </c>
    </row>
    <row r="74" customFormat="false" ht="41.75" hidden="false" customHeight="false" outlineLevel="0" collapsed="false">
      <c r="A74" s="4" t="s">
        <v>257</v>
      </c>
      <c r="B74" s="4" t="s">
        <v>155</v>
      </c>
      <c r="C74" s="4" t="s">
        <v>258</v>
      </c>
      <c r="D74" s="4" t="s">
        <v>259</v>
      </c>
      <c r="E74" s="4" t="s">
        <v>260</v>
      </c>
      <c r="F74" s="4" t="s">
        <v>208</v>
      </c>
      <c r="G74" s="4" t="s">
        <v>159</v>
      </c>
      <c r="H74" s="4" t="s">
        <v>261</v>
      </c>
    </row>
    <row r="75" customFormat="false" ht="41.75" hidden="false" customHeight="false" outlineLevel="0" collapsed="false">
      <c r="A75" s="4" t="s">
        <v>262</v>
      </c>
      <c r="B75" s="4" t="s">
        <v>155</v>
      </c>
      <c r="C75" s="4" t="s">
        <v>263</v>
      </c>
      <c r="D75" s="4" t="s">
        <v>264</v>
      </c>
      <c r="E75" s="4" t="s">
        <v>265</v>
      </c>
      <c r="F75" s="4" t="s">
        <v>208</v>
      </c>
      <c r="G75" s="4" t="s">
        <v>159</v>
      </c>
      <c r="H75" s="4" t="s">
        <v>266</v>
      </c>
    </row>
    <row r="76" customFormat="false" ht="82.05" hidden="false" customHeight="false" outlineLevel="0" collapsed="false">
      <c r="A76" s="4" t="s">
        <v>267</v>
      </c>
      <c r="B76" s="4" t="s">
        <v>155</v>
      </c>
      <c r="C76" s="4" t="s">
        <v>268</v>
      </c>
      <c r="D76" s="4" t="s">
        <v>269</v>
      </c>
      <c r="E76" s="4" t="s">
        <v>270</v>
      </c>
      <c r="F76" s="4" t="s">
        <v>208</v>
      </c>
      <c r="G76" s="4" t="s">
        <v>159</v>
      </c>
      <c r="H76" s="4" t="s">
        <v>271</v>
      </c>
    </row>
    <row r="77" customFormat="false" ht="55.2" hidden="false" customHeight="false" outlineLevel="0" collapsed="false">
      <c r="A77" s="4" t="s">
        <v>272</v>
      </c>
      <c r="B77" s="4" t="s">
        <v>155</v>
      </c>
      <c r="C77" s="4" t="s">
        <v>273</v>
      </c>
      <c r="D77" s="4" t="s">
        <v>274</v>
      </c>
      <c r="E77" s="4" t="s">
        <v>275</v>
      </c>
      <c r="F77" s="4" t="s">
        <v>208</v>
      </c>
      <c r="G77" s="4" t="s">
        <v>159</v>
      </c>
      <c r="H77" s="4" t="s">
        <v>276</v>
      </c>
    </row>
    <row r="78" customFormat="false" ht="68.65" hidden="false" customHeight="false" outlineLevel="0" collapsed="false">
      <c r="A78" s="4" t="s">
        <v>277</v>
      </c>
      <c r="B78" s="4" t="s">
        <v>155</v>
      </c>
      <c r="C78" s="4" t="s">
        <v>278</v>
      </c>
      <c r="D78" s="4" t="s">
        <v>279</v>
      </c>
      <c r="E78" s="4" t="s">
        <v>280</v>
      </c>
      <c r="F78" s="4" t="s">
        <v>208</v>
      </c>
      <c r="G78" s="4" t="s">
        <v>159</v>
      </c>
      <c r="H78" s="4" t="s">
        <v>281</v>
      </c>
    </row>
    <row r="79" customFormat="false" ht="82.05" hidden="false" customHeight="false" outlineLevel="0" collapsed="false">
      <c r="A79" s="4" t="s">
        <v>282</v>
      </c>
      <c r="B79" s="4" t="s">
        <v>155</v>
      </c>
      <c r="C79" s="4" t="s">
        <v>283</v>
      </c>
      <c r="D79" s="4" t="s">
        <v>284</v>
      </c>
      <c r="E79" s="4" t="s">
        <v>285</v>
      </c>
      <c r="F79" s="4" t="s">
        <v>208</v>
      </c>
      <c r="G79" s="4" t="s">
        <v>159</v>
      </c>
      <c r="H79" s="4" t="s">
        <v>286</v>
      </c>
    </row>
    <row r="80" customFormat="false" ht="55.2" hidden="false" customHeight="false" outlineLevel="0" collapsed="false">
      <c r="A80" s="4" t="s">
        <v>287</v>
      </c>
      <c r="B80" s="4" t="s">
        <v>139</v>
      </c>
      <c r="C80" s="4" t="s">
        <v>288</v>
      </c>
      <c r="D80" s="4" t="s">
        <v>289</v>
      </c>
      <c r="E80" s="4" t="s">
        <v>290</v>
      </c>
      <c r="F80" s="4" t="s">
        <v>291</v>
      </c>
      <c r="G80" s="4" t="s">
        <v>144</v>
      </c>
      <c r="H80" s="4" t="s">
        <v>292</v>
      </c>
    </row>
    <row r="81" customFormat="false" ht="82.05" hidden="false" customHeight="false" outlineLevel="0" collapsed="false">
      <c r="A81" s="4" t="s">
        <v>293</v>
      </c>
      <c r="B81" s="4" t="s">
        <v>155</v>
      </c>
      <c r="C81" s="4" t="s">
        <v>294</v>
      </c>
      <c r="D81" s="4" t="s">
        <v>295</v>
      </c>
      <c r="E81" s="4" t="s">
        <v>296</v>
      </c>
      <c r="F81" s="4" t="s">
        <v>297</v>
      </c>
      <c r="G81" s="4" t="s">
        <v>298</v>
      </c>
      <c r="H81" s="4" t="s">
        <v>299</v>
      </c>
    </row>
    <row r="82" customFormat="false" ht="55.2" hidden="false" customHeight="false" outlineLevel="0" collapsed="false">
      <c r="A82" s="4" t="s">
        <v>300</v>
      </c>
      <c r="B82" s="4" t="s">
        <v>139</v>
      </c>
      <c r="C82" s="4" t="s">
        <v>301</v>
      </c>
      <c r="D82" s="4" t="s">
        <v>302</v>
      </c>
      <c r="E82" s="4" t="s">
        <v>303</v>
      </c>
      <c r="F82" s="4" t="s">
        <v>304</v>
      </c>
      <c r="G82" s="4" t="s">
        <v>144</v>
      </c>
      <c r="H82" s="4" t="s">
        <v>305</v>
      </c>
    </row>
    <row r="83" customFormat="false" ht="68.65" hidden="false" customHeight="false" outlineLevel="0" collapsed="false">
      <c r="A83" s="4" t="s">
        <v>306</v>
      </c>
      <c r="B83" s="4" t="s">
        <v>155</v>
      </c>
      <c r="C83" s="4" t="s">
        <v>307</v>
      </c>
      <c r="D83" s="4" t="s">
        <v>308</v>
      </c>
      <c r="E83" s="4" t="s">
        <v>309</v>
      </c>
      <c r="F83" s="4" t="s">
        <v>208</v>
      </c>
      <c r="G83" s="4" t="s">
        <v>159</v>
      </c>
      <c r="H83" s="4" t="s">
        <v>310</v>
      </c>
    </row>
    <row r="84" customFormat="false" ht="55.2" hidden="false" customHeight="false" outlineLevel="0" collapsed="false">
      <c r="A84" s="4" t="s">
        <v>311</v>
      </c>
      <c r="B84" s="4" t="s">
        <v>155</v>
      </c>
      <c r="C84" s="4" t="s">
        <v>312</v>
      </c>
      <c r="D84" s="4" t="s">
        <v>313</v>
      </c>
      <c r="E84" s="4" t="s">
        <v>314</v>
      </c>
      <c r="F84" s="4" t="s">
        <v>41</v>
      </c>
      <c r="G84" s="4" t="s">
        <v>159</v>
      </c>
      <c r="H84" s="4" t="s">
        <v>315</v>
      </c>
    </row>
    <row r="85" customFormat="false" ht="95.5" hidden="false" customHeight="false" outlineLevel="0" collapsed="false">
      <c r="A85" s="4" t="s">
        <v>316</v>
      </c>
      <c r="B85" s="4" t="s">
        <v>155</v>
      </c>
      <c r="C85" s="4" t="s">
        <v>317</v>
      </c>
      <c r="D85" s="4" t="s">
        <v>318</v>
      </c>
      <c r="E85" s="4" t="s">
        <v>319</v>
      </c>
      <c r="F85" s="4" t="s">
        <v>320</v>
      </c>
      <c r="G85" s="4" t="s">
        <v>321</v>
      </c>
      <c r="H85" s="4" t="s">
        <v>322</v>
      </c>
    </row>
    <row r="86" customFormat="false" ht="122.35" hidden="false" customHeight="false" outlineLevel="0" collapsed="false">
      <c r="A86" s="4" t="s">
        <v>323</v>
      </c>
      <c r="B86" s="4" t="s">
        <v>147</v>
      </c>
      <c r="C86" s="4" t="s">
        <v>324</v>
      </c>
      <c r="D86" s="4" t="s">
        <v>325</v>
      </c>
      <c r="E86" s="4" t="s">
        <v>326</v>
      </c>
      <c r="F86" s="4" t="s">
        <v>327</v>
      </c>
      <c r="G86" s="4" t="s">
        <v>328</v>
      </c>
      <c r="H86" s="4" t="s">
        <v>329</v>
      </c>
    </row>
    <row r="87" customFormat="false" ht="82.05" hidden="false" customHeight="false" outlineLevel="0" collapsed="false">
      <c r="A87" s="4" t="s">
        <v>330</v>
      </c>
      <c r="B87" s="4" t="s">
        <v>139</v>
      </c>
      <c r="C87" s="4" t="s">
        <v>331</v>
      </c>
      <c r="D87" s="4" t="s">
        <v>332</v>
      </c>
      <c r="E87" s="4" t="s">
        <v>333</v>
      </c>
      <c r="F87" s="4" t="s">
        <v>334</v>
      </c>
      <c r="G87" s="4" t="s">
        <v>335</v>
      </c>
      <c r="H87" s="4" t="s">
        <v>336</v>
      </c>
    </row>
    <row r="89" customFormat="false" ht="15" hidden="false" customHeight="false" outlineLevel="0" collapsed="false">
      <c r="A89" s="2" t="s">
        <v>337</v>
      </c>
    </row>
    <row r="90" customFormat="false" ht="15" hidden="false" customHeight="false" outlineLevel="0" collapsed="false">
      <c r="A90" s="3" t="s">
        <v>338</v>
      </c>
      <c r="B90" s="3" t="s">
        <v>339</v>
      </c>
      <c r="C90" s="3" t="s">
        <v>340</v>
      </c>
    </row>
    <row r="91" customFormat="false" ht="256.7" hidden="false" customHeight="false" outlineLevel="0" collapsed="false">
      <c r="A91" s="4" t="s">
        <v>341</v>
      </c>
      <c r="B91" s="4" t="s">
        <v>342</v>
      </c>
      <c r="C91" s="4" t="s">
        <v>343</v>
      </c>
    </row>
    <row r="92" customFormat="false" ht="41.75" hidden="false" customHeight="false" outlineLevel="0" collapsed="false">
      <c r="A92" s="4" t="s">
        <v>344</v>
      </c>
      <c r="B92" s="4" t="s">
        <v>345</v>
      </c>
      <c r="C92" s="4" t="s">
        <v>346</v>
      </c>
    </row>
    <row r="93" customFormat="false" ht="41.75" hidden="false" customHeight="false" outlineLevel="0" collapsed="false">
      <c r="A93" s="4" t="s">
        <v>347</v>
      </c>
      <c r="B93" s="4" t="s">
        <v>348</v>
      </c>
      <c r="C93" s="4" t="s">
        <v>349</v>
      </c>
    </row>
    <row r="94" customFormat="false" ht="68.65" hidden="false" customHeight="false" outlineLevel="0" collapsed="false">
      <c r="A94" s="4" t="s">
        <v>350</v>
      </c>
      <c r="B94" s="4" t="s">
        <v>351</v>
      </c>
      <c r="C94" s="4" t="s">
        <v>352</v>
      </c>
    </row>
    <row r="95" customFormat="false" ht="41.75" hidden="false" customHeight="false" outlineLevel="0" collapsed="false">
      <c r="A95" s="4" t="s">
        <v>353</v>
      </c>
      <c r="B95" s="4" t="s">
        <v>354</v>
      </c>
      <c r="C95" s="4" t="s">
        <v>355</v>
      </c>
    </row>
    <row r="96" customFormat="false" ht="41.75" hidden="false" customHeight="false" outlineLevel="0" collapsed="false">
      <c r="A96" s="4" t="s">
        <v>356</v>
      </c>
      <c r="B96" s="4" t="s">
        <v>357</v>
      </c>
      <c r="C96" s="4" t="s">
        <v>358</v>
      </c>
    </row>
    <row r="97" customFormat="false" ht="55.2" hidden="false" customHeight="false" outlineLevel="0" collapsed="false">
      <c r="A97" s="4" t="s">
        <v>359</v>
      </c>
      <c r="B97" s="4" t="s">
        <v>360</v>
      </c>
      <c r="C97" s="4" t="s">
        <v>361</v>
      </c>
    </row>
    <row r="98" customFormat="false" ht="68.65" hidden="false" customHeight="false" outlineLevel="0" collapsed="false">
      <c r="A98" s="4" t="s">
        <v>362</v>
      </c>
      <c r="B98" s="4" t="s">
        <v>363</v>
      </c>
      <c r="C98" s="4" t="s">
        <v>364</v>
      </c>
    </row>
    <row r="99" customFormat="false" ht="55.2" hidden="false" customHeight="false" outlineLevel="0" collapsed="false">
      <c r="A99" s="4" t="s">
        <v>365</v>
      </c>
      <c r="B99" s="4" t="s">
        <v>366</v>
      </c>
      <c r="C99" s="4" t="s">
        <v>367</v>
      </c>
    </row>
    <row r="100" customFormat="false" ht="41.75" hidden="false" customHeight="false" outlineLevel="0" collapsed="false">
      <c r="A100" s="4" t="s">
        <v>368</v>
      </c>
      <c r="B100" s="4" t="s">
        <v>369</v>
      </c>
      <c r="C100" s="4" t="s">
        <v>370</v>
      </c>
    </row>
    <row r="101" customFormat="false" ht="41.75" hidden="false" customHeight="false" outlineLevel="0" collapsed="false">
      <c r="A101" s="4" t="s">
        <v>371</v>
      </c>
      <c r="B101" s="4" t="s">
        <v>372</v>
      </c>
      <c r="C101" s="4" t="s">
        <v>373</v>
      </c>
    </row>
    <row r="102" customFormat="false" ht="28.35" hidden="false" customHeight="false" outlineLevel="0" collapsed="false">
      <c r="A102" s="4" t="s">
        <v>374</v>
      </c>
      <c r="B102" s="4" t="s">
        <v>375</v>
      </c>
      <c r="C102" s="4" t="s">
        <v>376</v>
      </c>
    </row>
    <row r="103" customFormat="false" ht="68.65" hidden="false" customHeight="false" outlineLevel="0" collapsed="false">
      <c r="A103" s="4" t="s">
        <v>377</v>
      </c>
      <c r="B103" s="4" t="s">
        <v>378</v>
      </c>
      <c r="C103" s="4" t="s">
        <v>379</v>
      </c>
    </row>
    <row r="105" customFormat="false" ht="15" hidden="false" customHeight="false" outlineLevel="0" collapsed="false">
      <c r="A105" s="2" t="s">
        <v>380</v>
      </c>
    </row>
    <row r="106" customFormat="false" ht="15" hidden="false" customHeight="false" outlineLevel="0" collapsed="false">
      <c r="A106" s="3" t="s">
        <v>381</v>
      </c>
      <c r="B106" s="3" t="s">
        <v>382</v>
      </c>
      <c r="C106" s="3" t="s">
        <v>383</v>
      </c>
      <c r="D106" s="3" t="s">
        <v>384</v>
      </c>
    </row>
    <row r="107" customFormat="false" ht="162.65" hidden="false" customHeight="false" outlineLevel="0" collapsed="false">
      <c r="A107" s="4" t="s">
        <v>385</v>
      </c>
      <c r="B107" s="4" t="s">
        <v>385</v>
      </c>
      <c r="C107" s="4" t="s">
        <v>386</v>
      </c>
      <c r="D107" s="4" t="s">
        <v>387</v>
      </c>
    </row>
    <row r="108" customFormat="false" ht="15" hidden="false" customHeight="false" outlineLevel="0" collapsed="false">
      <c r="A108" s="4" t="s">
        <v>388</v>
      </c>
      <c r="B108" s="4" t="s">
        <v>388</v>
      </c>
      <c r="C108" s="4" t="s">
        <v>389</v>
      </c>
      <c r="D108" s="4" t="s">
        <v>390</v>
      </c>
    </row>
    <row r="109" customFormat="false" ht="15" hidden="false" customHeight="false" outlineLevel="0" collapsed="false">
      <c r="A109" s="4" t="s">
        <v>391</v>
      </c>
      <c r="B109" s="4" t="s">
        <v>391</v>
      </c>
      <c r="C109" s="4" t="s">
        <v>392</v>
      </c>
      <c r="D109" s="4" t="s">
        <v>393</v>
      </c>
    </row>
    <row r="110" customFormat="false" ht="15" hidden="false" customHeight="false" outlineLevel="0" collapsed="false">
      <c r="A110" s="4" t="s">
        <v>394</v>
      </c>
      <c r="B110" s="4" t="s">
        <v>394</v>
      </c>
      <c r="C110" s="4" t="s">
        <v>395</v>
      </c>
      <c r="D110" s="4" t="s">
        <v>396</v>
      </c>
    </row>
    <row r="111" customFormat="false" ht="15" hidden="false" customHeight="false" outlineLevel="0" collapsed="false">
      <c r="A111" s="4" t="s">
        <v>397</v>
      </c>
      <c r="B111" s="4" t="s">
        <v>397</v>
      </c>
      <c r="C111" s="4" t="s">
        <v>398</v>
      </c>
      <c r="D111" s="4" t="s">
        <v>399</v>
      </c>
    </row>
    <row r="112" customFormat="false" ht="15" hidden="false" customHeight="false" outlineLevel="0" collapsed="false">
      <c r="A112" s="4" t="s">
        <v>400</v>
      </c>
      <c r="B112" s="4" t="s">
        <v>400</v>
      </c>
      <c r="C112" s="4" t="s">
        <v>401</v>
      </c>
      <c r="D112" s="4" t="s">
        <v>402</v>
      </c>
    </row>
    <row r="113" customFormat="false" ht="15" hidden="false" customHeight="false" outlineLevel="0" collapsed="false">
      <c r="A113" s="4" t="s">
        <v>403</v>
      </c>
      <c r="B113" s="4" t="s">
        <v>403</v>
      </c>
      <c r="C113" s="4" t="s">
        <v>404</v>
      </c>
      <c r="D113" s="4" t="s">
        <v>405</v>
      </c>
    </row>
    <row r="114" customFormat="false" ht="15" hidden="false" customHeight="false" outlineLevel="0" collapsed="false">
      <c r="A114" s="4" t="s">
        <v>406</v>
      </c>
      <c r="B114" s="4" t="s">
        <v>406</v>
      </c>
      <c r="C114" s="4" t="s">
        <v>407</v>
      </c>
      <c r="D114" s="4" t="s">
        <v>408</v>
      </c>
    </row>
    <row r="115" customFormat="false" ht="15" hidden="false" customHeight="false" outlineLevel="0" collapsed="false">
      <c r="A115" s="4" t="s">
        <v>409</v>
      </c>
      <c r="B115" s="4" t="s">
        <v>409</v>
      </c>
      <c r="C115" s="4" t="s">
        <v>410</v>
      </c>
      <c r="D115" s="4" t="s">
        <v>411</v>
      </c>
    </row>
    <row r="116" customFormat="false" ht="15" hidden="false" customHeight="false" outlineLevel="0" collapsed="false">
      <c r="A116" s="4" t="s">
        <v>412</v>
      </c>
      <c r="B116" s="4" t="s">
        <v>412</v>
      </c>
      <c r="C116" s="4" t="s">
        <v>413</v>
      </c>
      <c r="D116" s="4" t="s">
        <v>414</v>
      </c>
    </row>
    <row r="117" customFormat="false" ht="15" hidden="false" customHeight="false" outlineLevel="0" collapsed="false">
      <c r="A117" s="4" t="s">
        <v>415</v>
      </c>
      <c r="B117" s="4" t="s">
        <v>415</v>
      </c>
      <c r="C117" s="4" t="s">
        <v>416</v>
      </c>
      <c r="D117" s="4" t="s">
        <v>417</v>
      </c>
    </row>
    <row r="118" customFormat="false" ht="15" hidden="false" customHeight="false" outlineLevel="0" collapsed="false">
      <c r="A118" s="4" t="s">
        <v>418</v>
      </c>
      <c r="B118" s="4" t="s">
        <v>418</v>
      </c>
      <c r="C118" s="4" t="s">
        <v>419</v>
      </c>
      <c r="D118" s="4" t="s">
        <v>420</v>
      </c>
    </row>
    <row r="119" customFormat="false" ht="15" hidden="false" customHeight="false" outlineLevel="0" collapsed="false">
      <c r="A119" s="4" t="s">
        <v>421</v>
      </c>
      <c r="B119" s="4" t="s">
        <v>421</v>
      </c>
      <c r="C119" s="4" t="s">
        <v>422</v>
      </c>
      <c r="D119" s="4" t="s">
        <v>423</v>
      </c>
    </row>
    <row r="120" customFormat="false" ht="15" hidden="false" customHeight="false" outlineLevel="0" collapsed="false">
      <c r="A120" s="4" t="s">
        <v>424</v>
      </c>
      <c r="B120" s="4" t="s">
        <v>424</v>
      </c>
      <c r="C120" s="4" t="s">
        <v>425</v>
      </c>
      <c r="D120" s="4" t="s">
        <v>426</v>
      </c>
    </row>
    <row r="121" customFormat="false" ht="15" hidden="false" customHeight="false" outlineLevel="0" collapsed="false">
      <c r="A121" s="4" t="s">
        <v>427</v>
      </c>
      <c r="B121" s="4" t="s">
        <v>427</v>
      </c>
      <c r="C121" s="4" t="s">
        <v>428</v>
      </c>
      <c r="D121" s="4" t="s">
        <v>429</v>
      </c>
    </row>
    <row r="122" customFormat="false" ht="15" hidden="false" customHeight="false" outlineLevel="0" collapsed="false">
      <c r="A122" s="4" t="s">
        <v>430</v>
      </c>
      <c r="B122" s="4" t="s">
        <v>430</v>
      </c>
      <c r="C122" s="4" t="s">
        <v>431</v>
      </c>
      <c r="D122" s="4" t="s">
        <v>432</v>
      </c>
    </row>
    <row r="123" customFormat="false" ht="15" hidden="false" customHeight="false" outlineLevel="0" collapsed="false">
      <c r="A123" s="4" t="s">
        <v>433</v>
      </c>
      <c r="B123" s="4" t="s">
        <v>433</v>
      </c>
      <c r="C123" s="4" t="s">
        <v>434</v>
      </c>
      <c r="D123" s="4" t="s">
        <v>435</v>
      </c>
    </row>
    <row r="124" customFormat="false" ht="15" hidden="false" customHeight="false" outlineLevel="0" collapsed="false">
      <c r="A124" s="4" t="s">
        <v>436</v>
      </c>
      <c r="B124" s="4" t="s">
        <v>436</v>
      </c>
      <c r="C124" s="4" t="s">
        <v>437</v>
      </c>
      <c r="D124" s="5" t="n">
        <v>0</v>
      </c>
    </row>
    <row r="125" customFormat="false" ht="15" hidden="false" customHeight="false" outlineLevel="0" collapsed="false">
      <c r="A125" s="4" t="s">
        <v>438</v>
      </c>
      <c r="B125" s="4" t="s">
        <v>438</v>
      </c>
      <c r="C125" s="4" t="s">
        <v>439</v>
      </c>
      <c r="D125" s="5" t="n">
        <v>0</v>
      </c>
    </row>
    <row r="126" customFormat="false" ht="15" hidden="false" customHeight="false" outlineLevel="0" collapsed="false">
      <c r="A126" s="4" t="s">
        <v>440</v>
      </c>
      <c r="B126" s="4" t="s">
        <v>440</v>
      </c>
      <c r="C126" s="4" t="s">
        <v>441</v>
      </c>
      <c r="D126" s="5" t="n">
        <v>0</v>
      </c>
    </row>
    <row r="127" customFormat="false" ht="15" hidden="false" customHeight="false" outlineLevel="0" collapsed="false">
      <c r="A127" s="4" t="s">
        <v>442</v>
      </c>
      <c r="B127" s="4" t="s">
        <v>442</v>
      </c>
      <c r="C127" s="4" t="s">
        <v>443</v>
      </c>
      <c r="D127" s="5" t="n">
        <v>0</v>
      </c>
    </row>
    <row r="128" customFormat="false" ht="15" hidden="false" customHeight="false" outlineLevel="0" collapsed="false">
      <c r="A128" s="4" t="s">
        <v>444</v>
      </c>
      <c r="B128" s="4" t="s">
        <v>444</v>
      </c>
      <c r="C128" s="4" t="s">
        <v>445</v>
      </c>
      <c r="D128" s="5" t="n">
        <v>3</v>
      </c>
    </row>
    <row r="129" customFormat="false" ht="15" hidden="false" customHeight="false" outlineLevel="0" collapsed="false">
      <c r="A129" s="4" t="s">
        <v>446</v>
      </c>
      <c r="B129" s="4" t="s">
        <v>446</v>
      </c>
      <c r="C129" s="4" t="s">
        <v>447</v>
      </c>
      <c r="D129" s="5" t="n">
        <v>3</v>
      </c>
    </row>
    <row r="130" customFormat="false" ht="15" hidden="false" customHeight="false" outlineLevel="0" collapsed="false">
      <c r="A130" s="4" t="s">
        <v>448</v>
      </c>
      <c r="B130" s="4" t="s">
        <v>448</v>
      </c>
      <c r="C130" s="4" t="s">
        <v>449</v>
      </c>
      <c r="D130" s="5" t="n">
        <v>4</v>
      </c>
    </row>
    <row r="131" customFormat="false" ht="15" hidden="false" customHeight="false" outlineLevel="0" collapsed="false">
      <c r="A131" s="4" t="s">
        <v>450</v>
      </c>
      <c r="B131" s="4" t="s">
        <v>450</v>
      </c>
      <c r="C131" s="4" t="s">
        <v>451</v>
      </c>
      <c r="D131" s="5" t="n">
        <v>4</v>
      </c>
    </row>
    <row r="132" customFormat="false" ht="15" hidden="false" customHeight="false" outlineLevel="0" collapsed="false">
      <c r="A132" s="4" t="s">
        <v>452</v>
      </c>
      <c r="B132" s="4" t="s">
        <v>452</v>
      </c>
      <c r="C132" s="4" t="s">
        <v>453</v>
      </c>
      <c r="D132" s="5" t="n">
        <v>5</v>
      </c>
    </row>
    <row r="133" customFormat="false" ht="15" hidden="false" customHeight="false" outlineLevel="0" collapsed="false">
      <c r="A133" s="4" t="s">
        <v>454</v>
      </c>
      <c r="B133" s="4" t="s">
        <v>454</v>
      </c>
      <c r="C133" s="4" t="s">
        <v>455</v>
      </c>
      <c r="D133" s="5" t="n">
        <v>6</v>
      </c>
    </row>
    <row r="134" customFormat="false" ht="15" hidden="false" customHeight="false" outlineLevel="0" collapsed="false">
      <c r="A134" s="4" t="s">
        <v>456</v>
      </c>
      <c r="B134" s="4" t="s">
        <v>456</v>
      </c>
      <c r="C134" s="4" t="s">
        <v>457</v>
      </c>
      <c r="D134" s="5" t="n">
        <v>6</v>
      </c>
    </row>
    <row r="135" customFormat="false" ht="15" hidden="false" customHeight="false" outlineLevel="0" collapsed="false">
      <c r="A135" s="4" t="s">
        <v>458</v>
      </c>
      <c r="B135" s="4" t="s">
        <v>458</v>
      </c>
      <c r="C135" s="4" t="s">
        <v>459</v>
      </c>
      <c r="D135" s="5" t="n">
        <v>7</v>
      </c>
    </row>
    <row r="136" customFormat="false" ht="15" hidden="false" customHeight="false" outlineLevel="0" collapsed="false">
      <c r="A136" s="4" t="s">
        <v>460</v>
      </c>
      <c r="B136" s="4" t="s">
        <v>460</v>
      </c>
      <c r="C136" s="4" t="s">
        <v>461</v>
      </c>
      <c r="D136" s="5" t="n">
        <v>8</v>
      </c>
    </row>
    <row r="137" customFormat="false" ht="15" hidden="false" customHeight="false" outlineLevel="0" collapsed="false">
      <c r="A137" s="4" t="s">
        <v>462</v>
      </c>
      <c r="B137" s="4" t="s">
        <v>462</v>
      </c>
      <c r="C137" s="4" t="s">
        <v>463</v>
      </c>
      <c r="D137" s="5" t="n">
        <v>9</v>
      </c>
    </row>
    <row r="138" customFormat="false" ht="15" hidden="false" customHeight="false" outlineLevel="0" collapsed="false">
      <c r="A138" s="4" t="s">
        <v>464</v>
      </c>
      <c r="B138" s="4" t="s">
        <v>464</v>
      </c>
      <c r="C138" s="4" t="s">
        <v>465</v>
      </c>
      <c r="D138" s="5" t="n">
        <v>10</v>
      </c>
    </row>
    <row r="139" customFormat="false" ht="15" hidden="false" customHeight="false" outlineLevel="0" collapsed="false">
      <c r="A139" s="4" t="s">
        <v>466</v>
      </c>
      <c r="B139" s="4" t="s">
        <v>466</v>
      </c>
      <c r="C139" s="4" t="s">
        <v>467</v>
      </c>
      <c r="D139" s="5" t="n">
        <v>11</v>
      </c>
    </row>
    <row r="140" customFormat="false" ht="15" hidden="false" customHeight="false" outlineLevel="0" collapsed="false">
      <c r="A140" s="4" t="s">
        <v>468</v>
      </c>
      <c r="B140" s="4" t="s">
        <v>468</v>
      </c>
      <c r="C140" s="4" t="s">
        <v>469</v>
      </c>
      <c r="D140" s="5" t="n">
        <v>76</v>
      </c>
    </row>
    <row r="141" customFormat="false" ht="15" hidden="false" customHeight="false" outlineLevel="0" collapsed="false">
      <c r="A141" s="4" t="s">
        <v>470</v>
      </c>
      <c r="B141" s="4" t="s">
        <v>470</v>
      </c>
      <c r="C141" s="4" t="s">
        <v>471</v>
      </c>
      <c r="D141" s="5" t="n">
        <v>0</v>
      </c>
    </row>
    <row r="142" customFormat="false" ht="15" hidden="false" customHeight="false" outlineLevel="0" collapsed="false">
      <c r="A142" s="4" t="s">
        <v>472</v>
      </c>
      <c r="B142" s="4" t="s">
        <v>472</v>
      </c>
      <c r="C142" s="4" t="s">
        <v>473</v>
      </c>
      <c r="D142" s="5" t="n">
        <v>0</v>
      </c>
    </row>
    <row r="143" customFormat="false" ht="15" hidden="false" customHeight="false" outlineLevel="0" collapsed="false">
      <c r="A143" s="4" t="s">
        <v>474</v>
      </c>
      <c r="B143" s="4" t="s">
        <v>474</v>
      </c>
      <c r="C143" s="4" t="s">
        <v>475</v>
      </c>
      <c r="D143" s="5" t="n">
        <v>0</v>
      </c>
    </row>
    <row r="144" customFormat="false" ht="15" hidden="false" customHeight="false" outlineLevel="0" collapsed="false">
      <c r="A144" s="4" t="s">
        <v>476</v>
      </c>
      <c r="B144" s="4" t="s">
        <v>476</v>
      </c>
      <c r="C144" s="4" t="s">
        <v>477</v>
      </c>
      <c r="D144" s="5" t="n">
        <v>0</v>
      </c>
    </row>
    <row r="145" customFormat="false" ht="15" hidden="false" customHeight="false" outlineLevel="0" collapsed="false">
      <c r="A145" s="4" t="s">
        <v>478</v>
      </c>
      <c r="B145" s="4" t="s">
        <v>478</v>
      </c>
      <c r="C145" s="4" t="s">
        <v>479</v>
      </c>
      <c r="D145" s="5" t="n">
        <v>948000</v>
      </c>
    </row>
    <row r="146" customFormat="false" ht="15" hidden="false" customHeight="false" outlineLevel="0" collapsed="false">
      <c r="A146" s="4" t="s">
        <v>480</v>
      </c>
      <c r="B146" s="4" t="s">
        <v>480</v>
      </c>
      <c r="C146" s="4" t="s">
        <v>481</v>
      </c>
      <c r="D146" s="5" t="n">
        <v>948000</v>
      </c>
    </row>
    <row r="147" customFormat="false" ht="15" hidden="false" customHeight="false" outlineLevel="0" collapsed="false">
      <c r="A147" s="4" t="s">
        <v>482</v>
      </c>
      <c r="B147" s="4" t="s">
        <v>482</v>
      </c>
      <c r="C147" s="4" t="s">
        <v>483</v>
      </c>
      <c r="D147" s="5" t="n">
        <v>1264000</v>
      </c>
    </row>
    <row r="148" customFormat="false" ht="15" hidden="false" customHeight="false" outlineLevel="0" collapsed="false">
      <c r="A148" s="4" t="s">
        <v>484</v>
      </c>
      <c r="B148" s="4" t="s">
        <v>484</v>
      </c>
      <c r="C148" s="4" t="s">
        <v>485</v>
      </c>
      <c r="D148" s="5" t="n">
        <v>1264000</v>
      </c>
    </row>
    <row r="149" customFormat="false" ht="15" hidden="false" customHeight="false" outlineLevel="0" collapsed="false">
      <c r="A149" s="4" t="s">
        <v>486</v>
      </c>
      <c r="B149" s="4" t="s">
        <v>486</v>
      </c>
      <c r="C149" s="4" t="s">
        <v>487</v>
      </c>
      <c r="D149" s="5" t="n">
        <v>1580000</v>
      </c>
    </row>
    <row r="150" customFormat="false" ht="15" hidden="false" customHeight="false" outlineLevel="0" collapsed="false">
      <c r="A150" s="4" t="s">
        <v>488</v>
      </c>
      <c r="B150" s="4" t="s">
        <v>488</v>
      </c>
      <c r="C150" s="4" t="s">
        <v>489</v>
      </c>
      <c r="D150" s="5" t="n">
        <v>1896000</v>
      </c>
    </row>
    <row r="151" customFormat="false" ht="15" hidden="false" customHeight="false" outlineLevel="0" collapsed="false">
      <c r="A151" s="4" t="s">
        <v>490</v>
      </c>
      <c r="B151" s="4" t="s">
        <v>490</v>
      </c>
      <c r="C151" s="4" t="s">
        <v>491</v>
      </c>
      <c r="D151" s="5" t="n">
        <v>1896000</v>
      </c>
    </row>
    <row r="152" customFormat="false" ht="15" hidden="false" customHeight="false" outlineLevel="0" collapsed="false">
      <c r="A152" s="4" t="s">
        <v>492</v>
      </c>
      <c r="B152" s="4" t="s">
        <v>492</v>
      </c>
      <c r="C152" s="4" t="s">
        <v>493</v>
      </c>
      <c r="D152" s="5" t="n">
        <v>2212000</v>
      </c>
    </row>
    <row r="153" customFormat="false" ht="15" hidden="false" customHeight="false" outlineLevel="0" collapsed="false">
      <c r="A153" s="4" t="s">
        <v>494</v>
      </c>
      <c r="B153" s="4" t="s">
        <v>494</v>
      </c>
      <c r="C153" s="4" t="s">
        <v>495</v>
      </c>
      <c r="D153" s="5" t="n">
        <v>2528000</v>
      </c>
    </row>
    <row r="154" customFormat="false" ht="15" hidden="false" customHeight="false" outlineLevel="0" collapsed="false">
      <c r="A154" s="4" t="s">
        <v>496</v>
      </c>
      <c r="B154" s="4" t="s">
        <v>496</v>
      </c>
      <c r="C154" s="4" t="s">
        <v>497</v>
      </c>
      <c r="D154" s="5" t="n">
        <v>2844000</v>
      </c>
    </row>
    <row r="155" customFormat="false" ht="15" hidden="false" customHeight="false" outlineLevel="0" collapsed="false">
      <c r="A155" s="4" t="s">
        <v>498</v>
      </c>
      <c r="B155" s="4" t="s">
        <v>498</v>
      </c>
      <c r="C155" s="4" t="s">
        <v>499</v>
      </c>
      <c r="D155" s="5" t="n">
        <v>3160000</v>
      </c>
    </row>
    <row r="156" customFormat="false" ht="15" hidden="false" customHeight="false" outlineLevel="0" collapsed="false">
      <c r="A156" s="4" t="s">
        <v>500</v>
      </c>
      <c r="B156" s="4" t="s">
        <v>500</v>
      </c>
      <c r="C156" s="4" t="s">
        <v>501</v>
      </c>
      <c r="D156" s="5" t="n">
        <v>3476000</v>
      </c>
    </row>
    <row r="157" customFormat="false" ht="15" hidden="false" customHeight="false" outlineLevel="0" collapsed="false">
      <c r="A157" s="4" t="s">
        <v>502</v>
      </c>
      <c r="B157" s="4" t="s">
        <v>502</v>
      </c>
      <c r="C157" s="4" t="s">
        <v>503</v>
      </c>
      <c r="D157" s="5" t="n">
        <v>24016000</v>
      </c>
    </row>
    <row r="158" customFormat="false" ht="15" hidden="false" customHeight="false" outlineLevel="0" collapsed="false">
      <c r="A158" s="4" t="s">
        <v>504</v>
      </c>
      <c r="B158" s="4" t="s">
        <v>504</v>
      </c>
      <c r="C158" s="4" t="s">
        <v>505</v>
      </c>
      <c r="D158" s="5" t="n">
        <v>0</v>
      </c>
    </row>
    <row r="159" customFormat="false" ht="15" hidden="false" customHeight="false" outlineLevel="0" collapsed="false">
      <c r="A159" s="4" t="s">
        <v>506</v>
      </c>
      <c r="B159" s="4" t="s">
        <v>506</v>
      </c>
      <c r="C159" s="4" t="s">
        <v>507</v>
      </c>
      <c r="D159" s="5" t="n">
        <v>0</v>
      </c>
    </row>
    <row r="160" customFormat="false" ht="15" hidden="false" customHeight="false" outlineLevel="0" collapsed="false">
      <c r="A160" s="4" t="s">
        <v>508</v>
      </c>
      <c r="B160" s="4" t="s">
        <v>508</v>
      </c>
      <c r="C160" s="4" t="s">
        <v>509</v>
      </c>
      <c r="D160" s="5" t="n">
        <v>0</v>
      </c>
    </row>
    <row r="161" customFormat="false" ht="15" hidden="false" customHeight="false" outlineLevel="0" collapsed="false">
      <c r="A161" s="4" t="s">
        <v>510</v>
      </c>
      <c r="B161" s="4" t="s">
        <v>510</v>
      </c>
      <c r="C161" s="4" t="s">
        <v>511</v>
      </c>
      <c r="D161" s="5" t="n">
        <v>0</v>
      </c>
    </row>
    <row r="162" customFormat="false" ht="15" hidden="false" customHeight="false" outlineLevel="0" collapsed="false">
      <c r="A162" s="4" t="s">
        <v>512</v>
      </c>
      <c r="B162" s="4" t="s">
        <v>512</v>
      </c>
      <c r="C162" s="4" t="s">
        <v>513</v>
      </c>
      <c r="D162" s="5" t="n">
        <v>1</v>
      </c>
    </row>
    <row r="163" customFormat="false" ht="15" hidden="false" customHeight="false" outlineLevel="0" collapsed="false">
      <c r="A163" s="4" t="s">
        <v>514</v>
      </c>
      <c r="B163" s="4" t="s">
        <v>514</v>
      </c>
      <c r="C163" s="4" t="s">
        <v>515</v>
      </c>
      <c r="D163" s="5" t="n">
        <v>1</v>
      </c>
    </row>
    <row r="164" customFormat="false" ht="15" hidden="false" customHeight="false" outlineLevel="0" collapsed="false">
      <c r="A164" s="4" t="s">
        <v>516</v>
      </c>
      <c r="B164" s="4" t="s">
        <v>516</v>
      </c>
      <c r="C164" s="4" t="s">
        <v>517</v>
      </c>
      <c r="D164" s="5" t="n">
        <v>2</v>
      </c>
    </row>
    <row r="165" customFormat="false" ht="15" hidden="false" customHeight="false" outlineLevel="0" collapsed="false">
      <c r="A165" s="4" t="s">
        <v>518</v>
      </c>
      <c r="B165" s="4" t="s">
        <v>518</v>
      </c>
      <c r="C165" s="4" t="s">
        <v>519</v>
      </c>
      <c r="D165" s="5" t="n">
        <v>1</v>
      </c>
    </row>
    <row r="166" customFormat="false" ht="15" hidden="false" customHeight="false" outlineLevel="0" collapsed="false">
      <c r="A166" s="4" t="s">
        <v>520</v>
      </c>
      <c r="B166" s="4" t="s">
        <v>520</v>
      </c>
      <c r="C166" s="4" t="s">
        <v>521</v>
      </c>
      <c r="D166" s="5" t="n">
        <v>1</v>
      </c>
    </row>
    <row r="167" customFormat="false" ht="15" hidden="false" customHeight="false" outlineLevel="0" collapsed="false">
      <c r="A167" s="4" t="s">
        <v>522</v>
      </c>
      <c r="B167" s="4" t="s">
        <v>522</v>
      </c>
      <c r="C167" s="4" t="s">
        <v>523</v>
      </c>
      <c r="D167" s="5" t="n">
        <v>2</v>
      </c>
    </row>
    <row r="168" customFormat="false" ht="15" hidden="false" customHeight="false" outlineLevel="0" collapsed="false">
      <c r="A168" s="4" t="s">
        <v>524</v>
      </c>
      <c r="B168" s="4" t="s">
        <v>524</v>
      </c>
      <c r="C168" s="4" t="s">
        <v>525</v>
      </c>
      <c r="D168" s="5" t="n">
        <v>2</v>
      </c>
    </row>
    <row r="169" customFormat="false" ht="15" hidden="false" customHeight="false" outlineLevel="0" collapsed="false">
      <c r="A169" s="4" t="s">
        <v>526</v>
      </c>
      <c r="B169" s="4" t="s">
        <v>526</v>
      </c>
      <c r="C169" s="4" t="s">
        <v>527</v>
      </c>
      <c r="D169" s="5" t="n">
        <v>3</v>
      </c>
    </row>
    <row r="170" customFormat="false" ht="15" hidden="false" customHeight="false" outlineLevel="0" collapsed="false">
      <c r="A170" s="4" t="s">
        <v>528</v>
      </c>
      <c r="B170" s="4" t="s">
        <v>528</v>
      </c>
      <c r="C170" s="4" t="s">
        <v>529</v>
      </c>
      <c r="D170" s="5" t="n">
        <v>2</v>
      </c>
    </row>
    <row r="171" customFormat="false" ht="15" hidden="false" customHeight="false" outlineLevel="0" collapsed="false">
      <c r="A171" s="4" t="s">
        <v>530</v>
      </c>
      <c r="B171" s="4" t="s">
        <v>530</v>
      </c>
      <c r="C171" s="4" t="s">
        <v>531</v>
      </c>
      <c r="D171" s="5" t="n">
        <v>3</v>
      </c>
    </row>
    <row r="172" customFormat="false" ht="15" hidden="false" customHeight="false" outlineLevel="0" collapsed="false">
      <c r="A172" s="4" t="s">
        <v>532</v>
      </c>
      <c r="B172" s="4" t="s">
        <v>532</v>
      </c>
      <c r="C172" s="4" t="s">
        <v>533</v>
      </c>
      <c r="D172" s="5" t="n">
        <v>4</v>
      </c>
    </row>
    <row r="173" customFormat="false" ht="15" hidden="false" customHeight="false" outlineLevel="0" collapsed="false">
      <c r="A173" s="4" t="s">
        <v>534</v>
      </c>
      <c r="B173" s="4" t="s">
        <v>534</v>
      </c>
      <c r="C173" s="4" t="s">
        <v>535</v>
      </c>
      <c r="D173" s="5" t="n">
        <v>3</v>
      </c>
    </row>
    <row r="174" customFormat="false" ht="15" hidden="false" customHeight="false" outlineLevel="0" collapsed="false">
      <c r="A174" s="4" t="s">
        <v>536</v>
      </c>
      <c r="B174" s="4" t="s">
        <v>536</v>
      </c>
      <c r="C174" s="4" t="s">
        <v>537</v>
      </c>
      <c r="D174" s="5" t="n">
        <v>25</v>
      </c>
    </row>
    <row r="175" customFormat="false" ht="15" hidden="false" customHeight="false" outlineLevel="0" collapsed="false">
      <c r="A175" s="4" t="s">
        <v>538</v>
      </c>
      <c r="B175" s="4" t="s">
        <v>538</v>
      </c>
      <c r="C175" s="4" t="s">
        <v>539</v>
      </c>
      <c r="D175" s="5" t="n">
        <v>0</v>
      </c>
    </row>
    <row r="176" customFormat="false" ht="15" hidden="false" customHeight="false" outlineLevel="0" collapsed="false">
      <c r="A176" s="4" t="s">
        <v>540</v>
      </c>
      <c r="B176" s="4" t="s">
        <v>540</v>
      </c>
      <c r="C176" s="4" t="s">
        <v>541</v>
      </c>
      <c r="D176" s="5" t="n">
        <v>0</v>
      </c>
    </row>
    <row r="177" customFormat="false" ht="15" hidden="false" customHeight="false" outlineLevel="0" collapsed="false">
      <c r="A177" s="4" t="s">
        <v>542</v>
      </c>
      <c r="B177" s="4" t="s">
        <v>542</v>
      </c>
      <c r="C177" s="4" t="s">
        <v>543</v>
      </c>
      <c r="D177" s="5" t="n">
        <v>0</v>
      </c>
    </row>
    <row r="178" customFormat="false" ht="15" hidden="false" customHeight="false" outlineLevel="0" collapsed="false">
      <c r="A178" s="4" t="s">
        <v>544</v>
      </c>
      <c r="B178" s="4" t="s">
        <v>544</v>
      </c>
      <c r="C178" s="4" t="s">
        <v>545</v>
      </c>
      <c r="D178" s="5" t="n">
        <v>0</v>
      </c>
    </row>
    <row r="179" customFormat="false" ht="15" hidden="false" customHeight="false" outlineLevel="0" collapsed="false">
      <c r="A179" s="4" t="s">
        <v>546</v>
      </c>
      <c r="B179" s="4" t="s">
        <v>546</v>
      </c>
      <c r="C179" s="4" t="s">
        <v>547</v>
      </c>
      <c r="D179" s="5" t="n">
        <v>255142.5</v>
      </c>
    </row>
    <row r="180" customFormat="false" ht="15" hidden="false" customHeight="false" outlineLevel="0" collapsed="false">
      <c r="A180" s="4" t="s">
        <v>548</v>
      </c>
      <c r="B180" s="4" t="s">
        <v>548</v>
      </c>
      <c r="C180" s="4" t="s">
        <v>549</v>
      </c>
      <c r="D180" s="5" t="n">
        <v>255142.5</v>
      </c>
    </row>
    <row r="181" customFormat="false" ht="15" hidden="false" customHeight="false" outlineLevel="0" collapsed="false">
      <c r="A181" s="4" t="s">
        <v>550</v>
      </c>
      <c r="B181" s="4" t="s">
        <v>550</v>
      </c>
      <c r="C181" s="4" t="s">
        <v>551</v>
      </c>
      <c r="D181" s="5" t="n">
        <v>255142.5</v>
      </c>
    </row>
    <row r="182" customFormat="false" ht="15" hidden="false" customHeight="false" outlineLevel="0" collapsed="false">
      <c r="A182" s="4" t="s">
        <v>552</v>
      </c>
      <c r="B182" s="4" t="s">
        <v>552</v>
      </c>
      <c r="C182" s="4" t="s">
        <v>553</v>
      </c>
      <c r="D182" s="5" t="n">
        <v>255142.5</v>
      </c>
    </row>
    <row r="183" customFormat="false" ht="15" hidden="false" customHeight="false" outlineLevel="0" collapsed="false">
      <c r="A183" s="4" t="s">
        <v>554</v>
      </c>
      <c r="B183" s="4" t="s">
        <v>554</v>
      </c>
      <c r="C183" s="4" t="s">
        <v>555</v>
      </c>
      <c r="D183" s="5" t="n">
        <v>321502.5</v>
      </c>
    </row>
    <row r="184" customFormat="false" ht="15" hidden="false" customHeight="false" outlineLevel="0" collapsed="false">
      <c r="A184" s="4" t="s">
        <v>556</v>
      </c>
      <c r="B184" s="4" t="s">
        <v>556</v>
      </c>
      <c r="C184" s="4" t="s">
        <v>557</v>
      </c>
      <c r="D184" s="5" t="n">
        <v>387862.5</v>
      </c>
    </row>
    <row r="185" customFormat="false" ht="15" hidden="false" customHeight="false" outlineLevel="0" collapsed="false">
      <c r="A185" s="4" t="s">
        <v>558</v>
      </c>
      <c r="B185" s="4" t="s">
        <v>558</v>
      </c>
      <c r="C185" s="4" t="s">
        <v>559</v>
      </c>
      <c r="D185" s="5" t="n">
        <v>476342.5</v>
      </c>
    </row>
    <row r="186" customFormat="false" ht="15" hidden="false" customHeight="false" outlineLevel="0" collapsed="false">
      <c r="A186" s="4" t="s">
        <v>560</v>
      </c>
      <c r="B186" s="4" t="s">
        <v>560</v>
      </c>
      <c r="C186" s="4" t="s">
        <v>561</v>
      </c>
      <c r="D186" s="5" t="n">
        <v>515526.5</v>
      </c>
    </row>
    <row r="187" customFormat="false" ht="15" hidden="false" customHeight="false" outlineLevel="0" collapsed="false">
      <c r="A187" s="4" t="s">
        <v>562</v>
      </c>
      <c r="B187" s="4" t="s">
        <v>562</v>
      </c>
      <c r="C187" s="4" t="s">
        <v>563</v>
      </c>
      <c r="D187" s="5" t="n">
        <v>576830.5</v>
      </c>
    </row>
    <row r="188" customFormat="false" ht="15" hidden="false" customHeight="false" outlineLevel="0" collapsed="false">
      <c r="A188" s="4" t="s">
        <v>564</v>
      </c>
      <c r="B188" s="4" t="s">
        <v>564</v>
      </c>
      <c r="C188" s="4" t="s">
        <v>565</v>
      </c>
      <c r="D188" s="5" t="n">
        <v>643822.5</v>
      </c>
    </row>
    <row r="189" customFormat="false" ht="15" hidden="false" customHeight="false" outlineLevel="0" collapsed="false">
      <c r="A189" s="4" t="s">
        <v>566</v>
      </c>
      <c r="B189" s="4" t="s">
        <v>566</v>
      </c>
      <c r="C189" s="4" t="s">
        <v>567</v>
      </c>
      <c r="D189" s="5" t="n">
        <v>710814.5</v>
      </c>
    </row>
    <row r="190" customFormat="false" ht="15" hidden="false" customHeight="false" outlineLevel="0" collapsed="false">
      <c r="A190" s="4" t="s">
        <v>568</v>
      </c>
      <c r="B190" s="4" t="s">
        <v>568</v>
      </c>
      <c r="C190" s="4" t="s">
        <v>569</v>
      </c>
      <c r="D190" s="5" t="n">
        <v>783494.5</v>
      </c>
    </row>
    <row r="191" customFormat="false" ht="15" hidden="false" customHeight="false" outlineLevel="0" collapsed="false">
      <c r="A191" s="4" t="s">
        <v>570</v>
      </c>
      <c r="B191" s="4" t="s">
        <v>570</v>
      </c>
      <c r="C191" s="4" t="s">
        <v>571</v>
      </c>
      <c r="D191" s="5" t="n">
        <v>5436766</v>
      </c>
    </row>
    <row r="192" customFormat="false" ht="15" hidden="false" customHeight="false" outlineLevel="0" collapsed="false">
      <c r="A192" s="4" t="s">
        <v>572</v>
      </c>
      <c r="B192" s="4" t="s">
        <v>572</v>
      </c>
      <c r="C192" s="4" t="s">
        <v>573</v>
      </c>
      <c r="D192" s="5" t="n">
        <v>3</v>
      </c>
    </row>
    <row r="193" customFormat="false" ht="15" hidden="false" customHeight="false" outlineLevel="0" collapsed="false">
      <c r="A193" s="4" t="s">
        <v>574</v>
      </c>
      <c r="B193" s="4" t="s">
        <v>574</v>
      </c>
      <c r="C193" s="4" t="s">
        <v>575</v>
      </c>
      <c r="D193" s="5" t="n">
        <v>0</v>
      </c>
    </row>
    <row r="194" customFormat="false" ht="15" hidden="false" customHeight="false" outlineLevel="0" collapsed="false">
      <c r="A194" s="4" t="s">
        <v>576</v>
      </c>
      <c r="B194" s="4" t="s">
        <v>576</v>
      </c>
      <c r="C194" s="4" t="s">
        <v>577</v>
      </c>
      <c r="D194" s="5" t="n">
        <v>3</v>
      </c>
    </row>
    <row r="195" customFormat="false" ht="15" hidden="false" customHeight="false" outlineLevel="0" collapsed="false">
      <c r="A195" s="4" t="s">
        <v>578</v>
      </c>
      <c r="B195" s="4" t="s">
        <v>578</v>
      </c>
      <c r="C195" s="4" t="s">
        <v>579</v>
      </c>
      <c r="D195" s="5" t="n">
        <v>2</v>
      </c>
    </row>
    <row r="196" customFormat="false" ht="15" hidden="false" customHeight="false" outlineLevel="0" collapsed="false">
      <c r="A196" s="4" t="s">
        <v>580</v>
      </c>
      <c r="B196" s="4" t="s">
        <v>580</v>
      </c>
      <c r="C196" s="4" t="s">
        <v>581</v>
      </c>
      <c r="D196" s="5" t="n">
        <v>0</v>
      </c>
    </row>
    <row r="197" customFormat="false" ht="15" hidden="false" customHeight="false" outlineLevel="0" collapsed="false">
      <c r="A197" s="4" t="s">
        <v>582</v>
      </c>
      <c r="B197" s="4" t="s">
        <v>582</v>
      </c>
      <c r="C197" s="4" t="s">
        <v>583</v>
      </c>
      <c r="D197" s="5" t="n">
        <v>0</v>
      </c>
    </row>
    <row r="198" customFormat="false" ht="15" hidden="false" customHeight="false" outlineLevel="0" collapsed="false">
      <c r="A198" s="4" t="s">
        <v>584</v>
      </c>
      <c r="B198" s="4" t="s">
        <v>584</v>
      </c>
      <c r="C198" s="4" t="s">
        <v>585</v>
      </c>
      <c r="D198" s="5" t="n">
        <v>0</v>
      </c>
    </row>
    <row r="199" customFormat="false" ht="15" hidden="false" customHeight="false" outlineLevel="0" collapsed="false">
      <c r="A199" s="4" t="s">
        <v>586</v>
      </c>
      <c r="B199" s="4" t="s">
        <v>586</v>
      </c>
      <c r="C199" s="4" t="s">
        <v>587</v>
      </c>
      <c r="D199" s="5" t="n">
        <v>0</v>
      </c>
    </row>
    <row r="200" customFormat="false" ht="15" hidden="false" customHeight="false" outlineLevel="0" collapsed="false">
      <c r="A200" s="4" t="s">
        <v>588</v>
      </c>
      <c r="B200" s="4" t="s">
        <v>588</v>
      </c>
      <c r="C200" s="4" t="s">
        <v>589</v>
      </c>
      <c r="D200" s="5" t="n">
        <v>0</v>
      </c>
    </row>
    <row r="201" customFormat="false" ht="15" hidden="false" customHeight="false" outlineLevel="0" collapsed="false">
      <c r="A201" s="4" t="s">
        <v>590</v>
      </c>
      <c r="B201" s="4" t="s">
        <v>590</v>
      </c>
      <c r="C201" s="4" t="s">
        <v>591</v>
      </c>
      <c r="D201" s="5" t="n">
        <v>0</v>
      </c>
    </row>
    <row r="202" customFormat="false" ht="15" hidden="false" customHeight="false" outlineLevel="0" collapsed="false">
      <c r="A202" s="4" t="s">
        <v>592</v>
      </c>
      <c r="B202" s="4" t="s">
        <v>592</v>
      </c>
      <c r="C202" s="4" t="s">
        <v>593</v>
      </c>
      <c r="D202" s="5" t="n">
        <v>0</v>
      </c>
    </row>
    <row r="203" customFormat="false" ht="15" hidden="false" customHeight="false" outlineLevel="0" collapsed="false">
      <c r="A203" s="4" t="s">
        <v>594</v>
      </c>
      <c r="B203" s="4" t="s">
        <v>594</v>
      </c>
      <c r="C203" s="4" t="s">
        <v>595</v>
      </c>
      <c r="D203" s="5" t="n">
        <v>0</v>
      </c>
    </row>
    <row r="204" customFormat="false" ht="15" hidden="false" customHeight="false" outlineLevel="0" collapsed="false">
      <c r="A204" s="4" t="s">
        <v>596</v>
      </c>
      <c r="B204" s="4" t="s">
        <v>596</v>
      </c>
      <c r="C204" s="4" t="s">
        <v>597</v>
      </c>
      <c r="D204" s="5" t="n">
        <v>0</v>
      </c>
    </row>
    <row r="205" customFormat="false" ht="15" hidden="false" customHeight="false" outlineLevel="0" collapsed="false">
      <c r="A205" s="4" t="s">
        <v>598</v>
      </c>
      <c r="B205" s="4" t="s">
        <v>598</v>
      </c>
      <c r="C205" s="4" t="s">
        <v>599</v>
      </c>
      <c r="D205" s="5" t="n">
        <v>0</v>
      </c>
    </row>
    <row r="206" customFormat="false" ht="15" hidden="false" customHeight="false" outlineLevel="0" collapsed="false">
      <c r="A206" s="4" t="s">
        <v>600</v>
      </c>
      <c r="B206" s="4" t="s">
        <v>600</v>
      </c>
      <c r="C206" s="4" t="s">
        <v>601</v>
      </c>
      <c r="D206" s="5" t="n">
        <v>0</v>
      </c>
    </row>
    <row r="207" customFormat="false" ht="15" hidden="false" customHeight="false" outlineLevel="0" collapsed="false">
      <c r="A207" s="4" t="s">
        <v>602</v>
      </c>
      <c r="B207" s="4" t="s">
        <v>602</v>
      </c>
      <c r="C207" s="4" t="s">
        <v>603</v>
      </c>
      <c r="D207" s="5" t="n">
        <v>0</v>
      </c>
    </row>
    <row r="208" customFormat="false" ht="15" hidden="false" customHeight="false" outlineLevel="0" collapsed="false">
      <c r="A208" s="4" t="s">
        <v>604</v>
      </c>
      <c r="B208" s="4" t="s">
        <v>604</v>
      </c>
      <c r="C208" s="4" t="s">
        <v>605</v>
      </c>
      <c r="D208" s="5" t="n">
        <v>1280300</v>
      </c>
    </row>
    <row r="209" customFormat="false" ht="15" hidden="false" customHeight="false" outlineLevel="0" collapsed="false">
      <c r="A209" s="4" t="s">
        <v>606</v>
      </c>
      <c r="B209" s="4" t="s">
        <v>606</v>
      </c>
      <c r="C209" s="4" t="s">
        <v>607</v>
      </c>
      <c r="D209" s="5" t="n">
        <v>0</v>
      </c>
    </row>
    <row r="210" customFormat="false" ht="15" hidden="false" customHeight="false" outlineLevel="0" collapsed="false">
      <c r="A210" s="4" t="s">
        <v>608</v>
      </c>
      <c r="B210" s="4" t="s">
        <v>608</v>
      </c>
      <c r="C210" s="4" t="s">
        <v>609</v>
      </c>
      <c r="D210" s="5" t="n">
        <v>1632000</v>
      </c>
    </row>
    <row r="211" customFormat="false" ht="15" hidden="false" customHeight="false" outlineLevel="0" collapsed="false">
      <c r="A211" s="4" t="s">
        <v>610</v>
      </c>
      <c r="B211" s="4" t="s">
        <v>610</v>
      </c>
      <c r="C211" s="4" t="s">
        <v>611</v>
      </c>
      <c r="D211" s="5" t="n">
        <v>632000</v>
      </c>
    </row>
    <row r="212" customFormat="false" ht="15" hidden="false" customHeight="false" outlineLevel="0" collapsed="false">
      <c r="A212" s="4" t="s">
        <v>612</v>
      </c>
      <c r="B212" s="4" t="s">
        <v>612</v>
      </c>
      <c r="C212" s="4" t="s">
        <v>613</v>
      </c>
      <c r="D212" s="5" t="n">
        <v>0</v>
      </c>
    </row>
    <row r="213" customFormat="false" ht="15" hidden="false" customHeight="false" outlineLevel="0" collapsed="false">
      <c r="A213" s="4" t="s">
        <v>614</v>
      </c>
      <c r="B213" s="4" t="s">
        <v>614</v>
      </c>
      <c r="C213" s="4" t="s">
        <v>615</v>
      </c>
      <c r="D213" s="5" t="n">
        <v>0</v>
      </c>
    </row>
    <row r="214" customFormat="false" ht="15" hidden="false" customHeight="false" outlineLevel="0" collapsed="false">
      <c r="A214" s="4" t="s">
        <v>616</v>
      </c>
      <c r="B214" s="4" t="s">
        <v>616</v>
      </c>
      <c r="C214" s="4" t="s">
        <v>617</v>
      </c>
      <c r="D214" s="5" t="n">
        <v>0</v>
      </c>
    </row>
    <row r="215" customFormat="false" ht="15" hidden="false" customHeight="false" outlineLevel="0" collapsed="false">
      <c r="A215" s="4" t="s">
        <v>618</v>
      </c>
      <c r="B215" s="4" t="s">
        <v>618</v>
      </c>
      <c r="C215" s="4" t="s">
        <v>619</v>
      </c>
      <c r="D215" s="5" t="n">
        <v>0</v>
      </c>
    </row>
    <row r="216" customFormat="false" ht="15" hidden="false" customHeight="false" outlineLevel="0" collapsed="false">
      <c r="A216" s="4" t="s">
        <v>620</v>
      </c>
      <c r="B216" s="4" t="s">
        <v>620</v>
      </c>
      <c r="C216" s="4" t="s">
        <v>621</v>
      </c>
      <c r="D216" s="5" t="n">
        <v>0</v>
      </c>
    </row>
    <row r="217" customFormat="false" ht="15" hidden="false" customHeight="false" outlineLevel="0" collapsed="false">
      <c r="A217" s="4" t="s">
        <v>622</v>
      </c>
      <c r="B217" s="4" t="s">
        <v>622</v>
      </c>
      <c r="C217" s="4" t="s">
        <v>623</v>
      </c>
      <c r="D217" s="5" t="n">
        <v>0</v>
      </c>
    </row>
    <row r="218" customFormat="false" ht="15" hidden="false" customHeight="false" outlineLevel="0" collapsed="false">
      <c r="A218" s="4" t="s">
        <v>624</v>
      </c>
      <c r="B218" s="4" t="s">
        <v>624</v>
      </c>
      <c r="C218" s="4" t="s">
        <v>625</v>
      </c>
      <c r="D218" s="5" t="n">
        <v>0</v>
      </c>
    </row>
    <row r="219" customFormat="false" ht="15" hidden="false" customHeight="false" outlineLevel="0" collapsed="false">
      <c r="A219" s="4" t="s">
        <v>626</v>
      </c>
      <c r="B219" s="4" t="s">
        <v>626</v>
      </c>
      <c r="C219" s="4" t="s">
        <v>627</v>
      </c>
      <c r="D219" s="5" t="n">
        <v>0</v>
      </c>
    </row>
    <row r="220" customFormat="false" ht="15" hidden="false" customHeight="false" outlineLevel="0" collapsed="false">
      <c r="A220" s="4" t="s">
        <v>628</v>
      </c>
      <c r="B220" s="4" t="s">
        <v>628</v>
      </c>
      <c r="C220" s="4" t="s">
        <v>629</v>
      </c>
      <c r="D220" s="5" t="n">
        <v>0</v>
      </c>
    </row>
    <row r="221" customFormat="false" ht="15" hidden="false" customHeight="false" outlineLevel="0" collapsed="false">
      <c r="A221" s="4" t="s">
        <v>630</v>
      </c>
      <c r="B221" s="4" t="s">
        <v>630</v>
      </c>
      <c r="C221" s="4" t="s">
        <v>631</v>
      </c>
      <c r="D221" s="5" t="n">
        <v>0</v>
      </c>
    </row>
    <row r="222" customFormat="false" ht="15" hidden="false" customHeight="false" outlineLevel="0" collapsed="false">
      <c r="A222" s="4" t="s">
        <v>632</v>
      </c>
      <c r="B222" s="4" t="s">
        <v>632</v>
      </c>
      <c r="C222" s="4" t="s">
        <v>633</v>
      </c>
      <c r="D222" s="5" t="n">
        <v>0</v>
      </c>
    </row>
    <row r="223" customFormat="false" ht="15" hidden="false" customHeight="false" outlineLevel="0" collapsed="false">
      <c r="A223" s="4" t="s">
        <v>634</v>
      </c>
      <c r="B223" s="4" t="s">
        <v>634</v>
      </c>
      <c r="C223" s="4" t="s">
        <v>635</v>
      </c>
      <c r="D223" s="5" t="n">
        <v>0</v>
      </c>
    </row>
    <row r="224" customFormat="false" ht="15" hidden="false" customHeight="false" outlineLevel="0" collapsed="false">
      <c r="A224" s="4" t="s">
        <v>636</v>
      </c>
      <c r="B224" s="4" t="s">
        <v>636</v>
      </c>
      <c r="C224" s="4" t="s">
        <v>637</v>
      </c>
      <c r="D224" s="5" t="n">
        <v>0</v>
      </c>
    </row>
    <row r="225" customFormat="false" ht="82.05" hidden="false" customHeight="false" outlineLevel="0" collapsed="false">
      <c r="A225" s="4" t="s">
        <v>638</v>
      </c>
      <c r="B225" s="4" t="s">
        <v>638</v>
      </c>
      <c r="C225" s="4" t="s">
        <v>639</v>
      </c>
      <c r="D225" s="5" t="n">
        <v>0</v>
      </c>
    </row>
    <row r="226" customFormat="false" ht="82.05" hidden="false" customHeight="false" outlineLevel="0" collapsed="false">
      <c r="A226" s="4" t="s">
        <v>640</v>
      </c>
      <c r="B226" s="4" t="s">
        <v>640</v>
      </c>
      <c r="C226" s="4" t="s">
        <v>641</v>
      </c>
      <c r="D226" s="5" t="n">
        <v>2</v>
      </c>
    </row>
    <row r="227" customFormat="false" ht="82.05" hidden="false" customHeight="false" outlineLevel="0" collapsed="false">
      <c r="A227" s="4" t="s">
        <v>642</v>
      </c>
      <c r="B227" s="4" t="s">
        <v>642</v>
      </c>
      <c r="C227" s="4" t="s">
        <v>643</v>
      </c>
      <c r="D227" s="5" t="n">
        <v>2</v>
      </c>
    </row>
    <row r="228" customFormat="false" ht="82.05" hidden="false" customHeight="false" outlineLevel="0" collapsed="false">
      <c r="A228" s="4" t="s">
        <v>644</v>
      </c>
      <c r="B228" s="4" t="s">
        <v>644</v>
      </c>
      <c r="C228" s="4" t="s">
        <v>645</v>
      </c>
      <c r="D228" s="5" t="n">
        <v>0</v>
      </c>
    </row>
    <row r="229" customFormat="false" ht="82.05" hidden="false" customHeight="false" outlineLevel="0" collapsed="false">
      <c r="A229" s="4" t="s">
        <v>646</v>
      </c>
      <c r="B229" s="4" t="s">
        <v>646</v>
      </c>
      <c r="C229" s="4" t="s">
        <v>647</v>
      </c>
      <c r="D229" s="5" t="n">
        <v>3</v>
      </c>
    </row>
    <row r="230" customFormat="false" ht="82.05" hidden="false" customHeight="false" outlineLevel="0" collapsed="false">
      <c r="A230" s="4" t="s">
        <v>648</v>
      </c>
      <c r="B230" s="4" t="s">
        <v>648</v>
      </c>
      <c r="C230" s="4" t="s">
        <v>649</v>
      </c>
      <c r="D230" s="5" t="n">
        <v>2</v>
      </c>
    </row>
    <row r="231" customFormat="false" ht="82.05" hidden="false" customHeight="false" outlineLevel="0" collapsed="false">
      <c r="A231" s="4" t="s">
        <v>650</v>
      </c>
      <c r="B231" s="4" t="s">
        <v>650</v>
      </c>
      <c r="C231" s="4" t="s">
        <v>651</v>
      </c>
      <c r="D231" s="5" t="n">
        <v>0</v>
      </c>
    </row>
    <row r="232" customFormat="false" ht="82.05" hidden="false" customHeight="false" outlineLevel="0" collapsed="false">
      <c r="A232" s="4" t="s">
        <v>652</v>
      </c>
      <c r="B232" s="4" t="s">
        <v>652</v>
      </c>
      <c r="C232" s="4" t="s">
        <v>653</v>
      </c>
      <c r="D232" s="5" t="n">
        <v>5</v>
      </c>
    </row>
    <row r="233" customFormat="false" ht="82.05" hidden="false" customHeight="false" outlineLevel="0" collapsed="false">
      <c r="A233" s="4" t="s">
        <v>654</v>
      </c>
      <c r="B233" s="4" t="s">
        <v>654</v>
      </c>
      <c r="C233" s="4" t="s">
        <v>655</v>
      </c>
      <c r="D233" s="5" t="n">
        <v>4</v>
      </c>
    </row>
    <row r="234" customFormat="false" ht="82.05" hidden="false" customHeight="false" outlineLevel="0" collapsed="false">
      <c r="A234" s="4" t="s">
        <v>656</v>
      </c>
      <c r="B234" s="4" t="s">
        <v>656</v>
      </c>
      <c r="C234" s="4" t="s">
        <v>657</v>
      </c>
      <c r="D234" s="5" t="n">
        <v>6</v>
      </c>
    </row>
    <row r="235" customFormat="false" ht="82.05" hidden="false" customHeight="false" outlineLevel="0" collapsed="false">
      <c r="A235" s="4" t="s">
        <v>658</v>
      </c>
      <c r="B235" s="4" t="s">
        <v>658</v>
      </c>
      <c r="C235" s="4" t="s">
        <v>659</v>
      </c>
      <c r="D235" s="5" t="n">
        <v>5</v>
      </c>
    </row>
    <row r="236" customFormat="false" ht="82.05" hidden="false" customHeight="false" outlineLevel="0" collapsed="false">
      <c r="A236" s="4" t="s">
        <v>660</v>
      </c>
      <c r="B236" s="4" t="s">
        <v>660</v>
      </c>
      <c r="C236" s="4" t="s">
        <v>661</v>
      </c>
      <c r="D236" s="5" t="n">
        <v>6</v>
      </c>
    </row>
    <row r="237" customFormat="false" ht="82.05" hidden="false" customHeight="false" outlineLevel="0" collapsed="false">
      <c r="A237" s="4" t="s">
        <v>662</v>
      </c>
      <c r="B237" s="4" t="s">
        <v>662</v>
      </c>
      <c r="C237" s="4" t="s">
        <v>663</v>
      </c>
      <c r="D237" s="5" t="n">
        <v>8</v>
      </c>
    </row>
    <row r="238" customFormat="false" ht="82.05" hidden="false" customHeight="false" outlineLevel="0" collapsed="false">
      <c r="A238" s="4" t="s">
        <v>664</v>
      </c>
      <c r="B238" s="4" t="s">
        <v>664</v>
      </c>
      <c r="C238" s="4" t="s">
        <v>665</v>
      </c>
      <c r="D238" s="5" t="n">
        <v>8</v>
      </c>
    </row>
    <row r="239" customFormat="false" ht="82.05" hidden="false" customHeight="false" outlineLevel="0" collapsed="false">
      <c r="A239" s="4" t="s">
        <v>666</v>
      </c>
      <c r="B239" s="4" t="s">
        <v>666</v>
      </c>
      <c r="C239" s="4" t="s">
        <v>667</v>
      </c>
      <c r="D239" s="5" t="n">
        <v>10</v>
      </c>
    </row>
    <row r="240" customFormat="false" ht="82.05" hidden="false" customHeight="false" outlineLevel="0" collapsed="false">
      <c r="A240" s="4" t="s">
        <v>668</v>
      </c>
      <c r="B240" s="4" t="s">
        <v>668</v>
      </c>
      <c r="C240" s="4" t="s">
        <v>669</v>
      </c>
      <c r="D240" s="5" t="n">
        <v>10</v>
      </c>
    </row>
    <row r="241" customFormat="false" ht="82.05" hidden="false" customHeight="false" outlineLevel="0" collapsed="false">
      <c r="A241" s="4" t="s">
        <v>670</v>
      </c>
      <c r="B241" s="4" t="s">
        <v>670</v>
      </c>
      <c r="C241" s="4" t="s">
        <v>671</v>
      </c>
      <c r="D241" s="5" t="n">
        <v>67</v>
      </c>
    </row>
    <row r="242" customFormat="false" ht="68.65" hidden="false" customHeight="false" outlineLevel="0" collapsed="false">
      <c r="A242" s="4" t="s">
        <v>672</v>
      </c>
      <c r="B242" s="4" t="s">
        <v>672</v>
      </c>
      <c r="C242" s="4" t="s">
        <v>673</v>
      </c>
      <c r="D242" s="5" t="n">
        <v>0</v>
      </c>
    </row>
    <row r="243" customFormat="false" ht="68.65" hidden="false" customHeight="false" outlineLevel="0" collapsed="false">
      <c r="A243" s="4" t="s">
        <v>674</v>
      </c>
      <c r="B243" s="4" t="s">
        <v>674</v>
      </c>
      <c r="C243" s="4" t="s">
        <v>675</v>
      </c>
      <c r="D243" s="5" t="n">
        <v>0</v>
      </c>
    </row>
    <row r="244" customFormat="false" ht="68.65" hidden="false" customHeight="false" outlineLevel="0" collapsed="false">
      <c r="A244" s="4" t="s">
        <v>676</v>
      </c>
      <c r="B244" s="4" t="s">
        <v>676</v>
      </c>
      <c r="C244" s="4" t="s">
        <v>677</v>
      </c>
      <c r="D244" s="5" t="n">
        <v>0</v>
      </c>
    </row>
    <row r="245" customFormat="false" ht="68.65" hidden="false" customHeight="false" outlineLevel="0" collapsed="false">
      <c r="A245" s="4" t="s">
        <v>678</v>
      </c>
      <c r="B245" s="4" t="s">
        <v>678</v>
      </c>
      <c r="C245" s="4" t="s">
        <v>679</v>
      </c>
      <c r="D245" s="5" t="n">
        <v>0</v>
      </c>
    </row>
    <row r="246" customFormat="false" ht="68.65" hidden="false" customHeight="false" outlineLevel="0" collapsed="false">
      <c r="A246" s="4" t="s">
        <v>680</v>
      </c>
      <c r="B246" s="4" t="s">
        <v>680</v>
      </c>
      <c r="C246" s="4" t="s">
        <v>681</v>
      </c>
      <c r="D246" s="5" t="n">
        <v>0</v>
      </c>
    </row>
    <row r="247" customFormat="false" ht="68.65" hidden="false" customHeight="false" outlineLevel="0" collapsed="false">
      <c r="A247" s="4" t="s">
        <v>682</v>
      </c>
      <c r="B247" s="4" t="s">
        <v>682</v>
      </c>
      <c r="C247" s="4" t="s">
        <v>683</v>
      </c>
      <c r="D247" s="5" t="n">
        <v>0</v>
      </c>
    </row>
    <row r="248" customFormat="false" ht="68.65" hidden="false" customHeight="false" outlineLevel="0" collapsed="false">
      <c r="A248" s="4" t="s">
        <v>684</v>
      </c>
      <c r="B248" s="4" t="s">
        <v>684</v>
      </c>
      <c r="C248" s="4" t="s">
        <v>685</v>
      </c>
      <c r="D248" s="5" t="n">
        <v>0</v>
      </c>
    </row>
    <row r="249" customFormat="false" ht="68.65" hidden="false" customHeight="false" outlineLevel="0" collapsed="false">
      <c r="A249" s="4" t="s">
        <v>686</v>
      </c>
      <c r="B249" s="4" t="s">
        <v>686</v>
      </c>
      <c r="C249" s="4" t="s">
        <v>687</v>
      </c>
      <c r="D249" s="5" t="n">
        <v>0</v>
      </c>
    </row>
    <row r="250" customFormat="false" ht="68.65" hidden="false" customHeight="false" outlineLevel="0" collapsed="false">
      <c r="A250" s="4" t="s">
        <v>688</v>
      </c>
      <c r="B250" s="4" t="s">
        <v>688</v>
      </c>
      <c r="C250" s="4" t="s">
        <v>689</v>
      </c>
      <c r="D250" s="5" t="n">
        <v>0</v>
      </c>
    </row>
    <row r="251" customFormat="false" ht="68.65" hidden="false" customHeight="false" outlineLevel="0" collapsed="false">
      <c r="A251" s="4" t="s">
        <v>690</v>
      </c>
      <c r="B251" s="4" t="s">
        <v>690</v>
      </c>
      <c r="C251" s="4" t="s">
        <v>691</v>
      </c>
      <c r="D251" s="5" t="n">
        <v>0</v>
      </c>
    </row>
    <row r="252" customFormat="false" ht="68.65" hidden="false" customHeight="false" outlineLevel="0" collapsed="false">
      <c r="A252" s="4" t="s">
        <v>692</v>
      </c>
      <c r="B252" s="4" t="s">
        <v>692</v>
      </c>
      <c r="C252" s="4" t="s">
        <v>693</v>
      </c>
      <c r="D252" s="5" t="n">
        <v>0</v>
      </c>
    </row>
    <row r="253" customFormat="false" ht="68.65" hidden="false" customHeight="false" outlineLevel="0" collapsed="false">
      <c r="A253" s="4" t="s">
        <v>694</v>
      </c>
      <c r="B253" s="4" t="s">
        <v>694</v>
      </c>
      <c r="C253" s="4" t="s">
        <v>695</v>
      </c>
      <c r="D253" s="5" t="n">
        <v>0</v>
      </c>
    </row>
    <row r="254" customFormat="false" ht="68.65" hidden="false" customHeight="false" outlineLevel="0" collapsed="false">
      <c r="A254" s="4" t="s">
        <v>696</v>
      </c>
      <c r="B254" s="4" t="s">
        <v>696</v>
      </c>
      <c r="C254" s="4" t="s">
        <v>697</v>
      </c>
      <c r="D254" s="5" t="n">
        <v>0</v>
      </c>
    </row>
    <row r="255" customFormat="false" ht="68.65" hidden="false" customHeight="false" outlineLevel="0" collapsed="false">
      <c r="A255" s="4" t="s">
        <v>698</v>
      </c>
      <c r="B255" s="4" t="s">
        <v>698</v>
      </c>
      <c r="C255" s="4" t="s">
        <v>699</v>
      </c>
      <c r="D255" s="5" t="n">
        <v>0</v>
      </c>
    </row>
    <row r="256" customFormat="false" ht="68.65" hidden="false" customHeight="false" outlineLevel="0" collapsed="false">
      <c r="A256" s="4" t="s">
        <v>700</v>
      </c>
      <c r="B256" s="4" t="s">
        <v>700</v>
      </c>
      <c r="C256" s="4" t="s">
        <v>701</v>
      </c>
      <c r="D256" s="5" t="n">
        <v>0</v>
      </c>
    </row>
    <row r="257" customFormat="false" ht="68.65" hidden="false" customHeight="false" outlineLevel="0" collapsed="false">
      <c r="A257" s="4" t="s">
        <v>702</v>
      </c>
      <c r="B257" s="4" t="s">
        <v>702</v>
      </c>
      <c r="C257" s="4" t="s">
        <v>703</v>
      </c>
      <c r="D257" s="5" t="n">
        <v>0</v>
      </c>
    </row>
    <row r="258" customFormat="false" ht="68.65" hidden="false" customHeight="false" outlineLevel="0" collapsed="false">
      <c r="A258" s="4" t="s">
        <v>704</v>
      </c>
      <c r="B258" s="4" t="s">
        <v>704</v>
      </c>
      <c r="C258" s="4" t="s">
        <v>705</v>
      </c>
      <c r="D258" s="5" t="n">
        <v>0</v>
      </c>
    </row>
    <row r="259" customFormat="false" ht="15" hidden="false" customHeight="false" outlineLevel="0" collapsed="false">
      <c r="A259" s="4" t="s">
        <v>706</v>
      </c>
      <c r="B259" s="4" t="s">
        <v>706</v>
      </c>
      <c r="C259" s="4" t="s">
        <v>707</v>
      </c>
      <c r="D259" s="5" t="n">
        <v>0</v>
      </c>
    </row>
    <row r="260" customFormat="false" ht="15" hidden="false" customHeight="false" outlineLevel="0" collapsed="false">
      <c r="A260" s="4" t="s">
        <v>708</v>
      </c>
      <c r="B260" s="4" t="s">
        <v>708</v>
      </c>
      <c r="C260" s="4" t="s">
        <v>709</v>
      </c>
      <c r="D260" s="5" t="n">
        <v>9</v>
      </c>
    </row>
    <row r="261" customFormat="false" ht="15" hidden="false" customHeight="false" outlineLevel="0" collapsed="false">
      <c r="A261" s="4" t="s">
        <v>710</v>
      </c>
      <c r="B261" s="4" t="s">
        <v>710</v>
      </c>
      <c r="C261" s="4" t="s">
        <v>711</v>
      </c>
      <c r="D261" s="5" t="n">
        <v>9</v>
      </c>
    </row>
    <row r="262" customFormat="false" ht="15" hidden="false" customHeight="false" outlineLevel="0" collapsed="false">
      <c r="A262" s="4" t="s">
        <v>712</v>
      </c>
      <c r="B262" s="4" t="s">
        <v>712</v>
      </c>
      <c r="C262" s="4" t="s">
        <v>713</v>
      </c>
      <c r="D262" s="5" t="n">
        <v>0</v>
      </c>
    </row>
    <row r="263" customFormat="false" ht="15" hidden="false" customHeight="false" outlineLevel="0" collapsed="false">
      <c r="A263" s="4" t="s">
        <v>714</v>
      </c>
      <c r="B263" s="4" t="s">
        <v>714</v>
      </c>
      <c r="C263" s="4" t="s">
        <v>715</v>
      </c>
      <c r="D263" s="5" t="n">
        <v>20</v>
      </c>
    </row>
    <row r="264" customFormat="false" ht="15" hidden="false" customHeight="false" outlineLevel="0" collapsed="false">
      <c r="A264" s="4" t="s">
        <v>716</v>
      </c>
      <c r="B264" s="4" t="s">
        <v>716</v>
      </c>
      <c r="C264" s="4" t="s">
        <v>717</v>
      </c>
      <c r="D264" s="5" t="n">
        <v>8</v>
      </c>
    </row>
    <row r="265" customFormat="false" ht="15" hidden="false" customHeight="false" outlineLevel="0" collapsed="false">
      <c r="A265" s="4" t="s">
        <v>718</v>
      </c>
      <c r="B265" s="4" t="s">
        <v>718</v>
      </c>
      <c r="C265" s="4" t="s">
        <v>719</v>
      </c>
      <c r="D265" s="5" t="n">
        <v>0</v>
      </c>
    </row>
    <row r="266" customFormat="false" ht="15" hidden="false" customHeight="false" outlineLevel="0" collapsed="false">
      <c r="A266" s="4" t="s">
        <v>720</v>
      </c>
      <c r="B266" s="4" t="s">
        <v>720</v>
      </c>
      <c r="C266" s="4" t="s">
        <v>721</v>
      </c>
      <c r="D266" s="5" t="n">
        <v>22</v>
      </c>
    </row>
    <row r="267" customFormat="false" ht="15" hidden="false" customHeight="false" outlineLevel="0" collapsed="false">
      <c r="A267" s="4" t="s">
        <v>722</v>
      </c>
      <c r="B267" s="4" t="s">
        <v>722</v>
      </c>
      <c r="C267" s="4" t="s">
        <v>723</v>
      </c>
      <c r="D267" s="5" t="n">
        <v>14</v>
      </c>
    </row>
    <row r="268" customFormat="false" ht="15" hidden="false" customHeight="false" outlineLevel="0" collapsed="false">
      <c r="A268" s="4" t="s">
        <v>724</v>
      </c>
      <c r="B268" s="4" t="s">
        <v>724</v>
      </c>
      <c r="C268" s="4" t="s">
        <v>725</v>
      </c>
      <c r="D268" s="5" t="n">
        <v>20</v>
      </c>
    </row>
    <row r="269" customFormat="false" ht="15" hidden="false" customHeight="false" outlineLevel="0" collapsed="false">
      <c r="A269" s="4" t="s">
        <v>726</v>
      </c>
      <c r="B269" s="4" t="s">
        <v>726</v>
      </c>
      <c r="C269" s="4" t="s">
        <v>727</v>
      </c>
      <c r="D269" s="5" t="n">
        <v>18</v>
      </c>
    </row>
    <row r="270" customFormat="false" ht="15" hidden="false" customHeight="false" outlineLevel="0" collapsed="false">
      <c r="A270" s="4" t="s">
        <v>728</v>
      </c>
      <c r="B270" s="4" t="s">
        <v>728</v>
      </c>
      <c r="C270" s="4" t="s">
        <v>729</v>
      </c>
      <c r="D270" s="5" t="n">
        <v>22</v>
      </c>
    </row>
    <row r="271" customFormat="false" ht="15" hidden="false" customHeight="false" outlineLevel="0" collapsed="false">
      <c r="A271" s="4" t="s">
        <v>730</v>
      </c>
      <c r="B271" s="4" t="s">
        <v>730</v>
      </c>
      <c r="C271" s="4" t="s">
        <v>731</v>
      </c>
      <c r="D271" s="5" t="n">
        <v>28</v>
      </c>
    </row>
    <row r="272" customFormat="false" ht="15" hidden="false" customHeight="false" outlineLevel="0" collapsed="false">
      <c r="A272" s="4" t="s">
        <v>732</v>
      </c>
      <c r="B272" s="4" t="s">
        <v>732</v>
      </c>
      <c r="C272" s="4" t="s">
        <v>733</v>
      </c>
      <c r="D272" s="5" t="n">
        <v>28</v>
      </c>
    </row>
    <row r="273" customFormat="false" ht="15" hidden="false" customHeight="false" outlineLevel="0" collapsed="false">
      <c r="A273" s="4" t="s">
        <v>734</v>
      </c>
      <c r="B273" s="4" t="s">
        <v>734</v>
      </c>
      <c r="C273" s="4" t="s">
        <v>735</v>
      </c>
      <c r="D273" s="5" t="n">
        <v>34</v>
      </c>
    </row>
    <row r="274" customFormat="false" ht="15" hidden="false" customHeight="false" outlineLevel="0" collapsed="false">
      <c r="A274" s="4" t="s">
        <v>736</v>
      </c>
      <c r="B274" s="4" t="s">
        <v>736</v>
      </c>
      <c r="C274" s="4" t="s">
        <v>737</v>
      </c>
      <c r="D274" s="5" t="n">
        <v>36</v>
      </c>
    </row>
    <row r="275" customFormat="false" ht="15" hidden="false" customHeight="false" outlineLevel="0" collapsed="false">
      <c r="A275" s="4" t="s">
        <v>738</v>
      </c>
      <c r="B275" s="4" t="s">
        <v>738</v>
      </c>
      <c r="C275" s="4" t="s">
        <v>739</v>
      </c>
      <c r="D275" s="5" t="n">
        <v>250</v>
      </c>
    </row>
    <row r="276" customFormat="false" ht="15" hidden="false" customHeight="false" outlineLevel="0" collapsed="false">
      <c r="A276" s="4" t="s">
        <v>740</v>
      </c>
      <c r="B276" s="4" t="s">
        <v>740</v>
      </c>
      <c r="C276" s="4" t="s">
        <v>741</v>
      </c>
      <c r="D276" s="5" t="n">
        <v>0</v>
      </c>
    </row>
    <row r="277" customFormat="false" ht="15" hidden="false" customHeight="false" outlineLevel="0" collapsed="false">
      <c r="A277" s="4" t="s">
        <v>742</v>
      </c>
      <c r="B277" s="4" t="s">
        <v>742</v>
      </c>
      <c r="C277" s="4" t="s">
        <v>743</v>
      </c>
      <c r="D277" s="5" t="n">
        <v>35</v>
      </c>
    </row>
    <row r="278" customFormat="false" ht="15" hidden="false" customHeight="false" outlineLevel="0" collapsed="false">
      <c r="A278" s="4" t="s">
        <v>744</v>
      </c>
      <c r="B278" s="4" t="s">
        <v>744</v>
      </c>
      <c r="C278" s="4" t="s">
        <v>745</v>
      </c>
      <c r="D278" s="5" t="n">
        <v>32</v>
      </c>
    </row>
    <row r="279" customFormat="false" ht="15" hidden="false" customHeight="false" outlineLevel="0" collapsed="false">
      <c r="A279" s="4" t="s">
        <v>746</v>
      </c>
      <c r="B279" s="4" t="s">
        <v>746</v>
      </c>
      <c r="C279" s="4" t="s">
        <v>747</v>
      </c>
      <c r="D279" s="5" t="n">
        <v>0</v>
      </c>
    </row>
    <row r="280" customFormat="false" ht="15" hidden="false" customHeight="false" outlineLevel="0" collapsed="false">
      <c r="A280" s="4" t="s">
        <v>748</v>
      </c>
      <c r="B280" s="4" t="s">
        <v>748</v>
      </c>
      <c r="C280" s="4" t="s">
        <v>749</v>
      </c>
      <c r="D280" s="5" t="n">
        <v>60</v>
      </c>
    </row>
    <row r="281" customFormat="false" ht="15" hidden="false" customHeight="false" outlineLevel="0" collapsed="false">
      <c r="A281" s="4" t="s">
        <v>750</v>
      </c>
      <c r="B281" s="4" t="s">
        <v>750</v>
      </c>
      <c r="C281" s="4" t="s">
        <v>751</v>
      </c>
      <c r="D281" s="5" t="n">
        <v>24</v>
      </c>
    </row>
    <row r="282" customFormat="false" ht="15" hidden="false" customHeight="false" outlineLevel="0" collapsed="false">
      <c r="A282" s="4" t="s">
        <v>752</v>
      </c>
      <c r="B282" s="4" t="s">
        <v>752</v>
      </c>
      <c r="C282" s="4" t="s">
        <v>753</v>
      </c>
      <c r="D282" s="5" t="n">
        <v>0</v>
      </c>
    </row>
    <row r="283" customFormat="false" ht="15" hidden="false" customHeight="false" outlineLevel="0" collapsed="false">
      <c r="A283" s="4" t="s">
        <v>754</v>
      </c>
      <c r="B283" s="4" t="s">
        <v>754</v>
      </c>
      <c r="C283" s="4" t="s">
        <v>755</v>
      </c>
      <c r="D283" s="5" t="n">
        <v>86</v>
      </c>
    </row>
    <row r="284" customFormat="false" ht="15" hidden="false" customHeight="false" outlineLevel="0" collapsed="false">
      <c r="A284" s="4" t="s">
        <v>756</v>
      </c>
      <c r="B284" s="4" t="s">
        <v>756</v>
      </c>
      <c r="C284" s="4" t="s">
        <v>757</v>
      </c>
      <c r="D284" s="5" t="n">
        <v>61</v>
      </c>
    </row>
    <row r="285" customFormat="false" ht="15" hidden="false" customHeight="false" outlineLevel="0" collapsed="false">
      <c r="A285" s="4" t="s">
        <v>758</v>
      </c>
      <c r="B285" s="4" t="s">
        <v>758</v>
      </c>
      <c r="C285" s="4" t="s">
        <v>759</v>
      </c>
      <c r="D285" s="5" t="n">
        <v>98</v>
      </c>
    </row>
    <row r="286" customFormat="false" ht="15" hidden="false" customHeight="false" outlineLevel="0" collapsed="false">
      <c r="A286" s="4" t="s">
        <v>760</v>
      </c>
      <c r="B286" s="4" t="s">
        <v>760</v>
      </c>
      <c r="C286" s="4" t="s">
        <v>761</v>
      </c>
      <c r="D286" s="5" t="n">
        <v>73</v>
      </c>
    </row>
    <row r="287" customFormat="false" ht="15" hidden="false" customHeight="false" outlineLevel="0" collapsed="false">
      <c r="A287" s="4" t="s">
        <v>762</v>
      </c>
      <c r="B287" s="4" t="s">
        <v>762</v>
      </c>
      <c r="C287" s="4" t="s">
        <v>763</v>
      </c>
      <c r="D287" s="5" t="n">
        <v>85</v>
      </c>
    </row>
    <row r="288" customFormat="false" ht="15" hidden="false" customHeight="false" outlineLevel="0" collapsed="false">
      <c r="A288" s="4" t="s">
        <v>764</v>
      </c>
      <c r="B288" s="4" t="s">
        <v>764</v>
      </c>
      <c r="C288" s="4" t="s">
        <v>765</v>
      </c>
      <c r="D288" s="5" t="n">
        <v>122</v>
      </c>
    </row>
    <row r="289" customFormat="false" ht="15" hidden="false" customHeight="false" outlineLevel="0" collapsed="false">
      <c r="A289" s="4" t="s">
        <v>766</v>
      </c>
      <c r="B289" s="4" t="s">
        <v>766</v>
      </c>
      <c r="C289" s="4" t="s">
        <v>767</v>
      </c>
      <c r="D289" s="5" t="n">
        <v>122</v>
      </c>
    </row>
    <row r="290" customFormat="false" ht="15" hidden="false" customHeight="false" outlineLevel="0" collapsed="false">
      <c r="A290" s="4" t="s">
        <v>768</v>
      </c>
      <c r="B290" s="4" t="s">
        <v>768</v>
      </c>
      <c r="C290" s="4" t="s">
        <v>769</v>
      </c>
      <c r="D290" s="5" t="n">
        <v>159</v>
      </c>
    </row>
    <row r="291" customFormat="false" ht="15" hidden="false" customHeight="false" outlineLevel="0" collapsed="false">
      <c r="A291" s="4" t="s">
        <v>770</v>
      </c>
      <c r="B291" s="4" t="s">
        <v>770</v>
      </c>
      <c r="C291" s="4" t="s">
        <v>771</v>
      </c>
      <c r="D291" s="5" t="n">
        <v>146</v>
      </c>
    </row>
    <row r="292" customFormat="false" ht="15" hidden="false" customHeight="false" outlineLevel="0" collapsed="false">
      <c r="A292" s="4" t="s">
        <v>772</v>
      </c>
      <c r="B292" s="4" t="s">
        <v>772</v>
      </c>
      <c r="C292" s="4" t="s">
        <v>773</v>
      </c>
      <c r="D292" s="5" t="n">
        <v>1036</v>
      </c>
    </row>
    <row r="293" customFormat="false" ht="15" hidden="false" customHeight="false" outlineLevel="0" collapsed="false">
      <c r="A293" s="4" t="s">
        <v>774</v>
      </c>
      <c r="B293" s="4" t="s">
        <v>774</v>
      </c>
      <c r="C293" s="4" t="s">
        <v>775</v>
      </c>
      <c r="D293" s="5" t="n">
        <v>0</v>
      </c>
    </row>
    <row r="294" customFormat="false" ht="15" hidden="false" customHeight="false" outlineLevel="0" collapsed="false">
      <c r="A294" s="4" t="s">
        <v>776</v>
      </c>
      <c r="B294" s="4" t="s">
        <v>776</v>
      </c>
      <c r="C294" s="4" t="s">
        <v>777</v>
      </c>
      <c r="D294" s="5" t="n">
        <v>0</v>
      </c>
    </row>
    <row r="295" customFormat="false" ht="15" hidden="false" customHeight="false" outlineLevel="0" collapsed="false">
      <c r="A295" s="4" t="s">
        <v>778</v>
      </c>
      <c r="B295" s="4" t="s">
        <v>778</v>
      </c>
      <c r="C295" s="4" t="s">
        <v>779</v>
      </c>
      <c r="D295" s="5" t="n">
        <v>0</v>
      </c>
    </row>
    <row r="296" customFormat="false" ht="15" hidden="false" customHeight="false" outlineLevel="0" collapsed="false">
      <c r="A296" s="4" t="s">
        <v>780</v>
      </c>
      <c r="B296" s="4" t="s">
        <v>780</v>
      </c>
      <c r="C296" s="4" t="s">
        <v>781</v>
      </c>
      <c r="D296" s="5" t="n">
        <v>0</v>
      </c>
    </row>
    <row r="297" customFormat="false" ht="15" hidden="false" customHeight="false" outlineLevel="0" collapsed="false">
      <c r="A297" s="4" t="s">
        <v>782</v>
      </c>
      <c r="B297" s="4" t="s">
        <v>782</v>
      </c>
      <c r="C297" s="4" t="s">
        <v>783</v>
      </c>
      <c r="D297" s="5" t="n">
        <v>0</v>
      </c>
    </row>
    <row r="298" customFormat="false" ht="15" hidden="false" customHeight="false" outlineLevel="0" collapsed="false">
      <c r="A298" s="4" t="s">
        <v>784</v>
      </c>
      <c r="B298" s="4" t="s">
        <v>784</v>
      </c>
      <c r="C298" s="4" t="s">
        <v>785</v>
      </c>
      <c r="D298" s="5" t="n">
        <v>0</v>
      </c>
    </row>
    <row r="299" customFormat="false" ht="15" hidden="false" customHeight="false" outlineLevel="0" collapsed="false">
      <c r="A299" s="4" t="s">
        <v>786</v>
      </c>
      <c r="B299" s="4" t="s">
        <v>786</v>
      </c>
      <c r="C299" s="4" t="s">
        <v>787</v>
      </c>
      <c r="D299" s="5" t="n">
        <v>0</v>
      </c>
    </row>
    <row r="300" customFormat="false" ht="15" hidden="false" customHeight="false" outlineLevel="0" collapsed="false">
      <c r="A300" s="4" t="s">
        <v>788</v>
      </c>
      <c r="B300" s="4" t="s">
        <v>788</v>
      </c>
      <c r="C300" s="4" t="s">
        <v>789</v>
      </c>
      <c r="D300" s="5" t="n">
        <v>0</v>
      </c>
    </row>
    <row r="301" customFormat="false" ht="15" hidden="false" customHeight="false" outlineLevel="0" collapsed="false">
      <c r="A301" s="4" t="s">
        <v>790</v>
      </c>
      <c r="B301" s="4" t="s">
        <v>790</v>
      </c>
      <c r="C301" s="4" t="s">
        <v>791</v>
      </c>
      <c r="D301" s="5" t="n">
        <v>0</v>
      </c>
    </row>
    <row r="302" customFormat="false" ht="15" hidden="false" customHeight="false" outlineLevel="0" collapsed="false">
      <c r="A302" s="4" t="s">
        <v>792</v>
      </c>
      <c r="B302" s="4" t="s">
        <v>792</v>
      </c>
      <c r="C302" s="4" t="s">
        <v>793</v>
      </c>
      <c r="D302" s="5" t="n">
        <v>0</v>
      </c>
    </row>
    <row r="303" customFormat="false" ht="15" hidden="false" customHeight="false" outlineLevel="0" collapsed="false">
      <c r="A303" s="4" t="s">
        <v>794</v>
      </c>
      <c r="B303" s="4" t="s">
        <v>794</v>
      </c>
      <c r="C303" s="4" t="s">
        <v>795</v>
      </c>
      <c r="D303" s="5" t="n">
        <v>0</v>
      </c>
    </row>
    <row r="304" customFormat="false" ht="15" hidden="false" customHeight="false" outlineLevel="0" collapsed="false">
      <c r="A304" s="4" t="s">
        <v>796</v>
      </c>
      <c r="B304" s="4" t="s">
        <v>796</v>
      </c>
      <c r="C304" s="4" t="s">
        <v>797</v>
      </c>
      <c r="D304" s="5" t="n">
        <v>0</v>
      </c>
    </row>
    <row r="305" customFormat="false" ht="15" hidden="false" customHeight="false" outlineLevel="0" collapsed="false">
      <c r="A305" s="4" t="s">
        <v>798</v>
      </c>
      <c r="B305" s="4" t="s">
        <v>798</v>
      </c>
      <c r="C305" s="4" t="s">
        <v>799</v>
      </c>
      <c r="D305" s="5" t="n">
        <v>0</v>
      </c>
    </row>
    <row r="306" customFormat="false" ht="15" hidden="false" customHeight="false" outlineLevel="0" collapsed="false">
      <c r="A306" s="4" t="s">
        <v>800</v>
      </c>
      <c r="B306" s="4" t="s">
        <v>800</v>
      </c>
      <c r="C306" s="4" t="s">
        <v>801</v>
      </c>
      <c r="D306" s="5" t="n">
        <v>0</v>
      </c>
    </row>
    <row r="307" customFormat="false" ht="15" hidden="false" customHeight="false" outlineLevel="0" collapsed="false">
      <c r="A307" s="4" t="s">
        <v>802</v>
      </c>
      <c r="B307" s="4" t="s">
        <v>802</v>
      </c>
      <c r="C307" s="4" t="s">
        <v>803</v>
      </c>
      <c r="D307" s="5" t="n">
        <v>0</v>
      </c>
    </row>
    <row r="308" customFormat="false" ht="15" hidden="false" customHeight="false" outlineLevel="0" collapsed="false">
      <c r="A308" s="4" t="s">
        <v>804</v>
      </c>
      <c r="B308" s="4" t="s">
        <v>804</v>
      </c>
      <c r="C308" s="4" t="s">
        <v>805</v>
      </c>
      <c r="D308" s="5" t="n">
        <v>0</v>
      </c>
    </row>
    <row r="309" customFormat="false" ht="15" hidden="false" customHeight="false" outlineLevel="0" collapsed="false">
      <c r="A309" s="4" t="s">
        <v>806</v>
      </c>
      <c r="B309" s="4" t="s">
        <v>806</v>
      </c>
      <c r="C309" s="4" t="s">
        <v>807</v>
      </c>
      <c r="D309" s="5" t="n">
        <v>0</v>
      </c>
    </row>
    <row r="310" customFormat="false" ht="15" hidden="false" customHeight="false" outlineLevel="0" collapsed="false">
      <c r="A310" s="4" t="s">
        <v>808</v>
      </c>
      <c r="B310" s="4" t="s">
        <v>808</v>
      </c>
      <c r="C310" s="4" t="s">
        <v>809</v>
      </c>
      <c r="D310" s="5" t="n">
        <v>9</v>
      </c>
    </row>
    <row r="311" customFormat="false" ht="15" hidden="false" customHeight="false" outlineLevel="0" collapsed="false">
      <c r="A311" s="4" t="s">
        <v>810</v>
      </c>
      <c r="B311" s="4" t="s">
        <v>810</v>
      </c>
      <c r="C311" s="4" t="s">
        <v>811</v>
      </c>
      <c r="D311" s="5" t="n">
        <v>0</v>
      </c>
    </row>
    <row r="312" customFormat="false" ht="15" hidden="false" customHeight="false" outlineLevel="0" collapsed="false">
      <c r="A312" s="4" t="s">
        <v>812</v>
      </c>
      <c r="B312" s="4" t="s">
        <v>812</v>
      </c>
      <c r="C312" s="4" t="s">
        <v>813</v>
      </c>
      <c r="D312" s="5" t="n">
        <v>20</v>
      </c>
    </row>
    <row r="313" customFormat="false" ht="15" hidden="false" customHeight="false" outlineLevel="0" collapsed="false">
      <c r="A313" s="4" t="s">
        <v>814</v>
      </c>
      <c r="B313" s="4" t="s">
        <v>814</v>
      </c>
      <c r="C313" s="4" t="s">
        <v>815</v>
      </c>
      <c r="D313" s="5" t="n">
        <v>8</v>
      </c>
    </row>
    <row r="314" customFormat="false" ht="15" hidden="false" customHeight="false" outlineLevel="0" collapsed="false">
      <c r="A314" s="4" t="s">
        <v>816</v>
      </c>
      <c r="B314" s="4" t="s">
        <v>816</v>
      </c>
      <c r="C314" s="4" t="s">
        <v>817</v>
      </c>
      <c r="D314" s="5" t="n">
        <v>0</v>
      </c>
    </row>
    <row r="315" customFormat="false" ht="15" hidden="false" customHeight="false" outlineLevel="0" collapsed="false">
      <c r="A315" s="4" t="s">
        <v>818</v>
      </c>
      <c r="B315" s="4" t="s">
        <v>818</v>
      </c>
      <c r="C315" s="4" t="s">
        <v>819</v>
      </c>
      <c r="D315" s="5" t="n">
        <v>22</v>
      </c>
    </row>
    <row r="316" customFormat="false" ht="15" hidden="false" customHeight="false" outlineLevel="0" collapsed="false">
      <c r="A316" s="4" t="s">
        <v>820</v>
      </c>
      <c r="B316" s="4" t="s">
        <v>820</v>
      </c>
      <c r="C316" s="4" t="s">
        <v>821</v>
      </c>
      <c r="D316" s="5" t="n">
        <v>14</v>
      </c>
    </row>
    <row r="317" customFormat="false" ht="15" hidden="false" customHeight="false" outlineLevel="0" collapsed="false">
      <c r="A317" s="4" t="s">
        <v>822</v>
      </c>
      <c r="B317" s="4" t="s">
        <v>822</v>
      </c>
      <c r="C317" s="4" t="s">
        <v>823</v>
      </c>
      <c r="D317" s="5" t="n">
        <v>20</v>
      </c>
    </row>
    <row r="318" customFormat="false" ht="15" hidden="false" customHeight="false" outlineLevel="0" collapsed="false">
      <c r="A318" s="4" t="s">
        <v>824</v>
      </c>
      <c r="B318" s="4" t="s">
        <v>824</v>
      </c>
      <c r="C318" s="4" t="s">
        <v>825</v>
      </c>
      <c r="D318" s="5" t="n">
        <v>18</v>
      </c>
    </row>
    <row r="319" customFormat="false" ht="15" hidden="false" customHeight="false" outlineLevel="0" collapsed="false">
      <c r="A319" s="4" t="s">
        <v>826</v>
      </c>
      <c r="B319" s="4" t="s">
        <v>826</v>
      </c>
      <c r="C319" s="4" t="s">
        <v>827</v>
      </c>
      <c r="D319" s="5" t="n">
        <v>22</v>
      </c>
    </row>
    <row r="320" customFormat="false" ht="15" hidden="false" customHeight="false" outlineLevel="0" collapsed="false">
      <c r="A320" s="4" t="s">
        <v>828</v>
      </c>
      <c r="B320" s="4" t="s">
        <v>828</v>
      </c>
      <c r="C320" s="4" t="s">
        <v>829</v>
      </c>
      <c r="D320" s="5" t="n">
        <v>28</v>
      </c>
    </row>
    <row r="321" customFormat="false" ht="15" hidden="false" customHeight="false" outlineLevel="0" collapsed="false">
      <c r="A321" s="4" t="s">
        <v>830</v>
      </c>
      <c r="B321" s="4" t="s">
        <v>830</v>
      </c>
      <c r="C321" s="4" t="s">
        <v>831</v>
      </c>
      <c r="D321" s="5" t="n">
        <v>28</v>
      </c>
    </row>
    <row r="322" customFormat="false" ht="15" hidden="false" customHeight="false" outlineLevel="0" collapsed="false">
      <c r="A322" s="4" t="s">
        <v>832</v>
      </c>
      <c r="B322" s="4" t="s">
        <v>832</v>
      </c>
      <c r="C322" s="4" t="s">
        <v>833</v>
      </c>
      <c r="D322" s="5" t="n">
        <v>34</v>
      </c>
    </row>
    <row r="323" customFormat="false" ht="15" hidden="false" customHeight="false" outlineLevel="0" collapsed="false">
      <c r="A323" s="4" t="s">
        <v>834</v>
      </c>
      <c r="B323" s="4" t="s">
        <v>834</v>
      </c>
      <c r="C323" s="4" t="s">
        <v>835</v>
      </c>
      <c r="D323" s="5" t="n">
        <v>36</v>
      </c>
    </row>
    <row r="324" customFormat="false" ht="15" hidden="false" customHeight="false" outlineLevel="0" collapsed="false">
      <c r="A324" s="4" t="s">
        <v>836</v>
      </c>
      <c r="B324" s="4" t="s">
        <v>836</v>
      </c>
      <c r="C324" s="4" t="s">
        <v>837</v>
      </c>
      <c r="D324" s="5" t="n">
        <v>42</v>
      </c>
    </row>
    <row r="325" customFormat="false" ht="15" hidden="false" customHeight="false" outlineLevel="0" collapsed="false">
      <c r="A325" s="4" t="s">
        <v>838</v>
      </c>
      <c r="B325" s="4" t="s">
        <v>838</v>
      </c>
      <c r="C325" s="4" t="s">
        <v>839</v>
      </c>
      <c r="D325" s="5" t="n">
        <v>48</v>
      </c>
    </row>
    <row r="326" customFormat="false" ht="15" hidden="false" customHeight="false" outlineLevel="0" collapsed="false">
      <c r="A326" s="4" t="s">
        <v>840</v>
      </c>
      <c r="B326" s="4" t="s">
        <v>840</v>
      </c>
      <c r="C326" s="4" t="s">
        <v>841</v>
      </c>
      <c r="D326" s="5" t="n">
        <v>312</v>
      </c>
    </row>
    <row r="327" customFormat="false" ht="15" hidden="false" customHeight="false" outlineLevel="0" collapsed="false">
      <c r="A327" s="4" t="s">
        <v>842</v>
      </c>
      <c r="B327" s="4" t="s">
        <v>842</v>
      </c>
      <c r="C327" s="4" t="s">
        <v>843</v>
      </c>
      <c r="D327" s="5" t="n">
        <v>32</v>
      </c>
    </row>
    <row r="328" customFormat="false" ht="15" hidden="false" customHeight="false" outlineLevel="0" collapsed="false">
      <c r="A328" s="4" t="s">
        <v>844</v>
      </c>
      <c r="B328" s="4" t="s">
        <v>844</v>
      </c>
      <c r="C328" s="4" t="s">
        <v>845</v>
      </c>
      <c r="D328" s="5" t="n">
        <v>0</v>
      </c>
    </row>
    <row r="329" customFormat="false" ht="15" hidden="false" customHeight="false" outlineLevel="0" collapsed="false">
      <c r="A329" s="4" t="s">
        <v>846</v>
      </c>
      <c r="B329" s="4" t="s">
        <v>846</v>
      </c>
      <c r="C329" s="4" t="s">
        <v>847</v>
      </c>
      <c r="D329" s="5" t="n">
        <v>60</v>
      </c>
    </row>
    <row r="330" customFormat="false" ht="15" hidden="false" customHeight="false" outlineLevel="0" collapsed="false">
      <c r="A330" s="4" t="s">
        <v>848</v>
      </c>
      <c r="B330" s="4" t="s">
        <v>848</v>
      </c>
      <c r="C330" s="4" t="s">
        <v>849</v>
      </c>
      <c r="D330" s="5" t="n">
        <v>24</v>
      </c>
    </row>
    <row r="331" customFormat="false" ht="15" hidden="false" customHeight="false" outlineLevel="0" collapsed="false">
      <c r="A331" s="4" t="s">
        <v>850</v>
      </c>
      <c r="B331" s="4" t="s">
        <v>850</v>
      </c>
      <c r="C331" s="4" t="s">
        <v>851</v>
      </c>
      <c r="D331" s="5" t="n">
        <v>0</v>
      </c>
    </row>
    <row r="332" customFormat="false" ht="15" hidden="false" customHeight="false" outlineLevel="0" collapsed="false">
      <c r="A332" s="4" t="s">
        <v>852</v>
      </c>
      <c r="B332" s="4" t="s">
        <v>852</v>
      </c>
      <c r="C332" s="4" t="s">
        <v>853</v>
      </c>
      <c r="D332" s="5" t="n">
        <v>86</v>
      </c>
    </row>
    <row r="333" customFormat="false" ht="15" hidden="false" customHeight="false" outlineLevel="0" collapsed="false">
      <c r="A333" s="4" t="s">
        <v>854</v>
      </c>
      <c r="B333" s="4" t="s">
        <v>854</v>
      </c>
      <c r="C333" s="4" t="s">
        <v>855</v>
      </c>
      <c r="D333" s="5" t="n">
        <v>61</v>
      </c>
    </row>
    <row r="334" customFormat="false" ht="15" hidden="false" customHeight="false" outlineLevel="0" collapsed="false">
      <c r="A334" s="4" t="s">
        <v>856</v>
      </c>
      <c r="B334" s="4" t="s">
        <v>856</v>
      </c>
      <c r="C334" s="4" t="s">
        <v>857</v>
      </c>
      <c r="D334" s="5" t="n">
        <v>98</v>
      </c>
    </row>
    <row r="335" customFormat="false" ht="15" hidden="false" customHeight="false" outlineLevel="0" collapsed="false">
      <c r="A335" s="4" t="s">
        <v>858</v>
      </c>
      <c r="B335" s="4" t="s">
        <v>858</v>
      </c>
      <c r="C335" s="4" t="s">
        <v>859</v>
      </c>
      <c r="D335" s="5" t="n">
        <v>73</v>
      </c>
    </row>
    <row r="336" customFormat="false" ht="15" hidden="false" customHeight="false" outlineLevel="0" collapsed="false">
      <c r="A336" s="4" t="s">
        <v>860</v>
      </c>
      <c r="B336" s="4" t="s">
        <v>860</v>
      </c>
      <c r="C336" s="4" t="s">
        <v>861</v>
      </c>
      <c r="D336" s="5" t="n">
        <v>85</v>
      </c>
    </row>
    <row r="337" customFormat="false" ht="15" hidden="false" customHeight="false" outlineLevel="0" collapsed="false">
      <c r="A337" s="4" t="s">
        <v>862</v>
      </c>
      <c r="B337" s="4" t="s">
        <v>862</v>
      </c>
      <c r="C337" s="4" t="s">
        <v>863</v>
      </c>
      <c r="D337" s="5" t="n">
        <v>122</v>
      </c>
    </row>
    <row r="338" customFormat="false" ht="15" hidden="false" customHeight="false" outlineLevel="0" collapsed="false">
      <c r="A338" s="4" t="s">
        <v>864</v>
      </c>
      <c r="B338" s="4" t="s">
        <v>864</v>
      </c>
      <c r="C338" s="4" t="s">
        <v>865</v>
      </c>
      <c r="D338" s="5" t="n">
        <v>122</v>
      </c>
    </row>
    <row r="339" customFormat="false" ht="15" hidden="false" customHeight="false" outlineLevel="0" collapsed="false">
      <c r="A339" s="4" t="s">
        <v>866</v>
      </c>
      <c r="B339" s="4" t="s">
        <v>866</v>
      </c>
      <c r="C339" s="4" t="s">
        <v>867</v>
      </c>
      <c r="D339" s="5" t="n">
        <v>159</v>
      </c>
    </row>
    <row r="340" customFormat="false" ht="15" hidden="false" customHeight="false" outlineLevel="0" collapsed="false">
      <c r="A340" s="4" t="s">
        <v>868</v>
      </c>
      <c r="B340" s="4" t="s">
        <v>868</v>
      </c>
      <c r="C340" s="4" t="s">
        <v>869</v>
      </c>
      <c r="D340" s="5" t="n">
        <v>146</v>
      </c>
    </row>
    <row r="341" customFormat="false" ht="15" hidden="false" customHeight="false" outlineLevel="0" collapsed="false">
      <c r="A341" s="4" t="s">
        <v>870</v>
      </c>
      <c r="B341" s="4" t="s">
        <v>870</v>
      </c>
      <c r="C341" s="4" t="s">
        <v>871</v>
      </c>
      <c r="D341" s="5" t="n">
        <v>183</v>
      </c>
    </row>
    <row r="342" customFormat="false" ht="15" hidden="false" customHeight="false" outlineLevel="0" collapsed="false">
      <c r="A342" s="4" t="s">
        <v>872</v>
      </c>
      <c r="B342" s="4" t="s">
        <v>872</v>
      </c>
      <c r="C342" s="4" t="s">
        <v>873</v>
      </c>
      <c r="D342" s="5" t="n">
        <v>220</v>
      </c>
    </row>
    <row r="343" customFormat="false" ht="15" hidden="false" customHeight="false" outlineLevel="0" collapsed="false">
      <c r="A343" s="4" t="s">
        <v>874</v>
      </c>
      <c r="B343" s="4" t="s">
        <v>874</v>
      </c>
      <c r="C343" s="4" t="s">
        <v>875</v>
      </c>
      <c r="D343" s="5" t="n">
        <v>1355</v>
      </c>
    </row>
    <row r="344" customFormat="false" ht="15" hidden="false" customHeight="false" outlineLevel="0" collapsed="false">
      <c r="A344" s="4" t="s">
        <v>876</v>
      </c>
      <c r="B344" s="4" t="s">
        <v>876</v>
      </c>
      <c r="C344" s="4" t="s">
        <v>877</v>
      </c>
      <c r="D344" s="5" t="n">
        <v>0</v>
      </c>
    </row>
    <row r="345" customFormat="false" ht="15" hidden="false" customHeight="false" outlineLevel="0" collapsed="false">
      <c r="A345" s="4" t="s">
        <v>878</v>
      </c>
      <c r="B345" s="4" t="s">
        <v>878</v>
      </c>
      <c r="C345" s="4" t="s">
        <v>879</v>
      </c>
      <c r="D345" s="5" t="n">
        <v>0</v>
      </c>
    </row>
    <row r="346" customFormat="false" ht="15" hidden="false" customHeight="false" outlineLevel="0" collapsed="false">
      <c r="A346" s="4" t="s">
        <v>880</v>
      </c>
      <c r="B346" s="4" t="s">
        <v>880</v>
      </c>
      <c r="C346" s="4" t="s">
        <v>881</v>
      </c>
      <c r="D346" s="5" t="n">
        <v>0</v>
      </c>
    </row>
    <row r="347" customFormat="false" ht="15" hidden="false" customHeight="false" outlineLevel="0" collapsed="false">
      <c r="A347" s="4" t="s">
        <v>882</v>
      </c>
      <c r="B347" s="4" t="s">
        <v>882</v>
      </c>
      <c r="C347" s="4" t="s">
        <v>883</v>
      </c>
      <c r="D347" s="5" t="n">
        <v>0</v>
      </c>
    </row>
    <row r="348" customFormat="false" ht="15" hidden="false" customHeight="false" outlineLevel="0" collapsed="false">
      <c r="A348" s="4" t="s">
        <v>884</v>
      </c>
      <c r="B348" s="4" t="s">
        <v>884</v>
      </c>
      <c r="C348" s="4" t="s">
        <v>885</v>
      </c>
      <c r="D348" s="5" t="n">
        <v>0</v>
      </c>
    </row>
    <row r="349" customFormat="false" ht="15" hidden="false" customHeight="false" outlineLevel="0" collapsed="false">
      <c r="A349" s="4" t="s">
        <v>886</v>
      </c>
      <c r="B349" s="4" t="s">
        <v>886</v>
      </c>
      <c r="C349" s="4" t="s">
        <v>887</v>
      </c>
      <c r="D349" s="5" t="n">
        <v>0</v>
      </c>
    </row>
    <row r="350" customFormat="false" ht="15" hidden="false" customHeight="false" outlineLevel="0" collapsed="false">
      <c r="A350" s="4" t="s">
        <v>888</v>
      </c>
      <c r="B350" s="4" t="s">
        <v>888</v>
      </c>
      <c r="C350" s="4" t="s">
        <v>889</v>
      </c>
      <c r="D350" s="5" t="n">
        <v>0</v>
      </c>
    </row>
    <row r="351" customFormat="false" ht="15" hidden="false" customHeight="false" outlineLevel="0" collapsed="false">
      <c r="A351" s="4" t="s">
        <v>890</v>
      </c>
      <c r="B351" s="4" t="s">
        <v>890</v>
      </c>
      <c r="C351" s="4" t="s">
        <v>891</v>
      </c>
      <c r="D351" s="5" t="n">
        <v>0</v>
      </c>
    </row>
    <row r="352" customFormat="false" ht="15" hidden="false" customHeight="false" outlineLevel="0" collapsed="false">
      <c r="A352" s="4" t="s">
        <v>892</v>
      </c>
      <c r="B352" s="4" t="s">
        <v>892</v>
      </c>
      <c r="C352" s="4" t="s">
        <v>893</v>
      </c>
      <c r="D352" s="5" t="n">
        <v>0</v>
      </c>
    </row>
    <row r="353" customFormat="false" ht="15" hidden="false" customHeight="false" outlineLevel="0" collapsed="false">
      <c r="A353" s="4" t="s">
        <v>894</v>
      </c>
      <c r="B353" s="4" t="s">
        <v>894</v>
      </c>
      <c r="C353" s="4" t="s">
        <v>895</v>
      </c>
      <c r="D353" s="5" t="n">
        <v>0</v>
      </c>
    </row>
    <row r="354" customFormat="false" ht="15" hidden="false" customHeight="false" outlineLevel="0" collapsed="false">
      <c r="A354" s="4" t="s">
        <v>896</v>
      </c>
      <c r="B354" s="4" t="s">
        <v>896</v>
      </c>
      <c r="C354" s="4" t="s">
        <v>897</v>
      </c>
      <c r="D354" s="5" t="n">
        <v>0</v>
      </c>
    </row>
    <row r="355" customFormat="false" ht="15" hidden="false" customHeight="false" outlineLevel="0" collapsed="false">
      <c r="A355" s="4" t="s">
        <v>898</v>
      </c>
      <c r="B355" s="4" t="s">
        <v>898</v>
      </c>
      <c r="C355" s="4" t="s">
        <v>899</v>
      </c>
      <c r="D355" s="5" t="n">
        <v>0</v>
      </c>
    </row>
    <row r="356" customFormat="false" ht="15" hidden="false" customHeight="false" outlineLevel="0" collapsed="false">
      <c r="A356" s="4" t="s">
        <v>900</v>
      </c>
      <c r="B356" s="4" t="s">
        <v>900</v>
      </c>
      <c r="C356" s="4" t="s">
        <v>901</v>
      </c>
      <c r="D356" s="5" t="n">
        <v>0</v>
      </c>
    </row>
    <row r="357" customFormat="false" ht="15" hidden="false" customHeight="false" outlineLevel="0" collapsed="false">
      <c r="A357" s="4" t="s">
        <v>902</v>
      </c>
      <c r="B357" s="4" t="s">
        <v>902</v>
      </c>
      <c r="C357" s="4" t="s">
        <v>903</v>
      </c>
      <c r="D357" s="5" t="n">
        <v>0</v>
      </c>
    </row>
    <row r="358" customFormat="false" ht="15" hidden="false" customHeight="false" outlineLevel="0" collapsed="false">
      <c r="A358" s="4" t="s">
        <v>904</v>
      </c>
      <c r="B358" s="4" t="s">
        <v>904</v>
      </c>
      <c r="C358" s="4" t="s">
        <v>905</v>
      </c>
      <c r="D358" s="5" t="n">
        <v>0</v>
      </c>
    </row>
    <row r="359" customFormat="false" ht="15" hidden="false" customHeight="false" outlineLevel="0" collapsed="false">
      <c r="A359" s="4" t="s">
        <v>906</v>
      </c>
      <c r="B359" s="4" t="s">
        <v>906</v>
      </c>
      <c r="C359" s="4" t="s">
        <v>907</v>
      </c>
      <c r="D359" s="5" t="n">
        <v>0</v>
      </c>
    </row>
    <row r="360" customFormat="false" ht="15" hidden="false" customHeight="false" outlineLevel="0" collapsed="false">
      <c r="A360" s="4" t="s">
        <v>908</v>
      </c>
      <c r="B360" s="4" t="s">
        <v>908</v>
      </c>
      <c r="C360" s="4" t="s">
        <v>909</v>
      </c>
      <c r="D360" s="5" t="n">
        <v>0</v>
      </c>
    </row>
    <row r="361" customFormat="false" ht="15" hidden="false" customHeight="false" outlineLevel="0" collapsed="false">
      <c r="A361" s="4" t="s">
        <v>910</v>
      </c>
      <c r="B361" s="4" t="s">
        <v>910</v>
      </c>
      <c r="C361" s="4" t="s">
        <v>911</v>
      </c>
      <c r="D361" s="5" t="n">
        <v>878237.5</v>
      </c>
    </row>
    <row r="362" customFormat="false" ht="15" hidden="false" customHeight="false" outlineLevel="0" collapsed="false">
      <c r="A362" s="4" t="s">
        <v>912</v>
      </c>
      <c r="B362" s="4" t="s">
        <v>912</v>
      </c>
      <c r="C362" s="4" t="s">
        <v>913</v>
      </c>
      <c r="D362" s="5" t="n">
        <v>0</v>
      </c>
    </row>
    <row r="363" customFormat="false" ht="15" hidden="false" customHeight="false" outlineLevel="0" collapsed="false">
      <c r="A363" s="4" t="s">
        <v>914</v>
      </c>
      <c r="B363" s="4" t="s">
        <v>914</v>
      </c>
      <c r="C363" s="4" t="s">
        <v>915</v>
      </c>
      <c r="D363" s="5" t="n">
        <v>1862750</v>
      </c>
    </row>
    <row r="364" customFormat="false" ht="15" hidden="false" customHeight="false" outlineLevel="0" collapsed="false">
      <c r="A364" s="4" t="s">
        <v>916</v>
      </c>
      <c r="B364" s="4" t="s">
        <v>916</v>
      </c>
      <c r="C364" s="4" t="s">
        <v>917</v>
      </c>
      <c r="D364" s="5" t="n">
        <v>745100</v>
      </c>
    </row>
    <row r="365" customFormat="false" ht="15" hidden="false" customHeight="false" outlineLevel="0" collapsed="false">
      <c r="A365" s="4" t="s">
        <v>918</v>
      </c>
      <c r="B365" s="4" t="s">
        <v>918</v>
      </c>
      <c r="C365" s="4" t="s">
        <v>919</v>
      </c>
      <c r="D365" s="5" t="n">
        <v>0</v>
      </c>
    </row>
    <row r="366" customFormat="false" ht="15" hidden="false" customHeight="false" outlineLevel="0" collapsed="false">
      <c r="A366" s="4" t="s">
        <v>920</v>
      </c>
      <c r="B366" s="4" t="s">
        <v>920</v>
      </c>
      <c r="C366" s="4" t="s">
        <v>921</v>
      </c>
      <c r="D366" s="5" t="n">
        <v>2209025</v>
      </c>
    </row>
    <row r="367" customFormat="false" ht="15" hidden="false" customHeight="false" outlineLevel="0" collapsed="false">
      <c r="A367" s="4" t="s">
        <v>922</v>
      </c>
      <c r="B367" s="4" t="s">
        <v>922</v>
      </c>
      <c r="C367" s="4" t="s">
        <v>923</v>
      </c>
      <c r="D367" s="5" t="n">
        <v>1455925</v>
      </c>
    </row>
    <row r="368" customFormat="false" ht="15" hidden="false" customHeight="false" outlineLevel="0" collapsed="false">
      <c r="A368" s="4" t="s">
        <v>924</v>
      </c>
      <c r="B368" s="4" t="s">
        <v>924</v>
      </c>
      <c r="C368" s="4" t="s">
        <v>925</v>
      </c>
      <c r="D368" s="5" t="n">
        <v>2166750</v>
      </c>
    </row>
    <row r="369" customFormat="false" ht="15" hidden="false" customHeight="false" outlineLevel="0" collapsed="false">
      <c r="A369" s="4" t="s">
        <v>926</v>
      </c>
      <c r="B369" s="4" t="s">
        <v>926</v>
      </c>
      <c r="C369" s="4" t="s">
        <v>927</v>
      </c>
      <c r="D369" s="5" t="n">
        <v>1828475</v>
      </c>
    </row>
    <row r="370" customFormat="false" ht="15" hidden="false" customHeight="false" outlineLevel="0" collapsed="false">
      <c r="A370" s="4" t="s">
        <v>928</v>
      </c>
      <c r="B370" s="4" t="s">
        <v>928</v>
      </c>
      <c r="C370" s="4" t="s">
        <v>929</v>
      </c>
      <c r="D370" s="5" t="n">
        <v>2201025</v>
      </c>
    </row>
    <row r="371" customFormat="false" ht="15" hidden="false" customHeight="false" outlineLevel="0" collapsed="false">
      <c r="A371" s="4" t="s">
        <v>930</v>
      </c>
      <c r="B371" s="4" t="s">
        <v>930</v>
      </c>
      <c r="C371" s="4" t="s">
        <v>931</v>
      </c>
      <c r="D371" s="5" t="n">
        <v>2911850</v>
      </c>
    </row>
    <row r="372" customFormat="false" ht="15" hidden="false" customHeight="false" outlineLevel="0" collapsed="false">
      <c r="A372" s="4" t="s">
        <v>932</v>
      </c>
      <c r="B372" s="4" t="s">
        <v>932</v>
      </c>
      <c r="C372" s="4" t="s">
        <v>933</v>
      </c>
      <c r="D372" s="5" t="n">
        <v>2911850</v>
      </c>
    </row>
    <row r="373" customFormat="false" ht="15" hidden="false" customHeight="false" outlineLevel="0" collapsed="false">
      <c r="A373" s="4" t="s">
        <v>934</v>
      </c>
      <c r="B373" s="4" t="s">
        <v>934</v>
      </c>
      <c r="C373" s="4" t="s">
        <v>935</v>
      </c>
      <c r="D373" s="5" t="n">
        <v>3622675</v>
      </c>
    </row>
    <row r="374" customFormat="false" ht="15" hidden="false" customHeight="false" outlineLevel="0" collapsed="false">
      <c r="A374" s="4" t="s">
        <v>936</v>
      </c>
      <c r="B374" s="4" t="s">
        <v>936</v>
      </c>
      <c r="C374" s="4" t="s">
        <v>937</v>
      </c>
      <c r="D374" s="5" t="n">
        <v>3656950</v>
      </c>
    </row>
    <row r="375" customFormat="false" ht="15" hidden="false" customHeight="false" outlineLevel="0" collapsed="false">
      <c r="A375" s="4" t="s">
        <v>938</v>
      </c>
      <c r="B375" s="4" t="s">
        <v>938</v>
      </c>
      <c r="C375" s="4" t="s">
        <v>939</v>
      </c>
      <c r="D375" s="5" t="n">
        <v>4367775</v>
      </c>
    </row>
    <row r="376" customFormat="false" ht="15" hidden="false" customHeight="false" outlineLevel="0" collapsed="false">
      <c r="A376" s="4" t="s">
        <v>940</v>
      </c>
      <c r="B376" s="4" t="s">
        <v>940</v>
      </c>
      <c r="C376" s="4" t="s">
        <v>941</v>
      </c>
      <c r="D376" s="5" t="n">
        <v>5078600</v>
      </c>
    </row>
    <row r="377" customFormat="false" ht="15" hidden="false" customHeight="false" outlineLevel="0" collapsed="false">
      <c r="A377" s="4" t="s">
        <v>942</v>
      </c>
      <c r="B377" s="4" t="s">
        <v>942</v>
      </c>
      <c r="C377" s="4" t="s">
        <v>943</v>
      </c>
      <c r="D377" s="5" t="n">
        <v>32410900</v>
      </c>
    </row>
    <row r="378" customFormat="false" ht="15" hidden="false" customHeight="false" outlineLevel="0" collapsed="false">
      <c r="A378" s="4" t="s">
        <v>944</v>
      </c>
      <c r="B378" s="4" t="s">
        <v>944</v>
      </c>
      <c r="C378" s="4" t="s">
        <v>945</v>
      </c>
      <c r="D378" s="5" t="n">
        <v>0</v>
      </c>
    </row>
    <row r="379" customFormat="false" ht="15" hidden="false" customHeight="false" outlineLevel="0" collapsed="false">
      <c r="A379" s="4" t="s">
        <v>946</v>
      </c>
      <c r="B379" s="4" t="s">
        <v>946</v>
      </c>
      <c r="C379" s="4" t="s">
        <v>947</v>
      </c>
      <c r="D379" s="5" t="n">
        <v>10000</v>
      </c>
    </row>
    <row r="380" customFormat="false" ht="15" hidden="false" customHeight="false" outlineLevel="0" collapsed="false">
      <c r="A380" s="4" t="s">
        <v>948</v>
      </c>
      <c r="B380" s="4" t="s">
        <v>948</v>
      </c>
      <c r="C380" s="4" t="s">
        <v>949</v>
      </c>
      <c r="D380" s="5" t="n">
        <v>10000</v>
      </c>
    </row>
    <row r="381" customFormat="false" ht="15" hidden="false" customHeight="false" outlineLevel="0" collapsed="false">
      <c r="A381" s="4" t="s">
        <v>950</v>
      </c>
      <c r="B381" s="4" t="s">
        <v>950</v>
      </c>
      <c r="C381" s="4" t="s">
        <v>951</v>
      </c>
      <c r="D381" s="5" t="n">
        <v>0</v>
      </c>
    </row>
    <row r="382" customFormat="false" ht="15" hidden="false" customHeight="false" outlineLevel="0" collapsed="false">
      <c r="A382" s="4" t="s">
        <v>952</v>
      </c>
      <c r="B382" s="4" t="s">
        <v>952</v>
      </c>
      <c r="C382" s="4" t="s">
        <v>953</v>
      </c>
      <c r="D382" s="5" t="n">
        <v>15000</v>
      </c>
    </row>
    <row r="383" customFormat="false" ht="15" hidden="false" customHeight="false" outlineLevel="0" collapsed="false">
      <c r="A383" s="4" t="s">
        <v>954</v>
      </c>
      <c r="B383" s="4" t="s">
        <v>954</v>
      </c>
      <c r="C383" s="4" t="s">
        <v>955</v>
      </c>
      <c r="D383" s="5" t="n">
        <v>10000</v>
      </c>
    </row>
    <row r="384" customFormat="false" ht="15" hidden="false" customHeight="false" outlineLevel="0" collapsed="false">
      <c r="A384" s="4" t="s">
        <v>956</v>
      </c>
      <c r="B384" s="4" t="s">
        <v>956</v>
      </c>
      <c r="C384" s="4" t="s">
        <v>957</v>
      </c>
      <c r="D384" s="5" t="n">
        <v>0</v>
      </c>
    </row>
    <row r="385" customFormat="false" ht="15" hidden="false" customHeight="false" outlineLevel="0" collapsed="false">
      <c r="A385" s="4" t="s">
        <v>958</v>
      </c>
      <c r="B385" s="4" t="s">
        <v>958</v>
      </c>
      <c r="C385" s="4" t="s">
        <v>959</v>
      </c>
      <c r="D385" s="5" t="n">
        <v>25000</v>
      </c>
    </row>
    <row r="386" customFormat="false" ht="15" hidden="false" customHeight="false" outlineLevel="0" collapsed="false">
      <c r="A386" s="4" t="s">
        <v>960</v>
      </c>
      <c r="B386" s="4" t="s">
        <v>960</v>
      </c>
      <c r="C386" s="4" t="s">
        <v>961</v>
      </c>
      <c r="D386" s="5" t="n">
        <v>20000</v>
      </c>
    </row>
    <row r="387" customFormat="false" ht="15" hidden="false" customHeight="false" outlineLevel="0" collapsed="false">
      <c r="A387" s="4" t="s">
        <v>962</v>
      </c>
      <c r="B387" s="4" t="s">
        <v>962</v>
      </c>
      <c r="C387" s="4" t="s">
        <v>963</v>
      </c>
      <c r="D387" s="5" t="n">
        <v>30000</v>
      </c>
    </row>
    <row r="388" customFormat="false" ht="15" hidden="false" customHeight="false" outlineLevel="0" collapsed="false">
      <c r="A388" s="4" t="s">
        <v>964</v>
      </c>
      <c r="B388" s="4" t="s">
        <v>964</v>
      </c>
      <c r="C388" s="4" t="s">
        <v>965</v>
      </c>
      <c r="D388" s="5" t="n">
        <v>25000</v>
      </c>
    </row>
    <row r="389" customFormat="false" ht="15" hidden="false" customHeight="false" outlineLevel="0" collapsed="false">
      <c r="A389" s="4" t="s">
        <v>966</v>
      </c>
      <c r="B389" s="4" t="s">
        <v>966</v>
      </c>
      <c r="C389" s="4" t="s">
        <v>967</v>
      </c>
      <c r="D389" s="5" t="n">
        <v>30000</v>
      </c>
    </row>
    <row r="390" customFormat="false" ht="15" hidden="false" customHeight="false" outlineLevel="0" collapsed="false">
      <c r="A390" s="4" t="s">
        <v>968</v>
      </c>
      <c r="B390" s="4" t="s">
        <v>968</v>
      </c>
      <c r="C390" s="4" t="s">
        <v>969</v>
      </c>
      <c r="D390" s="5" t="n">
        <v>40000</v>
      </c>
    </row>
    <row r="391" customFormat="false" ht="15" hidden="false" customHeight="false" outlineLevel="0" collapsed="false">
      <c r="A391" s="4" t="s">
        <v>970</v>
      </c>
      <c r="B391" s="4" t="s">
        <v>970</v>
      </c>
      <c r="C391" s="4" t="s">
        <v>971</v>
      </c>
      <c r="D391" s="5" t="n">
        <v>40000</v>
      </c>
    </row>
    <row r="392" customFormat="false" ht="15" hidden="false" customHeight="false" outlineLevel="0" collapsed="false">
      <c r="A392" s="4" t="s">
        <v>972</v>
      </c>
      <c r="B392" s="4" t="s">
        <v>972</v>
      </c>
      <c r="C392" s="4" t="s">
        <v>973</v>
      </c>
      <c r="D392" s="5" t="n">
        <v>50000</v>
      </c>
    </row>
    <row r="393" customFormat="false" ht="15" hidden="false" customHeight="false" outlineLevel="0" collapsed="false">
      <c r="A393" s="4" t="s">
        <v>974</v>
      </c>
      <c r="B393" s="4" t="s">
        <v>974</v>
      </c>
      <c r="C393" s="4" t="s">
        <v>975</v>
      </c>
      <c r="D393" s="5" t="n">
        <v>50000</v>
      </c>
    </row>
    <row r="394" customFormat="false" ht="15" hidden="false" customHeight="false" outlineLevel="0" collapsed="false">
      <c r="A394" s="4" t="s">
        <v>976</v>
      </c>
      <c r="B394" s="4" t="s">
        <v>976</v>
      </c>
      <c r="C394" s="4" t="s">
        <v>977</v>
      </c>
      <c r="D394" s="5" t="n">
        <v>335000</v>
      </c>
    </row>
    <row r="395" customFormat="false" ht="122.35" hidden="false" customHeight="false" outlineLevel="0" collapsed="false">
      <c r="A395" s="4" t="s">
        <v>978</v>
      </c>
      <c r="B395" s="4" t="s">
        <v>978</v>
      </c>
      <c r="C395" s="4" t="s">
        <v>979</v>
      </c>
      <c r="D395" s="5" t="n">
        <v>0</v>
      </c>
    </row>
    <row r="396" customFormat="false" ht="122.35" hidden="false" customHeight="false" outlineLevel="0" collapsed="false">
      <c r="A396" s="4" t="s">
        <v>980</v>
      </c>
      <c r="B396" s="4" t="s">
        <v>980</v>
      </c>
      <c r="C396" s="4" t="s">
        <v>981</v>
      </c>
      <c r="D396" s="5" t="n">
        <v>0</v>
      </c>
    </row>
    <row r="397" customFormat="false" ht="122.35" hidden="false" customHeight="false" outlineLevel="0" collapsed="false">
      <c r="A397" s="4" t="s">
        <v>982</v>
      </c>
      <c r="B397" s="4" t="s">
        <v>982</v>
      </c>
      <c r="C397" s="4" t="s">
        <v>983</v>
      </c>
      <c r="D397" s="5" t="n">
        <v>0</v>
      </c>
    </row>
    <row r="398" customFormat="false" ht="122.35" hidden="false" customHeight="false" outlineLevel="0" collapsed="false">
      <c r="A398" s="4" t="s">
        <v>984</v>
      </c>
      <c r="B398" s="4" t="s">
        <v>984</v>
      </c>
      <c r="C398" s="4" t="s">
        <v>985</v>
      </c>
      <c r="D398" s="5" t="n">
        <v>0</v>
      </c>
    </row>
    <row r="399" customFormat="false" ht="122.35" hidden="false" customHeight="false" outlineLevel="0" collapsed="false">
      <c r="A399" s="4" t="s">
        <v>986</v>
      </c>
      <c r="B399" s="4" t="s">
        <v>986</v>
      </c>
      <c r="C399" s="4" t="s">
        <v>987</v>
      </c>
      <c r="D399" s="5" t="n">
        <v>0</v>
      </c>
    </row>
    <row r="400" customFormat="false" ht="122.35" hidden="false" customHeight="false" outlineLevel="0" collapsed="false">
      <c r="A400" s="4" t="s">
        <v>988</v>
      </c>
      <c r="B400" s="4" t="s">
        <v>988</v>
      </c>
      <c r="C400" s="4" t="s">
        <v>989</v>
      </c>
      <c r="D400" s="5" t="n">
        <v>0</v>
      </c>
    </row>
    <row r="401" customFormat="false" ht="122.35" hidden="false" customHeight="false" outlineLevel="0" collapsed="false">
      <c r="A401" s="4" t="s">
        <v>990</v>
      </c>
      <c r="B401" s="4" t="s">
        <v>990</v>
      </c>
      <c r="C401" s="4" t="s">
        <v>991</v>
      </c>
      <c r="D401" s="5" t="n">
        <v>0</v>
      </c>
    </row>
    <row r="402" customFormat="false" ht="122.35" hidden="false" customHeight="false" outlineLevel="0" collapsed="false">
      <c r="A402" s="4" t="s">
        <v>992</v>
      </c>
      <c r="B402" s="4" t="s">
        <v>992</v>
      </c>
      <c r="C402" s="4" t="s">
        <v>993</v>
      </c>
      <c r="D402" s="5" t="n">
        <v>0</v>
      </c>
    </row>
    <row r="403" customFormat="false" ht="122.35" hidden="false" customHeight="false" outlineLevel="0" collapsed="false">
      <c r="A403" s="4" t="s">
        <v>994</v>
      </c>
      <c r="B403" s="4" t="s">
        <v>994</v>
      </c>
      <c r="C403" s="4" t="s">
        <v>995</v>
      </c>
      <c r="D403" s="5" t="n">
        <v>0</v>
      </c>
    </row>
    <row r="404" customFormat="false" ht="122.35" hidden="false" customHeight="false" outlineLevel="0" collapsed="false">
      <c r="A404" s="4" t="s">
        <v>996</v>
      </c>
      <c r="B404" s="4" t="s">
        <v>996</v>
      </c>
      <c r="C404" s="4" t="s">
        <v>997</v>
      </c>
      <c r="D404" s="5" t="n">
        <v>0</v>
      </c>
    </row>
    <row r="405" customFormat="false" ht="122.35" hidden="false" customHeight="false" outlineLevel="0" collapsed="false">
      <c r="A405" s="4" t="s">
        <v>998</v>
      </c>
      <c r="B405" s="4" t="s">
        <v>998</v>
      </c>
      <c r="C405" s="4" t="s">
        <v>999</v>
      </c>
      <c r="D405" s="5" t="n">
        <v>0</v>
      </c>
    </row>
    <row r="406" customFormat="false" ht="122.35" hidden="false" customHeight="false" outlineLevel="0" collapsed="false">
      <c r="A406" s="4" t="s">
        <v>1000</v>
      </c>
      <c r="B406" s="4" t="s">
        <v>1000</v>
      </c>
      <c r="C406" s="4" t="s">
        <v>1001</v>
      </c>
      <c r="D406" s="5" t="n">
        <v>0</v>
      </c>
    </row>
    <row r="407" customFormat="false" ht="122.35" hidden="false" customHeight="false" outlineLevel="0" collapsed="false">
      <c r="A407" s="4" t="s">
        <v>1002</v>
      </c>
      <c r="B407" s="4" t="s">
        <v>1002</v>
      </c>
      <c r="C407" s="4" t="s">
        <v>1003</v>
      </c>
      <c r="D407" s="5" t="n">
        <v>0</v>
      </c>
    </row>
    <row r="408" customFormat="false" ht="122.35" hidden="false" customHeight="false" outlineLevel="0" collapsed="false">
      <c r="A408" s="4" t="s">
        <v>1004</v>
      </c>
      <c r="B408" s="4" t="s">
        <v>1004</v>
      </c>
      <c r="C408" s="4" t="s">
        <v>1005</v>
      </c>
      <c r="D408" s="5" t="n">
        <v>0</v>
      </c>
    </row>
    <row r="409" customFormat="false" ht="122.35" hidden="false" customHeight="false" outlineLevel="0" collapsed="false">
      <c r="A409" s="4" t="s">
        <v>1006</v>
      </c>
      <c r="B409" s="4" t="s">
        <v>1006</v>
      </c>
      <c r="C409" s="4" t="s">
        <v>1007</v>
      </c>
      <c r="D409" s="5" t="n">
        <v>42</v>
      </c>
    </row>
    <row r="410" customFormat="false" ht="122.35" hidden="false" customHeight="false" outlineLevel="0" collapsed="false">
      <c r="A410" s="4" t="s">
        <v>1008</v>
      </c>
      <c r="B410" s="4" t="s">
        <v>1008</v>
      </c>
      <c r="C410" s="4" t="s">
        <v>1009</v>
      </c>
      <c r="D410" s="5" t="n">
        <v>48</v>
      </c>
    </row>
    <row r="411" customFormat="false" ht="122.35" hidden="false" customHeight="false" outlineLevel="0" collapsed="false">
      <c r="A411" s="4" t="s">
        <v>1010</v>
      </c>
      <c r="B411" s="4" t="s">
        <v>1010</v>
      </c>
      <c r="C411" s="4" t="s">
        <v>1011</v>
      </c>
      <c r="D411" s="5" t="n">
        <v>0</v>
      </c>
    </row>
    <row r="412" customFormat="false" ht="122.35" hidden="false" customHeight="false" outlineLevel="0" collapsed="false">
      <c r="A412" s="4" t="s">
        <v>1012</v>
      </c>
      <c r="B412" s="4" t="s">
        <v>1012</v>
      </c>
      <c r="C412" s="4" t="s">
        <v>1013</v>
      </c>
      <c r="D412" s="5" t="n">
        <v>0</v>
      </c>
    </row>
    <row r="413" customFormat="false" ht="122.35" hidden="false" customHeight="false" outlineLevel="0" collapsed="false">
      <c r="A413" s="4" t="s">
        <v>1014</v>
      </c>
      <c r="B413" s="4" t="s">
        <v>1014</v>
      </c>
      <c r="C413" s="4" t="s">
        <v>1015</v>
      </c>
      <c r="D413" s="5" t="n">
        <v>0</v>
      </c>
    </row>
    <row r="414" customFormat="false" ht="122.35" hidden="false" customHeight="false" outlineLevel="0" collapsed="false">
      <c r="A414" s="4" t="s">
        <v>1016</v>
      </c>
      <c r="B414" s="4" t="s">
        <v>1016</v>
      </c>
      <c r="C414" s="4" t="s">
        <v>1017</v>
      </c>
      <c r="D414" s="5" t="n">
        <v>0</v>
      </c>
    </row>
    <row r="415" customFormat="false" ht="122.35" hidden="false" customHeight="false" outlineLevel="0" collapsed="false">
      <c r="A415" s="4" t="s">
        <v>1018</v>
      </c>
      <c r="B415" s="4" t="s">
        <v>1018</v>
      </c>
      <c r="C415" s="4" t="s">
        <v>1019</v>
      </c>
      <c r="D415" s="5" t="n">
        <v>0</v>
      </c>
    </row>
    <row r="416" customFormat="false" ht="122.35" hidden="false" customHeight="false" outlineLevel="0" collapsed="false">
      <c r="A416" s="4" t="s">
        <v>1020</v>
      </c>
      <c r="B416" s="4" t="s">
        <v>1020</v>
      </c>
      <c r="C416" s="4" t="s">
        <v>1021</v>
      </c>
      <c r="D416" s="5" t="n">
        <v>0</v>
      </c>
    </row>
    <row r="417" customFormat="false" ht="122.35" hidden="false" customHeight="false" outlineLevel="0" collapsed="false">
      <c r="A417" s="4" t="s">
        <v>1022</v>
      </c>
      <c r="B417" s="4" t="s">
        <v>1022</v>
      </c>
      <c r="C417" s="4" t="s">
        <v>1023</v>
      </c>
      <c r="D417" s="5" t="n">
        <v>0</v>
      </c>
    </row>
    <row r="418" customFormat="false" ht="122.35" hidden="false" customHeight="false" outlineLevel="0" collapsed="false">
      <c r="A418" s="4" t="s">
        <v>1024</v>
      </c>
      <c r="B418" s="4" t="s">
        <v>1024</v>
      </c>
      <c r="C418" s="4" t="s">
        <v>1025</v>
      </c>
      <c r="D418" s="5" t="n">
        <v>0</v>
      </c>
    </row>
    <row r="419" customFormat="false" ht="122.35" hidden="false" customHeight="false" outlineLevel="0" collapsed="false">
      <c r="A419" s="4" t="s">
        <v>1026</v>
      </c>
      <c r="B419" s="4" t="s">
        <v>1026</v>
      </c>
      <c r="C419" s="4" t="s">
        <v>1027</v>
      </c>
      <c r="D419" s="5" t="n">
        <v>0</v>
      </c>
    </row>
    <row r="420" customFormat="false" ht="122.35" hidden="false" customHeight="false" outlineLevel="0" collapsed="false">
      <c r="A420" s="4" t="s">
        <v>1028</v>
      </c>
      <c r="B420" s="4" t="s">
        <v>1028</v>
      </c>
      <c r="C420" s="4" t="s">
        <v>1029</v>
      </c>
      <c r="D420" s="5" t="n">
        <v>0</v>
      </c>
    </row>
    <row r="421" customFormat="false" ht="122.35" hidden="false" customHeight="false" outlineLevel="0" collapsed="false">
      <c r="A421" s="4" t="s">
        <v>1030</v>
      </c>
      <c r="B421" s="4" t="s">
        <v>1030</v>
      </c>
      <c r="C421" s="4" t="s">
        <v>1031</v>
      </c>
      <c r="D421" s="5" t="n">
        <v>0</v>
      </c>
    </row>
    <row r="422" customFormat="false" ht="122.35" hidden="false" customHeight="false" outlineLevel="0" collapsed="false">
      <c r="A422" s="4" t="s">
        <v>1032</v>
      </c>
      <c r="B422" s="4" t="s">
        <v>1032</v>
      </c>
      <c r="C422" s="4" t="s">
        <v>1033</v>
      </c>
      <c r="D422" s="5" t="n">
        <v>0</v>
      </c>
    </row>
    <row r="423" customFormat="false" ht="122.35" hidden="false" customHeight="false" outlineLevel="0" collapsed="false">
      <c r="A423" s="4" t="s">
        <v>1034</v>
      </c>
      <c r="B423" s="4" t="s">
        <v>1034</v>
      </c>
      <c r="C423" s="4" t="s">
        <v>1035</v>
      </c>
      <c r="D423" s="5" t="n">
        <v>0</v>
      </c>
    </row>
    <row r="424" customFormat="false" ht="122.35" hidden="false" customHeight="false" outlineLevel="0" collapsed="false">
      <c r="A424" s="4" t="s">
        <v>1036</v>
      </c>
      <c r="B424" s="4" t="s">
        <v>1036</v>
      </c>
      <c r="C424" s="4" t="s">
        <v>1037</v>
      </c>
      <c r="D424" s="5" t="n">
        <v>0</v>
      </c>
    </row>
    <row r="425" customFormat="false" ht="122.35" hidden="false" customHeight="false" outlineLevel="0" collapsed="false">
      <c r="A425" s="4" t="s">
        <v>1038</v>
      </c>
      <c r="B425" s="4" t="s">
        <v>1038</v>
      </c>
      <c r="C425" s="4" t="s">
        <v>1039</v>
      </c>
      <c r="D425" s="5" t="n">
        <v>183</v>
      </c>
    </row>
    <row r="426" customFormat="false" ht="122.35" hidden="false" customHeight="false" outlineLevel="0" collapsed="false">
      <c r="A426" s="4" t="s">
        <v>1040</v>
      </c>
      <c r="B426" s="4" t="s">
        <v>1040</v>
      </c>
      <c r="C426" s="4" t="s">
        <v>1041</v>
      </c>
      <c r="D426" s="5" t="n">
        <v>220</v>
      </c>
    </row>
    <row r="427" customFormat="false" ht="28.35" hidden="false" customHeight="false" outlineLevel="0" collapsed="false">
      <c r="A427" s="4" t="s">
        <v>1042</v>
      </c>
      <c r="B427" s="4" t="s">
        <v>1042</v>
      </c>
      <c r="C427" s="4" t="s">
        <v>1043</v>
      </c>
      <c r="D427" s="5" t="n">
        <v>0</v>
      </c>
    </row>
    <row r="428" customFormat="false" ht="28.35" hidden="false" customHeight="false" outlineLevel="0" collapsed="false">
      <c r="A428" s="4" t="s">
        <v>1044</v>
      </c>
      <c r="B428" s="4" t="s">
        <v>1044</v>
      </c>
      <c r="C428" s="4" t="s">
        <v>1045</v>
      </c>
      <c r="D428" s="5" t="n">
        <v>0</v>
      </c>
    </row>
    <row r="429" customFormat="false" ht="28.35" hidden="false" customHeight="false" outlineLevel="0" collapsed="false">
      <c r="A429" s="4" t="s">
        <v>1046</v>
      </c>
      <c r="B429" s="4" t="s">
        <v>1046</v>
      </c>
      <c r="C429" s="4" t="s">
        <v>1047</v>
      </c>
      <c r="D429" s="5" t="n">
        <v>0</v>
      </c>
    </row>
    <row r="430" customFormat="false" ht="28.35" hidden="false" customHeight="false" outlineLevel="0" collapsed="false">
      <c r="A430" s="4" t="s">
        <v>1048</v>
      </c>
      <c r="B430" s="4" t="s">
        <v>1048</v>
      </c>
      <c r="C430" s="4" t="s">
        <v>1049</v>
      </c>
      <c r="D430" s="5" t="n">
        <v>0</v>
      </c>
    </row>
    <row r="431" customFormat="false" ht="28.35" hidden="false" customHeight="false" outlineLevel="0" collapsed="false">
      <c r="A431" s="4" t="s">
        <v>1050</v>
      </c>
      <c r="B431" s="4" t="s">
        <v>1050</v>
      </c>
      <c r="C431" s="4" t="s">
        <v>1051</v>
      </c>
      <c r="D431" s="5" t="n">
        <v>0</v>
      </c>
    </row>
    <row r="432" customFormat="false" ht="28.35" hidden="false" customHeight="false" outlineLevel="0" collapsed="false">
      <c r="A432" s="4" t="s">
        <v>1052</v>
      </c>
      <c r="B432" s="4" t="s">
        <v>1052</v>
      </c>
      <c r="C432" s="4" t="s">
        <v>1053</v>
      </c>
      <c r="D432" s="5" t="n">
        <v>0</v>
      </c>
    </row>
    <row r="433" customFormat="false" ht="28.35" hidden="false" customHeight="false" outlineLevel="0" collapsed="false">
      <c r="A433" s="4" t="s">
        <v>1054</v>
      </c>
      <c r="B433" s="4" t="s">
        <v>1054</v>
      </c>
      <c r="C433" s="4" t="s">
        <v>1055</v>
      </c>
      <c r="D433" s="5" t="n">
        <v>0</v>
      </c>
    </row>
    <row r="434" customFormat="false" ht="28.35" hidden="false" customHeight="false" outlineLevel="0" collapsed="false">
      <c r="A434" s="4" t="s">
        <v>1056</v>
      </c>
      <c r="B434" s="4" t="s">
        <v>1056</v>
      </c>
      <c r="C434" s="4" t="s">
        <v>1057</v>
      </c>
      <c r="D434" s="5" t="n">
        <v>0</v>
      </c>
    </row>
    <row r="435" customFormat="false" ht="28.35" hidden="false" customHeight="false" outlineLevel="0" collapsed="false">
      <c r="A435" s="4" t="s">
        <v>1058</v>
      </c>
      <c r="B435" s="4" t="s">
        <v>1058</v>
      </c>
      <c r="C435" s="4" t="s">
        <v>1059</v>
      </c>
      <c r="D435" s="5" t="n">
        <v>0</v>
      </c>
    </row>
    <row r="436" customFormat="false" ht="28.35" hidden="false" customHeight="false" outlineLevel="0" collapsed="false">
      <c r="A436" s="4" t="s">
        <v>1060</v>
      </c>
      <c r="B436" s="4" t="s">
        <v>1060</v>
      </c>
      <c r="C436" s="4" t="s">
        <v>1061</v>
      </c>
      <c r="D436" s="5" t="n">
        <v>0</v>
      </c>
    </row>
    <row r="437" customFormat="false" ht="28.35" hidden="false" customHeight="false" outlineLevel="0" collapsed="false">
      <c r="A437" s="4" t="s">
        <v>1062</v>
      </c>
      <c r="B437" s="4" t="s">
        <v>1062</v>
      </c>
      <c r="C437" s="4" t="s">
        <v>1063</v>
      </c>
      <c r="D437" s="5" t="n">
        <v>0</v>
      </c>
    </row>
    <row r="438" customFormat="false" ht="28.35" hidden="false" customHeight="false" outlineLevel="0" collapsed="false">
      <c r="A438" s="4" t="s">
        <v>1064</v>
      </c>
      <c r="B438" s="4" t="s">
        <v>1064</v>
      </c>
      <c r="C438" s="4" t="s">
        <v>1065</v>
      </c>
      <c r="D438" s="5" t="n">
        <v>0</v>
      </c>
    </row>
    <row r="439" customFormat="false" ht="28.35" hidden="false" customHeight="false" outlineLevel="0" collapsed="false">
      <c r="A439" s="4" t="s">
        <v>1066</v>
      </c>
      <c r="B439" s="4" t="s">
        <v>1066</v>
      </c>
      <c r="C439" s="4" t="s">
        <v>1067</v>
      </c>
      <c r="D439" s="5" t="n">
        <v>0</v>
      </c>
    </row>
    <row r="440" customFormat="false" ht="28.35" hidden="false" customHeight="false" outlineLevel="0" collapsed="false">
      <c r="A440" s="4" t="s">
        <v>1068</v>
      </c>
      <c r="B440" s="4" t="s">
        <v>1068</v>
      </c>
      <c r="C440" s="4" t="s">
        <v>1069</v>
      </c>
      <c r="D440" s="5" t="n">
        <v>0</v>
      </c>
    </row>
    <row r="441" customFormat="false" ht="28.35" hidden="false" customHeight="false" outlineLevel="0" collapsed="false">
      <c r="A441" s="4" t="s">
        <v>1070</v>
      </c>
      <c r="B441" s="4" t="s">
        <v>1070</v>
      </c>
      <c r="C441" s="4" t="s">
        <v>1071</v>
      </c>
      <c r="D441" s="5" t="n">
        <v>4367775</v>
      </c>
    </row>
    <row r="442" customFormat="false" ht="28.35" hidden="false" customHeight="false" outlineLevel="0" collapsed="false">
      <c r="A442" s="4" t="s">
        <v>1072</v>
      </c>
      <c r="B442" s="4" t="s">
        <v>1072</v>
      </c>
      <c r="C442" s="4" t="s">
        <v>1073</v>
      </c>
      <c r="D442" s="5" t="n">
        <v>5078600</v>
      </c>
    </row>
    <row r="443" customFormat="false" ht="28.35" hidden="false" customHeight="false" outlineLevel="0" collapsed="false">
      <c r="A443" s="4" t="s">
        <v>1074</v>
      </c>
      <c r="B443" s="4" t="s">
        <v>1074</v>
      </c>
      <c r="C443" s="4" t="s">
        <v>1075</v>
      </c>
      <c r="D443" s="5" t="n">
        <v>9446375</v>
      </c>
    </row>
    <row r="444" customFormat="false" ht="15" hidden="false" customHeight="false" outlineLevel="0" collapsed="false">
      <c r="A444" s="4" t="s">
        <v>1076</v>
      </c>
      <c r="B444" s="4" t="s">
        <v>1076</v>
      </c>
      <c r="C444" s="4" t="s">
        <v>1077</v>
      </c>
      <c r="D444" s="5" t="n">
        <v>7941700</v>
      </c>
    </row>
    <row r="445" customFormat="false" ht="15" hidden="false" customHeight="false" outlineLevel="0" collapsed="false">
      <c r="A445" s="4" t="s">
        <v>1078</v>
      </c>
      <c r="B445" s="4" t="s">
        <v>1078</v>
      </c>
      <c r="C445" s="4" t="s">
        <v>1079</v>
      </c>
      <c r="D445" s="5" t="n">
        <v>7941700</v>
      </c>
    </row>
    <row r="446" customFormat="false" ht="15" hidden="false" customHeight="false" outlineLevel="0" collapsed="false">
      <c r="A446" s="4" t="s">
        <v>1080</v>
      </c>
      <c r="B446" s="4" t="s">
        <v>1080</v>
      </c>
      <c r="C446" s="4" t="s">
        <v>1081</v>
      </c>
      <c r="D446" s="5" t="n">
        <v>9573700</v>
      </c>
    </row>
    <row r="447" customFormat="false" ht="15" hidden="false" customHeight="false" outlineLevel="0" collapsed="false">
      <c r="A447" s="4" t="s">
        <v>1082</v>
      </c>
      <c r="B447" s="4" t="s">
        <v>1082</v>
      </c>
      <c r="C447" s="4" t="s">
        <v>1083</v>
      </c>
      <c r="D447" s="5" t="n">
        <v>10205700</v>
      </c>
    </row>
    <row r="448" customFormat="false" ht="15" hidden="false" customHeight="false" outlineLevel="0" collapsed="false">
      <c r="A448" s="4" t="s">
        <v>1084</v>
      </c>
      <c r="B448" s="4" t="s">
        <v>1084</v>
      </c>
      <c r="C448" s="4" t="s">
        <v>1085</v>
      </c>
      <c r="D448" s="5" t="n">
        <v>11238747.5</v>
      </c>
    </row>
    <row r="449" customFormat="false" ht="15" hidden="false" customHeight="false" outlineLevel="0" collapsed="false">
      <c r="A449" s="4" t="s">
        <v>1086</v>
      </c>
      <c r="B449" s="4" t="s">
        <v>1086</v>
      </c>
      <c r="C449" s="4" t="s">
        <v>1087</v>
      </c>
      <c r="D449" s="5" t="n">
        <v>12271795</v>
      </c>
    </row>
    <row r="450" customFormat="false" ht="15" hidden="false" customHeight="false" outlineLevel="0" collapsed="false">
      <c r="A450" s="4" t="s">
        <v>1088</v>
      </c>
      <c r="B450" s="4" t="s">
        <v>1088</v>
      </c>
      <c r="C450" s="4" t="s">
        <v>1089</v>
      </c>
      <c r="D450" s="5" t="n">
        <v>13620842.5</v>
      </c>
    </row>
    <row r="451" customFormat="false" ht="15" hidden="false" customHeight="false" outlineLevel="0" collapsed="false">
      <c r="A451" s="4" t="s">
        <v>1090</v>
      </c>
      <c r="B451" s="4" t="s">
        <v>1090</v>
      </c>
      <c r="C451" s="4" t="s">
        <v>1091</v>
      </c>
      <c r="D451" s="5" t="n">
        <v>14969890</v>
      </c>
    </row>
    <row r="452" customFormat="false" ht="15" hidden="false" customHeight="false" outlineLevel="0" collapsed="false">
      <c r="A452" s="4" t="s">
        <v>1092</v>
      </c>
      <c r="B452" s="4" t="s">
        <v>1092</v>
      </c>
      <c r="C452" s="4" t="s">
        <v>1093</v>
      </c>
      <c r="D452" s="5" t="n">
        <v>16701297.5</v>
      </c>
    </row>
    <row r="453" customFormat="false" ht="15" hidden="false" customHeight="false" outlineLevel="0" collapsed="false">
      <c r="A453" s="4" t="s">
        <v>1094</v>
      </c>
      <c r="B453" s="4" t="s">
        <v>1094</v>
      </c>
      <c r="C453" s="4" t="s">
        <v>1095</v>
      </c>
      <c r="D453" s="5" t="n">
        <v>18815065</v>
      </c>
    </row>
    <row r="454" customFormat="false" ht="15" hidden="false" customHeight="false" outlineLevel="0" collapsed="false">
      <c r="A454" s="4" t="s">
        <v>1096</v>
      </c>
      <c r="B454" s="4" t="s">
        <v>1096</v>
      </c>
      <c r="C454" s="4" t="s">
        <v>1097</v>
      </c>
      <c r="D454" s="5" t="n">
        <v>21017312.5</v>
      </c>
    </row>
    <row r="455" customFormat="false" ht="15" hidden="false" customHeight="false" outlineLevel="0" collapsed="false">
      <c r="A455" s="4" t="s">
        <v>1098</v>
      </c>
      <c r="B455" s="4" t="s">
        <v>1098</v>
      </c>
      <c r="C455" s="4" t="s">
        <v>1099</v>
      </c>
      <c r="D455" s="5" t="n">
        <v>23574744</v>
      </c>
    </row>
    <row r="456" customFormat="false" ht="15" hidden="false" customHeight="false" outlineLevel="0" collapsed="false">
      <c r="A456" s="4" t="s">
        <v>1100</v>
      </c>
      <c r="B456" s="4" t="s">
        <v>1100</v>
      </c>
      <c r="C456" s="4" t="s">
        <v>1101</v>
      </c>
      <c r="D456" s="5" t="n">
        <v>26509479.5</v>
      </c>
    </row>
    <row r="457" customFormat="false" ht="15" hidden="false" customHeight="false" outlineLevel="0" collapsed="false">
      <c r="A457" s="4" t="s">
        <v>1102</v>
      </c>
      <c r="B457" s="4" t="s">
        <v>1102</v>
      </c>
      <c r="C457" s="4" t="s">
        <v>1103</v>
      </c>
      <c r="D457" s="5" t="n">
        <v>29827207</v>
      </c>
    </row>
    <row r="458" customFormat="false" ht="15" hidden="false" customHeight="false" outlineLevel="0" collapsed="false">
      <c r="A458" s="4" t="s">
        <v>1104</v>
      </c>
      <c r="B458" s="4" t="s">
        <v>1104</v>
      </c>
      <c r="C458" s="4" t="s">
        <v>1105</v>
      </c>
      <c r="D458" s="5" t="n">
        <v>33527926.5</v>
      </c>
    </row>
    <row r="459" customFormat="false" ht="15" hidden="false" customHeight="false" outlineLevel="0" collapsed="false">
      <c r="A459" s="4" t="s">
        <v>1106</v>
      </c>
      <c r="B459" s="4" t="s">
        <v>1106</v>
      </c>
      <c r="C459" s="4" t="s">
        <v>1107</v>
      </c>
      <c r="D459" s="5" t="n">
        <v>37617326</v>
      </c>
    </row>
    <row r="460" customFormat="false" ht="15" hidden="false" customHeight="false" outlineLevel="0" collapsed="false">
      <c r="A460" s="4" t="s">
        <v>1108</v>
      </c>
      <c r="B460" s="4" t="s">
        <v>1108</v>
      </c>
      <c r="C460" s="4" t="s">
        <v>1107</v>
      </c>
      <c r="D460" s="5" t="n">
        <v>37617326</v>
      </c>
    </row>
    <row r="461" customFormat="false" ht="15" hidden="false" customHeight="false" outlineLevel="0" collapsed="false">
      <c r="A461" s="4" t="s">
        <v>1109</v>
      </c>
      <c r="B461" s="4" t="s">
        <v>1110</v>
      </c>
      <c r="C461" s="4" t="s">
        <v>1111</v>
      </c>
      <c r="D461" s="5" t="n">
        <v>570291.5</v>
      </c>
    </row>
    <row r="462" customFormat="false" ht="15" hidden="false" customHeight="false" outlineLevel="0" collapsed="false">
      <c r="A462" s="4" t="s">
        <v>1112</v>
      </c>
      <c r="B462" s="4" t="s">
        <v>1113</v>
      </c>
      <c r="C462" s="4" t="s">
        <v>1114</v>
      </c>
      <c r="D462" s="5" t="n">
        <v>632828</v>
      </c>
    </row>
    <row r="463" customFormat="false" ht="15" hidden="false" customHeight="false" outlineLevel="0" collapsed="false">
      <c r="A463" s="4" t="s">
        <v>1115</v>
      </c>
      <c r="B463" s="4" t="s">
        <v>1116</v>
      </c>
      <c r="C463" s="4" t="s">
        <v>1117</v>
      </c>
      <c r="D463" s="5" t="n">
        <v>662103</v>
      </c>
    </row>
    <row r="464" customFormat="false" ht="15" hidden="false" customHeight="false" outlineLevel="0" collapsed="false">
      <c r="A464" s="4" t="s">
        <v>1118</v>
      </c>
      <c r="B464" s="4" t="s">
        <v>1119</v>
      </c>
      <c r="C464" s="4" t="s">
        <v>1120</v>
      </c>
      <c r="D464" s="5" t="n">
        <v>662103</v>
      </c>
    </row>
    <row r="465" customFormat="false" ht="15" hidden="false" customHeight="false" outlineLevel="0" collapsed="false">
      <c r="A465" s="4" t="s">
        <v>1121</v>
      </c>
      <c r="B465" s="4" t="s">
        <v>1122</v>
      </c>
      <c r="C465" s="4" t="s">
        <v>1123</v>
      </c>
      <c r="D465" s="5" t="n">
        <v>783428.416666667</v>
      </c>
    </row>
    <row r="466" customFormat="false" ht="15" hidden="false" customHeight="false" outlineLevel="0" collapsed="false">
      <c r="A466" s="4" t="s">
        <v>1124</v>
      </c>
      <c r="B466" s="4" t="s">
        <v>1125</v>
      </c>
      <c r="C466" s="4" t="s">
        <v>1126</v>
      </c>
      <c r="D466" s="5" t="n">
        <v>821920.5</v>
      </c>
    </row>
    <row r="467" customFormat="false" ht="15" hidden="false" customHeight="false" outlineLevel="0" collapsed="false">
      <c r="A467" s="4" t="s">
        <v>1127</v>
      </c>
      <c r="B467" s="4" t="s">
        <v>1128</v>
      </c>
      <c r="C467" s="4" t="s">
        <v>1129</v>
      </c>
      <c r="D467" s="5" t="n">
        <v>807745.916666667</v>
      </c>
    </row>
    <row r="468" customFormat="false" ht="15" hidden="false" customHeight="false" outlineLevel="0" collapsed="false">
      <c r="A468" s="4" t="s">
        <v>1130</v>
      </c>
      <c r="B468" s="4" t="s">
        <v>1131</v>
      </c>
      <c r="C468" s="4" t="s">
        <v>1132</v>
      </c>
      <c r="D468" s="5" t="n">
        <v>907121.875</v>
      </c>
    </row>
    <row r="469" customFormat="false" ht="15" hidden="false" customHeight="false" outlineLevel="0" collapsed="false">
      <c r="A469" s="4" t="s">
        <v>1133</v>
      </c>
      <c r="B469" s="4" t="s">
        <v>1134</v>
      </c>
      <c r="C469" s="4" t="s">
        <v>1135</v>
      </c>
      <c r="D469" s="5" t="n">
        <v>997375.833333334</v>
      </c>
    </row>
    <row r="470" customFormat="false" ht="15" hidden="false" customHeight="false" outlineLevel="0" collapsed="false">
      <c r="A470" s="4" t="s">
        <v>1136</v>
      </c>
      <c r="B470" s="4" t="s">
        <v>1137</v>
      </c>
      <c r="C470" s="4" t="s">
        <v>1138</v>
      </c>
      <c r="D470" s="5" t="n">
        <v>1116046.45833333</v>
      </c>
    </row>
    <row r="471" customFormat="false" ht="15" hidden="false" customHeight="false" outlineLevel="0" collapsed="false">
      <c r="A471" s="4" t="s">
        <v>1139</v>
      </c>
      <c r="B471" s="4" t="s">
        <v>1140</v>
      </c>
      <c r="C471" s="4" t="s">
        <v>1141</v>
      </c>
      <c r="D471" s="5" t="n">
        <v>1231592.08333333</v>
      </c>
    </row>
    <row r="472" customFormat="false" ht="15" hidden="false" customHeight="false" outlineLevel="0" collapsed="false">
      <c r="A472" s="4" t="s">
        <v>1142</v>
      </c>
      <c r="B472" s="4" t="s">
        <v>1143</v>
      </c>
      <c r="C472" s="4" t="s">
        <v>1144</v>
      </c>
      <c r="D472" s="5" t="n">
        <v>1379626.04166667</v>
      </c>
    </row>
    <row r="473" customFormat="false" ht="15" hidden="false" customHeight="false" outlineLevel="0" collapsed="false">
      <c r="A473" s="4" t="s">
        <v>1145</v>
      </c>
      <c r="B473" s="4" t="s">
        <v>1146</v>
      </c>
      <c r="C473" s="4" t="s">
        <v>1147</v>
      </c>
      <c r="D473" s="5" t="n">
        <v>1561856.66666667</v>
      </c>
    </row>
    <row r="474" customFormat="false" ht="15" hidden="false" customHeight="false" outlineLevel="0" collapsed="false">
      <c r="A474" s="4" t="s">
        <v>1148</v>
      </c>
      <c r="B474" s="4" t="s">
        <v>1149</v>
      </c>
      <c r="C474" s="4" t="s">
        <v>1150</v>
      </c>
      <c r="D474" s="5" t="n">
        <v>1751627.29166667</v>
      </c>
    </row>
    <row r="475" customFormat="false" ht="15" hidden="false" customHeight="false" outlineLevel="0" collapsed="false">
      <c r="A475" s="4" t="s">
        <v>1151</v>
      </c>
      <c r="B475" s="4" t="s">
        <v>1152</v>
      </c>
      <c r="C475" s="4" t="s">
        <v>1153</v>
      </c>
      <c r="D475" s="5" t="n">
        <v>1975163.25</v>
      </c>
    </row>
    <row r="476" customFormat="false" ht="15" hidden="false" customHeight="false" outlineLevel="0" collapsed="false">
      <c r="A476" s="4" t="s">
        <v>1154</v>
      </c>
      <c r="B476" s="4" t="s">
        <v>1155</v>
      </c>
      <c r="C476" s="4" t="s">
        <v>1156</v>
      </c>
      <c r="D476" s="5" t="n">
        <v>2230141.20833333</v>
      </c>
    </row>
    <row r="477" customFormat="false" ht="15" hidden="false" customHeight="false" outlineLevel="0" collapsed="false">
      <c r="A477" s="4" t="s">
        <v>1157</v>
      </c>
      <c r="B477" s="4" t="s">
        <v>1158</v>
      </c>
      <c r="C477" s="4" t="s">
        <v>1159</v>
      </c>
      <c r="D477" s="5" t="n">
        <v>15563645.5416667</v>
      </c>
    </row>
    <row r="478" customFormat="false" ht="15" hidden="false" customHeight="false" outlineLevel="0" collapsed="false">
      <c r="A478" s="4" t="s">
        <v>1160</v>
      </c>
      <c r="B478" s="4" t="s">
        <v>1109</v>
      </c>
      <c r="C478" s="4" t="s">
        <v>1161</v>
      </c>
      <c r="D478" s="5" t="n">
        <v>421637</v>
      </c>
    </row>
    <row r="479" customFormat="false" ht="15" hidden="false" customHeight="false" outlineLevel="0" collapsed="false">
      <c r="A479" s="4" t="s">
        <v>1162</v>
      </c>
      <c r="B479" s="4" t="s">
        <v>1112</v>
      </c>
      <c r="C479" s="4" t="s">
        <v>1163</v>
      </c>
      <c r="D479" s="5" t="n">
        <v>753940.5</v>
      </c>
    </row>
    <row r="480" customFormat="false" ht="15" hidden="false" customHeight="false" outlineLevel="0" collapsed="false">
      <c r="A480" s="4" t="s">
        <v>1164</v>
      </c>
      <c r="B480" s="4" t="s">
        <v>1115</v>
      </c>
      <c r="C480" s="4" t="s">
        <v>1165</v>
      </c>
      <c r="D480" s="5" t="n">
        <v>1076240.5</v>
      </c>
    </row>
    <row r="481" customFormat="false" ht="15" hidden="false" customHeight="false" outlineLevel="0" collapsed="false">
      <c r="A481" s="4" t="s">
        <v>1166</v>
      </c>
      <c r="B481" s="4" t="s">
        <v>1118</v>
      </c>
      <c r="C481" s="4" t="s">
        <v>1167</v>
      </c>
      <c r="D481" s="5" t="n">
        <v>274101.5</v>
      </c>
    </row>
    <row r="482" customFormat="false" ht="15" hidden="false" customHeight="false" outlineLevel="0" collapsed="false">
      <c r="A482" s="4" t="s">
        <v>1168</v>
      </c>
      <c r="B482" s="4" t="s">
        <v>1121</v>
      </c>
      <c r="C482" s="4" t="s">
        <v>1169</v>
      </c>
      <c r="D482" s="5" t="n">
        <v>1898996.5</v>
      </c>
    </row>
    <row r="483" customFormat="false" ht="15" hidden="false" customHeight="false" outlineLevel="0" collapsed="false">
      <c r="A483" s="4" t="s">
        <v>1170</v>
      </c>
      <c r="B483" s="4" t="s">
        <v>1124</v>
      </c>
      <c r="C483" s="4" t="s">
        <v>1171</v>
      </c>
      <c r="D483" s="5" t="n">
        <v>1108006.5</v>
      </c>
    </row>
    <row r="484" customFormat="false" ht="15" hidden="false" customHeight="false" outlineLevel="0" collapsed="false">
      <c r="A484" s="4" t="s">
        <v>1172</v>
      </c>
      <c r="B484" s="4" t="s">
        <v>1127</v>
      </c>
      <c r="C484" s="4" t="s">
        <v>1173</v>
      </c>
      <c r="D484" s="5" t="n">
        <v>713306.5</v>
      </c>
    </row>
    <row r="485" customFormat="false" ht="15" hidden="false" customHeight="false" outlineLevel="0" collapsed="false">
      <c r="A485" s="4" t="s">
        <v>1174</v>
      </c>
      <c r="B485" s="4" t="s">
        <v>1130</v>
      </c>
      <c r="C485" s="4" t="s">
        <v>1175</v>
      </c>
      <c r="D485" s="5" t="n">
        <v>1810671</v>
      </c>
    </row>
    <row r="486" customFormat="false" ht="15" hidden="false" customHeight="false" outlineLevel="0" collapsed="false">
      <c r="A486" s="4" t="s">
        <v>1176</v>
      </c>
      <c r="B486" s="4" t="s">
        <v>1133</v>
      </c>
      <c r="C486" s="4" t="s">
        <v>1177</v>
      </c>
      <c r="D486" s="5" t="n">
        <v>1916271</v>
      </c>
    </row>
    <row r="487" customFormat="false" ht="15" hidden="false" customHeight="false" outlineLevel="0" collapsed="false">
      <c r="A487" s="4" t="s">
        <v>1178</v>
      </c>
      <c r="B487" s="4" t="s">
        <v>1136</v>
      </c>
      <c r="C487" s="4" t="s">
        <v>1179</v>
      </c>
      <c r="D487" s="5" t="n">
        <v>2148309</v>
      </c>
    </row>
    <row r="488" customFormat="false" ht="15" hidden="false" customHeight="false" outlineLevel="0" collapsed="false">
      <c r="A488" s="4" t="s">
        <v>1180</v>
      </c>
      <c r="B488" s="4" t="s">
        <v>1139</v>
      </c>
      <c r="C488" s="4" t="s">
        <v>1181</v>
      </c>
      <c r="D488" s="5" t="n">
        <v>1857761</v>
      </c>
    </row>
    <row r="489" customFormat="false" ht="15" hidden="false" customHeight="false" outlineLevel="0" collapsed="false">
      <c r="A489" s="4" t="s">
        <v>1182</v>
      </c>
      <c r="B489" s="4" t="s">
        <v>1142</v>
      </c>
      <c r="C489" s="4" t="s">
        <v>1183</v>
      </c>
      <c r="D489" s="5" t="n">
        <v>2534631</v>
      </c>
    </row>
    <row r="490" customFormat="false" ht="15" hidden="false" customHeight="false" outlineLevel="0" collapsed="false">
      <c r="A490" s="4" t="s">
        <v>1184</v>
      </c>
      <c r="B490" s="4" t="s">
        <v>1145</v>
      </c>
      <c r="C490" s="4" t="s">
        <v>1185</v>
      </c>
      <c r="D490" s="5" t="n">
        <v>2595313</v>
      </c>
    </row>
    <row r="491" customFormat="false" ht="15" hidden="false" customHeight="false" outlineLevel="0" collapsed="false">
      <c r="A491" s="4" t="s">
        <v>1186</v>
      </c>
      <c r="B491" s="4" t="s">
        <v>1148</v>
      </c>
      <c r="C491" s="4" t="s">
        <v>1187</v>
      </c>
      <c r="D491" s="5" t="n">
        <v>3040310</v>
      </c>
    </row>
    <row r="492" customFormat="false" ht="15" hidden="false" customHeight="false" outlineLevel="0" collapsed="false">
      <c r="A492" s="4" t="s">
        <v>1188</v>
      </c>
      <c r="B492" s="4" t="s">
        <v>1151</v>
      </c>
      <c r="C492" s="4" t="s">
        <v>1189</v>
      </c>
      <c r="D492" s="5" t="n">
        <v>3767794</v>
      </c>
    </row>
    <row r="493" customFormat="false" ht="15" hidden="false" customHeight="false" outlineLevel="0" collapsed="false">
      <c r="A493" s="4" t="s">
        <v>1190</v>
      </c>
      <c r="B493" s="4" t="s">
        <v>1154</v>
      </c>
      <c r="C493" s="4" t="s">
        <v>1191</v>
      </c>
      <c r="D493" s="5" t="n">
        <v>3342959</v>
      </c>
    </row>
    <row r="494" customFormat="false" ht="15" hidden="false" customHeight="false" outlineLevel="0" collapsed="false">
      <c r="A494" s="4" t="s">
        <v>1192</v>
      </c>
      <c r="B494" s="4" t="s">
        <v>1157</v>
      </c>
      <c r="C494" s="4" t="s">
        <v>1193</v>
      </c>
      <c r="D494" s="5" t="n">
        <v>26734328.5</v>
      </c>
    </row>
    <row r="495" customFormat="false" ht="15" hidden="false" customHeight="false" outlineLevel="0" collapsed="false">
      <c r="A495" s="4" t="s">
        <v>1194</v>
      </c>
      <c r="B495" s="4" t="s">
        <v>1160</v>
      </c>
      <c r="C495" s="4" t="s">
        <v>1195</v>
      </c>
      <c r="D495" s="5" t="n">
        <v>1877250.66666667</v>
      </c>
    </row>
    <row r="496" customFormat="false" ht="15" hidden="false" customHeight="false" outlineLevel="0" collapsed="false">
      <c r="A496" s="4" t="s">
        <v>1196</v>
      </c>
      <c r="B496" s="4" t="s">
        <v>1162</v>
      </c>
      <c r="C496" s="4" t="s">
        <v>1197</v>
      </c>
      <c r="D496" s="5" t="n">
        <v>1998363.16666667</v>
      </c>
    </row>
    <row r="497" customFormat="false" ht="15" hidden="false" customHeight="false" outlineLevel="0" collapsed="false">
      <c r="A497" s="4" t="s">
        <v>1198</v>
      </c>
      <c r="B497" s="4" t="s">
        <v>1164</v>
      </c>
      <c r="C497" s="4" t="s">
        <v>1199</v>
      </c>
      <c r="D497" s="5" t="n">
        <v>2412500.66666667</v>
      </c>
    </row>
    <row r="498" customFormat="false" ht="15" hidden="false" customHeight="false" outlineLevel="0" collapsed="false">
      <c r="A498" s="4" t="s">
        <v>1200</v>
      </c>
      <c r="B498" s="4" t="s">
        <v>1166</v>
      </c>
      <c r="C498" s="4" t="s">
        <v>1201</v>
      </c>
      <c r="D498" s="5" t="n">
        <v>2024499.16666667</v>
      </c>
    </row>
    <row r="499" customFormat="false" ht="15" hidden="false" customHeight="false" outlineLevel="0" collapsed="false">
      <c r="A499" s="4" t="s">
        <v>1202</v>
      </c>
      <c r="B499" s="4" t="s">
        <v>1168</v>
      </c>
      <c r="C499" s="4" t="s">
        <v>1203</v>
      </c>
      <c r="D499" s="5" t="n">
        <v>3140067.25</v>
      </c>
    </row>
    <row r="500" customFormat="false" ht="15" hidden="false" customHeight="false" outlineLevel="0" collapsed="false">
      <c r="A500" s="4" t="s">
        <v>1204</v>
      </c>
      <c r="B500" s="4" t="s">
        <v>1170</v>
      </c>
      <c r="C500" s="4" t="s">
        <v>1205</v>
      </c>
      <c r="D500" s="5" t="n">
        <v>3426153.25</v>
      </c>
    </row>
    <row r="501" customFormat="false" ht="15" hidden="false" customHeight="false" outlineLevel="0" collapsed="false">
      <c r="A501" s="4" t="s">
        <v>1206</v>
      </c>
      <c r="B501" s="4" t="s">
        <v>1172</v>
      </c>
      <c r="C501" s="4" t="s">
        <v>1207</v>
      </c>
      <c r="D501" s="5" t="n">
        <v>3331713.83333333</v>
      </c>
    </row>
    <row r="502" customFormat="false" ht="15" hidden="false" customHeight="false" outlineLevel="0" collapsed="false">
      <c r="A502" s="4" t="s">
        <v>1208</v>
      </c>
      <c r="B502" s="4" t="s">
        <v>1174</v>
      </c>
      <c r="C502" s="4" t="s">
        <v>1209</v>
      </c>
      <c r="D502" s="5" t="n">
        <v>4235262.95833333</v>
      </c>
    </row>
    <row r="503" customFormat="false" ht="15" hidden="false" customHeight="false" outlineLevel="0" collapsed="false">
      <c r="A503" s="4" t="s">
        <v>1210</v>
      </c>
      <c r="B503" s="4" t="s">
        <v>1176</v>
      </c>
      <c r="C503" s="4" t="s">
        <v>1211</v>
      </c>
      <c r="D503" s="5" t="n">
        <v>5154158.125</v>
      </c>
    </row>
    <row r="504" customFormat="false" ht="15" hidden="false" customHeight="false" outlineLevel="0" collapsed="false">
      <c r="A504" s="4" t="s">
        <v>1212</v>
      </c>
      <c r="B504" s="4" t="s">
        <v>1178</v>
      </c>
      <c r="C504" s="4" t="s">
        <v>1213</v>
      </c>
      <c r="D504" s="5" t="n">
        <v>6186420.66666667</v>
      </c>
    </row>
    <row r="505" customFormat="false" ht="15" hidden="false" customHeight="false" outlineLevel="0" collapsed="false">
      <c r="A505" s="4" t="s">
        <v>1214</v>
      </c>
      <c r="B505" s="4" t="s">
        <v>1180</v>
      </c>
      <c r="C505" s="4" t="s">
        <v>1215</v>
      </c>
      <c r="D505" s="5" t="n">
        <v>6812589.58333333</v>
      </c>
    </row>
    <row r="506" customFormat="false" ht="15" hidden="false" customHeight="false" outlineLevel="0" collapsed="false">
      <c r="A506" s="4" t="s">
        <v>1216</v>
      </c>
      <c r="B506" s="4" t="s">
        <v>1182</v>
      </c>
      <c r="C506" s="4" t="s">
        <v>1217</v>
      </c>
      <c r="D506" s="5" t="n">
        <v>7967594.54166667</v>
      </c>
    </row>
    <row r="507" customFormat="false" ht="15" hidden="false" customHeight="false" outlineLevel="0" collapsed="false">
      <c r="A507" s="4" t="s">
        <v>1218</v>
      </c>
      <c r="B507" s="4" t="s">
        <v>1184</v>
      </c>
      <c r="C507" s="4" t="s">
        <v>1219</v>
      </c>
      <c r="D507" s="5" t="n">
        <v>9001050.875</v>
      </c>
    </row>
    <row r="508" customFormat="false" ht="15" hidden="false" customHeight="false" outlineLevel="0" collapsed="false">
      <c r="A508" s="4" t="s">
        <v>1220</v>
      </c>
      <c r="B508" s="4" t="s">
        <v>1186</v>
      </c>
      <c r="C508" s="4" t="s">
        <v>1221</v>
      </c>
      <c r="D508" s="5" t="n">
        <v>10289733.5833333</v>
      </c>
    </row>
    <row r="509" customFormat="false" ht="15" hidden="false" customHeight="false" outlineLevel="0" collapsed="false">
      <c r="A509" s="4" t="s">
        <v>1222</v>
      </c>
      <c r="B509" s="4" t="s">
        <v>1188</v>
      </c>
      <c r="C509" s="4" t="s">
        <v>1223</v>
      </c>
      <c r="D509" s="5" t="n">
        <v>12082364.3333333</v>
      </c>
    </row>
    <row r="510" customFormat="false" ht="15" hidden="false" customHeight="false" outlineLevel="0" collapsed="false">
      <c r="A510" s="4" t="s">
        <v>1224</v>
      </c>
      <c r="B510" s="4" t="s">
        <v>1190</v>
      </c>
      <c r="C510" s="4" t="s">
        <v>1225</v>
      </c>
      <c r="D510" s="5" t="n">
        <v>13195182.125</v>
      </c>
    </row>
    <row r="511" customFormat="false" ht="15" hidden="false" customHeight="false" outlineLevel="0" collapsed="false">
      <c r="A511" s="4" t="s">
        <v>1226</v>
      </c>
      <c r="B511" s="4" t="s">
        <v>1192</v>
      </c>
      <c r="C511" s="4" t="s">
        <v>1225</v>
      </c>
      <c r="D511" s="5" t="n">
        <v>13195182.125</v>
      </c>
    </row>
    <row r="512" customFormat="false" ht="55.2" hidden="false" customHeight="false" outlineLevel="0" collapsed="false">
      <c r="A512" s="4" t="s">
        <v>1227</v>
      </c>
      <c r="B512" s="4" t="s">
        <v>1228</v>
      </c>
      <c r="C512" s="4" t="s">
        <v>1229</v>
      </c>
      <c r="D512" s="4" t="s">
        <v>1230</v>
      </c>
    </row>
    <row r="513" customFormat="false" ht="95.5" hidden="false" customHeight="false" outlineLevel="0" collapsed="false">
      <c r="A513" s="4" t="s">
        <v>1231</v>
      </c>
      <c r="B513" s="4" t="s">
        <v>1227</v>
      </c>
      <c r="C513" s="4" t="s">
        <v>1232</v>
      </c>
      <c r="D513" s="4" t="s">
        <v>1233</v>
      </c>
    </row>
    <row r="514" customFormat="false" ht="95.5" hidden="false" customHeight="false" outlineLevel="0" collapsed="false">
      <c r="A514" s="4" t="s">
        <v>1234</v>
      </c>
      <c r="B514" s="4" t="s">
        <v>1231</v>
      </c>
      <c r="C514" s="4" t="s">
        <v>1235</v>
      </c>
      <c r="D514" s="4" t="s">
        <v>1236</v>
      </c>
    </row>
    <row r="515" customFormat="false" ht="82.05" hidden="false" customHeight="false" outlineLevel="0" collapsed="false">
      <c r="A515" s="4" t="s">
        <v>1237</v>
      </c>
      <c r="B515" s="4" t="s">
        <v>1234</v>
      </c>
      <c r="C515" s="4" t="s">
        <v>1238</v>
      </c>
      <c r="D515" s="4" t="s">
        <v>1239</v>
      </c>
    </row>
    <row r="516" customFormat="false" ht="95.5" hidden="false" customHeight="false" outlineLevel="0" collapsed="false">
      <c r="A516" s="4" t="s">
        <v>1240</v>
      </c>
      <c r="B516" s="4" t="s">
        <v>1237</v>
      </c>
      <c r="C516" s="4" t="s">
        <v>1241</v>
      </c>
      <c r="D516" s="4" t="s">
        <v>1242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75317"/>
    <pageSetUpPr fitToPage="false"/>
  </sheetPr>
  <dimension ref="A1:AK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20" min="16" style="6" width="3.43"/>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 collapsed="false" customWidth="true" hidden="false" outlineLevel="0" max="37" min="37" style="6" width="1.71"/>
  </cols>
  <sheetData>
    <row r="1" customFormat="false" ht="13.5" hidden="false" customHeight="true" outlineLevel="0" collapsed="false">
      <c r="A1" s="7" t="s">
        <v>1243</v>
      </c>
      <c r="B1" s="8"/>
      <c r="C1" s="8"/>
      <c r="D1" s="8"/>
      <c r="E1" s="8"/>
      <c r="F1" s="8"/>
      <c r="G1" s="8"/>
      <c r="H1" s="8"/>
      <c r="I1" s="8"/>
      <c r="J1" s="8"/>
      <c r="K1" s="8"/>
      <c r="L1" s="8"/>
      <c r="M1" s="8"/>
      <c r="N1" s="8"/>
      <c r="O1" s="9"/>
      <c r="P1" s="9"/>
      <c r="Q1" s="9"/>
      <c r="R1" s="9"/>
      <c r="S1" s="9"/>
      <c r="T1" s="9"/>
      <c r="U1" s="8"/>
      <c r="V1" s="8"/>
      <c r="W1" s="8"/>
      <c r="X1" s="8"/>
      <c r="Y1" s="8"/>
      <c r="Z1" s="8"/>
      <c r="AA1" s="8"/>
      <c r="AB1" s="8"/>
      <c r="AC1" s="8"/>
      <c r="AD1" s="8"/>
      <c r="AE1" s="8"/>
      <c r="AF1" s="8"/>
      <c r="AG1" s="8"/>
      <c r="AH1" s="9"/>
      <c r="AI1" s="9"/>
      <c r="AJ1" s="9"/>
      <c r="AK1" s="9"/>
    </row>
    <row r="2" customFormat="false" ht="13.5" hidden="false" customHeight="true" outlineLevel="0" collapsed="false">
      <c r="A2" s="10" t="s">
        <v>1244</v>
      </c>
      <c r="B2" s="11"/>
      <c r="C2" s="11"/>
      <c r="D2" s="11"/>
      <c r="E2" s="11"/>
      <c r="F2" s="11"/>
      <c r="G2" s="11"/>
      <c r="H2" s="11"/>
      <c r="I2" s="11"/>
      <c r="J2" s="11"/>
      <c r="K2" s="11"/>
      <c r="L2" s="11"/>
      <c r="M2" s="11"/>
      <c r="N2" s="11"/>
      <c r="O2" s="9"/>
      <c r="P2" s="9"/>
      <c r="Q2" s="9"/>
      <c r="R2" s="9"/>
      <c r="S2" s="9"/>
      <c r="T2" s="9"/>
      <c r="U2" s="11"/>
      <c r="V2" s="11"/>
      <c r="W2" s="11"/>
      <c r="X2" s="11"/>
      <c r="Y2" s="11"/>
      <c r="Z2" s="11"/>
      <c r="AA2" s="11"/>
      <c r="AB2" s="11"/>
      <c r="AC2" s="11"/>
      <c r="AD2" s="11"/>
      <c r="AE2" s="11"/>
      <c r="AF2" s="11"/>
      <c r="AG2" s="11"/>
      <c r="AH2" s="9"/>
      <c r="AI2" s="9"/>
      <c r="AJ2" s="9"/>
      <c r="AK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row>
    <row r="4" customFormat="false" ht="13.5" hidden="false" customHeight="true" outlineLevel="0" collapsed="false">
      <c r="A4" s="9"/>
      <c r="B4" s="12"/>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9"/>
      <c r="S7" s="9"/>
      <c r="T7" s="9"/>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c r="AK7" s="9"/>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9"/>
      <c r="S8" s="9"/>
      <c r="T8" s="9"/>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c r="AK8" s="9"/>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c r="AK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c r="AK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c r="AK11" s="9"/>
    </row>
    <row r="12" customFormat="false" ht="13.5" hidden="false" customHeight="true" outlineLevel="0" collapsed="false">
      <c r="A12" s="23" t="s">
        <v>1268</v>
      </c>
      <c r="B12" s="12" t="n">
        <f aca="false">SUM(FO!B12,PO!B12,CO!B12,FE!B12,PE!B12)</f>
        <v>534716.78</v>
      </c>
      <c r="C12" s="12" t="n">
        <f aca="false">SUM(FO!C12,PO!C12,CO!C12,FE!C12,PE!C12)</f>
        <v>494949.28</v>
      </c>
      <c r="D12" s="12" t="n">
        <f aca="false">SUM(FO!D12,PO!D12,CO!D12,FE!D12,PE!D12)</f>
        <v>468603.55</v>
      </c>
      <c r="E12" s="12" t="n">
        <f aca="false">SUM(FO!E12,PO!E12,CO!E12,FE!E12,PE!E12)</f>
        <v>481426.2</v>
      </c>
      <c r="F12" s="12" t="n">
        <f aca="false">SUM(FO!F12,PO!F12,CO!F12,FE!F12,PE!F12)</f>
        <v>501668.11</v>
      </c>
      <c r="G12" s="12" t="n">
        <f aca="false">SUM(FO!G12,PO!G12,CO!G12,FE!G12,PE!G12)</f>
        <v>473687.43</v>
      </c>
      <c r="H12" s="12" t="n">
        <f aca="false">SUM(FO!H12,PO!H12,CO!H12,FE!H12,PE!H12)</f>
        <v>454042.16</v>
      </c>
      <c r="I12" s="12" t="n">
        <f aca="false">SUM(FO!I12,PO!I12,CO!I12,FE!I12,PE!I12)</f>
        <v>467055.56</v>
      </c>
      <c r="J12" s="12" t="n">
        <f aca="false">SUM(FO!J12,PO!J12,CO!J12,FE!J12,PE!J12)</f>
        <v>531107.333333333</v>
      </c>
      <c r="K12" s="12" t="n">
        <f aca="false">SUM(FO!K12,PO!K12,CO!K12,FE!K12,PE!K12)</f>
        <v>626940.666666667</v>
      </c>
      <c r="L12" s="12" t="n">
        <f aca="false">SUM(FO!L12,PO!L12,CO!L12,FE!L12,PE!L12)</f>
        <v>651940.666666667</v>
      </c>
      <c r="M12" s="12" t="n">
        <f aca="false">SUM(FO!M12,PO!M12,CO!M12,FE!M12,PE!M12)</f>
        <v>676940.666666667</v>
      </c>
      <c r="N12" s="12" t="n">
        <f aca="false">SUM(B12:M12)</f>
        <v>6363078.40333333</v>
      </c>
      <c r="O12" s="24" t="n">
        <f aca="false">IFERROR(N12/N$16,"")</f>
        <v>0.85710266984156</v>
      </c>
      <c r="P12" s="12"/>
      <c r="Q12" s="12"/>
      <c r="R12" s="12"/>
      <c r="S12" s="25"/>
      <c r="T12" s="12"/>
      <c r="U12" s="12" t="n">
        <f aca="false">SUM(FO!U12,PO!U12,CO!U12,FE!U12,PE!U12)</f>
        <v>783428.416666667</v>
      </c>
      <c r="V12" s="12" t="n">
        <f aca="false">SUM(FO!V12,PO!V12,CO!V12,FE!V12,PE!V12)</f>
        <v>821920.5</v>
      </c>
      <c r="W12" s="12" t="n">
        <f aca="false">SUM(FO!W12,PO!W12,CO!W12,FE!W12,PE!W12)</f>
        <v>807745.916666667</v>
      </c>
      <c r="X12" s="12" t="n">
        <f aca="false">SUM(FO!X12,PO!X12,CO!X12,FE!X12,PE!X12)</f>
        <v>907121.875</v>
      </c>
      <c r="Y12" s="12" t="n">
        <f aca="false">SUM(FO!Y12,PO!Y12,CO!Y12,FE!Y12,PE!Y12)</f>
        <v>997375.833333334</v>
      </c>
      <c r="Z12" s="12" t="n">
        <f aca="false">SUM(FO!Z12,PO!Z12,CO!Z12,FE!Z12,PE!Z12)</f>
        <v>1116046.45833333</v>
      </c>
      <c r="AA12" s="12" t="n">
        <f aca="false">SUM(FO!AA12,PO!AA12,CO!AA12,FE!AA12,PE!AA12)</f>
        <v>1231592.08333333</v>
      </c>
      <c r="AB12" s="12" t="n">
        <f aca="false">SUM(FO!AB12,PO!AB12,CO!AB12,FE!AB12,PE!AB12)</f>
        <v>1379626.04166667</v>
      </c>
      <c r="AC12" s="12" t="n">
        <f aca="false">SUM(FO!AC12,PO!AC12,CO!AC12,FE!AC12,PE!AC12)</f>
        <v>1561856.66666667</v>
      </c>
      <c r="AD12" s="12" t="n">
        <f aca="false">SUM(FO!AD12,PO!AD12,CO!AD12,FE!AD12,PE!AD12)</f>
        <v>1751627.29166667</v>
      </c>
      <c r="AE12" s="12" t="n">
        <f aca="false">SUM(FO!AE12,PO!AE12,CO!AE12,FE!AE12,PE!AE12)</f>
        <v>1975163.25</v>
      </c>
      <c r="AF12" s="12" t="n">
        <f aca="false">SUM(FO!AF12,PO!AF12,CO!AF12,FE!AF12,PE!AF12)</f>
        <v>2230141.20833333</v>
      </c>
      <c r="AG12" s="12" t="n">
        <f aca="false">SUM(U12:AF12)</f>
        <v>15563645.5416667</v>
      </c>
      <c r="AH12" s="24" t="n">
        <f aca="false">IFERROR(AG12/AG$16,"")</f>
        <v>1</v>
      </c>
      <c r="AI12" s="9"/>
      <c r="AJ12" s="12" t="n">
        <f aca="false">AG12-N12</f>
        <v>9200567.13833334</v>
      </c>
      <c r="AK12" s="9"/>
    </row>
    <row r="13" customFormat="false" ht="13.5" hidden="false" customHeight="true" outlineLevel="0" collapsed="false">
      <c r="A13" s="23" t="s">
        <v>1269</v>
      </c>
      <c r="B13" s="12" t="n">
        <f aca="false">SUM(FO!B13,PO!B13,CO!B13,FE!B13,PE!B13)</f>
        <v>8277.78</v>
      </c>
      <c r="C13" s="12" t="n">
        <f aca="false">SUM(FO!C13,PO!C13,CO!C13,FE!C13,PE!C13)</f>
        <v>8277.78</v>
      </c>
      <c r="D13" s="12" t="n">
        <f aca="false">SUM(FO!D13,PO!D13,CO!D13,FE!D13,PE!D13)</f>
        <v>18277.78</v>
      </c>
      <c r="E13" s="12" t="n">
        <f aca="false">SUM(FO!E13,PO!E13,CO!E13,FE!E13,PE!E13)</f>
        <v>18277.78</v>
      </c>
      <c r="F13" s="12" t="n">
        <f aca="false">SUM(FO!F13,PO!F13,CO!F13,FE!F13,PE!F13)</f>
        <v>18277.78</v>
      </c>
      <c r="G13" s="12" t="n">
        <f aca="false">SUM(FO!G13,PO!G13,CO!G13,FE!G13,PE!G13)</f>
        <v>6055.57</v>
      </c>
      <c r="H13" s="12" t="n">
        <f aca="false">SUM(FO!H13,PO!H13,CO!H13,FE!H13,PE!H13)</f>
        <v>2166.67</v>
      </c>
      <c r="I13" s="12" t="n">
        <f aca="false">SUM(FO!I13,PO!I13,CO!I13,FE!I13,PE!I13)</f>
        <v>4250</v>
      </c>
      <c r="J13" s="12" t="n">
        <f aca="false">SUM(FO!J13,PO!J13,CO!J13,FE!J13,PE!J13)</f>
        <v>500</v>
      </c>
      <c r="K13" s="12" t="n">
        <f aca="false">SUM(FO!K13,PO!K13,CO!K13,FE!K13,PE!K13)</f>
        <v>500</v>
      </c>
      <c r="L13" s="12" t="n">
        <f aca="false">SUM(FO!L13,PO!L13,CO!L13,FE!L13,PE!L13)</f>
        <v>500</v>
      </c>
      <c r="M13" s="12" t="n">
        <f aca="false">SUM(FO!M13,PO!M13,CO!M13,FE!M13,PE!M13)</f>
        <v>500</v>
      </c>
      <c r="N13" s="12" t="n">
        <f aca="false">SUM(B13:M13)</f>
        <v>85861.14</v>
      </c>
      <c r="O13" s="24" t="n">
        <f aca="false">IFERROR(N13/N$16,"")</f>
        <v>0.0115654417036711</v>
      </c>
      <c r="P13" s="12"/>
      <c r="Q13" s="12"/>
      <c r="R13" s="12"/>
      <c r="S13" s="12"/>
      <c r="T13" s="12"/>
      <c r="U13" s="12" t="n">
        <f aca="false">SUM(FO!U13,PO!U13,CO!U13,FE!U13,PE!U13)</f>
        <v>0</v>
      </c>
      <c r="V13" s="12" t="n">
        <f aca="false">SUM(FO!V13,PO!V13,CO!V13,FE!V13,PE!V13)</f>
        <v>0</v>
      </c>
      <c r="W13" s="12" t="n">
        <f aca="false">SUM(FO!W13,PO!W13,CO!W13,FE!W13,PE!W13)</f>
        <v>0</v>
      </c>
      <c r="X13" s="12" t="n">
        <f aca="false">SUM(FO!X13,PO!X13,CO!X13,FE!X13,PE!X13)</f>
        <v>0</v>
      </c>
      <c r="Y13" s="12" t="n">
        <f aca="false">SUM(FO!Y13,PO!Y13,CO!Y13,FE!Y13,PE!Y13)</f>
        <v>0</v>
      </c>
      <c r="Z13" s="12" t="n">
        <f aca="false">SUM(FO!Z13,PO!Z13,CO!Z13,FE!Z13,PE!Z13)</f>
        <v>0</v>
      </c>
      <c r="AA13" s="12" t="n">
        <f aca="false">SUM(FO!AA13,PO!AA13,CO!AA13,FE!AA13,PE!AA13)</f>
        <v>0</v>
      </c>
      <c r="AB13" s="12" t="n">
        <f aca="false">SUM(FO!AB13,PO!AB13,CO!AB13,FE!AB13,PE!AB13)</f>
        <v>0</v>
      </c>
      <c r="AC13" s="12" t="n">
        <f aca="false">SUM(FO!AC13,PO!AC13,CO!AC13,FE!AC13,PE!AC13)</f>
        <v>0</v>
      </c>
      <c r="AD13" s="12" t="n">
        <f aca="false">SUM(FO!AD13,PO!AD13,CO!AD13,FE!AD13,PE!AD13)</f>
        <v>0</v>
      </c>
      <c r="AE13" s="12" t="n">
        <f aca="false">SUM(FO!AE13,PO!AE13,CO!AE13,FE!AE13,PE!AE13)</f>
        <v>0</v>
      </c>
      <c r="AF13" s="12" t="n">
        <f aca="false">SUM(FO!AF13,PO!AF13,CO!AF13,FE!AF13,PE!AF13)</f>
        <v>0</v>
      </c>
      <c r="AG13" s="12" t="n">
        <f aca="false">SUM(U13:AF13)</f>
        <v>0</v>
      </c>
      <c r="AH13" s="24" t="n">
        <f aca="false">IFERROR(AG13/AG$16,"")</f>
        <v>0</v>
      </c>
      <c r="AI13" s="9"/>
      <c r="AJ13" s="12" t="n">
        <f aca="false">AG13-N13</f>
        <v>-85861.14</v>
      </c>
      <c r="AK13" s="12"/>
    </row>
    <row r="14" customFormat="false" ht="13.5" hidden="false" customHeight="true" outlineLevel="0" collapsed="false">
      <c r="A14" s="26" t="s">
        <v>1270</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12"/>
      <c r="S14" s="12"/>
      <c r="T14" s="12"/>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c r="AK14" s="9"/>
    </row>
    <row r="15" customFormat="false" ht="13.5" hidden="false" customHeight="true" outlineLevel="0" collapsed="false">
      <c r="A15" s="23" t="s">
        <v>1271</v>
      </c>
      <c r="B15" s="12" t="n">
        <f aca="false">SUM(FO!B15,PO!B15,CO!B15,FE!B15,PE!B15)</f>
        <v>0</v>
      </c>
      <c r="C15" s="12" t="n">
        <f aca="false">SUM(FO!C15,PO!C15,CO!C15,FE!C15,PE!C15)</f>
        <v>0</v>
      </c>
      <c r="D15" s="12" t="n">
        <f aca="false">SUM(FO!D15,PO!D15,CO!D15,FE!D15,PE!D15)</f>
        <v>60000</v>
      </c>
      <c r="E15" s="12" t="n">
        <f aca="false">SUM(FO!E15,PO!E15,CO!E15,FE!E15,PE!E15)</f>
        <v>250000</v>
      </c>
      <c r="F15" s="12" t="n">
        <f aca="false">SUM(FO!F15,PO!F15,CO!F15,FE!F15,PE!F15)</f>
        <v>0</v>
      </c>
      <c r="G15" s="12" t="n">
        <f aca="false">SUM(FO!G15,PO!G15,CO!G15,FE!G15,PE!G15)</f>
        <v>0</v>
      </c>
      <c r="H15" s="12" t="n">
        <f aca="false">SUM(FO!H15,PO!H15,CO!H15,FE!H15,PE!H15)</f>
        <v>185000</v>
      </c>
      <c r="I15" s="12" t="n">
        <f aca="false">SUM(FO!I15,PO!I15,CO!I15,FE!I15,PE!I15)</f>
        <v>0</v>
      </c>
      <c r="J15" s="12" t="n">
        <f aca="false">SUM(FO!J15,PO!J15,CO!J15,FE!J15,PE!J15)</f>
        <v>120000</v>
      </c>
      <c r="K15" s="12" t="n">
        <f aca="false">SUM(FO!K15,PO!K15,CO!K15,FE!K15,PE!K15)</f>
        <v>120000</v>
      </c>
      <c r="L15" s="12" t="n">
        <f aca="false">SUM(FO!L15,PO!L15,CO!L15,FE!L15,PE!L15)</f>
        <v>120000</v>
      </c>
      <c r="M15" s="12" t="n">
        <f aca="false">SUM(FO!M15,PO!M15,CO!M15,FE!M15,PE!M15)</f>
        <v>120000</v>
      </c>
      <c r="N15" s="12" t="n">
        <f aca="false">SUM(B15:M15)</f>
        <v>975000</v>
      </c>
      <c r="O15" s="24" t="n">
        <f aca="false">IFERROR(N15/N$16,"")</f>
        <v>0.131331888454769</v>
      </c>
      <c r="P15" s="12"/>
      <c r="Q15" s="12"/>
      <c r="R15" s="12"/>
      <c r="S15" s="12"/>
      <c r="T15" s="12"/>
      <c r="U15" s="12" t="n">
        <f aca="false">SUM(FO!U15,PO!U15,CO!U15,FE!U15,PE!U15)</f>
        <v>0</v>
      </c>
      <c r="V15" s="12" t="n">
        <f aca="false">SUM(FO!V15,PO!V15,CO!V15,FE!V15,PE!V15)</f>
        <v>0</v>
      </c>
      <c r="W15" s="12" t="n">
        <f aca="false">SUM(FO!W15,PO!W15,CO!W15,FE!W15,PE!W15)</f>
        <v>0</v>
      </c>
      <c r="X15" s="12" t="n">
        <f aca="false">SUM(FO!X15,PO!X15,CO!X15,FE!X15,PE!X15)</f>
        <v>0</v>
      </c>
      <c r="Y15" s="12" t="n">
        <f aca="false">SUM(FO!Y15,PO!Y15,CO!Y15,FE!Y15,PE!Y15)</f>
        <v>0</v>
      </c>
      <c r="Z15" s="12" t="n">
        <f aca="false">SUM(FO!Z15,PO!Z15,CO!Z15,FE!Z15,PE!Z15)</f>
        <v>0</v>
      </c>
      <c r="AA15" s="12" t="n">
        <f aca="false">SUM(FO!AA15,PO!AA15,CO!AA15,FE!AA15,PE!AA15)</f>
        <v>0</v>
      </c>
      <c r="AB15" s="12" t="n">
        <f aca="false">SUM(FO!AB15,PO!AB15,CO!AB15,FE!AB15,PE!AB15)</f>
        <v>0</v>
      </c>
      <c r="AC15" s="12" t="n">
        <f aca="false">SUM(FO!AC15,PO!AC15,CO!AC15,FE!AC15,PE!AC15)</f>
        <v>0</v>
      </c>
      <c r="AD15" s="12" t="n">
        <f aca="false">SUM(FO!AD15,PO!AD15,CO!AD15,FE!AD15,PE!AD15)</f>
        <v>0</v>
      </c>
      <c r="AE15" s="12" t="n">
        <f aca="false">SUM(FO!AE15,PO!AE15,CO!AE15,FE!AE15,PE!AE15)</f>
        <v>0</v>
      </c>
      <c r="AF15" s="12" t="n">
        <f aca="false">SUM(FO!AF15,PO!AF15,CO!AF15,FE!AF15,PE!AF15)</f>
        <v>0</v>
      </c>
      <c r="AG15" s="12" t="n">
        <f aca="false">SUM(U15:AF15)</f>
        <v>0</v>
      </c>
      <c r="AH15" s="24" t="n">
        <f aca="false">IFERROR(AG15/AG$16,"")</f>
        <v>0</v>
      </c>
      <c r="AI15" s="9"/>
      <c r="AJ15" s="12" t="n">
        <f aca="false">AG15-N15</f>
        <v>-975000</v>
      </c>
      <c r="AK15" s="9"/>
    </row>
    <row r="16" customFormat="false" ht="13.5" hidden="false" customHeight="true" outlineLevel="0" collapsed="false">
      <c r="A16" s="29" t="s">
        <v>1272</v>
      </c>
      <c r="B16" s="30" t="n">
        <f aca="false">B14+B15</f>
        <v>542994.56</v>
      </c>
      <c r="C16" s="30" t="n">
        <f aca="false">C14+C15</f>
        <v>503227.06</v>
      </c>
      <c r="D16" s="30" t="n">
        <f aca="false">D14+D15</f>
        <v>546881.33</v>
      </c>
      <c r="E16" s="30" t="n">
        <f aca="false">E14+E15</f>
        <v>749703.98</v>
      </c>
      <c r="F16" s="30" t="n">
        <f aca="false">F14+F15</f>
        <v>519945.89</v>
      </c>
      <c r="G16" s="30" t="n">
        <f aca="false">G14+G15</f>
        <v>479743</v>
      </c>
      <c r="H16" s="30" t="n">
        <f aca="false">H14+H15</f>
        <v>641208.83</v>
      </c>
      <c r="I16" s="30" t="n">
        <f aca="false">I14+I15</f>
        <v>471305.56</v>
      </c>
      <c r="J16" s="30" t="n">
        <f aca="false">J14+J15</f>
        <v>651607.333333333</v>
      </c>
      <c r="K16" s="30" t="n">
        <f aca="false">K14+K15</f>
        <v>747440.666666667</v>
      </c>
      <c r="L16" s="30" t="n">
        <f aca="false">L14+L15</f>
        <v>772440.666666667</v>
      </c>
      <c r="M16" s="30" t="n">
        <f aca="false">M14+M15</f>
        <v>797440.666666667</v>
      </c>
      <c r="N16" s="30" t="n">
        <f aca="false">SUM(B16:M16)</f>
        <v>7423939.54333333</v>
      </c>
      <c r="O16" s="31" t="n">
        <f aca="false">SUM(O14:O15)</f>
        <v>1</v>
      </c>
      <c r="P16" s="12"/>
      <c r="Q16" s="12"/>
      <c r="R16" s="12"/>
      <c r="S16" s="12"/>
      <c r="T16" s="12"/>
      <c r="U16" s="30" t="n">
        <f aca="false">U14+U15</f>
        <v>783428.416666667</v>
      </c>
      <c r="V16" s="30" t="n">
        <f aca="false">V14+V15</f>
        <v>821920.5</v>
      </c>
      <c r="W16" s="30" t="n">
        <f aca="false">W14+W15</f>
        <v>807745.916666667</v>
      </c>
      <c r="X16" s="30" t="n">
        <f aca="false">X14+X15</f>
        <v>907121.875</v>
      </c>
      <c r="Y16" s="30" t="n">
        <f aca="false">Y14+Y15</f>
        <v>997375.833333334</v>
      </c>
      <c r="Z16" s="30" t="n">
        <f aca="false">Z14+Z15</f>
        <v>1116046.45833333</v>
      </c>
      <c r="AA16" s="30" t="n">
        <f aca="false">AA14+AA15</f>
        <v>1231592.08333333</v>
      </c>
      <c r="AB16" s="30" t="n">
        <f aca="false">AB14+AB15</f>
        <v>1379626.04166667</v>
      </c>
      <c r="AC16" s="30" t="n">
        <f aca="false">AC14+AC15</f>
        <v>1561856.66666667</v>
      </c>
      <c r="AD16" s="30" t="n">
        <f aca="false">AD14+AD15</f>
        <v>1751627.29166667</v>
      </c>
      <c r="AE16" s="30" t="n">
        <f aca="false">AE14+AE15</f>
        <v>1975163.25</v>
      </c>
      <c r="AF16" s="30" t="n">
        <f aca="false">AF14+AF15</f>
        <v>2230141.20833333</v>
      </c>
      <c r="AG16" s="30" t="n">
        <f aca="false">SUM(U16:AF16)</f>
        <v>15563645.5416667</v>
      </c>
      <c r="AH16" s="31" t="n">
        <f aca="false">SUM(AH14:AH15)</f>
        <v>1</v>
      </c>
      <c r="AI16" s="9"/>
      <c r="AJ16" s="30" t="n">
        <f aca="false">AG16-N16</f>
        <v>8139705.99833334</v>
      </c>
      <c r="AK16" s="9"/>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12"/>
      <c r="S17" s="12"/>
      <c r="T17" s="12"/>
      <c r="U17" s="12"/>
      <c r="V17" s="12"/>
      <c r="W17" s="12"/>
      <c r="X17" s="12"/>
      <c r="Y17" s="12"/>
      <c r="Z17" s="12"/>
      <c r="AA17" s="12"/>
      <c r="AB17" s="12"/>
      <c r="AC17" s="12"/>
      <c r="AD17" s="12"/>
      <c r="AE17" s="12"/>
      <c r="AF17" s="12"/>
      <c r="AG17" s="12"/>
      <c r="AH17" s="24"/>
      <c r="AI17" s="9"/>
      <c r="AJ17" s="12"/>
      <c r="AK17" s="9"/>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12"/>
      <c r="S18" s="12"/>
      <c r="T18" s="12"/>
      <c r="U18" s="12"/>
      <c r="V18" s="12"/>
      <c r="W18" s="12"/>
      <c r="X18" s="12"/>
      <c r="Y18" s="12"/>
      <c r="Z18" s="12"/>
      <c r="AA18" s="12"/>
      <c r="AB18" s="12"/>
      <c r="AC18" s="12"/>
      <c r="AD18" s="12"/>
      <c r="AE18" s="12"/>
      <c r="AF18" s="12"/>
      <c r="AG18" s="12"/>
      <c r="AH18" s="24"/>
      <c r="AI18" s="9"/>
      <c r="AJ18" s="12"/>
      <c r="AK18" s="9"/>
    </row>
    <row r="19" customFormat="false" ht="13.5" hidden="false" customHeight="true" outlineLevel="0" collapsed="false">
      <c r="A19" s="23" t="s">
        <v>1275</v>
      </c>
      <c r="B19" s="12" t="n">
        <f aca="false">SUM(FO!B19,PO!B19,CO!B19,FE!B19,PE!B19)</f>
        <v>141122.35</v>
      </c>
      <c r="C19" s="12" t="n">
        <f aca="false">SUM(FO!C19,PO!C19,CO!C19,FE!C19,PE!C19)</f>
        <v>122211.9</v>
      </c>
      <c r="D19" s="12" t="n">
        <f aca="false">SUM(FO!D19,PO!D19,CO!D19,FE!D19,PE!D19)</f>
        <v>126630.2</v>
      </c>
      <c r="E19" s="12" t="n">
        <f aca="false">SUM(FO!E19,PO!E19,CO!E19,FE!E19,PE!E19)</f>
        <v>128215.48</v>
      </c>
      <c r="F19" s="12" t="n">
        <f aca="false">SUM(FO!F19,PO!F19,CO!F19,FE!F19,PE!F19)</f>
        <v>133968.64</v>
      </c>
      <c r="G19" s="12" t="n">
        <f aca="false">SUM(FO!G19,PO!G19,CO!G19,FE!G19,PE!G19)</f>
        <v>133968.64</v>
      </c>
      <c r="H19" s="12" t="n">
        <f aca="false">SUM(FO!H19,PO!H19,CO!H19,FE!H19,PE!H19)</f>
        <v>127510</v>
      </c>
      <c r="I19" s="12" t="n">
        <f aca="false">SUM(FO!I19,PO!I19,CO!I19,FE!I19,PE!I19)</f>
        <v>127510</v>
      </c>
      <c r="J19" s="12" t="n">
        <f aca="false">SUM(FO!J19,PO!J19,CO!J19,FE!J19,PE!J19)</f>
        <v>112797.85</v>
      </c>
      <c r="K19" s="12" t="n">
        <f aca="false">SUM(FO!K19,PO!K19,CO!K19,FE!K19,PE!K19)</f>
        <v>112797.85</v>
      </c>
      <c r="L19" s="12" t="n">
        <f aca="false">SUM(FO!L19,PO!L19,CO!L19,FE!L19,PE!L19)</f>
        <v>112797.85</v>
      </c>
      <c r="M19" s="12" t="n">
        <f aca="false">SUM(FO!M19,PO!M19,CO!M19,FE!M19,PE!M19)</f>
        <v>112797.85</v>
      </c>
      <c r="N19" s="12" t="n">
        <f aca="false">SUM(B19:M19)</f>
        <v>1492328.61</v>
      </c>
      <c r="O19" s="24" t="n">
        <f aca="false">IFERROR(N19/N$16,"")</f>
        <v>0.201015727739877</v>
      </c>
      <c r="P19" s="12"/>
      <c r="Q19" s="12"/>
      <c r="R19" s="12"/>
      <c r="S19" s="12"/>
      <c r="T19" s="12"/>
      <c r="U19" s="12" t="n">
        <f aca="false">SUM(FO!U19,PO!U19,CO!U19,FE!U19,PE!U19)</f>
        <v>112797.85</v>
      </c>
      <c r="V19" s="12" t="n">
        <f aca="false">SUM(FO!V19,PO!V19,CO!V19,FE!V19,PE!V19)</f>
        <v>112797.85</v>
      </c>
      <c r="W19" s="12" t="n">
        <f aca="false">SUM(FO!W19,PO!W19,CO!W19,FE!W19,PE!W19)</f>
        <v>112797.85</v>
      </c>
      <c r="X19" s="12" t="n">
        <f aca="false">SUM(FO!X19,PO!X19,CO!X19,FE!X19,PE!X19)</f>
        <v>112797.85</v>
      </c>
      <c r="Y19" s="12" t="n">
        <f aca="false">SUM(FO!Y19,PO!Y19,CO!Y19,FE!Y19,PE!Y19)</f>
        <v>112797.85</v>
      </c>
      <c r="Z19" s="12" t="n">
        <f aca="false">SUM(FO!Z19,PO!Z19,CO!Z19,FE!Z19,PE!Z19)</f>
        <v>112797.85</v>
      </c>
      <c r="AA19" s="12" t="n">
        <f aca="false">SUM(FO!AA19,PO!AA19,CO!AA19,FE!AA19,PE!AA19)</f>
        <v>112797.85</v>
      </c>
      <c r="AB19" s="12" t="n">
        <f aca="false">SUM(FO!AB19,PO!AB19,CO!AB19,FE!AB19,PE!AB19)</f>
        <v>112797.85</v>
      </c>
      <c r="AC19" s="12" t="n">
        <f aca="false">SUM(FO!AC19,PO!AC19,CO!AC19,FE!AC19,PE!AC19)</f>
        <v>112797.85</v>
      </c>
      <c r="AD19" s="12" t="n">
        <f aca="false">SUM(FO!AD19,PO!AD19,CO!AD19,FE!AD19,PE!AD19)</f>
        <v>112797.85</v>
      </c>
      <c r="AE19" s="12" t="n">
        <f aca="false">SUM(FO!AE19,PO!AE19,CO!AE19,FE!AE19,PE!AE19)</f>
        <v>112797.85</v>
      </c>
      <c r="AF19" s="12" t="n">
        <f aca="false">SUM(FO!AF19,PO!AF19,CO!AF19,FE!AF19,PE!AF19)</f>
        <v>112797.85</v>
      </c>
      <c r="AG19" s="12" t="n">
        <f aca="false">SUM(U19:AF19)</f>
        <v>1353574.2</v>
      </c>
      <c r="AH19" s="24" t="n">
        <f aca="false">IFERROR(AG19/AG$16,"")</f>
        <v>0.0869702536193233</v>
      </c>
      <c r="AI19" s="9"/>
      <c r="AJ19" s="12" t="n">
        <f aca="false">N19-AG19</f>
        <v>138754.41</v>
      </c>
      <c r="AK19" s="9"/>
    </row>
    <row r="20" customFormat="false" ht="13.5" hidden="false" customHeight="true" outlineLevel="0" collapsed="false">
      <c r="A20" s="23" t="s">
        <v>1276</v>
      </c>
      <c r="B20" s="12" t="n">
        <f aca="false">SUM(FO!B20,PO!B20,CO!B20,FE!B20,PE!B20)</f>
        <v>0</v>
      </c>
      <c r="C20" s="12" t="n">
        <f aca="false">SUM(FO!C20,PO!C20,CO!C20,FE!C20,PE!C20)</f>
        <v>0</v>
      </c>
      <c r="D20" s="12" t="n">
        <f aca="false">SUM(FO!D20,PO!D20,CO!D20,FE!D20,PE!D20)</f>
        <v>1677.96</v>
      </c>
      <c r="E20" s="12" t="n">
        <f aca="false">SUM(FO!E20,PO!E20,CO!E20,FE!E20,PE!E20)</f>
        <v>3263.24</v>
      </c>
      <c r="F20" s="12" t="n">
        <f aca="false">SUM(FO!F20,PO!F20,CO!F20,FE!F20,PE!F20)</f>
        <v>3263.24</v>
      </c>
      <c r="G20" s="12" t="n">
        <f aca="false">SUM(FO!G20,PO!G20,CO!G20,FE!G20,PE!G20)</f>
        <v>11653.04</v>
      </c>
      <c r="H20" s="12" t="n">
        <f aca="false">SUM(FO!H20,PO!H20,CO!H20,FE!H20,PE!H20)</f>
        <v>7458.14</v>
      </c>
      <c r="I20" s="12" t="n">
        <f aca="false">SUM(FO!I20,PO!I20,CO!I20,FE!I20,PE!I20)</f>
        <v>9836.06</v>
      </c>
      <c r="J20" s="12" t="n">
        <f aca="false">SUM(FO!J20,PO!J20,CO!J20,FE!J20,PE!J20)</f>
        <v>8837.75714285714</v>
      </c>
      <c r="K20" s="12" t="n">
        <f aca="false">SUM(FO!K20,PO!K20,CO!K20,FE!K20,PE!K20)</f>
        <v>15802.0428571429</v>
      </c>
      <c r="L20" s="12" t="n">
        <f aca="false">SUM(FO!L20,PO!L20,CO!L20,FE!L20,PE!L20)</f>
        <v>18123.4714285714</v>
      </c>
      <c r="M20" s="12" t="n">
        <f aca="false">SUM(FO!M20,PO!M20,CO!M20,FE!M20,PE!M20)</f>
        <v>20444.9</v>
      </c>
      <c r="N20" s="12" t="n">
        <f aca="false">SUM(B20:M20)</f>
        <v>100359.851428571</v>
      </c>
      <c r="O20" s="24" t="n">
        <f aca="false">IFERROR(N20/N$16,"")</f>
        <v>0.0135184090391326</v>
      </c>
      <c r="P20" s="12"/>
      <c r="Q20" s="12"/>
      <c r="R20" s="12"/>
      <c r="S20" s="12"/>
      <c r="T20" s="12"/>
      <c r="U20" s="12" t="n">
        <f aca="false">SUM(FO!U20,PO!U20,CO!U20,FE!U20,PE!U20)</f>
        <v>35921.0904761905</v>
      </c>
      <c r="V20" s="12" t="n">
        <f aca="false">SUM(FO!V20,PO!V20,CO!V20,FE!V20,PE!V20)</f>
        <v>42111.5666666667</v>
      </c>
      <c r="W20" s="12" t="n">
        <f aca="false">SUM(FO!W20,PO!W20,CO!W20,FE!W20,PE!W20)</f>
        <v>42111.5666666667</v>
      </c>
      <c r="X20" s="12" t="n">
        <f aca="false">SUM(FO!X20,PO!X20,CO!X20,FE!X20,PE!X20)</f>
        <v>59135.3761904762</v>
      </c>
      <c r="Y20" s="12" t="n">
        <f aca="false">SUM(FO!Y20,PO!Y20,CO!Y20,FE!Y20,PE!Y20)</f>
        <v>69968.7095238095</v>
      </c>
      <c r="Z20" s="12" t="n">
        <f aca="false">SUM(FO!Z20,PO!Z20,CO!Z20,FE!Z20,PE!Z20)</f>
        <v>85444.9</v>
      </c>
      <c r="AA20" s="12" t="n">
        <f aca="false">SUM(FO!AA20,PO!AA20,CO!AA20,FE!AA20,PE!AA20)</f>
        <v>99373.4714285714</v>
      </c>
      <c r="AB20" s="12" t="n">
        <f aca="false">SUM(FO!AB20,PO!AB20,CO!AB20,FE!AB20,PE!AB20)</f>
        <v>116397.280952381</v>
      </c>
      <c r="AC20" s="12" t="n">
        <f aca="false">SUM(FO!AC20,PO!AC20,CO!AC20,FE!AC20,PE!AC20)</f>
        <v>138063.947619048</v>
      </c>
      <c r="AD20" s="12" t="n">
        <f aca="false">SUM(FO!AD20,PO!AD20,CO!AD20,FE!AD20,PE!AD20)</f>
        <v>159730.614285714</v>
      </c>
      <c r="AE20" s="12" t="n">
        <f aca="false">SUM(FO!AE20,PO!AE20,CO!AE20,FE!AE20,PE!AE20)</f>
        <v>186040.138095238</v>
      </c>
      <c r="AF20" s="12" t="n">
        <f aca="false">SUM(FO!AF20,PO!AF20,CO!AF20,FE!AF20,PE!AF20)</f>
        <v>213897.280952381</v>
      </c>
      <c r="AG20" s="12" t="n">
        <f aca="false">SUM(U20:AF20)</f>
        <v>1248195.94285714</v>
      </c>
      <c r="AH20" s="24" t="n">
        <f aca="false">IFERROR(AG20/AG$16,"")</f>
        <v>0.0801994583798184</v>
      </c>
      <c r="AI20" s="9"/>
      <c r="AJ20" s="12" t="n">
        <f aca="false">N20-AG20</f>
        <v>-1147836.09142857</v>
      </c>
      <c r="AK20" s="9"/>
    </row>
    <row r="21" customFormat="false" ht="13.5" hidden="false" customHeight="true" outlineLevel="0" collapsed="false">
      <c r="A21" s="23" t="s">
        <v>1277</v>
      </c>
      <c r="B21" s="12" t="n">
        <f aca="false">SUM(FO!B21,PO!B21,CO!B21,FE!B21,PE!B21)</f>
        <v>0</v>
      </c>
      <c r="C21" s="12" t="n">
        <f aca="false">SUM(FO!C21,PO!C21,CO!C21,FE!C21,PE!C21)</f>
        <v>0</v>
      </c>
      <c r="D21" s="12" t="n">
        <f aca="false">SUM(FO!D21,PO!D21,CO!D21,FE!D21,PE!D21)</f>
        <v>0</v>
      </c>
      <c r="E21" s="12" t="n">
        <f aca="false">SUM(FO!E21,PO!E21,CO!E21,FE!E21,PE!E21)</f>
        <v>1791.23</v>
      </c>
      <c r="F21" s="12" t="n">
        <f aca="false">SUM(FO!F21,PO!F21,CO!F21,FE!F21,PE!F21)</f>
        <v>3124.54</v>
      </c>
      <c r="G21" s="12" t="n">
        <f aca="false">SUM(FO!G21,PO!G21,CO!G21,FE!G21,PE!G21)</f>
        <v>4796.43</v>
      </c>
      <c r="H21" s="12" t="n">
        <f aca="false">SUM(FO!H21,PO!H21,CO!H21,FE!H21,PE!H21)</f>
        <v>3293.79</v>
      </c>
      <c r="I21" s="12" t="n">
        <f aca="false">SUM(FO!I21,PO!I21,CO!I21,FE!I21,PE!I21)</f>
        <v>3909.48</v>
      </c>
      <c r="J21" s="12" t="n">
        <f aca="false">SUM(FO!J21,PO!J21,CO!J21,FE!J21,PE!J21)</f>
        <v>2969.30666666667</v>
      </c>
      <c r="K21" s="12" t="n">
        <f aca="false">SUM(FO!K21,PO!K21,CO!K21,FE!K21,PE!K21)</f>
        <v>4902.64</v>
      </c>
      <c r="L21" s="12" t="n">
        <f aca="false">SUM(FO!L21,PO!L21,CO!L21,FE!L21,PE!L21)</f>
        <v>5702.64</v>
      </c>
      <c r="M21" s="12" t="n">
        <f aca="false">SUM(FO!M21,PO!M21,CO!M21,FE!M21,PE!M21)</f>
        <v>6502.64</v>
      </c>
      <c r="N21" s="12" t="n">
        <f aca="false">SUM(B21:M21)</f>
        <v>36992.6966666667</v>
      </c>
      <c r="O21" s="24" t="n">
        <f aca="false">IFERROR(N21/N$16,"")</f>
        <v>0.00498289303822335</v>
      </c>
      <c r="P21" s="12"/>
      <c r="Q21" s="12"/>
      <c r="R21" s="12"/>
      <c r="S21" s="12"/>
      <c r="T21" s="12"/>
      <c r="U21" s="12" t="n">
        <f aca="false">SUM(FO!U21,PO!U21,CO!U21,FE!U21,PE!U21)</f>
        <v>10502.64</v>
      </c>
      <c r="V21" s="12" t="n">
        <f aca="false">SUM(FO!V21,PO!V21,CO!V21,FE!V21,PE!V21)</f>
        <v>12102.64</v>
      </c>
      <c r="W21" s="12" t="n">
        <f aca="false">SUM(FO!W21,PO!W21,CO!W21,FE!W21,PE!W21)</f>
        <v>12102.64</v>
      </c>
      <c r="X21" s="12" t="n">
        <f aca="false">SUM(FO!X21,PO!X21,CO!X21,FE!X21,PE!X21)</f>
        <v>17835.9733333333</v>
      </c>
      <c r="Y21" s="12" t="n">
        <f aca="false">SUM(FO!Y21,PO!Y21,CO!Y21,FE!Y21,PE!Y21)</f>
        <v>21902.64</v>
      </c>
      <c r="Z21" s="12" t="n">
        <f aca="false">SUM(FO!Z21,PO!Z21,CO!Z21,FE!Z21,PE!Z21)</f>
        <v>28435.9733333333</v>
      </c>
      <c r="AA21" s="12" t="n">
        <f aca="false">SUM(FO!AA21,PO!AA21,CO!AA21,FE!AA21,PE!AA21)</f>
        <v>33302.64</v>
      </c>
      <c r="AB21" s="12" t="n">
        <f aca="false">SUM(FO!AB21,PO!AB21,CO!AB21,FE!AB21,PE!AB21)</f>
        <v>38969.3066666667</v>
      </c>
      <c r="AC21" s="12" t="n">
        <f aca="false">SUM(FO!AC21,PO!AC21,CO!AC21,FE!AC21,PE!AC21)</f>
        <v>47102.64</v>
      </c>
      <c r="AD21" s="12" t="n">
        <f aca="false">SUM(FO!AD21,PO!AD21,CO!AD21,FE!AD21,PE!AD21)</f>
        <v>55235.9733333333</v>
      </c>
      <c r="AE21" s="12" t="n">
        <f aca="false">SUM(FO!AE21,PO!AE21,CO!AE21,FE!AE21,PE!AE21)</f>
        <v>65835.9733333333</v>
      </c>
      <c r="AF21" s="12" t="n">
        <f aca="false">SUM(FO!AF21,PO!AF21,CO!AF21,FE!AF21,PE!AF21)</f>
        <v>75569.3066666667</v>
      </c>
      <c r="AG21" s="12" t="n">
        <f aca="false">SUM(U21:AF21)</f>
        <v>418898.346666667</v>
      </c>
      <c r="AH21" s="24" t="n">
        <f aca="false">IFERROR(AG21/AG$16,"")</f>
        <v>0.0269151816356393</v>
      </c>
      <c r="AI21" s="9"/>
      <c r="AJ21" s="12" t="n">
        <f aca="false">N21-AG21</f>
        <v>-381905.65</v>
      </c>
      <c r="AK21" s="9"/>
    </row>
    <row r="22" customFormat="false" ht="13.5" hidden="false" customHeight="true" outlineLevel="0" collapsed="false">
      <c r="A22" s="23" t="s">
        <v>1278</v>
      </c>
      <c r="B22" s="12" t="n">
        <f aca="false">SUM(FO!B22,PO!B22,CO!B22,FE!B22,PE!B22)</f>
        <v>8211.9</v>
      </c>
      <c r="C22" s="12" t="n">
        <f aca="false">SUM(FO!C22,PO!C22,CO!C22,FE!C22,PE!C22)</f>
        <v>10913.63</v>
      </c>
      <c r="D22" s="12" t="n">
        <f aca="false">SUM(FO!D22,PO!D22,CO!D22,FE!D22,PE!D22)</f>
        <v>10939.43</v>
      </c>
      <c r="E22" s="12" t="n">
        <f aca="false">SUM(FO!E22,PO!E22,CO!E22,FE!E22,PE!E22)</f>
        <v>13555.74</v>
      </c>
      <c r="F22" s="12" t="n">
        <f aca="false">SUM(FO!F22,PO!F22,CO!F22,FE!F22,PE!F22)</f>
        <v>13555.75</v>
      </c>
      <c r="G22" s="12" t="n">
        <f aca="false">SUM(FO!G22,PO!G22,CO!G22,FE!G22,PE!G22)</f>
        <v>13770.42</v>
      </c>
      <c r="H22" s="12" t="n">
        <f aca="false">SUM(FO!H22,PO!H22,CO!H22,FE!H22,PE!H22)</f>
        <v>8508.95</v>
      </c>
      <c r="I22" s="12" t="n">
        <f aca="false">SUM(FO!I22,PO!I22,CO!I22,FE!I22,PE!I22)</f>
        <v>8591.56</v>
      </c>
      <c r="J22" s="12" t="n">
        <f aca="false">SUM(FO!J22,PO!J22,CO!J22,FE!J22,PE!J22)</f>
        <v>14866.9966666667</v>
      </c>
      <c r="K22" s="12" t="n">
        <f aca="false">SUM(FO!K22,PO!K22,CO!K22,FE!K22,PE!K22)</f>
        <v>17475.33</v>
      </c>
      <c r="L22" s="12" t="n">
        <f aca="false">SUM(FO!L22,PO!L22,CO!L22,FE!L22,PE!L22)</f>
        <v>18500.33</v>
      </c>
      <c r="M22" s="12" t="n">
        <f aca="false">SUM(FO!M22,PO!M22,CO!M22,FE!M22,PE!M22)</f>
        <v>19525.33</v>
      </c>
      <c r="N22" s="12" t="n">
        <f aca="false">SUM(B22:M22)</f>
        <v>158415.366666667</v>
      </c>
      <c r="O22" s="24" t="n">
        <f aca="false">IFERROR(N22/N$16,"")</f>
        <v>0.0213384505277825</v>
      </c>
      <c r="P22" s="12"/>
      <c r="Q22" s="12"/>
      <c r="R22" s="12"/>
      <c r="S22" s="12"/>
      <c r="T22" s="12"/>
      <c r="U22" s="12" t="n">
        <f aca="false">SUM(FO!U22,PO!U22,CO!U22,FE!U22,PE!U22)</f>
        <v>20510.449047619</v>
      </c>
      <c r="V22" s="12" t="n">
        <f aca="false">SUM(FO!V22,PO!V22,CO!V22,FE!V22,PE!V22)</f>
        <v>20904.4966666667</v>
      </c>
      <c r="W22" s="12" t="n">
        <f aca="false">SUM(FO!W22,PO!W22,CO!W22,FE!W22,PE!W22)</f>
        <v>20904.4966666667</v>
      </c>
      <c r="X22" s="12" t="n">
        <f aca="false">SUM(FO!X22,PO!X22,CO!X22,FE!X22,PE!X22)</f>
        <v>21988.1276190476</v>
      </c>
      <c r="Y22" s="12" t="n">
        <f aca="false">SUM(FO!Y22,PO!Y22,CO!Y22,FE!Y22,PE!Y22)</f>
        <v>22677.710952381</v>
      </c>
      <c r="Z22" s="12" t="n">
        <f aca="false">SUM(FO!Z22,PO!Z22,CO!Z22,FE!Z22,PE!Z22)</f>
        <v>23662.83</v>
      </c>
      <c r="AA22" s="12" t="n">
        <f aca="false">SUM(FO!AA22,PO!AA22,CO!AA22,FE!AA22,PE!AA22)</f>
        <v>24549.4371428571</v>
      </c>
      <c r="AB22" s="12" t="n">
        <f aca="false">SUM(FO!AB22,PO!AB22,CO!AB22,FE!AB22,PE!AB22)</f>
        <v>25633.0680952381</v>
      </c>
      <c r="AC22" s="12" t="n">
        <f aca="false">SUM(FO!AC22,PO!AC22,CO!AC22,FE!AC22,PE!AC22)</f>
        <v>27012.2347619048</v>
      </c>
      <c r="AD22" s="12" t="n">
        <f aca="false">SUM(FO!AD22,PO!AD22,CO!AD22,FE!AD22,PE!AD22)</f>
        <v>28391.4014285714</v>
      </c>
      <c r="AE22" s="12" t="n">
        <f aca="false">SUM(FO!AE22,PO!AE22,CO!AE22,FE!AE22,PE!AE22)</f>
        <v>30066.1038095238</v>
      </c>
      <c r="AF22" s="12" t="n">
        <f aca="false">SUM(FO!AF22,PO!AF22,CO!AF22,FE!AF22,PE!AF22)</f>
        <v>31839.3180952381</v>
      </c>
      <c r="AG22" s="12" t="n">
        <f aca="false">SUM(U22:AF22)</f>
        <v>298139.674285714</v>
      </c>
      <c r="AH22" s="24" t="n">
        <f aca="false">IFERROR(AG22/AG$16,"")</f>
        <v>0.0191561593643045</v>
      </c>
      <c r="AI22" s="9"/>
      <c r="AJ22" s="12" t="n">
        <f aca="false">N22-AG22</f>
        <v>-139724.307619048</v>
      </c>
      <c r="AK22" s="9"/>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12"/>
      <c r="S23" s="12"/>
      <c r="T23" s="12"/>
      <c r="U23" s="12"/>
      <c r="V23" s="12"/>
      <c r="W23" s="12"/>
      <c r="X23" s="12"/>
      <c r="Y23" s="12"/>
      <c r="Z23" s="12"/>
      <c r="AA23" s="12"/>
      <c r="AB23" s="12"/>
      <c r="AC23" s="12"/>
      <c r="AD23" s="12"/>
      <c r="AE23" s="12"/>
      <c r="AF23" s="12"/>
      <c r="AG23" s="12"/>
      <c r="AH23" s="24"/>
      <c r="AI23" s="9"/>
      <c r="AJ23" s="12"/>
      <c r="AK23" s="9"/>
    </row>
    <row r="24" customFormat="false" ht="13.5" hidden="false" customHeight="true" outlineLevel="0" collapsed="false">
      <c r="A24" s="23" t="s">
        <v>1279</v>
      </c>
      <c r="B24" s="12" t="n">
        <f aca="false">SUM(FO!B24,PO!B24,CO!B24,FE!B24,PE!B24)</f>
        <v>2370.3</v>
      </c>
      <c r="C24" s="12" t="n">
        <f aca="false">SUM(FO!C24,PO!C24,CO!C24,FE!C24,PE!C24)</f>
        <v>3835.05</v>
      </c>
      <c r="D24" s="12" t="n">
        <f aca="false">SUM(FO!D24,PO!D24,CO!D24,FE!D24,PE!D24)</f>
        <v>11053.81</v>
      </c>
      <c r="E24" s="12" t="n">
        <f aca="false">SUM(FO!E24,PO!E24,CO!E24,FE!E24,PE!E24)</f>
        <v>8300.09</v>
      </c>
      <c r="F24" s="12" t="n">
        <f aca="false">SUM(FO!F24,PO!F24,CO!F24,FE!F24,PE!F24)</f>
        <v>0</v>
      </c>
      <c r="G24" s="12" t="n">
        <f aca="false">SUM(FO!G24,PO!G24,CO!G24,FE!G24,PE!G24)</f>
        <v>-544.45</v>
      </c>
      <c r="H24" s="12" t="n">
        <f aca="false">SUM(FO!H24,PO!H24,CO!H24,FE!H24,PE!H24)</f>
        <v>0</v>
      </c>
      <c r="I24" s="12" t="n">
        <f aca="false">SUM(FO!I24,PO!I24,CO!I24,FE!I24,PE!I24)</f>
        <v>93.45</v>
      </c>
      <c r="J24" s="12" t="n">
        <f aca="false">SUM(FO!J24,PO!J24,CO!J24,FE!J24,PE!J24)</f>
        <v>8800</v>
      </c>
      <c r="K24" s="12" t="n">
        <f aca="false">SUM(FO!K24,PO!K24,CO!K24,FE!K24,PE!K24)</f>
        <v>5400</v>
      </c>
      <c r="L24" s="12" t="n">
        <f aca="false">SUM(FO!L24,PO!L24,CO!L24,FE!L24,PE!L24)</f>
        <v>5400</v>
      </c>
      <c r="M24" s="12" t="n">
        <f aca="false">SUM(FO!M24,PO!M24,CO!M24,FE!M24,PE!M24)</f>
        <v>5400</v>
      </c>
      <c r="N24" s="12" t="n">
        <f aca="false">SUM(B24:M24)</f>
        <v>50108.25</v>
      </c>
      <c r="O24" s="24" t="n">
        <f aca="false">IFERROR(N24/N$16,"")</f>
        <v>0.00674954984580889</v>
      </c>
      <c r="P24" s="12"/>
      <c r="Q24" s="12"/>
      <c r="R24" s="12"/>
      <c r="S24" s="12"/>
      <c r="T24" s="12"/>
      <c r="U24" s="12" t="n">
        <f aca="false">SUM(FO!U24,PO!U24,CO!U24,FE!U24,PE!U24)</f>
        <v>0</v>
      </c>
      <c r="V24" s="12" t="n">
        <f aca="false">SUM(FO!V24,PO!V24,CO!V24,FE!V24,PE!V24)</f>
        <v>0</v>
      </c>
      <c r="W24" s="12" t="n">
        <f aca="false">SUM(FO!W24,PO!W24,CO!W24,FE!W24,PE!W24)</f>
        <v>0</v>
      </c>
      <c r="X24" s="12" t="n">
        <f aca="false">SUM(FO!X24,PO!X24,CO!X24,FE!X24,PE!X24)</f>
        <v>0</v>
      </c>
      <c r="Y24" s="12" t="n">
        <f aca="false">SUM(FO!Y24,PO!Y24,CO!Y24,FE!Y24,PE!Y24)</f>
        <v>0</v>
      </c>
      <c r="Z24" s="12" t="n">
        <f aca="false">SUM(FO!Z24,PO!Z24,CO!Z24,FE!Z24,PE!Z24)</f>
        <v>0</v>
      </c>
      <c r="AA24" s="12" t="n">
        <f aca="false">SUM(FO!AA24,PO!AA24,CO!AA24,FE!AA24,PE!AA24)</f>
        <v>0</v>
      </c>
      <c r="AB24" s="12" t="n">
        <f aca="false">SUM(FO!AB24,PO!AB24,CO!AB24,FE!AB24,PE!AB24)</f>
        <v>0</v>
      </c>
      <c r="AC24" s="12" t="n">
        <f aca="false">SUM(FO!AC24,PO!AC24,CO!AC24,FE!AC24,PE!AC24)</f>
        <v>0</v>
      </c>
      <c r="AD24" s="12" t="n">
        <f aca="false">SUM(FO!AD24,PO!AD24,CO!AD24,FE!AD24,PE!AD24)</f>
        <v>0</v>
      </c>
      <c r="AE24" s="12" t="n">
        <f aca="false">SUM(FO!AE24,PO!AE24,CO!AE24,FE!AE24,PE!AE24)</f>
        <v>0</v>
      </c>
      <c r="AF24" s="12" t="n">
        <f aca="false">SUM(FO!AF24,PO!AF24,CO!AF24,FE!AF24,PE!AF24)</f>
        <v>0</v>
      </c>
      <c r="AG24" s="12" t="n">
        <f aca="false">SUM(U24:AF24)</f>
        <v>0</v>
      </c>
      <c r="AH24" s="24" t="n">
        <f aca="false">IFERROR(AG24/AG$16,"")</f>
        <v>0</v>
      </c>
      <c r="AI24" s="9"/>
      <c r="AJ24" s="12" t="n">
        <f aca="false">N24-AG24</f>
        <v>50108.25</v>
      </c>
      <c r="AK24" s="9"/>
    </row>
    <row r="25" customFormat="false" ht="13.5" hidden="false" customHeight="true" outlineLevel="0" collapsed="false">
      <c r="A25" s="23" t="s">
        <v>1280</v>
      </c>
      <c r="B25" s="12" t="n">
        <f aca="false">SUM(FO!B25,PO!B25,CO!B25,FE!B25,PE!B25)</f>
        <v>0</v>
      </c>
      <c r="C25" s="12" t="n">
        <f aca="false">SUM(FO!C25,PO!C25,CO!C25,FE!C25,PE!C25)</f>
        <v>250</v>
      </c>
      <c r="D25" s="12" t="n">
        <f aca="false">SUM(FO!D25,PO!D25,CO!D25,FE!D25,PE!D25)</f>
        <v>2122.44</v>
      </c>
      <c r="E25" s="12" t="n">
        <f aca="false">SUM(FO!E25,PO!E25,CO!E25,FE!E25,PE!E25)</f>
        <v>261.8</v>
      </c>
      <c r="F25" s="12" t="n">
        <f aca="false">SUM(FO!F25,PO!F25,CO!F25,FE!F25,PE!F25)</f>
        <v>0</v>
      </c>
      <c r="G25" s="12" t="n">
        <f aca="false">SUM(FO!G25,PO!G25,CO!G25,FE!G25,PE!G25)</f>
        <v>-86.24</v>
      </c>
      <c r="H25" s="12" t="n">
        <f aca="false">SUM(FO!H25,PO!H25,CO!H25,FE!H25,PE!H25)</f>
        <v>0</v>
      </c>
      <c r="I25" s="12" t="n">
        <f aca="false">SUM(FO!I25,PO!I25,CO!I25,FE!I25,PE!I25)</f>
        <v>1638.89</v>
      </c>
      <c r="J25" s="12" t="n">
        <f aca="false">SUM(FO!J25,PO!J25,CO!J25,FE!J25,PE!J25)</f>
        <v>0</v>
      </c>
      <c r="K25" s="12" t="n">
        <f aca="false">SUM(FO!K25,PO!K25,CO!K25,FE!K25,PE!K25)</f>
        <v>0</v>
      </c>
      <c r="L25" s="12" t="n">
        <f aca="false">SUM(FO!L25,PO!L25,CO!L25,FE!L25,PE!L25)</f>
        <v>0</v>
      </c>
      <c r="M25" s="12" t="n">
        <f aca="false">SUM(FO!M25,PO!M25,CO!M25,FE!M25,PE!M25)</f>
        <v>0</v>
      </c>
      <c r="N25" s="12" t="n">
        <f aca="false">SUM(B25:M25)</f>
        <v>4186.89</v>
      </c>
      <c r="O25" s="24" t="n">
        <f aca="false">IFERROR(N25/N$16,"")</f>
        <v>0.000563971456874243</v>
      </c>
      <c r="P25" s="12"/>
      <c r="Q25" s="12"/>
      <c r="R25" s="12"/>
      <c r="S25" s="12"/>
      <c r="T25" s="12"/>
      <c r="U25" s="12" t="n">
        <f aca="false">SUM(FO!U25,PO!U25,CO!U25,FE!U25,PE!U25)</f>
        <v>0</v>
      </c>
      <c r="V25" s="12" t="n">
        <f aca="false">SUM(FO!V25,PO!V25,CO!V25,FE!V25,PE!V25)</f>
        <v>0</v>
      </c>
      <c r="W25" s="12" t="n">
        <f aca="false">SUM(FO!W25,PO!W25,CO!W25,FE!W25,PE!W25)</f>
        <v>0</v>
      </c>
      <c r="X25" s="12" t="n">
        <f aca="false">SUM(FO!X25,PO!X25,CO!X25,FE!X25,PE!X25)</f>
        <v>0</v>
      </c>
      <c r="Y25" s="12" t="n">
        <f aca="false">SUM(FO!Y25,PO!Y25,CO!Y25,FE!Y25,PE!Y25)</f>
        <v>0</v>
      </c>
      <c r="Z25" s="12" t="n">
        <f aca="false">SUM(FO!Z25,PO!Z25,CO!Z25,FE!Z25,PE!Z25)</f>
        <v>0</v>
      </c>
      <c r="AA25" s="12" t="n">
        <f aca="false">SUM(FO!AA25,PO!AA25,CO!AA25,FE!AA25,PE!AA25)</f>
        <v>0</v>
      </c>
      <c r="AB25" s="12" t="n">
        <f aca="false">SUM(FO!AB25,PO!AB25,CO!AB25,FE!AB25,PE!AB25)</f>
        <v>0</v>
      </c>
      <c r="AC25" s="12" t="n">
        <f aca="false">SUM(FO!AC25,PO!AC25,CO!AC25,FE!AC25,PE!AC25)</f>
        <v>0</v>
      </c>
      <c r="AD25" s="12" t="n">
        <f aca="false">SUM(FO!AD25,PO!AD25,CO!AD25,FE!AD25,PE!AD25)</f>
        <v>0</v>
      </c>
      <c r="AE25" s="12" t="n">
        <f aca="false">SUM(FO!AE25,PO!AE25,CO!AE25,FE!AE25,PE!AE25)</f>
        <v>0</v>
      </c>
      <c r="AF25" s="12" t="n">
        <f aca="false">SUM(FO!AF25,PO!AF25,CO!AF25,FE!AF25,PE!AF25)</f>
        <v>0</v>
      </c>
      <c r="AG25" s="12" t="n">
        <f aca="false">SUM(U25:AF25)</f>
        <v>0</v>
      </c>
      <c r="AH25" s="24" t="n">
        <f aca="false">IFERROR(AG25/AG$16,"")</f>
        <v>0</v>
      </c>
      <c r="AI25" s="9"/>
      <c r="AJ25" s="12" t="n">
        <f aca="false">N25-AG25</f>
        <v>4186.89</v>
      </c>
      <c r="AK25" s="9"/>
    </row>
    <row r="26" customFormat="false" ht="13.5" hidden="false" customHeight="true" outlineLevel="0" collapsed="false">
      <c r="A26" s="23" t="s">
        <v>1281</v>
      </c>
      <c r="B26" s="12" t="n">
        <f aca="false">SUM(FO!B26,PO!B26,CO!B26,FE!B26,PE!B26)</f>
        <v>0</v>
      </c>
      <c r="C26" s="12" t="n">
        <f aca="false">SUM(FO!C26,PO!C26,CO!C26,FE!C26,PE!C26)</f>
        <v>85</v>
      </c>
      <c r="D26" s="12" t="n">
        <f aca="false">SUM(FO!D26,PO!D26,CO!D26,FE!D26,PE!D26)</f>
        <v>149.33</v>
      </c>
      <c r="E26" s="12" t="n">
        <f aca="false">SUM(FO!E26,PO!E26,CO!E26,FE!E26,PE!E26)</f>
        <v>2494.26</v>
      </c>
      <c r="F26" s="12" t="n">
        <f aca="false">SUM(FO!F26,PO!F26,CO!F26,FE!F26,PE!F26)</f>
        <v>177.67</v>
      </c>
      <c r="G26" s="12" t="n">
        <f aca="false">SUM(FO!G26,PO!G26,CO!G26,FE!G26,PE!G26)</f>
        <v>-32.02</v>
      </c>
      <c r="H26" s="12" t="n">
        <f aca="false">SUM(FO!H26,PO!H26,CO!H26,FE!H26,PE!H26)</f>
        <v>852.51</v>
      </c>
      <c r="I26" s="12" t="n">
        <f aca="false">SUM(FO!I26,PO!I26,CO!I26,FE!I26,PE!I26)</f>
        <v>3185.91</v>
      </c>
      <c r="J26" s="12" t="n">
        <f aca="false">SUM(FO!J26,PO!J26,CO!J26,FE!J26,PE!J26)</f>
        <v>200</v>
      </c>
      <c r="K26" s="12" t="n">
        <f aca="false">SUM(FO!K26,PO!K26,CO!K26,FE!K26,PE!K26)</f>
        <v>200</v>
      </c>
      <c r="L26" s="12" t="n">
        <f aca="false">SUM(FO!L26,PO!L26,CO!L26,FE!L26,PE!L26)</f>
        <v>200</v>
      </c>
      <c r="M26" s="12" t="n">
        <f aca="false">SUM(FO!M26,PO!M26,CO!M26,FE!M26,PE!M26)</f>
        <v>200</v>
      </c>
      <c r="N26" s="12" t="n">
        <f aca="false">SUM(B26:M26)</f>
        <v>7712.66</v>
      </c>
      <c r="O26" s="24" t="n">
        <f aca="false">IFERROR(N26/N$16,"")</f>
        <v>0.00103889046442006</v>
      </c>
      <c r="P26" s="12"/>
      <c r="Q26" s="12"/>
      <c r="R26" s="12"/>
      <c r="S26" s="12"/>
      <c r="T26" s="12"/>
      <c r="U26" s="12" t="n">
        <f aca="false">SUM(FO!U26,PO!U26,CO!U26,FE!U26,PE!U26)</f>
        <v>0</v>
      </c>
      <c r="V26" s="12" t="n">
        <f aca="false">SUM(FO!V26,PO!V26,CO!V26,FE!V26,PE!V26)</f>
        <v>0</v>
      </c>
      <c r="W26" s="12" t="n">
        <f aca="false">SUM(FO!W26,PO!W26,CO!W26,FE!W26,PE!W26)</f>
        <v>0</v>
      </c>
      <c r="X26" s="12" t="n">
        <f aca="false">SUM(FO!X26,PO!X26,CO!X26,FE!X26,PE!X26)</f>
        <v>0</v>
      </c>
      <c r="Y26" s="12" t="n">
        <f aca="false">SUM(FO!Y26,PO!Y26,CO!Y26,FE!Y26,PE!Y26)</f>
        <v>0</v>
      </c>
      <c r="Z26" s="12" t="n">
        <f aca="false">SUM(FO!Z26,PO!Z26,CO!Z26,FE!Z26,PE!Z26)</f>
        <v>0</v>
      </c>
      <c r="AA26" s="12" t="n">
        <f aca="false">SUM(FO!AA26,PO!AA26,CO!AA26,FE!AA26,PE!AA26)</f>
        <v>0</v>
      </c>
      <c r="AB26" s="12" t="n">
        <f aca="false">SUM(FO!AB26,PO!AB26,CO!AB26,FE!AB26,PE!AB26)</f>
        <v>0</v>
      </c>
      <c r="AC26" s="12" t="n">
        <f aca="false">SUM(FO!AC26,PO!AC26,CO!AC26,FE!AC26,PE!AC26)</f>
        <v>0</v>
      </c>
      <c r="AD26" s="12" t="n">
        <f aca="false">SUM(FO!AD26,PO!AD26,CO!AD26,FE!AD26,PE!AD26)</f>
        <v>0</v>
      </c>
      <c r="AE26" s="12" t="n">
        <f aca="false">SUM(FO!AE26,PO!AE26,CO!AE26,FE!AE26,PE!AE26)</f>
        <v>0</v>
      </c>
      <c r="AF26" s="12" t="n">
        <f aca="false">SUM(FO!AF26,PO!AF26,CO!AF26,FE!AF26,PE!AF26)</f>
        <v>0</v>
      </c>
      <c r="AG26" s="12" t="n">
        <f aca="false">SUM(U26:AF26)</f>
        <v>0</v>
      </c>
      <c r="AH26" s="24" t="n">
        <f aca="false">IFERROR(AG26/AG$16,"")</f>
        <v>0</v>
      </c>
      <c r="AI26" s="9"/>
      <c r="AJ26" s="12" t="n">
        <f aca="false">N26-AG26</f>
        <v>7712.66</v>
      </c>
      <c r="AK26" s="9"/>
    </row>
    <row r="27" customFormat="false" ht="13.5" hidden="false" customHeight="true" outlineLevel="0" collapsed="false">
      <c r="A27" s="26" t="s">
        <v>1282</v>
      </c>
      <c r="B27" s="27" t="n">
        <f aca="false">SUM(B24:B26)</f>
        <v>2370.3</v>
      </c>
      <c r="C27" s="27" t="n">
        <f aca="false">SUM(C24:C26)</f>
        <v>4170.05</v>
      </c>
      <c r="D27" s="27" t="n">
        <f aca="false">SUM(D24:D26)</f>
        <v>13325.58</v>
      </c>
      <c r="E27" s="27" t="n">
        <f aca="false">SUM(E24:E26)</f>
        <v>11056.15</v>
      </c>
      <c r="F27" s="27" t="n">
        <f aca="false">SUM(F24:F26)</f>
        <v>177.67</v>
      </c>
      <c r="G27" s="27" t="n">
        <f aca="false">SUM(G24:G26)</f>
        <v>-662.71</v>
      </c>
      <c r="H27" s="27" t="n">
        <f aca="false">SUM(H24:H26)</f>
        <v>852.51</v>
      </c>
      <c r="I27" s="27" t="n">
        <f aca="false">SUM(I24:I26)</f>
        <v>4918.25</v>
      </c>
      <c r="J27" s="27" t="n">
        <f aca="false">SUM(J24:J26)</f>
        <v>9000</v>
      </c>
      <c r="K27" s="27" t="n">
        <f aca="false">SUM(K24:K26)</f>
        <v>5600</v>
      </c>
      <c r="L27" s="27" t="n">
        <f aca="false">SUM(L24:L26)</f>
        <v>5600</v>
      </c>
      <c r="M27" s="27" t="n">
        <f aca="false">SUM(M24:M26)</f>
        <v>5600</v>
      </c>
      <c r="N27" s="27" t="n">
        <f aca="false">SUM(B27:M27)</f>
        <v>62007.8</v>
      </c>
      <c r="O27" s="28" t="n">
        <f aca="false">IFERROR(N27/N$16,"")</f>
        <v>0.00835241176710319</v>
      </c>
      <c r="P27" s="12"/>
      <c r="Q27" s="12"/>
      <c r="R27" s="12"/>
      <c r="S27" s="12"/>
      <c r="T27" s="12"/>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62007.8</v>
      </c>
      <c r="AK27" s="9"/>
    </row>
    <row r="28" customFormat="false" ht="13.5" hidden="false" customHeight="true" outlineLevel="0" collapsed="false">
      <c r="A28" s="23" t="s">
        <v>1283</v>
      </c>
      <c r="B28" s="12" t="n">
        <f aca="false">SUM(FO!B28,PO!B28,CO!B28,FE!B28,PE!B28)</f>
        <v>3122.9</v>
      </c>
      <c r="C28" s="12" t="n">
        <f aca="false">SUM(FO!C28,PO!C28,CO!C28,FE!C28,PE!C28)</f>
        <v>4790.65</v>
      </c>
      <c r="D28" s="12" t="n">
        <f aca="false">SUM(FO!D28,PO!D28,CO!D28,FE!D28,PE!D28)</f>
        <v>8308.32</v>
      </c>
      <c r="E28" s="12" t="n">
        <f aca="false">SUM(FO!E28,PO!E28,CO!E28,FE!E28,PE!E28)</f>
        <v>7596.05</v>
      </c>
      <c r="F28" s="12" t="n">
        <f aca="false">SUM(FO!F28,PO!F28,CO!F28,FE!F28,PE!F28)</f>
        <v>983.17</v>
      </c>
      <c r="G28" s="12" t="n">
        <f aca="false">SUM(FO!G28,PO!G28,CO!G28,FE!G28,PE!G28)</f>
        <v>1367.92</v>
      </c>
      <c r="H28" s="12" t="n">
        <f aca="false">SUM(FO!H28,PO!H28,CO!H28,FE!H28,PE!H28)</f>
        <v>3130.51</v>
      </c>
      <c r="I28" s="12" t="n">
        <f aca="false">SUM(FO!I28,PO!I28,CO!I28,FE!I28,PE!I28)</f>
        <v>5242.04</v>
      </c>
      <c r="J28" s="12" t="n">
        <f aca="false">SUM(FO!J28,PO!J28,CO!J28,FE!J28,PE!J28)</f>
        <v>6200</v>
      </c>
      <c r="K28" s="12" t="n">
        <f aca="false">SUM(FO!K28,PO!K28,CO!K28,FE!K28,PE!K28)</f>
        <v>4700</v>
      </c>
      <c r="L28" s="12" t="n">
        <f aca="false">SUM(FO!L28,PO!L28,CO!L28,FE!L28,PE!L28)</f>
        <v>4700</v>
      </c>
      <c r="M28" s="12" t="n">
        <f aca="false">SUM(FO!M28,PO!M28,CO!M28,FE!M28,PE!M28)</f>
        <v>4700</v>
      </c>
      <c r="N28" s="12" t="n">
        <f aca="false">SUM(B28:M28)</f>
        <v>54841.56</v>
      </c>
      <c r="O28" s="24" t="n">
        <f aca="false">IFERROR(N28/N$16,"")</f>
        <v>0.00738712373395437</v>
      </c>
      <c r="P28" s="12"/>
      <c r="Q28" s="12"/>
      <c r="R28" s="12"/>
      <c r="S28" s="12"/>
      <c r="T28" s="12"/>
      <c r="U28" s="12" t="n">
        <f aca="false">SUM(FO!U28,PO!U28,CO!U28,FE!U28,PE!U28)</f>
        <v>10416.6666666667</v>
      </c>
      <c r="V28" s="12" t="n">
        <f aca="false">SUM(FO!V28,PO!V28,CO!V28,FE!V28,PE!V28)</f>
        <v>5416.66666666667</v>
      </c>
      <c r="W28" s="12" t="n">
        <f aca="false">SUM(FO!W28,PO!W28,CO!W28,FE!W28,PE!W28)</f>
        <v>5416.66666666667</v>
      </c>
      <c r="X28" s="12" t="n">
        <f aca="false">SUM(FO!X28,PO!X28,CO!X28,FE!X28,PE!X28)</f>
        <v>5416.66666666667</v>
      </c>
      <c r="Y28" s="12" t="n">
        <f aca="false">SUM(FO!Y28,PO!Y28,CO!Y28,FE!Y28,PE!Y28)</f>
        <v>10416.6666666667</v>
      </c>
      <c r="Z28" s="12" t="n">
        <f aca="false">SUM(FO!Z28,PO!Z28,CO!Z28,FE!Z28,PE!Z28)</f>
        <v>5958.33333333333</v>
      </c>
      <c r="AA28" s="12" t="n">
        <f aca="false">SUM(FO!AA28,PO!AA28,CO!AA28,FE!AA28,PE!AA28)</f>
        <v>6229.16666666667</v>
      </c>
      <c r="AB28" s="12" t="n">
        <f aca="false">SUM(FO!AB28,PO!AB28,CO!AB28,FE!AB28,PE!AB28)</f>
        <v>6500</v>
      </c>
      <c r="AC28" s="12" t="n">
        <f aca="false">SUM(FO!AC28,PO!AC28,CO!AC28,FE!AC28,PE!AC28)</f>
        <v>6770.83333333333</v>
      </c>
      <c r="AD28" s="12" t="n">
        <f aca="false">SUM(FO!AD28,PO!AD28,CO!AD28,FE!AD28,PE!AD28)</f>
        <v>10416.6666666667</v>
      </c>
      <c r="AE28" s="12" t="n">
        <f aca="false">SUM(FO!AE28,PO!AE28,CO!AE28,FE!AE28,PE!AE28)</f>
        <v>7312.5</v>
      </c>
      <c r="AF28" s="12" t="n">
        <f aca="false">SUM(FO!AF28,PO!AF28,CO!AF28,FE!AF28,PE!AF28)</f>
        <v>7583.33333333333</v>
      </c>
      <c r="AG28" s="12" t="n">
        <f aca="false">SUM(U28:AF28)</f>
        <v>87854.1666666667</v>
      </c>
      <c r="AH28" s="24" t="n">
        <f aca="false">IFERROR(AG28/AG$16,"")</f>
        <v>0.00564483214626453</v>
      </c>
      <c r="AI28" s="9"/>
      <c r="AJ28" s="12" t="n">
        <f aca="false">N28-AG28</f>
        <v>-33012.6066666667</v>
      </c>
      <c r="AK28" s="9"/>
    </row>
    <row r="29" customFormat="false" ht="13.5" hidden="false" customHeight="true" outlineLevel="0" collapsed="false">
      <c r="A29" s="23" t="s">
        <v>1284</v>
      </c>
      <c r="B29" s="12" t="n">
        <f aca="false">SUM(FO!B29,PO!B29,CO!B29,FE!B29,PE!B29)</f>
        <v>7118.63</v>
      </c>
      <c r="C29" s="12" t="n">
        <f aca="false">SUM(FO!C29,PO!C29,CO!C29,FE!C29,PE!C29)</f>
        <v>7543.76</v>
      </c>
      <c r="D29" s="12" t="n">
        <f aca="false">SUM(FO!D29,PO!D29,CO!D29,FE!D29,PE!D29)</f>
        <v>4922.7</v>
      </c>
      <c r="E29" s="12" t="n">
        <f aca="false">SUM(FO!E29,PO!E29,CO!E29,FE!E29,PE!E29)</f>
        <v>23173.85</v>
      </c>
      <c r="F29" s="12" t="n">
        <f aca="false">SUM(FO!F29,PO!F29,CO!F29,FE!F29,PE!F29)</f>
        <v>98.92</v>
      </c>
      <c r="G29" s="12" t="n">
        <f aca="false">SUM(FO!G29,PO!G29,CO!G29,FE!G29,PE!G29)</f>
        <v>114.77</v>
      </c>
      <c r="H29" s="12" t="n">
        <f aca="false">SUM(FO!H29,PO!H29,CO!H29,FE!H29,PE!H29)</f>
        <v>0</v>
      </c>
      <c r="I29" s="12" t="n">
        <f aca="false">SUM(FO!I29,PO!I29,CO!I29,FE!I29,PE!I29)</f>
        <v>3240.99</v>
      </c>
      <c r="J29" s="12" t="n">
        <f aca="false">SUM(FO!J29,PO!J29,CO!J29,FE!J29,PE!J29)</f>
        <v>17000</v>
      </c>
      <c r="K29" s="12" t="n">
        <f aca="false">SUM(FO!K29,PO!K29,CO!K29,FE!K29,PE!K29)</f>
        <v>12000</v>
      </c>
      <c r="L29" s="12" t="n">
        <f aca="false">SUM(FO!L29,PO!L29,CO!L29,FE!L29,PE!L29)</f>
        <v>5000</v>
      </c>
      <c r="M29" s="12" t="n">
        <f aca="false">SUM(FO!M29,PO!M29,CO!M29,FE!M29,PE!M29)</f>
        <v>5000</v>
      </c>
      <c r="N29" s="12" t="n">
        <f aca="false">SUM(B29:M29)</f>
        <v>85213.62</v>
      </c>
      <c r="O29" s="24" t="n">
        <f aca="false">IFERROR(N29/N$16,"")</f>
        <v>0.0114782211658124</v>
      </c>
      <c r="P29" s="12"/>
      <c r="Q29" s="12"/>
      <c r="R29" s="12"/>
      <c r="S29" s="12"/>
      <c r="T29" s="12"/>
      <c r="U29" s="12" t="n">
        <f aca="false">SUM(FO!U29,PO!U29,CO!U29,FE!U29,PE!U29)</f>
        <v>45000</v>
      </c>
      <c r="V29" s="12" t="n">
        <f aca="false">SUM(FO!V29,PO!V29,CO!V29,FE!V29,PE!V29)</f>
        <v>20000</v>
      </c>
      <c r="W29" s="12" t="n">
        <f aca="false">SUM(FO!W29,PO!W29,CO!W29,FE!W29,PE!W29)</f>
        <v>0</v>
      </c>
      <c r="X29" s="12" t="n">
        <f aca="false">SUM(FO!X29,PO!X29,CO!X29,FE!X29,PE!X29)</f>
        <v>60000</v>
      </c>
      <c r="Y29" s="12" t="n">
        <f aca="false">SUM(FO!Y29,PO!Y29,CO!Y29,FE!Y29,PE!Y29)</f>
        <v>45000</v>
      </c>
      <c r="Z29" s="12" t="n">
        <f aca="false">SUM(FO!Z29,PO!Z29,CO!Z29,FE!Z29,PE!Z29)</f>
        <v>70000</v>
      </c>
      <c r="AA29" s="12" t="n">
        <f aca="false">SUM(FO!AA29,PO!AA29,CO!AA29,FE!AA29,PE!AA29)</f>
        <v>55000</v>
      </c>
      <c r="AB29" s="12" t="n">
        <f aca="false">SUM(FO!AB29,PO!AB29,CO!AB29,FE!AB29,PE!AB29)</f>
        <v>65000</v>
      </c>
      <c r="AC29" s="12" t="n">
        <f aca="false">SUM(FO!AC29,PO!AC29,CO!AC29,FE!AC29,PE!AC29)</f>
        <v>90000</v>
      </c>
      <c r="AD29" s="12" t="n">
        <f aca="false">SUM(FO!AD29,PO!AD29,CO!AD29,FE!AD29,PE!AD29)</f>
        <v>90000</v>
      </c>
      <c r="AE29" s="12" t="n">
        <f aca="false">SUM(FO!AE29,PO!AE29,CO!AE29,FE!AE29,PE!AE29)</f>
        <v>115000</v>
      </c>
      <c r="AF29" s="12" t="n">
        <f aca="false">SUM(FO!AF29,PO!AF29,CO!AF29,FE!AF29,PE!AF29)</f>
        <v>110000</v>
      </c>
      <c r="AG29" s="12" t="n">
        <f aca="false">SUM(U29:AF29)</f>
        <v>765000</v>
      </c>
      <c r="AH29" s="24" t="n">
        <f aca="false">IFERROR(AG29/AG$16,"")</f>
        <v>0.0491530083971623</v>
      </c>
      <c r="AI29" s="9"/>
      <c r="AJ29" s="12" t="n">
        <f aca="false">N29-AG29</f>
        <v>-679786.38</v>
      </c>
      <c r="AK29" s="9"/>
    </row>
    <row r="30" customFormat="false" ht="13.5" hidden="false" customHeight="true" outlineLevel="0" collapsed="false">
      <c r="A30" s="23" t="s">
        <v>1285</v>
      </c>
      <c r="B30" s="12" t="n">
        <f aca="false">SUM(FO!B30,PO!B30,CO!B30,FE!B30,PE!B30)</f>
        <v>6383.69</v>
      </c>
      <c r="C30" s="12" t="n">
        <f aca="false">SUM(FO!C30,PO!C30,CO!C30,FE!C30,PE!C30)</f>
        <v>4522.11</v>
      </c>
      <c r="D30" s="12" t="n">
        <f aca="false">SUM(FO!D30,PO!D30,CO!D30,FE!D30,PE!D30)</f>
        <v>6516.64</v>
      </c>
      <c r="E30" s="12" t="n">
        <f aca="false">SUM(FO!E30,PO!E30,CO!E30,FE!E30,PE!E30)</f>
        <v>4232.23</v>
      </c>
      <c r="F30" s="12" t="n">
        <f aca="false">SUM(FO!F30,PO!F30,CO!F30,FE!F30,PE!F30)</f>
        <v>13531.9</v>
      </c>
      <c r="G30" s="12" t="n">
        <f aca="false">SUM(FO!G30,PO!G30,CO!G30,FE!G30,PE!G30)</f>
        <v>4225.43</v>
      </c>
      <c r="H30" s="12" t="n">
        <f aca="false">SUM(FO!H30,PO!H30,CO!H30,FE!H30,PE!H30)</f>
        <v>5242.75</v>
      </c>
      <c r="I30" s="12" t="n">
        <f aca="false">SUM(FO!I30,PO!I30,CO!I30,FE!I30,PE!I30)</f>
        <v>8155.61</v>
      </c>
      <c r="J30" s="12" t="n">
        <f aca="false">SUM(FO!J30,PO!J30,CO!J30,FE!J30,PE!J30)</f>
        <v>13000</v>
      </c>
      <c r="K30" s="12" t="n">
        <f aca="false">SUM(FO!K30,PO!K30,CO!K30,FE!K30,PE!K30)</f>
        <v>13000</v>
      </c>
      <c r="L30" s="12" t="n">
        <f aca="false">SUM(FO!L30,PO!L30,CO!L30,FE!L30,PE!L30)</f>
        <v>9000</v>
      </c>
      <c r="M30" s="12" t="n">
        <f aca="false">SUM(FO!M30,PO!M30,CO!M30,FE!M30,PE!M30)</f>
        <v>7000</v>
      </c>
      <c r="N30" s="12" t="n">
        <f aca="false">SUM(B30:M30)</f>
        <v>94810.36</v>
      </c>
      <c r="O30" s="24" t="n">
        <f aca="false">IFERROR(N30/N$16,"")</f>
        <v>0.0127708960244887</v>
      </c>
      <c r="P30" s="12"/>
      <c r="Q30" s="12"/>
      <c r="R30" s="12"/>
      <c r="S30" s="12"/>
      <c r="T30" s="12"/>
      <c r="U30" s="12" t="n">
        <f aca="false">SUM(FO!U30,PO!U30,CO!U30,FE!U30,PE!U30)</f>
        <v>18838.6107880838</v>
      </c>
      <c r="V30" s="12" t="n">
        <f aca="false">SUM(FO!V30,PO!V30,CO!V30,FE!V30,PE!V30)</f>
        <v>12559.0738587226</v>
      </c>
      <c r="W30" s="12" t="n">
        <f aca="false">SUM(FO!W30,PO!W30,CO!W30,FE!W30,PE!W30)</f>
        <v>0</v>
      </c>
      <c r="X30" s="12" t="n">
        <f aca="false">SUM(FO!X30,PO!X30,CO!X30,FE!X30,PE!X30)</f>
        <v>29548.2263065852</v>
      </c>
      <c r="Y30" s="12" t="n">
        <f aca="false">SUM(FO!Y30,PO!Y30,CO!Y30,FE!Y30,PE!Y30)</f>
        <v>23268.6893772239</v>
      </c>
      <c r="Z30" s="12" t="n">
        <f aca="false">SUM(FO!Z30,PO!Z30,CO!Z30,FE!Z30,PE!Z30)</f>
        <v>33978.3048957253</v>
      </c>
      <c r="AA30" s="12" t="n">
        <f aca="false">SUM(FO!AA30,PO!AA30,CO!AA30,FE!AA30,PE!AA30)</f>
        <v>29548.2263065852</v>
      </c>
      <c r="AB30" s="12" t="n">
        <f aca="false">SUM(FO!AB30,PO!AB30,CO!AB30,FE!AB30,PE!AB30)</f>
        <v>35827.7632359465</v>
      </c>
      <c r="AC30" s="12" t="n">
        <f aca="false">SUM(FO!AC30,PO!AC30,CO!AC30,FE!AC30,PE!AC30)</f>
        <v>46537.3787544479</v>
      </c>
      <c r="AD30" s="12" t="n">
        <f aca="false">SUM(FO!AD30,PO!AD30,CO!AD30,FE!AD30,PE!AD30)</f>
        <v>46537.3787544479</v>
      </c>
      <c r="AE30" s="12" t="n">
        <f aca="false">SUM(FO!AE30,PO!AE30,CO!AE30,FE!AE30,PE!AE30)</f>
        <v>57246.9942729493</v>
      </c>
      <c r="AF30" s="12" t="n">
        <f aca="false">SUM(FO!AF30,PO!AF30,CO!AF30,FE!AF30,PE!AF30)</f>
        <v>59096.4526131704</v>
      </c>
      <c r="AG30" s="12" t="n">
        <f aca="false">SUM(U30:AF30)</f>
        <v>392987.099163888</v>
      </c>
      <c r="AH30" s="24" t="n">
        <f aca="false">IFERROR(AG30/AG$16,"")</f>
        <v>0.0252503244250707</v>
      </c>
      <c r="AI30" s="9"/>
      <c r="AJ30" s="12" t="n">
        <f aca="false">N30-AG30</f>
        <v>-298176.739163888</v>
      </c>
      <c r="AK30" s="9"/>
    </row>
    <row r="31" customFormat="false" ht="13.5" hidden="false" customHeight="true" outlineLevel="0" collapsed="false">
      <c r="A31" s="23" t="s">
        <v>1286</v>
      </c>
      <c r="B31" s="12" t="n">
        <f aca="false">SUM(FO!B31,PO!B31,CO!B31,FE!B31,PE!B31)</f>
        <v>635.5</v>
      </c>
      <c r="C31" s="12" t="n">
        <f aca="false">SUM(FO!C31,PO!C31,CO!C31,FE!C31,PE!C31)</f>
        <v>723.15</v>
      </c>
      <c r="D31" s="12" t="n">
        <f aca="false">SUM(FO!D31,PO!D31,CO!D31,FE!D31,PE!D31)</f>
        <v>1053.77</v>
      </c>
      <c r="E31" s="12" t="n">
        <f aca="false">SUM(FO!E31,PO!E31,CO!E31,FE!E31,PE!E31)</f>
        <v>890.31</v>
      </c>
      <c r="F31" s="12" t="n">
        <f aca="false">SUM(FO!F31,PO!F31,CO!F31,FE!F31,PE!F31)</f>
        <v>1479.8</v>
      </c>
      <c r="G31" s="12" t="n">
        <f aca="false">SUM(FO!G31,PO!G31,CO!G31,FE!G31,PE!G31)</f>
        <v>248.89</v>
      </c>
      <c r="H31" s="12" t="n">
        <f aca="false">SUM(FO!H31,PO!H31,CO!H31,FE!H31,PE!H31)</f>
        <v>602.41</v>
      </c>
      <c r="I31" s="12" t="n">
        <f aca="false">SUM(FO!I31,PO!I31,CO!I31,FE!I31,PE!I31)</f>
        <v>1368.86</v>
      </c>
      <c r="J31" s="12" t="n">
        <f aca="false">SUM(FO!J31,PO!J31,CO!J31,FE!J31,PE!J31)</f>
        <v>1400</v>
      </c>
      <c r="K31" s="12" t="n">
        <f aca="false">SUM(FO!K31,PO!K31,CO!K31,FE!K31,PE!K31)</f>
        <v>1400</v>
      </c>
      <c r="L31" s="12" t="n">
        <f aca="false">SUM(FO!L31,PO!L31,CO!L31,FE!L31,PE!L31)</f>
        <v>1000</v>
      </c>
      <c r="M31" s="12" t="n">
        <f aca="false">SUM(FO!M31,PO!M31,CO!M31,FE!M31,PE!M31)</f>
        <v>800</v>
      </c>
      <c r="N31" s="12" t="n">
        <f aca="false">SUM(B31:M31)</f>
        <v>11602.69</v>
      </c>
      <c r="O31" s="24" t="n">
        <f aca="false">IFERROR(N31/N$16,"")</f>
        <v>0.00156287506549258</v>
      </c>
      <c r="P31" s="12"/>
      <c r="Q31" s="12"/>
      <c r="R31" s="12"/>
      <c r="S31" s="12"/>
      <c r="T31" s="12"/>
      <c r="U31" s="12" t="n">
        <f aca="false">SUM(FO!U31,PO!U31,CO!U31,FE!U31,PE!U31)</f>
        <v>2014.99397382093</v>
      </c>
      <c r="V31" s="12" t="n">
        <f aca="false">SUM(FO!V31,PO!V31,CO!V31,FE!V31,PE!V31)</f>
        <v>1343.32931588062</v>
      </c>
      <c r="W31" s="12" t="n">
        <f aca="false">SUM(FO!W31,PO!W31,CO!W31,FE!W31,PE!W31)</f>
        <v>0</v>
      </c>
      <c r="X31" s="12" t="n">
        <f aca="false">SUM(FO!X31,PO!X31,CO!X31,FE!X31,PE!X31)</f>
        <v>3170.25718547827</v>
      </c>
      <c r="Y31" s="12" t="n">
        <f aca="false">SUM(FO!Y31,PO!Y31,CO!Y31,FE!Y31,PE!Y31)</f>
        <v>2498.59252753796</v>
      </c>
      <c r="Z31" s="12" t="n">
        <f aca="false">SUM(FO!Z31,PO!Z31,CO!Z31,FE!Z31,PE!Z31)</f>
        <v>3653.85573919529</v>
      </c>
      <c r="AA31" s="12" t="n">
        <f aca="false">SUM(FO!AA31,PO!AA31,CO!AA31,FE!AA31,PE!AA31)</f>
        <v>3170.25718547827</v>
      </c>
      <c r="AB31" s="12" t="n">
        <f aca="false">SUM(FO!AB31,PO!AB31,CO!AB31,FE!AB31,PE!AB31)</f>
        <v>3841.92184341858</v>
      </c>
      <c r="AC31" s="12" t="n">
        <f aca="false">SUM(FO!AC31,PO!AC31,CO!AC31,FE!AC31,PE!AC31)</f>
        <v>4997.18505507591</v>
      </c>
      <c r="AD31" s="12" t="n">
        <f aca="false">SUM(FO!AD31,PO!AD31,CO!AD31,FE!AD31,PE!AD31)</f>
        <v>4997.18505507591</v>
      </c>
      <c r="AE31" s="12" t="n">
        <f aca="false">SUM(FO!AE31,PO!AE31,CO!AE31,FE!AE31,PE!AE31)</f>
        <v>6152.44826673325</v>
      </c>
      <c r="AF31" s="12" t="n">
        <f aca="false">SUM(FO!AF31,PO!AF31,CO!AF31,FE!AF31,PE!AF31)</f>
        <v>6340.51437095654</v>
      </c>
      <c r="AG31" s="12" t="n">
        <f aca="false">SUM(U31:AF31)</f>
        <v>42180.5405186515</v>
      </c>
      <c r="AH31" s="24" t="n">
        <f aca="false">IFERROR(AG31/AG$16,"")</f>
        <v>0.00271019668275833</v>
      </c>
      <c r="AI31" s="9"/>
      <c r="AJ31" s="12" t="n">
        <f aca="false">N31-AG31</f>
        <v>-30577.8505186515</v>
      </c>
      <c r="AK31" s="9"/>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12"/>
      <c r="S32" s="12"/>
      <c r="T32" s="12"/>
      <c r="U32" s="12"/>
      <c r="V32" s="12"/>
      <c r="W32" s="12"/>
      <c r="X32" s="12"/>
      <c r="Y32" s="12"/>
      <c r="Z32" s="12"/>
      <c r="AA32" s="12"/>
      <c r="AB32" s="12"/>
      <c r="AC32" s="12"/>
      <c r="AD32" s="12"/>
      <c r="AE32" s="12"/>
      <c r="AF32" s="12"/>
      <c r="AG32" s="12"/>
      <c r="AH32" s="24"/>
      <c r="AI32" s="9"/>
      <c r="AJ32" s="12"/>
      <c r="AK32" s="9"/>
    </row>
    <row r="33" customFormat="false" ht="13.5" hidden="false" customHeight="true" outlineLevel="0" collapsed="false">
      <c r="A33" s="23" t="s">
        <v>1288</v>
      </c>
      <c r="B33" s="12" t="n">
        <f aca="false">SUM(FO!B33,PO!B33,CO!B33,FE!B33,PE!B33)</f>
        <v>0</v>
      </c>
      <c r="C33" s="12" t="n">
        <f aca="false">SUM(FO!C33,PO!C33,CO!C33,FE!C33,PE!C33)</f>
        <v>29333.47</v>
      </c>
      <c r="D33" s="12" t="n">
        <f aca="false">SUM(FO!D33,PO!D33,CO!D33,FE!D33,PE!D33)</f>
        <v>11889.74</v>
      </c>
      <c r="E33" s="12" t="n">
        <f aca="false">SUM(FO!E33,PO!E33,CO!E33,FE!E33,PE!E33)</f>
        <v>21646.72</v>
      </c>
      <c r="F33" s="12" t="n">
        <f aca="false">SUM(FO!F33,PO!F33,CO!F33,FE!F33,PE!F33)</f>
        <v>17259.93</v>
      </c>
      <c r="G33" s="12" t="n">
        <f aca="false">SUM(FO!G33,PO!G33,CO!G33,FE!G33,PE!G33)</f>
        <v>17454.2</v>
      </c>
      <c r="H33" s="12" t="n">
        <f aca="false">SUM(FO!H33,PO!H33,CO!H33,FE!H33,PE!H33)</f>
        <v>20023.74</v>
      </c>
      <c r="I33" s="12" t="n">
        <f aca="false">SUM(FO!I33,PO!I33,CO!I33,FE!I33,PE!I33)</f>
        <v>14849.42</v>
      </c>
      <c r="J33" s="12" t="n">
        <f aca="false">SUM(FO!J33,PO!J33,CO!J33,FE!J33,PE!J33)</f>
        <v>17500</v>
      </c>
      <c r="K33" s="12" t="n">
        <f aca="false">SUM(FO!K33,PO!K33,CO!K33,FE!K33,PE!K33)</f>
        <v>17500</v>
      </c>
      <c r="L33" s="12" t="n">
        <f aca="false">SUM(FO!L33,PO!L33,CO!L33,FE!L33,PE!L33)</f>
        <v>17500</v>
      </c>
      <c r="M33" s="12" t="n">
        <f aca="false">SUM(FO!M33,PO!M33,CO!M33,FE!M33,PE!M33)</f>
        <v>17500</v>
      </c>
      <c r="N33" s="12" t="n">
        <f aca="false">SUM(B33:M33)</f>
        <v>202457.22</v>
      </c>
      <c r="O33" s="24" t="n">
        <f aca="false">IFERROR(N33/N$16,"")</f>
        <v>0.0272708605475924</v>
      </c>
      <c r="P33" s="12"/>
      <c r="Q33" s="12"/>
      <c r="R33" s="12"/>
      <c r="S33" s="12"/>
      <c r="T33" s="12"/>
      <c r="U33" s="12" t="n">
        <f aca="false">SUM(FO!U33,PO!U33,CO!U33,FE!U33,PE!U33)</f>
        <v>43450</v>
      </c>
      <c r="V33" s="12" t="n">
        <f aca="false">SUM(FO!V33,PO!V33,CO!V33,FE!V33,PE!V33)</f>
        <v>43450</v>
      </c>
      <c r="W33" s="12" t="n">
        <f aca="false">SUM(FO!W33,PO!W33,CO!W33,FE!W33,PE!W33)</f>
        <v>43450</v>
      </c>
      <c r="X33" s="12" t="n">
        <f aca="false">SUM(FO!X33,PO!X33,CO!X33,FE!X33,PE!X33)</f>
        <v>43450</v>
      </c>
      <c r="Y33" s="12" t="n">
        <f aca="false">SUM(FO!Y33,PO!Y33,CO!Y33,FE!Y33,PE!Y33)</f>
        <v>43450</v>
      </c>
      <c r="Z33" s="12" t="n">
        <f aca="false">SUM(FO!Z33,PO!Z33,CO!Z33,FE!Z33,PE!Z33)</f>
        <v>43450</v>
      </c>
      <c r="AA33" s="12" t="n">
        <f aca="false">SUM(FO!AA33,PO!AA33,CO!AA33,FE!AA33,PE!AA33)</f>
        <v>43450</v>
      </c>
      <c r="AB33" s="12" t="n">
        <f aca="false">SUM(FO!AB33,PO!AB33,CO!AB33,FE!AB33,PE!AB33)</f>
        <v>43450</v>
      </c>
      <c r="AC33" s="12" t="n">
        <f aca="false">SUM(FO!AC33,PO!AC33,CO!AC33,FE!AC33,PE!AC33)</f>
        <v>43450</v>
      </c>
      <c r="AD33" s="12" t="n">
        <f aca="false">SUM(FO!AD33,PO!AD33,CO!AD33,FE!AD33,PE!AD33)</f>
        <v>44753.5</v>
      </c>
      <c r="AE33" s="12" t="n">
        <f aca="false">SUM(FO!AE33,PO!AE33,CO!AE33,FE!AE33,PE!AE33)</f>
        <v>44753.5</v>
      </c>
      <c r="AF33" s="12" t="n">
        <f aca="false">SUM(FO!AF33,PO!AF33,CO!AF33,FE!AF33,PE!AF33)</f>
        <v>44753.5</v>
      </c>
      <c r="AG33" s="12" t="n">
        <f aca="false">SUM(U33:AF33)</f>
        <v>525310.5</v>
      </c>
      <c r="AH33" s="24" t="n">
        <f aca="false">IFERROR(AG33/AG$16,"")</f>
        <v>0.033752407081853</v>
      </c>
      <c r="AI33" s="9"/>
      <c r="AJ33" s="12" t="n">
        <f aca="false">N33-AG33</f>
        <v>-322853.28</v>
      </c>
      <c r="AK33" s="9"/>
    </row>
    <row r="34" customFormat="false" ht="13.5" hidden="false" customHeight="true" outlineLevel="0" collapsed="false">
      <c r="A34" s="23" t="s">
        <v>1289</v>
      </c>
      <c r="B34" s="12" t="n">
        <f aca="false">SUM(FO!B34,PO!B34,CO!B34,FE!B34,PE!B34)</f>
        <v>0</v>
      </c>
      <c r="C34" s="12" t="n">
        <f aca="false">SUM(FO!C34,PO!C34,CO!C34,FE!C34,PE!C34)</f>
        <v>842.84</v>
      </c>
      <c r="D34" s="12" t="n">
        <f aca="false">SUM(FO!D34,PO!D34,CO!D34,FE!D34,PE!D34)</f>
        <v>1357.58</v>
      </c>
      <c r="E34" s="12" t="n">
        <f aca="false">SUM(FO!E34,PO!E34,CO!E34,FE!E34,PE!E34)</f>
        <v>703.54</v>
      </c>
      <c r="F34" s="12" t="n">
        <f aca="false">SUM(FO!F34,PO!F34,CO!F34,FE!F34,PE!F34)</f>
        <v>618.04</v>
      </c>
      <c r="G34" s="12" t="n">
        <f aca="false">SUM(FO!G34,PO!G34,CO!G34,FE!G34,PE!G34)</f>
        <v>634.79</v>
      </c>
      <c r="H34" s="12" t="n">
        <f aca="false">SUM(FO!H34,PO!H34,CO!H34,FE!H34,PE!H34)</f>
        <v>768.4</v>
      </c>
      <c r="I34" s="12" t="n">
        <f aca="false">SUM(FO!I34,PO!I34,CO!I34,FE!I34,PE!I34)</f>
        <v>592.79</v>
      </c>
      <c r="J34" s="12" t="n">
        <f aca="false">SUM(FO!J34,PO!J34,CO!J34,FE!J34,PE!J34)</f>
        <v>648</v>
      </c>
      <c r="K34" s="12" t="n">
        <f aca="false">SUM(FO!K34,PO!K34,CO!K34,FE!K34,PE!K34)</f>
        <v>648</v>
      </c>
      <c r="L34" s="12" t="n">
        <f aca="false">SUM(FO!L34,PO!L34,CO!L34,FE!L34,PE!L34)</f>
        <v>648</v>
      </c>
      <c r="M34" s="12" t="n">
        <f aca="false">SUM(FO!M34,PO!M34,CO!M34,FE!M34,PE!M34)</f>
        <v>648</v>
      </c>
      <c r="N34" s="12" t="n">
        <f aca="false">SUM(B34:M34)</f>
        <v>8109.98</v>
      </c>
      <c r="O34" s="24" t="n">
        <f aca="false">IFERROR(N34/N$16,"")</f>
        <v>0.00109240921921067</v>
      </c>
      <c r="P34" s="12"/>
      <c r="Q34" s="12"/>
      <c r="R34" s="12"/>
      <c r="S34" s="12"/>
      <c r="T34" s="12"/>
      <c r="U34" s="12" t="n">
        <f aca="false">SUM(FO!U34,PO!U34,CO!U34,FE!U34,PE!U34)</f>
        <v>1580.22856962794</v>
      </c>
      <c r="V34" s="12" t="n">
        <f aca="false">SUM(FO!V34,PO!V34,CO!V34,FE!V34,PE!V34)</f>
        <v>1580.22856962794</v>
      </c>
      <c r="W34" s="12" t="n">
        <f aca="false">SUM(FO!W34,PO!W34,CO!W34,FE!W34,PE!W34)</f>
        <v>1580.22856962794</v>
      </c>
      <c r="X34" s="12" t="n">
        <f aca="false">SUM(FO!X34,PO!X34,CO!X34,FE!X34,PE!X34)</f>
        <v>1580.22856962794</v>
      </c>
      <c r="Y34" s="12" t="n">
        <f aca="false">SUM(FO!Y34,PO!Y34,CO!Y34,FE!Y34,PE!Y34)</f>
        <v>1580.22856962794</v>
      </c>
      <c r="Z34" s="12" t="n">
        <f aca="false">SUM(FO!Z34,PO!Z34,CO!Z34,FE!Z34,PE!Z34)</f>
        <v>1580.22856962794</v>
      </c>
      <c r="AA34" s="12" t="n">
        <f aca="false">SUM(FO!AA34,PO!AA34,CO!AA34,FE!AA34,PE!AA34)</f>
        <v>1580.22856962794</v>
      </c>
      <c r="AB34" s="12" t="n">
        <f aca="false">SUM(FO!AB34,PO!AB34,CO!AB34,FE!AB34,PE!AB34)</f>
        <v>1580.22856962794</v>
      </c>
      <c r="AC34" s="12" t="n">
        <f aca="false">SUM(FO!AC34,PO!AC34,CO!AC34,FE!AC34,PE!AC34)</f>
        <v>1580.22856962794</v>
      </c>
      <c r="AD34" s="12" t="n">
        <f aca="false">SUM(FO!AD34,PO!AD34,CO!AD34,FE!AD34,PE!AD34)</f>
        <v>1627.63542671678</v>
      </c>
      <c r="AE34" s="12" t="n">
        <f aca="false">SUM(FO!AE34,PO!AE34,CO!AE34,FE!AE34,PE!AE34)</f>
        <v>1627.63542671678</v>
      </c>
      <c r="AF34" s="12" t="n">
        <f aca="false">SUM(FO!AF34,PO!AF34,CO!AF34,FE!AF34,PE!AF34)</f>
        <v>1627.63542671678</v>
      </c>
      <c r="AG34" s="12" t="n">
        <f aca="false">SUM(U34:AF34)</f>
        <v>19104.9634068018</v>
      </c>
      <c r="AH34" s="24" t="n">
        <f aca="false">IFERROR(AG34/AG$16,"")</f>
        <v>0.00122753781276079</v>
      </c>
      <c r="AI34" s="9"/>
      <c r="AJ34" s="12" t="n">
        <f aca="false">N34-AG34</f>
        <v>-10994.9834068018</v>
      </c>
      <c r="AK34" s="9"/>
    </row>
    <row r="35" customFormat="false" ht="13.5" hidden="false" customHeight="true" outlineLevel="0" collapsed="false">
      <c r="A35" s="23" t="s">
        <v>1290</v>
      </c>
      <c r="B35" s="12" t="n">
        <f aca="false">SUM(FO!B35,PO!B35,CO!B35,FE!B35,PE!B35)</f>
        <v>-18903.27</v>
      </c>
      <c r="C35" s="12" t="n">
        <f aca="false">SUM(FO!C35,PO!C35,CO!C35,FE!C35,PE!C35)</f>
        <v>-7499.98</v>
      </c>
      <c r="D35" s="12" t="n">
        <f aca="false">SUM(FO!D35,PO!D35,CO!D35,FE!D35,PE!D35)</f>
        <v>1464.77</v>
      </c>
      <c r="E35" s="12" t="n">
        <f aca="false">SUM(FO!E35,PO!E35,CO!E35,FE!E35,PE!E35)</f>
        <v>2876.74</v>
      </c>
      <c r="F35" s="12" t="n">
        <f aca="false">SUM(FO!F35,PO!F35,CO!F35,FE!F35,PE!F35)</f>
        <v>4138.12</v>
      </c>
      <c r="G35" s="12" t="n">
        <f aca="false">SUM(FO!G35,PO!G35,CO!G35,FE!G35,PE!G35)</f>
        <v>3992.14</v>
      </c>
      <c r="H35" s="12" t="n">
        <f aca="false">SUM(FO!H35,PO!H35,CO!H35,FE!H35,PE!H35)</f>
        <v>-6793.75</v>
      </c>
      <c r="I35" s="12" t="n">
        <f aca="false">SUM(FO!I35,PO!I35,CO!I35,FE!I35,PE!I35)</f>
        <v>2732.36</v>
      </c>
      <c r="J35" s="12" t="n">
        <f aca="false">SUM(FO!J35,PO!J35,CO!J35,FE!J35,PE!J35)</f>
        <v>4000</v>
      </c>
      <c r="K35" s="12" t="n">
        <f aca="false">SUM(FO!K35,PO!K35,CO!K35,FE!K35,PE!K35)</f>
        <v>4000</v>
      </c>
      <c r="L35" s="12" t="n">
        <f aca="false">SUM(FO!L35,PO!L35,CO!L35,FE!L35,PE!L35)</f>
        <v>4000</v>
      </c>
      <c r="M35" s="12" t="n">
        <f aca="false">SUM(FO!M35,PO!M35,CO!M35,FE!M35,PE!M35)</f>
        <v>4000</v>
      </c>
      <c r="N35" s="12" t="n">
        <f aca="false">SUM(B35:M35)</f>
        <v>-1992.87</v>
      </c>
      <c r="O35" s="24" t="n">
        <f aca="false">IFERROR(N35/N$16,"")</f>
        <v>-0.000268438339020364</v>
      </c>
      <c r="P35" s="12"/>
      <c r="Q35" s="12"/>
      <c r="R35" s="12"/>
      <c r="S35" s="12"/>
      <c r="T35" s="12"/>
      <c r="U35" s="12" t="n">
        <f aca="false">SUM(FO!U35,PO!U35,CO!U35,FE!U35,PE!U35)</f>
        <v>8966.45875099473</v>
      </c>
      <c r="V35" s="12" t="n">
        <f aca="false">SUM(FO!V35,PO!V35,CO!V35,FE!V35,PE!V35)</f>
        <v>8966.45875099473</v>
      </c>
      <c r="W35" s="12" t="n">
        <f aca="false">SUM(FO!W35,PO!W35,CO!W35,FE!W35,PE!W35)</f>
        <v>8966.45875099473</v>
      </c>
      <c r="X35" s="12" t="n">
        <f aca="false">SUM(FO!X35,PO!X35,CO!X35,FE!X35,PE!X35)</f>
        <v>8966.45875099473</v>
      </c>
      <c r="Y35" s="12" t="n">
        <f aca="false">SUM(FO!Y35,PO!Y35,CO!Y35,FE!Y35,PE!Y35)</f>
        <v>8966.45875099473</v>
      </c>
      <c r="Z35" s="12" t="n">
        <f aca="false">SUM(FO!Z35,PO!Z35,CO!Z35,FE!Z35,PE!Z35)</f>
        <v>8966.45875099473</v>
      </c>
      <c r="AA35" s="12" t="n">
        <f aca="false">SUM(FO!AA35,PO!AA35,CO!AA35,FE!AA35,PE!AA35)</f>
        <v>8966.45875099473</v>
      </c>
      <c r="AB35" s="12" t="n">
        <f aca="false">SUM(FO!AB35,PO!AB35,CO!AB35,FE!AB35,PE!AB35)</f>
        <v>8966.45875099473</v>
      </c>
      <c r="AC35" s="12" t="n">
        <f aca="false">SUM(FO!AC35,PO!AC35,CO!AC35,FE!AC35,PE!AC35)</f>
        <v>8966.45875099473</v>
      </c>
      <c r="AD35" s="12" t="n">
        <f aca="false">SUM(FO!AD35,PO!AD35,CO!AD35,FE!AD35,PE!AD35)</f>
        <v>9235.45251352458</v>
      </c>
      <c r="AE35" s="12" t="n">
        <f aca="false">SUM(FO!AE35,PO!AE35,CO!AE35,FE!AE35,PE!AE35)</f>
        <v>9235.45251352458</v>
      </c>
      <c r="AF35" s="12" t="n">
        <f aca="false">SUM(FO!AF35,PO!AF35,CO!AF35,FE!AF35,PE!AF35)</f>
        <v>9235.45251352458</v>
      </c>
      <c r="AG35" s="12" t="n">
        <f aca="false">SUM(U35:AF35)</f>
        <v>108404.486299526</v>
      </c>
      <c r="AH35" s="24" t="n">
        <f aca="false">IFERROR(AG35/AG$16,"")</f>
        <v>0.00696523741878521</v>
      </c>
      <c r="AI35" s="9"/>
      <c r="AJ35" s="12" t="n">
        <f aca="false">N35-AG35</f>
        <v>-110397.356299526</v>
      </c>
      <c r="AK35" s="9"/>
    </row>
    <row r="36" customFormat="false" ht="13.5" hidden="false" customHeight="true" outlineLevel="0" collapsed="false">
      <c r="A36" s="26" t="s">
        <v>1291</v>
      </c>
      <c r="B36" s="27" t="n">
        <f aca="false">SUM(B33:B35)</f>
        <v>-18903.27</v>
      </c>
      <c r="C36" s="27" t="n">
        <f aca="false">SUM(C33:C35)</f>
        <v>22676.33</v>
      </c>
      <c r="D36" s="27" t="n">
        <f aca="false">SUM(D33:D35)</f>
        <v>14712.09</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208574.33</v>
      </c>
      <c r="O36" s="28" t="n">
        <f aca="false">IFERROR(N36/N$16,"")</f>
        <v>0.0280948314277827</v>
      </c>
      <c r="P36" s="12"/>
      <c r="Q36" s="12"/>
      <c r="R36" s="12"/>
      <c r="S36" s="12"/>
      <c r="T36" s="12"/>
      <c r="U36" s="27" t="n">
        <f aca="false">SUM(U33:U35)</f>
        <v>53996.6873206227</v>
      </c>
      <c r="V36" s="27" t="n">
        <f aca="false">SUM(V33:V35)</f>
        <v>53996.6873206227</v>
      </c>
      <c r="W36" s="27" t="n">
        <f aca="false">SUM(W33:W35)</f>
        <v>53996.6873206227</v>
      </c>
      <c r="X36" s="27" t="n">
        <f aca="false">SUM(X33:X35)</f>
        <v>53996.6873206227</v>
      </c>
      <c r="Y36" s="27" t="n">
        <f aca="false">SUM(Y33:Y35)</f>
        <v>53996.6873206227</v>
      </c>
      <c r="Z36" s="27" t="n">
        <f aca="false">SUM(Z33:Z35)</f>
        <v>53996.6873206227</v>
      </c>
      <c r="AA36" s="27" t="n">
        <f aca="false">SUM(AA33:AA35)</f>
        <v>53996.6873206227</v>
      </c>
      <c r="AB36" s="27" t="n">
        <f aca="false">SUM(AB33:AB35)</f>
        <v>53996.6873206227</v>
      </c>
      <c r="AC36" s="27" t="n">
        <f aca="false">SUM(AC33:AC35)</f>
        <v>53996.6873206227</v>
      </c>
      <c r="AD36" s="27" t="n">
        <f aca="false">SUM(AD33:AD35)</f>
        <v>55616.5879402414</v>
      </c>
      <c r="AE36" s="27" t="n">
        <f aca="false">SUM(AE33:AE35)</f>
        <v>55616.5879402414</v>
      </c>
      <c r="AF36" s="27" t="n">
        <f aca="false">SUM(AF33:AF35)</f>
        <v>55616.5879402414</v>
      </c>
      <c r="AG36" s="27" t="n">
        <f aca="false">SUM(U36:AF36)</f>
        <v>652819.949706328</v>
      </c>
      <c r="AH36" s="28" t="n">
        <f aca="false">IFERROR(AG36/AG$16,"")</f>
        <v>0.041945182313399</v>
      </c>
      <c r="AI36" s="9"/>
      <c r="AJ36" s="27" t="n">
        <f aca="false">N36-AG36</f>
        <v>-444245.619706328</v>
      </c>
      <c r="AK36" s="9"/>
    </row>
    <row r="37" customFormat="false" ht="13.5" hidden="false" customHeight="true" outlineLevel="0" collapsed="false">
      <c r="A37" s="26" t="s">
        <v>1292</v>
      </c>
      <c r="B37" s="27" t="n">
        <f aca="false">B19+B22+B27+B28+B29+B30+B31+B36+B20+B21</f>
        <v>150062</v>
      </c>
      <c r="C37" s="27" t="n">
        <f aca="false">C19+C22+C27+C28+C29+C30+C31+C36+C20+C21</f>
        <v>177551.58</v>
      </c>
      <c r="D37" s="27" t="n">
        <f aca="false">D19+D22+D27+D28+D29+D30+D31+D36+D20+D21</f>
        <v>188086.69</v>
      </c>
      <c r="E37" s="27" t="n">
        <f aca="false">E19+E22+E27+E28+E29+E30+E31+E36+E20+E21</f>
        <v>219001.28</v>
      </c>
      <c r="F37" s="27" t="n">
        <f aca="false">F19+F22+F27+F28+F29+F30+F31+F36+F20+F21</f>
        <v>192199.72</v>
      </c>
      <c r="G37" s="27" t="n">
        <f aca="false">G19+G22+G27+G28+G29+G30+G31+G36+G20+G21</f>
        <v>191563.96</v>
      </c>
      <c r="H37" s="27" t="n">
        <f aca="false">H19+H22+H27+H28+H29+H30+H31+H36+H20+H21</f>
        <v>170597.45</v>
      </c>
      <c r="I37" s="27" t="n">
        <f aca="false">I19+I22+I27+I28+I29+I30+I31+I36+I20+I21</f>
        <v>190947.42</v>
      </c>
      <c r="J37" s="27" t="n">
        <f aca="false">J19+J22+J27+J28+J29+J30+J31+J36+J20+J21</f>
        <v>208219.910476191</v>
      </c>
      <c r="K37" s="27" t="n">
        <f aca="false">K19+K22+K27+K28+K29+K30+K31+K36+K20+K21</f>
        <v>209825.862857143</v>
      </c>
      <c r="L37" s="27" t="n">
        <f aca="false">L19+L22+L27+L28+L29+L30+L31+L36+L20+L21</f>
        <v>202572.291428571</v>
      </c>
      <c r="M37" s="27" t="n">
        <f aca="false">M19+M22+M27+M28+M29+M30+M31+M36+M20+M21</f>
        <v>204518.72</v>
      </c>
      <c r="N37" s="27" t="n">
        <f aca="false">SUM(B37:M37)</f>
        <v>2305146.88476191</v>
      </c>
      <c r="O37" s="28" t="n">
        <f aca="false">IFERROR(N37/N$16,"")</f>
        <v>0.310501839529649</v>
      </c>
      <c r="P37" s="12"/>
      <c r="Q37" s="12"/>
      <c r="R37" s="12"/>
      <c r="S37" s="12"/>
      <c r="T37" s="12"/>
      <c r="U37" s="27" t="n">
        <f aca="false">U19+U22+U27+U28+U29+U30+U31+U36+U20+U21</f>
        <v>309998.988273004</v>
      </c>
      <c r="V37" s="27" t="n">
        <f aca="false">V19+V22+V27+V28+V29+V30+V31+V36+V20+V21</f>
        <v>281232.310495226</v>
      </c>
      <c r="W37" s="27" t="n">
        <f aca="false">W19+W22+W27+W28+W29+W30+W31+W36+W20+W21</f>
        <v>247329.907320623</v>
      </c>
      <c r="X37" s="27" t="n">
        <f aca="false">X19+X22+X27+X28+X29+X30+X31+X36+X20+X21</f>
        <v>363889.16462221</v>
      </c>
      <c r="Y37" s="27" t="n">
        <f aca="false">Y19+Y22+Y27+Y28+Y29+Y30+Y31+Y36+Y20+Y21</f>
        <v>362527.546368242</v>
      </c>
      <c r="Z37" s="27" t="n">
        <f aca="false">Z19+Z22+Z27+Z28+Z29+Z30+Z31+Z36+Z20+Z21</f>
        <v>417928.73462221</v>
      </c>
      <c r="AA37" s="27" t="n">
        <f aca="false">AA19+AA22+AA27+AA28+AA29+AA30+AA31+AA36+AA20+AA21</f>
        <v>417967.736050781</v>
      </c>
      <c r="AB37" s="27" t="n">
        <f aca="false">AB19+AB22+AB27+AB28+AB29+AB30+AB31+AB36+AB20+AB21</f>
        <v>458963.878114273</v>
      </c>
      <c r="AC37" s="27" t="n">
        <f aca="false">AC19+AC22+AC27+AC28+AC29+AC30+AC31+AC36+AC20+AC21</f>
        <v>527278.756844432</v>
      </c>
      <c r="AD37" s="27" t="n">
        <f aca="false">AD19+AD22+AD27+AD28+AD29+AD30+AD31+AD36+AD20+AD21</f>
        <v>563723.657464051</v>
      </c>
      <c r="AE37" s="27" t="n">
        <f aca="false">AE19+AE22+AE27+AE28+AE29+AE30+AE31+AE36+AE20+AE21</f>
        <v>636068.595718019</v>
      </c>
      <c r="AF37" s="27" t="n">
        <f aca="false">AF19+AF22+AF27+AF28+AF29+AF30+AF31+AF36+AF20+AF21</f>
        <v>672740.643971987</v>
      </c>
      <c r="AG37" s="27" t="n">
        <f aca="false">SUM(U37:AF37)</f>
        <v>5259649.91986506</v>
      </c>
      <c r="AH37" s="28" t="n">
        <f aca="false">IFERROR(AG37/AG$16,"")</f>
        <v>0.33794459696374</v>
      </c>
      <c r="AI37" s="9"/>
      <c r="AJ37" s="27" t="n">
        <f aca="false">N37-AG37</f>
        <v>-2954503.03510315</v>
      </c>
      <c r="AK37" s="9"/>
    </row>
    <row r="38" customFormat="false" ht="13.5" hidden="false" customHeight="true" outlineLevel="0" collapsed="false">
      <c r="A38" s="23" t="s">
        <v>1293</v>
      </c>
      <c r="B38" s="12" t="n">
        <f aca="false">SUM(FO!B38,PO!B38,CO!B38,FE!B38,PE!B38)</f>
        <v>0</v>
      </c>
      <c r="C38" s="12" t="n">
        <f aca="false">SUM(FO!C38,PO!C38,CO!C38,FE!C38,PE!C38)</f>
        <v>0</v>
      </c>
      <c r="D38" s="12" t="n">
        <f aca="false">SUM(FO!D38,PO!D38,CO!D38,FE!D38,PE!D38)</f>
        <v>2782.65</v>
      </c>
      <c r="E38" s="12" t="n">
        <f aca="false">SUM(FO!E38,PO!E38,CO!E38,FE!E38,PE!E38)</f>
        <v>56.1</v>
      </c>
      <c r="F38" s="12" t="n">
        <f aca="false">SUM(FO!F38,PO!F38,CO!F38,FE!F38,PE!F38)</f>
        <v>0</v>
      </c>
      <c r="G38" s="12" t="n">
        <f aca="false">SUM(FO!G38,PO!G38,CO!G38,FE!G38,PE!G38)</f>
        <v>-352.47</v>
      </c>
      <c r="H38" s="12" t="n">
        <f aca="false">SUM(FO!H38,PO!H38,CO!H38,FE!H38,PE!H38)</f>
        <v>0</v>
      </c>
      <c r="I38" s="12" t="n">
        <f aca="false">SUM(FO!I38,PO!I38,CO!I38,FE!I38,PE!I38)</f>
        <v>0</v>
      </c>
      <c r="J38" s="12" t="n">
        <f aca="false">SUM(FO!J38,PO!J38,CO!J38,FE!J38,PE!J38)</f>
        <v>0</v>
      </c>
      <c r="K38" s="12" t="n">
        <f aca="false">SUM(FO!K38,PO!K38,CO!K38,FE!K38,PE!K38)</f>
        <v>0</v>
      </c>
      <c r="L38" s="12" t="n">
        <f aca="false">SUM(FO!L38,PO!L38,CO!L38,FE!L38,PE!L38)</f>
        <v>0</v>
      </c>
      <c r="M38" s="12" t="n">
        <f aca="false">SUM(FO!M38,PO!M38,CO!M38,FE!M38,PE!M38)</f>
        <v>0</v>
      </c>
      <c r="N38" s="12" t="n">
        <f aca="false">SUM(B38:M38)</f>
        <v>2486.28</v>
      </c>
      <c r="O38" s="24" t="n">
        <f aca="false">IFERROR(N38/N$16,"")</f>
        <v>0.000334900356540843</v>
      </c>
      <c r="P38" s="12"/>
      <c r="Q38" s="12"/>
      <c r="R38" s="12"/>
      <c r="S38" s="12"/>
      <c r="T38" s="12"/>
      <c r="U38" s="12" t="n">
        <f aca="false">SUM(FO!U38,PO!U38,CO!U38,FE!U38,PE!U38)</f>
        <v>21250</v>
      </c>
      <c r="V38" s="12" t="n">
        <f aca="false">SUM(FO!V38,PO!V38,CO!V38,FE!V38,PE!V38)</f>
        <v>6250</v>
      </c>
      <c r="W38" s="12" t="n">
        <f aca="false">SUM(FO!W38,PO!W38,CO!W38,FE!W38,PE!W38)</f>
        <v>6250</v>
      </c>
      <c r="X38" s="12" t="n">
        <f aca="false">SUM(FO!X38,PO!X38,CO!X38,FE!X38,PE!X38)</f>
        <v>6250</v>
      </c>
      <c r="Y38" s="12" t="n">
        <f aca="false">SUM(FO!Y38,PO!Y38,CO!Y38,FE!Y38,PE!Y38)</f>
        <v>6562.5</v>
      </c>
      <c r="Z38" s="12" t="n">
        <f aca="false">SUM(FO!Z38,PO!Z38,CO!Z38,FE!Z38,PE!Z38)</f>
        <v>6875</v>
      </c>
      <c r="AA38" s="12" t="n">
        <f aca="false">SUM(FO!AA38,PO!AA38,CO!AA38,FE!AA38,PE!AA38)</f>
        <v>7187.5</v>
      </c>
      <c r="AB38" s="12" t="n">
        <f aca="false">SUM(FO!AB38,PO!AB38,CO!AB38,FE!AB38,PE!AB38)</f>
        <v>7500</v>
      </c>
      <c r="AC38" s="12" t="n">
        <f aca="false">SUM(FO!AC38,PO!AC38,CO!AC38,FE!AC38,PE!AC38)</f>
        <v>7812.5</v>
      </c>
      <c r="AD38" s="12" t="n">
        <f aca="false">SUM(FO!AD38,PO!AD38,CO!AD38,FE!AD38,PE!AD38)</f>
        <v>8125</v>
      </c>
      <c r="AE38" s="12" t="n">
        <f aca="false">SUM(FO!AE38,PO!AE38,CO!AE38,FE!AE38,PE!AE38)</f>
        <v>8437.5</v>
      </c>
      <c r="AF38" s="12" t="n">
        <f aca="false">SUM(FO!AF38,PO!AF38,CO!AF38,FE!AF38,PE!AF38)</f>
        <v>8750</v>
      </c>
      <c r="AG38" s="12" t="n">
        <f aca="false">SUM(U38:AF38)</f>
        <v>101250</v>
      </c>
      <c r="AH38" s="24" t="n">
        <f aca="false">IFERROR(AG38/AG$16,"")</f>
        <v>0.00650554522903619</v>
      </c>
      <c r="AI38" s="9"/>
      <c r="AJ38" s="12" t="n">
        <f aca="false">N38-AG38</f>
        <v>-98763.72</v>
      </c>
      <c r="AK38" s="9"/>
    </row>
    <row r="39" customFormat="false" ht="13.5" hidden="false" customHeight="true" outlineLevel="0" collapsed="false">
      <c r="A39" s="23" t="s">
        <v>1294</v>
      </c>
      <c r="B39" s="12" t="n">
        <f aca="false">SUM(FO!B39,PO!B39,CO!B39,FE!B39,PE!B39)</f>
        <v>0</v>
      </c>
      <c r="C39" s="12" t="n">
        <f aca="false">SUM(FO!C39,PO!C39,CO!C39,FE!C39,PE!C39)</f>
        <v>0</v>
      </c>
      <c r="D39" s="12" t="n">
        <f aca="false">SUM(FO!D39,PO!D39,CO!D39,FE!D39,PE!D39)</f>
        <v>0</v>
      </c>
      <c r="E39" s="12" t="n">
        <f aca="false">SUM(FO!E39,PO!E39,CO!E39,FE!E39,PE!E39)</f>
        <v>0</v>
      </c>
      <c r="F39" s="12" t="n">
        <f aca="false">SUM(FO!F39,PO!F39,CO!F39,FE!F39,PE!F39)</f>
        <v>6857.32</v>
      </c>
      <c r="G39" s="12" t="n">
        <f aca="false">SUM(FO!G39,PO!G39,CO!G39,FE!G39,PE!G39)</f>
        <v>0</v>
      </c>
      <c r="H39" s="12" t="n">
        <f aca="false">SUM(FO!H39,PO!H39,CO!H39,FE!H39,PE!H39)</f>
        <v>10645.5</v>
      </c>
      <c r="I39" s="12" t="n">
        <f aca="false">SUM(FO!I39,PO!I39,CO!I39,FE!I39,PE!I39)</f>
        <v>6414.69</v>
      </c>
      <c r="J39" s="12" t="n">
        <f aca="false">SUM(FO!J39,PO!J39,CO!J39,FE!J39,PE!J39)</f>
        <v>3000</v>
      </c>
      <c r="K39" s="12" t="n">
        <f aca="false">SUM(FO!K39,PO!K39,CO!K39,FE!K39,PE!K39)</f>
        <v>1000</v>
      </c>
      <c r="L39" s="12" t="n">
        <f aca="false">SUM(FO!L39,PO!L39,CO!L39,FE!L39,PE!L39)</f>
        <v>1000</v>
      </c>
      <c r="M39" s="12" t="n">
        <f aca="false">SUM(FO!M39,PO!M39,CO!M39,FE!M39,PE!M39)</f>
        <v>1000</v>
      </c>
      <c r="N39" s="12" t="n">
        <f aca="false">SUM(B39:M39)</f>
        <v>29917.51</v>
      </c>
      <c r="O39" s="24" t="n">
        <f aca="false">IFERROR(N39/N$16,"")</f>
        <v>0.00402986983196352</v>
      </c>
      <c r="P39" s="12"/>
      <c r="Q39" s="12"/>
      <c r="R39" s="12"/>
      <c r="S39" s="12"/>
      <c r="T39" s="12"/>
      <c r="U39" s="12" t="n">
        <f aca="false">SUM(FO!U39,PO!U39,CO!U39,FE!U39,PE!U39)</f>
        <v>2207.093875</v>
      </c>
      <c r="V39" s="12" t="n">
        <f aca="false">SUM(FO!V39,PO!V39,CO!V39,FE!V39,PE!V39)</f>
        <v>2207.093875</v>
      </c>
      <c r="W39" s="12" t="n">
        <f aca="false">SUM(FO!W39,PO!W39,CO!W39,FE!W39,PE!W39)</f>
        <v>2207.093875</v>
      </c>
      <c r="X39" s="12" t="n">
        <f aca="false">SUM(FO!X39,PO!X39,CO!X39,FE!X39,PE!X39)</f>
        <v>2207.093875</v>
      </c>
      <c r="Y39" s="12" t="n">
        <f aca="false">SUM(FO!Y39,PO!Y39,CO!Y39,FE!Y39,PE!Y39)</f>
        <v>2207.093875</v>
      </c>
      <c r="Z39" s="12" t="n">
        <f aca="false">SUM(FO!Z39,PO!Z39,CO!Z39,FE!Z39,PE!Z39)</f>
        <v>2207.093875</v>
      </c>
      <c r="AA39" s="12" t="n">
        <f aca="false">SUM(FO!AA39,PO!AA39,CO!AA39,FE!AA39,PE!AA39)</f>
        <v>2207.093875</v>
      </c>
      <c r="AB39" s="12" t="n">
        <f aca="false">SUM(FO!AB39,PO!AB39,CO!AB39,FE!AB39,PE!AB39)</f>
        <v>2207.093875</v>
      </c>
      <c r="AC39" s="12" t="n">
        <f aca="false">SUM(FO!AC39,PO!AC39,CO!AC39,FE!AC39,PE!AC39)</f>
        <v>2207.093875</v>
      </c>
      <c r="AD39" s="12" t="n">
        <f aca="false">SUM(FO!AD39,PO!AD39,CO!AD39,FE!AD39,PE!AD39)</f>
        <v>2207.093875</v>
      </c>
      <c r="AE39" s="12" t="n">
        <f aca="false">SUM(FO!AE39,PO!AE39,CO!AE39,FE!AE39,PE!AE39)</f>
        <v>2207.093875</v>
      </c>
      <c r="AF39" s="12" t="n">
        <f aca="false">SUM(FO!AF39,PO!AF39,CO!AF39,FE!AF39,PE!AF39)</f>
        <v>2207.093875</v>
      </c>
      <c r="AG39" s="12" t="n">
        <f aca="false">SUM(U39:AF39)</f>
        <v>26485.1265</v>
      </c>
      <c r="AH39" s="24" t="n">
        <f aca="false">IFERROR(AG39/AG$16,"")</f>
        <v>0.00170173025523452</v>
      </c>
      <c r="AI39" s="9"/>
      <c r="AJ39" s="12" t="n">
        <f aca="false">N39-AG39</f>
        <v>3432.3835</v>
      </c>
      <c r="AK39" s="9"/>
    </row>
    <row r="40" customFormat="false" ht="13.5" hidden="false" customHeight="true" outlineLevel="0" collapsed="false">
      <c r="A40" s="23" t="s">
        <v>1295</v>
      </c>
      <c r="B40" s="12" t="n">
        <f aca="false">SUM(FO!B40,PO!B40,CO!B40,FE!B40,PE!B40)</f>
        <v>0</v>
      </c>
      <c r="C40" s="12" t="n">
        <f aca="false">SUM(FO!C40,PO!C40,CO!C40,FE!C40,PE!C40)</f>
        <v>0</v>
      </c>
      <c r="D40" s="12" t="n">
        <f aca="false">SUM(FO!D40,PO!D40,CO!D40,FE!D40,PE!D40)</f>
        <v>0</v>
      </c>
      <c r="E40" s="12" t="n">
        <f aca="false">SUM(FO!E40,PO!E40,CO!E40,FE!E40,PE!E40)</f>
        <v>0</v>
      </c>
      <c r="F40" s="12" t="n">
        <f aca="false">SUM(FO!F40,PO!F40,CO!F40,FE!F40,PE!F40)</f>
        <v>125</v>
      </c>
      <c r="G40" s="12" t="n">
        <f aca="false">SUM(FO!G40,PO!G40,CO!G40,FE!G40,PE!G40)</f>
        <v>-362.34</v>
      </c>
      <c r="H40" s="12" t="n">
        <f aca="false">SUM(FO!H40,PO!H40,CO!H40,FE!H40,PE!H40)</f>
        <v>0</v>
      </c>
      <c r="I40" s="12" t="n">
        <f aca="false">SUM(FO!I40,PO!I40,CO!I40,FE!I40,PE!I40)</f>
        <v>4095.3</v>
      </c>
      <c r="J40" s="12" t="n">
        <f aca="false">SUM(FO!J40,PO!J40,CO!J40,FE!J40,PE!J40)</f>
        <v>125</v>
      </c>
      <c r="K40" s="12" t="n">
        <f aca="false">SUM(FO!K40,PO!K40,CO!K40,FE!K40,PE!K40)</f>
        <v>125</v>
      </c>
      <c r="L40" s="12" t="n">
        <f aca="false">SUM(FO!L40,PO!L40,CO!L40,FE!L40,PE!L40)</f>
        <v>125</v>
      </c>
      <c r="M40" s="12" t="n">
        <f aca="false">SUM(FO!M40,PO!M40,CO!M40,FE!M40,PE!M40)</f>
        <v>125</v>
      </c>
      <c r="N40" s="12" t="n">
        <f aca="false">SUM(B40:M40)</f>
        <v>4357.96</v>
      </c>
      <c r="O40" s="24" t="n">
        <f aca="false">IFERROR(N40/N$16,"")</f>
        <v>0.000587014478574712</v>
      </c>
      <c r="P40" s="12"/>
      <c r="Q40" s="12"/>
      <c r="R40" s="12"/>
      <c r="S40" s="12"/>
      <c r="T40" s="12"/>
      <c r="U40" s="12" t="n">
        <f aca="false">SUM(FO!U40,PO!U40,CO!U40,FE!U40,PE!U40)</f>
        <v>381.3215</v>
      </c>
      <c r="V40" s="12" t="n">
        <f aca="false">SUM(FO!V40,PO!V40,CO!V40,FE!V40,PE!V40)</f>
        <v>381.3215</v>
      </c>
      <c r="W40" s="12" t="n">
        <f aca="false">SUM(FO!W40,PO!W40,CO!W40,FE!W40,PE!W40)</f>
        <v>381.3215</v>
      </c>
      <c r="X40" s="12" t="n">
        <f aca="false">SUM(FO!X40,PO!X40,CO!X40,FE!X40,PE!X40)</f>
        <v>381.3215</v>
      </c>
      <c r="Y40" s="12" t="n">
        <f aca="false">SUM(FO!Y40,PO!Y40,CO!Y40,FE!Y40,PE!Y40)</f>
        <v>381.3215</v>
      </c>
      <c r="Z40" s="12" t="n">
        <f aca="false">SUM(FO!Z40,PO!Z40,CO!Z40,FE!Z40,PE!Z40)</f>
        <v>381.3215</v>
      </c>
      <c r="AA40" s="12" t="n">
        <f aca="false">SUM(FO!AA40,PO!AA40,CO!AA40,FE!AA40,PE!AA40)</f>
        <v>381.3215</v>
      </c>
      <c r="AB40" s="12" t="n">
        <f aca="false">SUM(FO!AB40,PO!AB40,CO!AB40,FE!AB40,PE!AB40)</f>
        <v>381.3215</v>
      </c>
      <c r="AC40" s="12" t="n">
        <f aca="false">SUM(FO!AC40,PO!AC40,CO!AC40,FE!AC40,PE!AC40)</f>
        <v>381.3215</v>
      </c>
      <c r="AD40" s="12" t="n">
        <f aca="false">SUM(FO!AD40,PO!AD40,CO!AD40,FE!AD40,PE!AD40)</f>
        <v>381.3215</v>
      </c>
      <c r="AE40" s="12" t="n">
        <f aca="false">SUM(FO!AE40,PO!AE40,CO!AE40,FE!AE40,PE!AE40)</f>
        <v>381.3215</v>
      </c>
      <c r="AF40" s="12" t="n">
        <f aca="false">SUM(FO!AF40,PO!AF40,CO!AF40,FE!AF40,PE!AF40)</f>
        <v>381.3215</v>
      </c>
      <c r="AG40" s="12" t="n">
        <f aca="false">SUM(U40:AF40)</f>
        <v>4575.858</v>
      </c>
      <c r="AH40" s="24" t="n">
        <f aca="false">IFERROR(AG40/AG$16,"")</f>
        <v>0.000294009394376761</v>
      </c>
      <c r="AI40" s="9"/>
      <c r="AJ40" s="12" t="n">
        <f aca="false">N40-AG40</f>
        <v>-217.898</v>
      </c>
      <c r="AK40" s="9"/>
    </row>
    <row r="41" customFormat="false" ht="13.5" hidden="false" customHeight="true" outlineLevel="0" collapsed="false">
      <c r="A41" s="23" t="s">
        <v>1296</v>
      </c>
      <c r="B41" s="12" t="n">
        <f aca="false">SUM(FO!B41,PO!B41,CO!B41,FE!B41,PE!B41)</f>
        <v>0</v>
      </c>
      <c r="C41" s="12" t="n">
        <f aca="false">SUM(FO!C41,PO!C41,CO!C41,FE!C41,PE!C41)</f>
        <v>0</v>
      </c>
      <c r="D41" s="12" t="n">
        <f aca="false">SUM(FO!D41,PO!D41,CO!D41,FE!D41,PE!D41)</f>
        <v>0</v>
      </c>
      <c r="E41" s="12" t="n">
        <f aca="false">SUM(FO!E41,PO!E41,CO!E41,FE!E41,PE!E41)</f>
        <v>0</v>
      </c>
      <c r="F41" s="12" t="n">
        <f aca="false">SUM(FO!F41,PO!F41,CO!F41,FE!F41,PE!F41)</f>
        <v>0</v>
      </c>
      <c r="G41" s="12" t="n">
        <f aca="false">SUM(FO!G41,PO!G41,CO!G41,FE!G41,PE!G41)</f>
        <v>1662.88</v>
      </c>
      <c r="H41" s="12" t="n">
        <f aca="false">SUM(FO!H41,PO!H41,CO!H41,FE!H41,PE!H41)</f>
        <v>818.38</v>
      </c>
      <c r="I41" s="12" t="n">
        <f aca="false">SUM(FO!I41,PO!I41,CO!I41,FE!I41,PE!I41)</f>
        <v>111429.29</v>
      </c>
      <c r="J41" s="12" t="n">
        <f aca="false">SUM(FO!J41,PO!J41,CO!J41,FE!J41,PE!J41)</f>
        <v>0</v>
      </c>
      <c r="K41" s="12" t="n">
        <f aca="false">SUM(FO!K41,PO!K41,CO!K41,FE!K41,PE!K41)</f>
        <v>0</v>
      </c>
      <c r="L41" s="12" t="n">
        <f aca="false">SUM(FO!L41,PO!L41,CO!L41,FE!L41,PE!L41)</f>
        <v>0</v>
      </c>
      <c r="M41" s="12" t="n">
        <f aca="false">SUM(FO!M41,PO!M41,CO!M41,FE!M41,PE!M41)</f>
        <v>0</v>
      </c>
      <c r="N41" s="12" t="n">
        <f aca="false">SUM(B41:M41)</f>
        <v>113910.55</v>
      </c>
      <c r="O41" s="24" t="n">
        <f aca="false">IFERROR(N41/N$16,"")</f>
        <v>0.0153436796373552</v>
      </c>
      <c r="P41" s="12"/>
      <c r="Q41" s="12"/>
      <c r="R41" s="12"/>
      <c r="S41" s="12"/>
      <c r="T41" s="12"/>
      <c r="U41" s="12" t="n">
        <f aca="false">SUM(FO!U41,PO!U41,CO!U41,FE!U41,PE!U41)</f>
        <v>9492.54583333333</v>
      </c>
      <c r="V41" s="12" t="n">
        <f aca="false">SUM(FO!V41,PO!V41,CO!V41,FE!V41,PE!V41)</f>
        <v>9492.54583333333</v>
      </c>
      <c r="W41" s="12" t="n">
        <f aca="false">SUM(FO!W41,PO!W41,CO!W41,FE!W41,PE!W41)</f>
        <v>9492.54583333333</v>
      </c>
      <c r="X41" s="12" t="n">
        <f aca="false">SUM(FO!X41,PO!X41,CO!X41,FE!X41,PE!X41)</f>
        <v>9492.54583333333</v>
      </c>
      <c r="Y41" s="12" t="n">
        <f aca="false">SUM(FO!Y41,PO!Y41,CO!Y41,FE!Y41,PE!Y41)</f>
        <v>9492.54583333333</v>
      </c>
      <c r="Z41" s="12" t="n">
        <f aca="false">SUM(FO!Z41,PO!Z41,CO!Z41,FE!Z41,PE!Z41)</f>
        <v>9492.54583333333</v>
      </c>
      <c r="AA41" s="12" t="n">
        <f aca="false">SUM(FO!AA41,PO!AA41,CO!AA41,FE!AA41,PE!AA41)</f>
        <v>9492.54583333333</v>
      </c>
      <c r="AB41" s="12" t="n">
        <f aca="false">SUM(FO!AB41,PO!AB41,CO!AB41,FE!AB41,PE!AB41)</f>
        <v>9492.54583333333</v>
      </c>
      <c r="AC41" s="12" t="n">
        <f aca="false">SUM(FO!AC41,PO!AC41,CO!AC41,FE!AC41,PE!AC41)</f>
        <v>9492.54583333333</v>
      </c>
      <c r="AD41" s="12" t="n">
        <f aca="false">SUM(FO!AD41,PO!AD41,CO!AD41,FE!AD41,PE!AD41)</f>
        <v>9492.54583333333</v>
      </c>
      <c r="AE41" s="12" t="n">
        <f aca="false">SUM(FO!AE41,PO!AE41,CO!AE41,FE!AE41,PE!AE41)</f>
        <v>9492.54583333333</v>
      </c>
      <c r="AF41" s="12" t="n">
        <f aca="false">SUM(FO!AF41,PO!AF41,CO!AF41,FE!AF41,PE!AF41)</f>
        <v>9492.54583333333</v>
      </c>
      <c r="AG41" s="12" t="n">
        <f aca="false">SUM(U41:AF41)</f>
        <v>113910.55</v>
      </c>
      <c r="AH41" s="24" t="n">
        <f aca="false">IFERROR(AG41/AG$16,"")</f>
        <v>0.00731901466754952</v>
      </c>
      <c r="AI41" s="9"/>
      <c r="AJ41" s="12" t="n">
        <f aca="false">N41-AG41</f>
        <v>0</v>
      </c>
      <c r="AK41" s="9"/>
    </row>
    <row r="42" customFormat="false" ht="13.5" hidden="false" customHeight="true" outlineLevel="0" collapsed="false">
      <c r="A42" s="23" t="s">
        <v>1297</v>
      </c>
      <c r="B42" s="12" t="n">
        <f aca="false">SUM(FO!B42,PO!B42,CO!B42,FE!B42,PE!B42)</f>
        <v>0</v>
      </c>
      <c r="C42" s="12" t="n">
        <f aca="false">SUM(FO!C42,PO!C42,CO!C42,FE!C42,PE!C42)</f>
        <v>0</v>
      </c>
      <c r="D42" s="12" t="n">
        <f aca="false">SUM(FO!D42,PO!D42,CO!D42,FE!D42,PE!D42)</f>
        <v>0</v>
      </c>
      <c r="E42" s="12" t="n">
        <f aca="false">SUM(FO!E42,PO!E42,CO!E42,FE!E42,PE!E42)</f>
        <v>0</v>
      </c>
      <c r="F42" s="12" t="n">
        <f aca="false">SUM(FO!F42,PO!F42,CO!F42,FE!F42,PE!F42)</f>
        <v>0</v>
      </c>
      <c r="G42" s="12" t="n">
        <f aca="false">SUM(FO!G42,PO!G42,CO!G42,FE!G42,PE!G42)</f>
        <v>0</v>
      </c>
      <c r="H42" s="12" t="n">
        <f aca="false">SUM(FO!H42,PO!H42,CO!H42,FE!H42,PE!H42)</f>
        <v>0</v>
      </c>
      <c r="I42" s="12" t="n">
        <f aca="false">SUM(FO!I42,PO!I42,CO!I42,FE!I42,PE!I42)</f>
        <v>0</v>
      </c>
      <c r="J42" s="12" t="n">
        <f aca="false">SUM(FO!J42,PO!J42,CO!J42,FE!J42,PE!J42)</f>
        <v>7000</v>
      </c>
      <c r="K42" s="12" t="n">
        <f aca="false">SUM(FO!K42,PO!K42,CO!K42,FE!K42,PE!K42)</f>
        <v>7000</v>
      </c>
      <c r="L42" s="12" t="n">
        <f aca="false">SUM(FO!L42,PO!L42,CO!L42,FE!L42,PE!L42)</f>
        <v>4000</v>
      </c>
      <c r="M42" s="12" t="n">
        <f aca="false">SUM(FO!M42,PO!M42,CO!M42,FE!M42,PE!M42)</f>
        <v>4000</v>
      </c>
      <c r="N42" s="12" t="n">
        <f aca="false">SUM(B42:M42)</f>
        <v>22000</v>
      </c>
      <c r="O42" s="24" t="n">
        <f aca="false">IFERROR(N42/N$16,"")</f>
        <v>0.00296338620103068</v>
      </c>
      <c r="P42" s="12"/>
      <c r="Q42" s="12"/>
      <c r="R42" s="12"/>
      <c r="S42" s="12"/>
      <c r="T42" s="12"/>
      <c r="U42" s="12" t="n">
        <f aca="false">SUM(FO!U42,PO!U42,CO!U42,FE!U42,PE!U42)</f>
        <v>20000</v>
      </c>
      <c r="V42" s="12" t="n">
        <f aca="false">SUM(FO!V42,PO!V42,CO!V42,FE!V42,PE!V42)</f>
        <v>5000</v>
      </c>
      <c r="W42" s="12" t="n">
        <f aca="false">SUM(FO!W42,PO!W42,CO!W42,FE!W42,PE!W42)</f>
        <v>5000</v>
      </c>
      <c r="X42" s="12" t="n">
        <f aca="false">SUM(FO!X42,PO!X42,CO!X42,FE!X42,PE!X42)</f>
        <v>5000</v>
      </c>
      <c r="Y42" s="12" t="n">
        <f aca="false">SUM(FO!Y42,PO!Y42,CO!Y42,FE!Y42,PE!Y42)</f>
        <v>5000</v>
      </c>
      <c r="Z42" s="12" t="n">
        <f aca="false">SUM(FO!Z42,PO!Z42,CO!Z42,FE!Z42,PE!Z42)</f>
        <v>5000</v>
      </c>
      <c r="AA42" s="12" t="n">
        <f aca="false">SUM(FO!AA42,PO!AA42,CO!AA42,FE!AA42,PE!AA42)</f>
        <v>5000</v>
      </c>
      <c r="AB42" s="12" t="n">
        <f aca="false">SUM(FO!AB42,PO!AB42,CO!AB42,FE!AB42,PE!AB42)</f>
        <v>5000</v>
      </c>
      <c r="AC42" s="12" t="n">
        <f aca="false">SUM(FO!AC42,PO!AC42,CO!AC42,FE!AC42,PE!AC42)</f>
        <v>5000</v>
      </c>
      <c r="AD42" s="12" t="n">
        <f aca="false">SUM(FO!AD42,PO!AD42,CO!AD42,FE!AD42,PE!AD42)</f>
        <v>5000</v>
      </c>
      <c r="AE42" s="12" t="n">
        <f aca="false">SUM(FO!AE42,PO!AE42,CO!AE42,FE!AE42,PE!AE42)</f>
        <v>5000</v>
      </c>
      <c r="AF42" s="12" t="n">
        <f aca="false">SUM(FO!AF42,PO!AF42,CO!AF42,FE!AF42,PE!AF42)</f>
        <v>5000</v>
      </c>
      <c r="AG42" s="12" t="n">
        <f aca="false">SUM(U42:AF42)</f>
        <v>75000</v>
      </c>
      <c r="AH42" s="24" t="n">
        <f aca="false">IFERROR(AG42/AG$16,"")</f>
        <v>0.00481892239187866</v>
      </c>
      <c r="AI42" s="9"/>
      <c r="AJ42" s="12" t="n">
        <f aca="false">N42-AG42</f>
        <v>-53000</v>
      </c>
      <c r="AK42" s="9"/>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12"/>
      <c r="S43" s="12"/>
      <c r="T43" s="12"/>
      <c r="U43" s="12"/>
      <c r="V43" s="12"/>
      <c r="W43" s="12"/>
      <c r="X43" s="12"/>
      <c r="Y43" s="12"/>
      <c r="Z43" s="12"/>
      <c r="AA43" s="12"/>
      <c r="AB43" s="12"/>
      <c r="AC43" s="12"/>
      <c r="AD43" s="12"/>
      <c r="AE43" s="12"/>
      <c r="AF43" s="12"/>
      <c r="AG43" s="12"/>
      <c r="AH43" s="24"/>
      <c r="AI43" s="9"/>
      <c r="AJ43" s="12"/>
      <c r="AK43" s="9"/>
    </row>
    <row r="44" customFormat="false" ht="13.5" hidden="false" customHeight="true" outlineLevel="0" collapsed="false">
      <c r="A44" s="23" t="s">
        <v>1299</v>
      </c>
      <c r="B44" s="12" t="n">
        <f aca="false">SUM(FO!B44,PO!B44,CO!B44,FE!B44,PE!B44)</f>
        <v>0</v>
      </c>
      <c r="C44" s="12" t="n">
        <f aca="false">SUM(FO!C44,PO!C44,CO!C44,FE!C44,PE!C44)</f>
        <v>0</v>
      </c>
      <c r="D44" s="12" t="n">
        <f aca="false">SUM(FO!D44,PO!D44,CO!D44,FE!D44,PE!D44)</f>
        <v>0</v>
      </c>
      <c r="E44" s="12" t="n">
        <f aca="false">SUM(FO!E44,PO!E44,CO!E44,FE!E44,PE!E44)</f>
        <v>0</v>
      </c>
      <c r="F44" s="12" t="n">
        <f aca="false">SUM(FO!F44,PO!F44,CO!F44,FE!F44,PE!F44)</f>
        <v>19808</v>
      </c>
      <c r="G44" s="12" t="n">
        <f aca="false">SUM(FO!G44,PO!G44,CO!G44,FE!G44,PE!G44)</f>
        <v>10009</v>
      </c>
      <c r="H44" s="12" t="n">
        <f aca="false">SUM(FO!H44,PO!H44,CO!H44,FE!H44,PE!H44)</f>
        <v>10968.52</v>
      </c>
      <c r="I44" s="12" t="n">
        <f aca="false">SUM(FO!I44,PO!I44,CO!I44,FE!I44,PE!I44)</f>
        <v>6116.47</v>
      </c>
      <c r="J44" s="12" t="n">
        <f aca="false">SUM(FO!J44,PO!J44,CO!J44,FE!J44,PE!J44)</f>
        <v>40350</v>
      </c>
      <c r="K44" s="12" t="n">
        <f aca="false">SUM(FO!K44,PO!K44,CO!K44,FE!K44,PE!K44)</f>
        <v>44270</v>
      </c>
      <c r="L44" s="12" t="n">
        <f aca="false">SUM(FO!L44,PO!L44,CO!L44,FE!L44,PE!L44)</f>
        <v>48190</v>
      </c>
      <c r="M44" s="12" t="n">
        <f aca="false">SUM(FO!M44,PO!M44,CO!M44,FE!M44,PE!M44)</f>
        <v>52110</v>
      </c>
      <c r="N44" s="12" t="n">
        <f aca="false">SUM(B44:M44)</f>
        <v>231821.99</v>
      </c>
      <c r="O44" s="24" t="n">
        <f aca="false">IFERROR(N44/N$16,"")</f>
        <v>0.0312262766482487</v>
      </c>
      <c r="P44" s="12"/>
      <c r="Q44" s="12"/>
      <c r="R44" s="12"/>
      <c r="S44" s="12"/>
      <c r="T44" s="12"/>
      <c r="U44" s="12" t="n">
        <f aca="false">SUM(FO!U44,PO!U44,CO!U44,FE!U44,PE!U44)</f>
        <v>37614</v>
      </c>
      <c r="V44" s="12" t="n">
        <f aca="false">SUM(FO!V44,PO!V44,CO!V44,FE!V44,PE!V44)</f>
        <v>37614</v>
      </c>
      <c r="W44" s="12" t="n">
        <f aca="false">SUM(FO!W44,PO!W44,CO!W44,FE!W44,PE!W44)</f>
        <v>50004</v>
      </c>
      <c r="X44" s="12" t="n">
        <f aca="false">SUM(FO!X44,PO!X44,CO!X44,FE!X44,PE!X44)</f>
        <v>50004</v>
      </c>
      <c r="Y44" s="12" t="n">
        <f aca="false">SUM(FO!Y44,PO!Y44,CO!Y44,FE!Y44,PE!Y44)</f>
        <v>50004</v>
      </c>
      <c r="Z44" s="12" t="n">
        <f aca="false">SUM(FO!Z44,PO!Z44,CO!Z44,FE!Z44,PE!Z44)</f>
        <v>50004</v>
      </c>
      <c r="AA44" s="12" t="n">
        <f aca="false">SUM(FO!AA44,PO!AA44,CO!AA44,FE!AA44,PE!AA44)</f>
        <v>50004</v>
      </c>
      <c r="AB44" s="12" t="n">
        <f aca="false">SUM(FO!AB44,PO!AB44,CO!AB44,FE!AB44,PE!AB44)</f>
        <v>50004</v>
      </c>
      <c r="AC44" s="12" t="n">
        <f aca="false">SUM(FO!AC44,PO!AC44,CO!AC44,FE!AC44,PE!AC44)</f>
        <v>50004</v>
      </c>
      <c r="AD44" s="12" t="n">
        <f aca="false">SUM(FO!AD44,PO!AD44,CO!AD44,FE!AD44,PE!AD44)</f>
        <v>50004</v>
      </c>
      <c r="AE44" s="12" t="n">
        <f aca="false">SUM(FO!AE44,PO!AE44,CO!AE44,FE!AE44,PE!AE44)</f>
        <v>50004</v>
      </c>
      <c r="AF44" s="12" t="n">
        <f aca="false">SUM(FO!AF44,PO!AF44,CO!AF44,FE!AF44,PE!AF44)</f>
        <v>50004</v>
      </c>
      <c r="AG44" s="12" t="n">
        <f aca="false">SUM(U44:AF44)</f>
        <v>575268</v>
      </c>
      <c r="AH44" s="24" t="n">
        <f aca="false">IFERROR(AG44/AG$16,"")</f>
        <v>0.0369622912870834</v>
      </c>
      <c r="AI44" s="9"/>
      <c r="AJ44" s="12" t="n">
        <f aca="false">N44-AG44</f>
        <v>-343446.01</v>
      </c>
      <c r="AK44" s="9"/>
    </row>
    <row r="45" customFormat="false" ht="13.5" hidden="false" customHeight="true" outlineLevel="0" collapsed="false">
      <c r="A45" s="23" t="s">
        <v>1300</v>
      </c>
      <c r="B45" s="12" t="n">
        <f aca="false">SUM(FO!B45,PO!B45,CO!B45,FE!B45,PE!B45)</f>
        <v>6406.36</v>
      </c>
      <c r="C45" s="12" t="n">
        <f aca="false">SUM(FO!C45,PO!C45,CO!C45,FE!C45,PE!C45)</f>
        <v>256.47</v>
      </c>
      <c r="D45" s="12" t="n">
        <f aca="false">SUM(FO!D45,PO!D45,CO!D45,FE!D45,PE!D45)</f>
        <v>1327.17</v>
      </c>
      <c r="E45" s="12" t="n">
        <f aca="false">SUM(FO!E45,PO!E45,CO!E45,FE!E45,PE!E45)</f>
        <v>7521.93</v>
      </c>
      <c r="F45" s="12" t="n">
        <f aca="false">SUM(FO!F45,PO!F45,CO!F45,FE!F45,PE!F45)</f>
        <v>4983.81</v>
      </c>
      <c r="G45" s="12" t="n">
        <f aca="false">SUM(FO!G45,PO!G45,CO!G45,FE!G45,PE!G45)</f>
        <v>8114.45</v>
      </c>
      <c r="H45" s="12" t="n">
        <f aca="false">SUM(FO!H45,PO!H45,CO!H45,FE!H45,PE!H45)</f>
        <v>14179.16</v>
      </c>
      <c r="I45" s="12" t="n">
        <f aca="false">SUM(FO!I45,PO!I45,CO!I45,FE!I45,PE!I45)</f>
        <v>11260.12</v>
      </c>
      <c r="J45" s="12" t="n">
        <f aca="false">SUM(FO!J45,PO!J45,CO!J45,FE!J45,PE!J45)</f>
        <v>5750</v>
      </c>
      <c r="K45" s="12" t="n">
        <f aca="false">SUM(FO!K45,PO!K45,CO!K45,FE!K45,PE!K45)</f>
        <v>6000</v>
      </c>
      <c r="L45" s="12" t="n">
        <f aca="false">SUM(FO!L45,PO!L45,CO!L45,FE!L45,PE!L45)</f>
        <v>6250</v>
      </c>
      <c r="M45" s="12" t="n">
        <f aca="false">SUM(FO!M45,PO!M45,CO!M45,FE!M45,PE!M45)</f>
        <v>6500</v>
      </c>
      <c r="N45" s="12" t="n">
        <f aca="false">SUM(B45:M45)</f>
        <v>78549.47</v>
      </c>
      <c r="O45" s="24" t="n">
        <f aca="false">IFERROR(N45/N$16,"")</f>
        <v>0.0105805643407397</v>
      </c>
      <c r="P45" s="12"/>
      <c r="Q45" s="12"/>
      <c r="R45" s="12"/>
      <c r="S45" s="12"/>
      <c r="T45" s="12"/>
      <c r="U45" s="12" t="n">
        <f aca="false">SUM(FO!U45,PO!U45,CO!U45,FE!U45,PE!U45)</f>
        <v>5185.82172977143</v>
      </c>
      <c r="V45" s="12" t="n">
        <f aca="false">SUM(FO!V45,PO!V45,CO!V45,FE!V45,PE!V45)</f>
        <v>5561.35943592</v>
      </c>
      <c r="W45" s="12" t="n">
        <f aca="false">SUM(FO!W45,PO!W45,CO!W45,FE!W45,PE!W45)</f>
        <v>5561.35943592</v>
      </c>
      <c r="X45" s="12" t="n">
        <f aca="false">SUM(FO!X45,PO!X45,CO!X45,FE!X45,PE!X45)</f>
        <v>6594.08812782857</v>
      </c>
      <c r="Y45" s="12" t="n">
        <f aca="false">SUM(FO!Y45,PO!Y45,CO!Y45,FE!Y45,PE!Y45)</f>
        <v>7251.27911358857</v>
      </c>
      <c r="Z45" s="12" t="n">
        <f aca="false">SUM(FO!Z45,PO!Z45,CO!Z45,FE!Z45,PE!Z45)</f>
        <v>8190.12337896</v>
      </c>
      <c r="AA45" s="12" t="n">
        <f aca="false">SUM(FO!AA45,PO!AA45,CO!AA45,FE!AA45,PE!AA45)</f>
        <v>9035.08321779429</v>
      </c>
      <c r="AB45" s="12" t="n">
        <f aca="false">SUM(FO!AB45,PO!AB45,CO!AB45,FE!AB45,PE!AB45)</f>
        <v>10067.8119097029</v>
      </c>
      <c r="AC45" s="12" t="n">
        <f aca="false">SUM(FO!AC45,PO!AC45,CO!AC45,FE!AC45,PE!AC45)</f>
        <v>11382.1938812229</v>
      </c>
      <c r="AD45" s="12" t="n">
        <f aca="false">SUM(FO!AD45,PO!AD45,CO!AD45,FE!AD45,PE!AD45)</f>
        <v>12696.5758527429</v>
      </c>
      <c r="AE45" s="12" t="n">
        <f aca="false">SUM(FO!AE45,PO!AE45,CO!AE45,FE!AE45,PE!AE45)</f>
        <v>14292.6111038743</v>
      </c>
      <c r="AF45" s="12" t="n">
        <f aca="false">SUM(FO!AF45,PO!AF45,CO!AF45,FE!AF45,PE!AF45)</f>
        <v>15982.5307815429</v>
      </c>
      <c r="AG45" s="12" t="n">
        <f aca="false">SUM(U45:AF45)</f>
        <v>111800.837968869</v>
      </c>
      <c r="AH45" s="24" t="n">
        <f aca="false">IFERROR(AG45/AG$16,"")</f>
        <v>0.00718346082025305</v>
      </c>
      <c r="AI45" s="9"/>
      <c r="AJ45" s="12" t="n">
        <f aca="false">N45-AG45</f>
        <v>-33251.3679688686</v>
      </c>
      <c r="AK45" s="9"/>
    </row>
    <row r="46" customFormat="false" ht="13.5" hidden="false" customHeight="true" outlineLevel="0" collapsed="false">
      <c r="A46" s="23" t="s">
        <v>1301</v>
      </c>
      <c r="B46" s="12" t="n">
        <f aca="false">SUM(FO!B46,PO!B46,CO!B46,FE!B46,PE!B46)</f>
        <v>3561.5</v>
      </c>
      <c r="C46" s="12" t="n">
        <f aca="false">SUM(FO!C46,PO!C46,CO!C46,FE!C46,PE!C46)</f>
        <v>2541.74</v>
      </c>
      <c r="D46" s="12" t="n">
        <f aca="false">SUM(FO!D46,PO!D46,CO!D46,FE!D46,PE!D46)</f>
        <v>3711.38</v>
      </c>
      <c r="E46" s="12" t="n">
        <f aca="false">SUM(FO!E46,PO!E46,CO!E46,FE!E46,PE!E46)</f>
        <v>37.64</v>
      </c>
      <c r="F46" s="12" t="n">
        <f aca="false">SUM(FO!F46,PO!F46,CO!F46,FE!F46,PE!F46)</f>
        <v>3173.45</v>
      </c>
      <c r="G46" s="12" t="n">
        <f aca="false">SUM(FO!G46,PO!G46,CO!G46,FE!G46,PE!G46)</f>
        <v>694.03</v>
      </c>
      <c r="H46" s="12" t="n">
        <f aca="false">SUM(FO!H46,PO!H46,CO!H46,FE!H46,PE!H46)</f>
        <v>1220.52</v>
      </c>
      <c r="I46" s="12" t="n">
        <f aca="false">SUM(FO!I46,PO!I46,CO!I46,FE!I46,PE!I46)</f>
        <v>9614.79</v>
      </c>
      <c r="J46" s="12" t="n">
        <f aca="false">SUM(FO!J46,PO!J46,CO!J46,FE!J46,PE!J46)</f>
        <v>3400</v>
      </c>
      <c r="K46" s="12" t="n">
        <f aca="false">SUM(FO!K46,PO!K46,CO!K46,FE!K46,PE!K46)</f>
        <v>3400</v>
      </c>
      <c r="L46" s="12" t="n">
        <f aca="false">SUM(FO!L46,PO!L46,CO!L46,FE!L46,PE!L46)</f>
        <v>3400</v>
      </c>
      <c r="M46" s="12" t="n">
        <f aca="false">SUM(FO!M46,PO!M46,CO!M46,FE!M46,PE!M46)</f>
        <v>3400</v>
      </c>
      <c r="N46" s="12" t="n">
        <f aca="false">SUM(B46:M46)</f>
        <v>38155.05</v>
      </c>
      <c r="O46" s="24" t="n">
        <f aca="false">IFERROR(N46/N$16,"")</f>
        <v>0.00513946130316525</v>
      </c>
      <c r="P46" s="12"/>
      <c r="Q46" s="12"/>
      <c r="R46" s="12"/>
      <c r="S46" s="12"/>
      <c r="T46" s="12"/>
      <c r="U46" s="12" t="n">
        <f aca="false">SUM(FO!U46,PO!U46,CO!U46,FE!U46,PE!U46)</f>
        <v>14024.02</v>
      </c>
      <c r="V46" s="12" t="n">
        <f aca="false">SUM(FO!V46,PO!V46,CO!V46,FE!V46,PE!V46)</f>
        <v>9524.02</v>
      </c>
      <c r="W46" s="12" t="n">
        <f aca="false">SUM(FO!W46,PO!W46,CO!W46,FE!W46,PE!W46)</f>
        <v>551.6</v>
      </c>
      <c r="X46" s="12" t="n">
        <f aca="false">SUM(FO!X46,PO!X46,CO!X46,FE!X46,PE!X46)</f>
        <v>21334.34</v>
      </c>
      <c r="Y46" s="12" t="n">
        <f aca="false">SUM(FO!Y46,PO!Y46,CO!Y46,FE!Y46,PE!Y46)</f>
        <v>16972.24</v>
      </c>
      <c r="Z46" s="12" t="n">
        <f aca="false">SUM(FO!Z46,PO!Z46,CO!Z46,FE!Z46,PE!Z46)</f>
        <v>24310.14</v>
      </c>
      <c r="AA46" s="12" t="n">
        <f aca="false">SUM(FO!AA46,PO!AA46,CO!AA46,FE!AA46,PE!AA46)</f>
        <v>21775.62</v>
      </c>
      <c r="AB46" s="12" t="n">
        <f aca="false">SUM(FO!AB46,PO!AB46,CO!AB46,FE!AB46,PE!AB46)</f>
        <v>26468.68</v>
      </c>
      <c r="AC46" s="12" t="n">
        <f aca="false">SUM(FO!AC46,PO!AC46,CO!AC46,FE!AC46,PE!AC46)</f>
        <v>33861.74</v>
      </c>
      <c r="AD46" s="12" t="n">
        <f aca="false">SUM(FO!AD46,PO!AD46,CO!AD46,FE!AD46,PE!AD46)</f>
        <v>34109.96</v>
      </c>
      <c r="AE46" s="12" t="n">
        <f aca="false">SUM(FO!AE46,PO!AE46,CO!AE46,FE!AE46,PE!AE46)</f>
        <v>41558.18</v>
      </c>
      <c r="AF46" s="12" t="n">
        <f aca="false">SUM(FO!AF46,PO!AF46,CO!AF46,FE!AF46,PE!AF46)</f>
        <v>43578.82</v>
      </c>
      <c r="AG46" s="12" t="n">
        <f aca="false">SUM(U46:AF46)</f>
        <v>288069.36</v>
      </c>
      <c r="AH46" s="24" t="n">
        <f aca="false">IFERROR(AG46/AG$16,"")</f>
        <v>0.0185091185242421</v>
      </c>
      <c r="AI46" s="9"/>
      <c r="AJ46" s="12" t="n">
        <f aca="false">N46-AG46</f>
        <v>-249914.31</v>
      </c>
      <c r="AK46" s="9"/>
    </row>
    <row r="47" customFormat="false" ht="13.5" hidden="false" customHeight="true" outlineLevel="0" collapsed="false">
      <c r="A47" s="23" t="s">
        <v>1302</v>
      </c>
      <c r="B47" s="12" t="n">
        <f aca="false">SUM(FO!B47,PO!B47,CO!B47,FE!B47,PE!B47)</f>
        <v>14676.39</v>
      </c>
      <c r="C47" s="12" t="n">
        <f aca="false">SUM(FO!C47,PO!C47,CO!C47,FE!C47,PE!C47)</f>
        <v>19314.55</v>
      </c>
      <c r="D47" s="12" t="n">
        <f aca="false">SUM(FO!D47,PO!D47,CO!D47,FE!D47,PE!D47)</f>
        <v>63529</v>
      </c>
      <c r="E47" s="12" t="n">
        <f aca="false">SUM(FO!E47,PO!E47,CO!E47,FE!E47,PE!E47)</f>
        <v>12929.3</v>
      </c>
      <c r="F47" s="12" t="n">
        <f aca="false">SUM(FO!F47,PO!F47,CO!F47,FE!F47,PE!F47)</f>
        <v>45540.82</v>
      </c>
      <c r="G47" s="12" t="n">
        <f aca="false">SUM(FO!G47,PO!G47,CO!G47,FE!G47,PE!G47)</f>
        <v>39676.61</v>
      </c>
      <c r="H47" s="12" t="n">
        <f aca="false">SUM(FO!H47,PO!H47,CO!H47,FE!H47,PE!H47)</f>
        <v>12049.91</v>
      </c>
      <c r="I47" s="12" t="n">
        <f aca="false">SUM(FO!I47,PO!I47,CO!I47,FE!I47,PE!I47)</f>
        <v>-8022.21</v>
      </c>
      <c r="J47" s="12" t="n">
        <f aca="false">SUM(FO!J47,PO!J47,CO!J47,FE!J47,PE!J47)</f>
        <v>29000</v>
      </c>
      <c r="K47" s="12" t="n">
        <f aca="false">SUM(FO!K47,PO!K47,CO!K47,FE!K47,PE!K47)</f>
        <v>29000</v>
      </c>
      <c r="L47" s="12" t="n">
        <f aca="false">SUM(FO!L47,PO!L47,CO!L47,FE!L47,PE!L47)</f>
        <v>31000</v>
      </c>
      <c r="M47" s="12" t="n">
        <f aca="false">SUM(FO!M47,PO!M47,CO!M47,FE!M47,PE!M47)</f>
        <v>31000</v>
      </c>
      <c r="N47" s="12" t="n">
        <f aca="false">SUM(B47:M47)</f>
        <v>319694.37</v>
      </c>
      <c r="O47" s="24" t="n">
        <f aca="false">IFERROR(N47/N$16,"")</f>
        <v>0.043062631118418</v>
      </c>
      <c r="P47" s="12"/>
      <c r="Q47" s="12"/>
      <c r="R47" s="12"/>
      <c r="S47" s="12"/>
      <c r="T47" s="12"/>
      <c r="U47" s="12" t="n">
        <f aca="false">SUM(FO!U47,PO!U47,CO!U47,FE!U47,PE!U47)</f>
        <v>51213.6175428571</v>
      </c>
      <c r="V47" s="12" t="n">
        <f aca="false">SUM(FO!V47,PO!V47,CO!V47,FE!V47,PE!V47)</f>
        <v>58299.23464</v>
      </c>
      <c r="W47" s="12" t="n">
        <f aca="false">SUM(FO!W47,PO!W47,CO!W47,FE!W47,PE!W47)</f>
        <v>58299.23464</v>
      </c>
      <c r="X47" s="12" t="n">
        <f aca="false">SUM(FO!X47,PO!X47,CO!X47,FE!X47,PE!X47)</f>
        <v>77784.6816571429</v>
      </c>
      <c r="Y47" s="12" t="n">
        <f aca="false">SUM(FO!Y47,PO!Y47,CO!Y47,FE!Y47,PE!Y47)</f>
        <v>90309.5115771429</v>
      </c>
      <c r="Z47" s="12" t="n">
        <f aca="false">SUM(FO!Z47,PO!Z47,CO!Z47,FE!Z47,PE!Z47)</f>
        <v>108148.55432</v>
      </c>
      <c r="AA47" s="12" t="n">
        <f aca="false">SUM(FO!AA47,PO!AA47,CO!AA47,FE!AA47,PE!AA47)</f>
        <v>124216.192788571</v>
      </c>
      <c r="AB47" s="12" t="n">
        <f aca="false">SUM(FO!AB47,PO!AB47,CO!AB47,FE!AB47,PE!AB47)</f>
        <v>143826.639805714</v>
      </c>
      <c r="AC47" s="12" t="n">
        <f aca="false">SUM(FO!AC47,PO!AC47,CO!AC47,FE!AC47,PE!AC47)</f>
        <v>168751.299645714</v>
      </c>
      <c r="AD47" s="12" t="n">
        <f aca="false">SUM(FO!AD47,PO!AD47,CO!AD47,FE!AD47,PE!AD47)</f>
        <v>193675.959485714</v>
      </c>
      <c r="AE47" s="12" t="n">
        <f aca="false">SUM(FO!AE47,PO!AE47,CO!AE47,FE!AE47,PE!AE47)</f>
        <v>223914.832148571</v>
      </c>
      <c r="AF47" s="12" t="n">
        <f aca="false">SUM(FO!AF47,PO!AF47,CO!AF47,FE!AF47,PE!AF47)</f>
        <v>255925.109085714</v>
      </c>
      <c r="AG47" s="12" t="n">
        <f aca="false">SUM(U47:AF47)</f>
        <v>1554364.86733714</v>
      </c>
      <c r="AH47" s="24" t="n">
        <f aca="false">IFERROR(AG47/AG$16,"")</f>
        <v>0.0998715155248061</v>
      </c>
      <c r="AI47" s="9"/>
      <c r="AJ47" s="12" t="n">
        <f aca="false">N47-AG47</f>
        <v>-1234670.49733714</v>
      </c>
      <c r="AK47" s="9"/>
    </row>
    <row r="48" customFormat="false" ht="13.5" hidden="false" customHeight="true" outlineLevel="0" collapsed="false">
      <c r="A48" s="23" t="s">
        <v>1303</v>
      </c>
      <c r="B48" s="12" t="n">
        <f aca="false">SUM(FO!B48,PO!B48,CO!B48,FE!B48,PE!B48)</f>
        <v>2745.99</v>
      </c>
      <c r="C48" s="12" t="n">
        <f aca="false">SUM(FO!C48,PO!C48,CO!C48,FE!C48,PE!C48)</f>
        <v>5395</v>
      </c>
      <c r="D48" s="12" t="n">
        <f aca="false">SUM(FO!D48,PO!D48,CO!D48,FE!D48,PE!D48)</f>
        <v>4120</v>
      </c>
      <c r="E48" s="12" t="n">
        <f aca="false">SUM(FO!E48,PO!E48,CO!E48,FE!E48,PE!E48)</f>
        <v>2500</v>
      </c>
      <c r="F48" s="12" t="n">
        <f aca="false">SUM(FO!F48,PO!F48,CO!F48,FE!F48,PE!F48)</f>
        <v>2680</v>
      </c>
      <c r="G48" s="12" t="n">
        <f aca="false">SUM(FO!G48,PO!G48,CO!G48,FE!G48,PE!G48)</f>
        <v>2560</v>
      </c>
      <c r="H48" s="12" t="n">
        <f aca="false">SUM(FO!H48,PO!H48,CO!H48,FE!H48,PE!H48)</f>
        <v>1240</v>
      </c>
      <c r="I48" s="12" t="n">
        <f aca="false">SUM(FO!I48,PO!I48,CO!I48,FE!I48,PE!I48)</f>
        <v>1060</v>
      </c>
      <c r="J48" s="12" t="n">
        <f aca="false">SUM(FO!J48,PO!J48,CO!J48,FE!J48,PE!J48)</f>
        <v>3000</v>
      </c>
      <c r="K48" s="12" t="n">
        <f aca="false">SUM(FO!K48,PO!K48,CO!K48,FE!K48,PE!K48)</f>
        <v>3000</v>
      </c>
      <c r="L48" s="12" t="n">
        <f aca="false">SUM(FO!L48,PO!L48,CO!L48,FE!L48,PE!L48)</f>
        <v>3000</v>
      </c>
      <c r="M48" s="12" t="n">
        <f aca="false">SUM(FO!M48,PO!M48,CO!M48,FE!M48,PE!M48)</f>
        <v>3000</v>
      </c>
      <c r="N48" s="12" t="n">
        <f aca="false">SUM(B48:M48)</f>
        <v>34300.99</v>
      </c>
      <c r="O48" s="24" t="n">
        <f aca="false">IFERROR(N48/N$16,"")</f>
        <v>0.00462032183853142</v>
      </c>
      <c r="P48" s="12"/>
      <c r="Q48" s="12"/>
      <c r="R48" s="12"/>
      <c r="S48" s="12"/>
      <c r="T48" s="12"/>
      <c r="U48" s="12" t="n">
        <f aca="false">SUM(FO!U48,PO!U48,CO!U48,FE!U48,PE!U48)</f>
        <v>3000</v>
      </c>
      <c r="V48" s="12" t="n">
        <f aca="false">SUM(FO!V48,PO!V48,CO!V48,FE!V48,PE!V48)</f>
        <v>3000</v>
      </c>
      <c r="W48" s="12" t="n">
        <f aca="false">SUM(FO!W48,PO!W48,CO!W48,FE!W48,PE!W48)</f>
        <v>3000</v>
      </c>
      <c r="X48" s="12" t="n">
        <f aca="false">SUM(FO!X48,PO!X48,CO!X48,FE!X48,PE!X48)</f>
        <v>3000</v>
      </c>
      <c r="Y48" s="12" t="n">
        <f aca="false">SUM(FO!Y48,PO!Y48,CO!Y48,FE!Y48,PE!Y48)</f>
        <v>3000</v>
      </c>
      <c r="Z48" s="12" t="n">
        <f aca="false">SUM(FO!Z48,PO!Z48,CO!Z48,FE!Z48,PE!Z48)</f>
        <v>3000</v>
      </c>
      <c r="AA48" s="12" t="n">
        <f aca="false">SUM(FO!AA48,PO!AA48,CO!AA48,FE!AA48,PE!AA48)</f>
        <v>3000</v>
      </c>
      <c r="AB48" s="12" t="n">
        <f aca="false">SUM(FO!AB48,PO!AB48,CO!AB48,FE!AB48,PE!AB48)</f>
        <v>3000</v>
      </c>
      <c r="AC48" s="12" t="n">
        <f aca="false">SUM(FO!AC48,PO!AC48,CO!AC48,FE!AC48,PE!AC48)</f>
        <v>3000</v>
      </c>
      <c r="AD48" s="12" t="n">
        <f aca="false">SUM(FO!AD48,PO!AD48,CO!AD48,FE!AD48,PE!AD48)</f>
        <v>3000</v>
      </c>
      <c r="AE48" s="12" t="n">
        <f aca="false">SUM(FO!AE48,PO!AE48,CO!AE48,FE!AE48,PE!AE48)</f>
        <v>3000</v>
      </c>
      <c r="AF48" s="12" t="n">
        <f aca="false">SUM(FO!AF48,PO!AF48,CO!AF48,FE!AF48,PE!AF48)</f>
        <v>3000</v>
      </c>
      <c r="AG48" s="12" t="n">
        <f aca="false">SUM(U48:AF48)</f>
        <v>36000</v>
      </c>
      <c r="AH48" s="24" t="n">
        <f aca="false">IFERROR(AG48/AG$16,"")</f>
        <v>0.00231308274810176</v>
      </c>
      <c r="AI48" s="9"/>
      <c r="AJ48" s="12" t="n">
        <f aca="false">N48-AG48</f>
        <v>-1699.01</v>
      </c>
      <c r="AK48" s="9"/>
    </row>
    <row r="49" customFormat="false" ht="13.5" hidden="false" customHeight="true" outlineLevel="0" collapsed="false">
      <c r="A49" s="23" t="s">
        <v>1304</v>
      </c>
      <c r="B49" s="12" t="n">
        <f aca="false">SUM(FO!B49,PO!B49,CO!B49,FE!B49,PE!B49)</f>
        <v>1960.25</v>
      </c>
      <c r="C49" s="12" t="n">
        <f aca="false">SUM(FO!C49,PO!C49,CO!C49,FE!C49,PE!C49)</f>
        <v>1371.12</v>
      </c>
      <c r="D49" s="12" t="n">
        <f aca="false">SUM(FO!D49,PO!D49,CO!D49,FE!D49,PE!D49)</f>
        <v>897.84</v>
      </c>
      <c r="E49" s="12" t="n">
        <f aca="false">SUM(FO!E49,PO!E49,CO!E49,FE!E49,PE!E49)</f>
        <v>881.53</v>
      </c>
      <c r="F49" s="12" t="n">
        <f aca="false">SUM(FO!F49,PO!F49,CO!F49,FE!F49,PE!F49)</f>
        <v>7011.68</v>
      </c>
      <c r="G49" s="12" t="n">
        <f aca="false">SUM(FO!G49,PO!G49,CO!G49,FE!G49,PE!G49)</f>
        <v>4314.54</v>
      </c>
      <c r="H49" s="12" t="n">
        <f aca="false">SUM(FO!H49,PO!H49,CO!H49,FE!H49,PE!H49)</f>
        <v>2792.06</v>
      </c>
      <c r="I49" s="12" t="n">
        <f aca="false">SUM(FO!I49,PO!I49,CO!I49,FE!I49,PE!I49)</f>
        <v>9114.23</v>
      </c>
      <c r="J49" s="12" t="n">
        <f aca="false">SUM(FO!J49,PO!J49,CO!J49,FE!J49,PE!J49)</f>
        <v>5000</v>
      </c>
      <c r="K49" s="12" t="n">
        <f aca="false">SUM(FO!K49,PO!K49,CO!K49,FE!K49,PE!K49)</f>
        <v>5000</v>
      </c>
      <c r="L49" s="12" t="n">
        <f aca="false">SUM(FO!L49,PO!L49,CO!L49,FE!L49,PE!L49)</f>
        <v>4000</v>
      </c>
      <c r="M49" s="12" t="n">
        <f aca="false">SUM(FO!M49,PO!M49,CO!M49,FE!M49,PE!M49)</f>
        <v>4000</v>
      </c>
      <c r="N49" s="12" t="n">
        <f aca="false">SUM(B49:M49)</f>
        <v>46343.25</v>
      </c>
      <c r="O49" s="24" t="n">
        <f aca="false">IFERROR(N49/N$16,"")</f>
        <v>0.00624240670731432</v>
      </c>
      <c r="P49" s="12"/>
      <c r="Q49" s="12"/>
      <c r="R49" s="12"/>
      <c r="S49" s="12"/>
      <c r="T49" s="12"/>
      <c r="U49" s="12" t="n">
        <f aca="false">SUM(FO!U49,PO!U49,CO!U49,FE!U49,PE!U49)</f>
        <v>3992</v>
      </c>
      <c r="V49" s="12" t="n">
        <f aca="false">SUM(FO!V49,PO!V49,CO!V49,FE!V49,PE!V49)</f>
        <v>3992</v>
      </c>
      <c r="W49" s="12" t="n">
        <f aca="false">SUM(FO!W49,PO!W49,CO!W49,FE!W49,PE!W49)</f>
        <v>3992</v>
      </c>
      <c r="X49" s="12" t="n">
        <f aca="false">SUM(FO!X49,PO!X49,CO!X49,FE!X49,PE!X49)</f>
        <v>3992</v>
      </c>
      <c r="Y49" s="12" t="n">
        <f aca="false">SUM(FO!Y49,PO!Y49,CO!Y49,FE!Y49,PE!Y49)</f>
        <v>3992</v>
      </c>
      <c r="Z49" s="12" t="n">
        <f aca="false">SUM(FO!Z49,PO!Z49,CO!Z49,FE!Z49,PE!Z49)</f>
        <v>3992</v>
      </c>
      <c r="AA49" s="12" t="n">
        <f aca="false">SUM(FO!AA49,PO!AA49,CO!AA49,FE!AA49,PE!AA49)</f>
        <v>3992</v>
      </c>
      <c r="AB49" s="12" t="n">
        <f aca="false">SUM(FO!AB49,PO!AB49,CO!AB49,FE!AB49,PE!AB49)</f>
        <v>3992</v>
      </c>
      <c r="AC49" s="12" t="n">
        <f aca="false">SUM(FO!AC49,PO!AC49,CO!AC49,FE!AC49,PE!AC49)</f>
        <v>3992</v>
      </c>
      <c r="AD49" s="12" t="n">
        <f aca="false">SUM(FO!AD49,PO!AD49,CO!AD49,FE!AD49,PE!AD49)</f>
        <v>3992</v>
      </c>
      <c r="AE49" s="12" t="n">
        <f aca="false">SUM(FO!AE49,PO!AE49,CO!AE49,FE!AE49,PE!AE49)</f>
        <v>3992</v>
      </c>
      <c r="AF49" s="12" t="n">
        <f aca="false">SUM(FO!AF49,PO!AF49,CO!AF49,FE!AF49,PE!AF49)</f>
        <v>3992</v>
      </c>
      <c r="AG49" s="12" t="n">
        <f aca="false">SUM(U49:AF49)</f>
        <v>47904</v>
      </c>
      <c r="AH49" s="24" t="n">
        <f aca="false">IFERROR(AG49/AG$16,"")</f>
        <v>0.00307794211014074</v>
      </c>
      <c r="AI49" s="9"/>
      <c r="AJ49" s="12" t="n">
        <f aca="false">N49-AG49</f>
        <v>-1560.75</v>
      </c>
      <c r="AK49" s="9"/>
    </row>
    <row r="50" customFormat="false" ht="13.5" hidden="false" customHeight="true" outlineLevel="0" collapsed="false">
      <c r="A50" s="23" t="s">
        <v>1305</v>
      </c>
      <c r="B50" s="12" t="n">
        <f aca="false">SUM(FO!B50,PO!B50,CO!B50,FE!B50,PE!B50)</f>
        <v>0</v>
      </c>
      <c r="C50" s="12" t="n">
        <f aca="false">SUM(FO!C50,PO!C50,CO!C50,FE!C50,PE!C50)</f>
        <v>121.5</v>
      </c>
      <c r="D50" s="12" t="n">
        <f aca="false">SUM(FO!D50,PO!D50,CO!D50,FE!D50,PE!D50)</f>
        <v>160.63</v>
      </c>
      <c r="E50" s="12" t="n">
        <f aca="false">SUM(FO!E50,PO!E50,CO!E50,FE!E50,PE!E50)</f>
        <v>0</v>
      </c>
      <c r="F50" s="12" t="n">
        <f aca="false">SUM(FO!F50,PO!F50,CO!F50,FE!F50,PE!F50)</f>
        <v>18.64</v>
      </c>
      <c r="G50" s="12" t="n">
        <f aca="false">SUM(FO!G50,PO!G50,CO!G50,FE!G50,PE!G50)</f>
        <v>0</v>
      </c>
      <c r="H50" s="12" t="n">
        <f aca="false">SUM(FO!H50,PO!H50,CO!H50,FE!H50,PE!H50)</f>
        <v>0</v>
      </c>
      <c r="I50" s="12" t="n">
        <f aca="false">SUM(FO!I50,PO!I50,CO!I50,FE!I50,PE!I50)</f>
        <v>175</v>
      </c>
      <c r="J50" s="12" t="n">
        <f aca="false">SUM(FO!J50,PO!J50,CO!J50,FE!J50,PE!J50)</f>
        <v>150</v>
      </c>
      <c r="K50" s="12" t="n">
        <f aca="false">SUM(FO!K50,PO!K50,CO!K50,FE!K50,PE!K50)</f>
        <v>150</v>
      </c>
      <c r="L50" s="12" t="n">
        <f aca="false">SUM(FO!L50,PO!L50,CO!L50,FE!L50,PE!L50)</f>
        <v>150</v>
      </c>
      <c r="M50" s="12" t="n">
        <f aca="false">SUM(FO!M50,PO!M50,CO!M50,FE!M50,PE!M50)</f>
        <v>150</v>
      </c>
      <c r="N50" s="12" t="n">
        <f aca="false">SUM(B50:M50)</f>
        <v>1075.77</v>
      </c>
      <c r="O50" s="24" t="n">
        <f aca="false">IFERROR(N50/N$16,"")</f>
        <v>0.000144905544249217</v>
      </c>
      <c r="P50" s="12"/>
      <c r="Q50" s="12"/>
      <c r="R50" s="12"/>
      <c r="S50" s="12"/>
      <c r="T50" s="12"/>
      <c r="U50" s="12" t="n">
        <f aca="false">SUM(FO!U50,PO!U50,CO!U50,FE!U50,PE!U50)</f>
        <v>0</v>
      </c>
      <c r="V50" s="12" t="n">
        <f aca="false">SUM(FO!V50,PO!V50,CO!V50,FE!V50,PE!V50)</f>
        <v>0</v>
      </c>
      <c r="W50" s="12" t="n">
        <f aca="false">SUM(FO!W50,PO!W50,CO!W50,FE!W50,PE!W50)</f>
        <v>0</v>
      </c>
      <c r="X50" s="12" t="n">
        <f aca="false">SUM(FO!X50,PO!X50,CO!X50,FE!X50,PE!X50)</f>
        <v>0</v>
      </c>
      <c r="Y50" s="12" t="n">
        <f aca="false">SUM(FO!Y50,PO!Y50,CO!Y50,FE!Y50,PE!Y50)</f>
        <v>0</v>
      </c>
      <c r="Z50" s="12" t="n">
        <f aca="false">SUM(FO!Z50,PO!Z50,CO!Z50,FE!Z50,PE!Z50)</f>
        <v>0</v>
      </c>
      <c r="AA50" s="12" t="n">
        <f aca="false">SUM(FO!AA50,PO!AA50,CO!AA50,FE!AA50,PE!AA50)</f>
        <v>0</v>
      </c>
      <c r="AB50" s="12" t="n">
        <f aca="false">SUM(FO!AB50,PO!AB50,CO!AB50,FE!AB50,PE!AB50)</f>
        <v>0</v>
      </c>
      <c r="AC50" s="12" t="n">
        <f aca="false">SUM(FO!AC50,PO!AC50,CO!AC50,FE!AC50,PE!AC50)</f>
        <v>0</v>
      </c>
      <c r="AD50" s="12" t="n">
        <f aca="false">SUM(FO!AD50,PO!AD50,CO!AD50,FE!AD50,PE!AD50)</f>
        <v>0</v>
      </c>
      <c r="AE50" s="12" t="n">
        <f aca="false">SUM(FO!AE50,PO!AE50,CO!AE50,FE!AE50,PE!AE50)</f>
        <v>0</v>
      </c>
      <c r="AF50" s="12" t="n">
        <f aca="false">SUM(FO!AF50,PO!AF50,CO!AF50,FE!AF50,PE!AF50)</f>
        <v>0</v>
      </c>
      <c r="AG50" s="12" t="n">
        <f aca="false">SUM(U50:AF50)</f>
        <v>0</v>
      </c>
      <c r="AH50" s="24" t="n">
        <f aca="false">IFERROR(AG50/AG$16,"")</f>
        <v>0</v>
      </c>
      <c r="AI50" s="9"/>
      <c r="AJ50" s="12" t="n">
        <f aca="false">N50-AG50</f>
        <v>1075.77</v>
      </c>
      <c r="AK50" s="9"/>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12"/>
      <c r="S51" s="12"/>
      <c r="T51" s="12"/>
      <c r="U51" s="12"/>
      <c r="V51" s="12"/>
      <c r="W51" s="12"/>
      <c r="X51" s="12"/>
      <c r="Y51" s="12"/>
      <c r="Z51" s="12"/>
      <c r="AA51" s="12"/>
      <c r="AB51" s="12"/>
      <c r="AC51" s="12"/>
      <c r="AD51" s="12"/>
      <c r="AE51" s="12"/>
      <c r="AF51" s="12"/>
      <c r="AG51" s="12"/>
      <c r="AH51" s="24"/>
      <c r="AI51" s="9"/>
      <c r="AJ51" s="12"/>
      <c r="AK51" s="9"/>
    </row>
    <row r="52" customFormat="false" ht="13.5" hidden="false" customHeight="true" outlineLevel="0" collapsed="false">
      <c r="A52" s="23" t="s">
        <v>1307</v>
      </c>
      <c r="B52" s="12" t="n">
        <f aca="false">SUM(FO!B52,PO!B52,CO!B52,FE!B52,PE!B52)</f>
        <v>41771.03</v>
      </c>
      <c r="C52" s="12" t="n">
        <f aca="false">SUM(FO!C52,PO!C52,CO!C52,FE!C52,PE!C52)</f>
        <v>38728.5</v>
      </c>
      <c r="D52" s="12" t="n">
        <f aca="false">SUM(FO!D52,PO!D52,CO!D52,FE!D52,PE!D52)</f>
        <v>55703.48</v>
      </c>
      <c r="E52" s="12" t="n">
        <f aca="false">SUM(FO!E52,PO!E52,CO!E52,FE!E52,PE!E52)</f>
        <v>77202.08</v>
      </c>
      <c r="F52" s="12" t="n">
        <f aca="false">SUM(FO!F52,PO!F52,CO!F52,FE!F52,PE!F52)</f>
        <v>72865.8</v>
      </c>
      <c r="G52" s="12" t="n">
        <f aca="false">SUM(FO!G52,PO!G52,CO!G52,FE!G52,PE!G52)</f>
        <v>64701.68</v>
      </c>
      <c r="H52" s="12" t="n">
        <f aca="false">SUM(FO!H52,PO!H52,CO!H52,FE!H52,PE!H52)</f>
        <v>82139.24</v>
      </c>
      <c r="I52" s="12" t="n">
        <f aca="false">SUM(FO!I52,PO!I52,CO!I52,FE!I52,PE!I52)</f>
        <v>79454.55</v>
      </c>
      <c r="J52" s="12" t="n">
        <f aca="false">SUM(FO!J52,PO!J52,CO!J52,FE!J52,PE!J52)</f>
        <v>90000</v>
      </c>
      <c r="K52" s="12" t="n">
        <f aca="false">SUM(FO!K52,PO!K52,CO!K52,FE!K52,PE!K52)</f>
        <v>92700</v>
      </c>
      <c r="L52" s="12" t="n">
        <f aca="false">SUM(FO!L52,PO!L52,CO!L52,FE!L52,PE!L52)</f>
        <v>95800</v>
      </c>
      <c r="M52" s="12" t="n">
        <f aca="false">SUM(FO!M52,PO!M52,CO!M52,FE!M52,PE!M52)</f>
        <v>96900</v>
      </c>
      <c r="N52" s="12" t="n">
        <f aca="false">SUM(B52:M52)</f>
        <v>887966.36</v>
      </c>
      <c r="O52" s="24" t="n">
        <f aca="false">IFERROR(N52/N$16,"")</f>
        <v>0.11960851173652</v>
      </c>
      <c r="P52" s="12"/>
      <c r="Q52" s="12"/>
      <c r="R52" s="12"/>
      <c r="S52" s="12"/>
      <c r="T52" s="12"/>
      <c r="U52" s="12" t="n">
        <f aca="false">SUM(FO!U52,PO!U52,CO!U52,FE!U52,PE!U52)</f>
        <v>120126.25</v>
      </c>
      <c r="V52" s="12" t="n">
        <f aca="false">SUM(FO!V52,PO!V52,CO!V52,FE!V52,PE!V52)</f>
        <v>116126.25</v>
      </c>
      <c r="W52" s="12" t="n">
        <f aca="false">SUM(FO!W52,PO!W52,CO!W52,FE!W52,PE!W52)</f>
        <v>154626.25</v>
      </c>
      <c r="X52" s="12" t="n">
        <f aca="false">SUM(FO!X52,PO!X52,CO!X52,FE!X52,PE!X52)</f>
        <v>166376.25</v>
      </c>
      <c r="Y52" s="12" t="n">
        <f aca="false">SUM(FO!Y52,PO!Y52,CO!Y52,FE!Y52,PE!Y52)</f>
        <v>196626.25</v>
      </c>
      <c r="Z52" s="12" t="n">
        <f aca="false">SUM(FO!Z52,PO!Z52,CO!Z52,FE!Z52,PE!Z52)</f>
        <v>222876.25</v>
      </c>
      <c r="AA52" s="12" t="n">
        <f aca="false">SUM(FO!AA52,PO!AA52,CO!AA52,FE!AA52,PE!AA52)</f>
        <v>265876.25</v>
      </c>
      <c r="AB52" s="12" t="n">
        <f aca="false">SUM(FO!AB52,PO!AB52,CO!AB52,FE!AB52,PE!AB52)</f>
        <v>302626.25</v>
      </c>
      <c r="AC52" s="12" t="n">
        <f aca="false">SUM(FO!AC52,PO!AC52,CO!AC52,FE!AC52,PE!AC52)</f>
        <v>339376.25</v>
      </c>
      <c r="AD52" s="12" t="n">
        <f aca="false">SUM(FO!AD52,PO!AD52,CO!AD52,FE!AD52,PE!AD52)</f>
        <v>404465.0375</v>
      </c>
      <c r="AE52" s="12" t="n">
        <f aca="false">SUM(FO!AE52,PO!AE52,CO!AE52,FE!AE52,PE!AE52)</f>
        <v>449715.0375</v>
      </c>
      <c r="AF52" s="12" t="n">
        <f aca="false">SUM(FO!AF52,PO!AF52,CO!AF52,FE!AF52,PE!AF52)</f>
        <v>499215.0375</v>
      </c>
      <c r="AG52" s="12" t="n">
        <f aca="false">SUM(U52:AF52)</f>
        <v>3238031.3625</v>
      </c>
      <c r="AH52" s="24" t="n">
        <f aca="false">IFERROR(AG52/AG$16,"")</f>
        <v>0.208050957844755</v>
      </c>
      <c r="AI52" s="9"/>
      <c r="AJ52" s="12" t="n">
        <f aca="false">N52-AG52</f>
        <v>-2350065.0025</v>
      </c>
      <c r="AK52" s="9"/>
    </row>
    <row r="53" customFormat="false" ht="13.5" hidden="false" customHeight="true" outlineLevel="0" collapsed="false">
      <c r="A53" s="23" t="s">
        <v>1308</v>
      </c>
      <c r="B53" s="12" t="n">
        <f aca="false">SUM(FO!B53,PO!B53,CO!B53,FE!B53,PE!B53)</f>
        <v>3714.57</v>
      </c>
      <c r="C53" s="12" t="n">
        <f aca="false">SUM(FO!C53,PO!C53,CO!C53,FE!C53,PE!C53)</f>
        <v>3251.23</v>
      </c>
      <c r="D53" s="12" t="n">
        <f aca="false">SUM(FO!D53,PO!D53,CO!D53,FE!D53,PE!D53)</f>
        <v>3711.25</v>
      </c>
      <c r="E53" s="12" t="n">
        <f aca="false">SUM(FO!E53,PO!E53,CO!E53,FE!E53,PE!E53)</f>
        <v>5152.42</v>
      </c>
      <c r="F53" s="12" t="n">
        <f aca="false">SUM(FO!F53,PO!F53,CO!F53,FE!F53,PE!F53)</f>
        <v>4827.71</v>
      </c>
      <c r="G53" s="12" t="n">
        <f aca="false">SUM(FO!G53,PO!G53,CO!G53,FE!G53,PE!G53)</f>
        <v>4403.72</v>
      </c>
      <c r="H53" s="12" t="n">
        <f aca="false">SUM(FO!H53,PO!H53,CO!H53,FE!H53,PE!H53)</f>
        <v>5573.24</v>
      </c>
      <c r="I53" s="12" t="n">
        <f aca="false">SUM(FO!I53,PO!I53,CO!I53,FE!I53,PE!I53)</f>
        <v>5853.77</v>
      </c>
      <c r="J53" s="12" t="n">
        <f aca="false">SUM(FO!J53,PO!J53,CO!J53,FE!J53,PE!J53)</f>
        <v>5850</v>
      </c>
      <c r="K53" s="12" t="n">
        <f aca="false">SUM(FO!K53,PO!K53,CO!K53,FE!K53,PE!K53)</f>
        <v>6026</v>
      </c>
      <c r="L53" s="12" t="n">
        <f aca="false">SUM(FO!L53,PO!L53,CO!L53,FE!L53,PE!L53)</f>
        <v>6227</v>
      </c>
      <c r="M53" s="12" t="n">
        <f aca="false">SUM(FO!M53,PO!M53,CO!M53,FE!M53,PE!M53)</f>
        <v>6299</v>
      </c>
      <c r="N53" s="12" t="n">
        <f aca="false">SUM(B53:M53)</f>
        <v>60889.91</v>
      </c>
      <c r="O53" s="24" t="n">
        <f aca="false">IFERROR(N53/N$16,"")</f>
        <v>0.00820183268527273</v>
      </c>
      <c r="P53" s="12"/>
      <c r="Q53" s="12"/>
      <c r="R53" s="12"/>
      <c r="S53" s="12"/>
      <c r="T53" s="12"/>
      <c r="U53" s="12" t="n">
        <f aca="false">SUM(FO!U53,PO!U53,CO!U53,FE!U53,PE!U53)</f>
        <v>7896.585</v>
      </c>
      <c r="V53" s="12" t="n">
        <f aca="false">SUM(FO!V53,PO!V53,CO!V53,FE!V53,PE!V53)</f>
        <v>7896.585</v>
      </c>
      <c r="W53" s="12" t="n">
        <f aca="false">SUM(FO!W53,PO!W53,CO!W53,FE!W53,PE!W53)</f>
        <v>9834.585</v>
      </c>
      <c r="X53" s="12" t="n">
        <f aca="false">SUM(FO!X53,PO!X53,CO!X53,FE!X53,PE!X53)</f>
        <v>10905.585</v>
      </c>
      <c r="Y53" s="12" t="n">
        <f aca="false">SUM(FO!Y53,PO!Y53,CO!Y53,FE!Y53,PE!Y53)</f>
        <v>12690.585</v>
      </c>
      <c r="Z53" s="12" t="n">
        <f aca="false">SUM(FO!Z53,PO!Z53,CO!Z53,FE!Z53,PE!Z53)</f>
        <v>14475.585</v>
      </c>
      <c r="AA53" s="12" t="n">
        <f aca="false">SUM(FO!AA53,PO!AA53,CO!AA53,FE!AA53,PE!AA53)</f>
        <v>17127.585</v>
      </c>
      <c r="AB53" s="12" t="n">
        <f aca="false">SUM(FO!AB53,PO!AB53,CO!AB53,FE!AB53,PE!AB53)</f>
        <v>19626.585</v>
      </c>
      <c r="AC53" s="12" t="n">
        <f aca="false">SUM(FO!AC53,PO!AC53,CO!AC53,FE!AC53,PE!AC53)</f>
        <v>22125.585</v>
      </c>
      <c r="AD53" s="12" t="n">
        <f aca="false">SUM(FO!AD53,PO!AD53,CO!AD53,FE!AD53,PE!AD53)</f>
        <v>26143.62255</v>
      </c>
      <c r="AE53" s="12" t="n">
        <f aca="false">SUM(FO!AE53,PO!AE53,CO!AE53,FE!AE53,PE!AE53)</f>
        <v>29356.62255</v>
      </c>
      <c r="AF53" s="12" t="n">
        <f aca="false">SUM(FO!AF53,PO!AF53,CO!AF53,FE!AF53,PE!AF53)</f>
        <v>32722.62255</v>
      </c>
      <c r="AG53" s="12" t="n">
        <f aca="false">SUM(U53:AF53)</f>
        <v>210802.13265</v>
      </c>
      <c r="AH53" s="24" t="n">
        <f aca="false">IFERROR(AG53/AG$16,"")</f>
        <v>0.0135445215637715</v>
      </c>
      <c r="AI53" s="9"/>
      <c r="AJ53" s="12" t="n">
        <f aca="false">N53-AG53</f>
        <v>-149912.22265</v>
      </c>
      <c r="AK53" s="9"/>
    </row>
    <row r="54" customFormat="false" ht="13.5" hidden="false" customHeight="true" outlineLevel="0" collapsed="false">
      <c r="A54" s="23" t="s">
        <v>1309</v>
      </c>
      <c r="B54" s="12" t="n">
        <f aca="false">SUM(FO!B54,PO!B54,CO!B54,FE!B54,PE!B54)</f>
        <v>31338.07</v>
      </c>
      <c r="C54" s="12" t="n">
        <f aca="false">SUM(FO!C54,PO!C54,CO!C54,FE!C54,PE!C54)</f>
        <v>21236.59</v>
      </c>
      <c r="D54" s="12" t="n">
        <f aca="false">SUM(FO!D54,PO!D54,CO!D54,FE!D54,PE!D54)</f>
        <v>9448.65</v>
      </c>
      <c r="E54" s="12" t="n">
        <f aca="false">SUM(FO!E54,PO!E54,CO!E54,FE!E54,PE!E54)</f>
        <v>12493.8</v>
      </c>
      <c r="F54" s="12" t="n">
        <f aca="false">SUM(FO!F54,PO!F54,CO!F54,FE!F54,PE!F54)</f>
        <v>12115.76</v>
      </c>
      <c r="G54" s="12" t="n">
        <f aca="false">SUM(FO!G54,PO!G54,CO!G54,FE!G54,PE!G54)</f>
        <v>16324.25</v>
      </c>
      <c r="H54" s="12" t="n">
        <f aca="false">SUM(FO!H54,PO!H54,CO!H54,FE!H54,PE!H54)</f>
        <v>13014.13</v>
      </c>
      <c r="I54" s="12" t="n">
        <f aca="false">SUM(FO!I54,PO!I54,CO!I54,FE!I54,PE!I54)</f>
        <v>17324.26</v>
      </c>
      <c r="J54" s="12" t="n">
        <f aca="false">SUM(FO!J54,PO!J54,CO!J54,FE!J54,PE!J54)</f>
        <v>10800</v>
      </c>
      <c r="K54" s="12" t="n">
        <f aca="false">SUM(FO!K54,PO!K54,CO!K54,FE!K54,PE!K54)</f>
        <v>11124</v>
      </c>
      <c r="L54" s="12" t="n">
        <f aca="false">SUM(FO!L54,PO!L54,CO!L54,FE!L54,PE!L54)</f>
        <v>11496</v>
      </c>
      <c r="M54" s="12" t="n">
        <f aca="false">SUM(FO!M54,PO!M54,CO!M54,FE!M54,PE!M54)</f>
        <v>11628</v>
      </c>
      <c r="N54" s="12" t="n">
        <f aca="false">SUM(B54:M54)</f>
        <v>178343.51</v>
      </c>
      <c r="O54" s="24" t="n">
        <f aca="false">IFERROR(N54/N$16,"")</f>
        <v>0.0240227589353353</v>
      </c>
      <c r="P54" s="12"/>
      <c r="Q54" s="12"/>
      <c r="R54" s="12"/>
      <c r="S54" s="12"/>
      <c r="T54" s="12"/>
      <c r="U54" s="12" t="n">
        <f aca="false">SUM(FO!U54,PO!U54,CO!U54,FE!U54,PE!U54)</f>
        <v>19044.705</v>
      </c>
      <c r="V54" s="12" t="n">
        <f aca="false">SUM(FO!V54,PO!V54,CO!V54,FE!V54,PE!V54)</f>
        <v>19044.705</v>
      </c>
      <c r="W54" s="12" t="n">
        <f aca="false">SUM(FO!W54,PO!W54,CO!W54,FE!W54,PE!W54)</f>
        <v>23718.705</v>
      </c>
      <c r="X54" s="12" t="n">
        <f aca="false">SUM(FO!X54,PO!X54,CO!X54,FE!X54,PE!X54)</f>
        <v>26301.705</v>
      </c>
      <c r="Y54" s="12" t="n">
        <f aca="false">SUM(FO!Y54,PO!Y54,CO!Y54,FE!Y54,PE!Y54)</f>
        <v>30606.705</v>
      </c>
      <c r="Z54" s="12" t="n">
        <f aca="false">SUM(FO!Z54,PO!Z54,CO!Z54,FE!Z54,PE!Z54)</f>
        <v>34911.705</v>
      </c>
      <c r="AA54" s="12" t="n">
        <f aca="false">SUM(FO!AA54,PO!AA54,CO!AA54,FE!AA54,PE!AA54)</f>
        <v>41307.705</v>
      </c>
      <c r="AB54" s="12" t="n">
        <f aca="false">SUM(FO!AB54,PO!AB54,CO!AB54,FE!AB54,PE!AB54)</f>
        <v>47334.705</v>
      </c>
      <c r="AC54" s="12" t="n">
        <f aca="false">SUM(FO!AC54,PO!AC54,CO!AC54,FE!AC54,PE!AC54)</f>
        <v>53361.705</v>
      </c>
      <c r="AD54" s="12" t="n">
        <f aca="false">SUM(FO!AD54,PO!AD54,CO!AD54,FE!AD54,PE!AD54)</f>
        <v>63052.26615</v>
      </c>
      <c r="AE54" s="12" t="n">
        <f aca="false">SUM(FO!AE54,PO!AE54,CO!AE54,FE!AE54,PE!AE54)</f>
        <v>70801.26615</v>
      </c>
      <c r="AF54" s="12" t="n">
        <f aca="false">SUM(FO!AF54,PO!AF54,CO!AF54,FE!AF54,PE!AF54)</f>
        <v>78919.26615</v>
      </c>
      <c r="AG54" s="12" t="n">
        <f aca="false">SUM(U54:AF54)</f>
        <v>508405.14345</v>
      </c>
      <c r="AH54" s="24" t="n">
        <f aca="false">IFERROR(AG54/AG$16,"")</f>
        <v>0.0326661990655665</v>
      </c>
      <c r="AI54" s="9"/>
      <c r="AJ54" s="12" t="n">
        <f aca="false">N54-AG54</f>
        <v>-330061.63345</v>
      </c>
      <c r="AK54" s="9"/>
    </row>
    <row r="55" customFormat="false" ht="13.5" hidden="false" customHeight="true" outlineLevel="0" collapsed="false">
      <c r="A55" s="26" t="s">
        <v>1310</v>
      </c>
      <c r="B55" s="27" t="n">
        <f aca="false">SUM(B52:B54)</f>
        <v>76823.67</v>
      </c>
      <c r="C55" s="27" t="n">
        <f aca="false">SUM(C52:C54)</f>
        <v>63216.32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1127199.78</v>
      </c>
      <c r="O55" s="28" t="n">
        <f aca="false">IFERROR(N55/N$16,"")</f>
        <v>0.151833103357128</v>
      </c>
      <c r="P55" s="12"/>
      <c r="Q55" s="12"/>
      <c r="R55" s="12"/>
      <c r="S55" s="12"/>
      <c r="T55" s="12"/>
      <c r="U55" s="27" t="n">
        <f aca="false">SUM(U52:U54)</f>
        <v>147067.54</v>
      </c>
      <c r="V55" s="27" t="n">
        <f aca="false">SUM(V52:V54)</f>
        <v>143067.54</v>
      </c>
      <c r="W55" s="27" t="n">
        <f aca="false">SUM(W52:W54)</f>
        <v>188179.54</v>
      </c>
      <c r="X55" s="27" t="n">
        <f aca="false">SUM(X52:X54)</f>
        <v>203583.54</v>
      </c>
      <c r="Y55" s="27" t="n">
        <f aca="false">SUM(Y52:Y54)</f>
        <v>239923.54</v>
      </c>
      <c r="Z55" s="27" t="n">
        <f aca="false">SUM(Z52:Z54)</f>
        <v>272263.54</v>
      </c>
      <c r="AA55" s="27" t="n">
        <f aca="false">SUM(AA52:AA54)</f>
        <v>324311.54</v>
      </c>
      <c r="AB55" s="27" t="n">
        <f aca="false">SUM(AB52:AB54)</f>
        <v>369587.54</v>
      </c>
      <c r="AC55" s="27" t="n">
        <f aca="false">SUM(AC52:AC54)</f>
        <v>414863.54</v>
      </c>
      <c r="AD55" s="27" t="n">
        <f aca="false">SUM(AD52:AD54)</f>
        <v>493660.9262</v>
      </c>
      <c r="AE55" s="27" t="n">
        <f aca="false">SUM(AE52:AE54)</f>
        <v>549872.9262</v>
      </c>
      <c r="AF55" s="27" t="n">
        <f aca="false">SUM(AF52:AF54)</f>
        <v>610856.9262</v>
      </c>
      <c r="AG55" s="27" t="n">
        <f aca="false">SUM(U55:AF55)</f>
        <v>3957238.6386</v>
      </c>
      <c r="AH55" s="28" t="n">
        <f aca="false">IFERROR(AG55/AG$16,"")</f>
        <v>0.254261678474093</v>
      </c>
      <c r="AI55" s="9"/>
      <c r="AJ55" s="27" t="n">
        <f aca="false">N55-AG55</f>
        <v>-2830038.8586</v>
      </c>
      <c r="AK55" s="9"/>
    </row>
    <row r="56" customFormat="false" ht="13.5" hidden="false" customHeight="true" outlineLevel="0" collapsed="false">
      <c r="A56" s="26" t="s">
        <v>1311</v>
      </c>
      <c r="B56" s="27" t="n">
        <f aca="false">B44+B45+B46+B47+B48+B49+B50+B55</f>
        <v>106174.16</v>
      </c>
      <c r="C56" s="27" t="n">
        <f aca="false">C44+C45+C46+C47+C48+C49+C50+C55</f>
        <v>92216.7</v>
      </c>
      <c r="D56" s="27" t="n">
        <f aca="false">D44+D45+D46+D47+D48+D49+D50+D55</f>
        <v>142609.4</v>
      </c>
      <c r="E56" s="27" t="n">
        <f aca="false">E44+E45+E46+E47+E48+E49+E50+E55</f>
        <v>118718.7</v>
      </c>
      <c r="F56" s="27" t="n">
        <f aca="false">F44+F45+F46+F47+F48+F49+F50+F55</f>
        <v>173025.67</v>
      </c>
      <c r="G56" s="27" t="n">
        <f aca="false">G44+G45+G46+G47+G48+G49+G50+G55</f>
        <v>150798.28</v>
      </c>
      <c r="H56" s="27" t="n">
        <f aca="false">H44+H45+H46+H47+H48+H49+H50+H55</f>
        <v>143176.78</v>
      </c>
      <c r="I56" s="27" t="n">
        <f aca="false">I44+I45+I46+I47+I48+I49+I50+I55</f>
        <v>131950.98</v>
      </c>
      <c r="J56" s="27" t="n">
        <f aca="false">J44+J45+J46+J47+J48+J49+J50+J55</f>
        <v>193300</v>
      </c>
      <c r="K56" s="27" t="n">
        <f aca="false">K44+K45+K46+K47+K48+K49+K50+K55</f>
        <v>200670</v>
      </c>
      <c r="L56" s="27" t="n">
        <f aca="false">L44+L45+L46+L47+L48+L49+L50+L55</f>
        <v>209513</v>
      </c>
      <c r="M56" s="27" t="n">
        <f aca="false">M44+M45+M46+M47+M48+M49+M50+M55</f>
        <v>214987</v>
      </c>
      <c r="N56" s="27" t="n">
        <f aca="false">SUM(B56:M56)</f>
        <v>1877140.67</v>
      </c>
      <c r="O56" s="28" t="n">
        <f aca="false">IFERROR(N56/N$16,"")</f>
        <v>0.252849670857795</v>
      </c>
      <c r="P56" s="12"/>
      <c r="Q56" s="12"/>
      <c r="R56" s="12"/>
      <c r="S56" s="12"/>
      <c r="T56" s="12"/>
      <c r="U56" s="27" t="n">
        <f aca="false">U44+U45+U46+U47+U48+U49+U50+U55</f>
        <v>262096.999272629</v>
      </c>
      <c r="V56" s="27" t="n">
        <f aca="false">V44+V45+V46+V47+V48+V49+V50+V55</f>
        <v>261058.15407592</v>
      </c>
      <c r="W56" s="27" t="n">
        <f aca="false">W44+W45+W46+W47+W48+W49+W50+W55</f>
        <v>309587.73407592</v>
      </c>
      <c r="X56" s="27" t="n">
        <f aca="false">X44+X45+X46+X47+X48+X49+X50+X55</f>
        <v>366292.649784971</v>
      </c>
      <c r="Y56" s="27" t="n">
        <f aca="false">Y44+Y45+Y46+Y47+Y48+Y49+Y50+Y55</f>
        <v>411452.570690731</v>
      </c>
      <c r="Z56" s="27" t="n">
        <f aca="false">Z44+Z45+Z46+Z47+Z48+Z49+Z50+Z55</f>
        <v>469908.35769896</v>
      </c>
      <c r="AA56" s="27" t="n">
        <f aca="false">AA44+AA45+AA46+AA47+AA48+AA49+AA50+AA55</f>
        <v>536334.436006366</v>
      </c>
      <c r="AB56" s="27" t="n">
        <f aca="false">AB44+AB45+AB46+AB47+AB48+AB49+AB50+AB55</f>
        <v>606946.671715417</v>
      </c>
      <c r="AC56" s="27" t="n">
        <f aca="false">AC44+AC45+AC46+AC47+AC48+AC49+AC50+AC55</f>
        <v>685854.773526937</v>
      </c>
      <c r="AD56" s="27" t="n">
        <f aca="false">AD44+AD45+AD46+AD47+AD48+AD49+AD50+AD55</f>
        <v>791139.421538457</v>
      </c>
      <c r="AE56" s="27" t="n">
        <f aca="false">AE44+AE45+AE46+AE47+AE48+AE49+AE50+AE55</f>
        <v>886634.549452446</v>
      </c>
      <c r="AF56" s="27" t="n">
        <f aca="false">AF44+AF45+AF46+AF47+AF48+AF49+AF50+AF55</f>
        <v>983339.386067257</v>
      </c>
      <c r="AG56" s="27" t="n">
        <f aca="false">SUM(U56:AF56)</f>
        <v>6570645.70390601</v>
      </c>
      <c r="AH56" s="28" t="n">
        <f aca="false">IFERROR(AG56/AG$16,"")</f>
        <v>0.42217908948872</v>
      </c>
      <c r="AI56" s="9"/>
      <c r="AJ56" s="27" t="n">
        <f aca="false">N56-AG56</f>
        <v>-4693505.03390601</v>
      </c>
      <c r="AK56" s="9"/>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12"/>
      <c r="S57" s="12"/>
      <c r="T57" s="12"/>
      <c r="U57" s="12"/>
      <c r="V57" s="12"/>
      <c r="W57" s="12"/>
      <c r="X57" s="12"/>
      <c r="Y57" s="12"/>
      <c r="Z57" s="12"/>
      <c r="AA57" s="12"/>
      <c r="AB57" s="12"/>
      <c r="AC57" s="12"/>
      <c r="AD57" s="12"/>
      <c r="AE57" s="12"/>
      <c r="AF57" s="12"/>
      <c r="AG57" s="12"/>
      <c r="AH57" s="24"/>
      <c r="AI57" s="9"/>
      <c r="AJ57" s="12"/>
      <c r="AK57" s="9"/>
    </row>
    <row r="58" customFormat="false" ht="13.5" hidden="false" customHeight="true" outlineLevel="0" collapsed="false">
      <c r="A58" s="23" t="s">
        <v>1313</v>
      </c>
      <c r="B58" s="12" t="n">
        <f aca="false">SUM(FO!B58,PO!B58,CO!B58,FE!B58,PE!B58)</f>
        <v>11975.85</v>
      </c>
      <c r="C58" s="12" t="n">
        <f aca="false">SUM(FO!C58,PO!C58,CO!C58,FE!C58,PE!C58)</f>
        <v>11156.17</v>
      </c>
      <c r="D58" s="12" t="n">
        <f aca="false">SUM(FO!D58,PO!D58,CO!D58,FE!D58,PE!D58)</f>
        <v>11961.24</v>
      </c>
      <c r="E58" s="12" t="n">
        <f aca="false">SUM(FO!E58,PO!E58,CO!E58,FE!E58,PE!E58)</f>
        <v>7090.45</v>
      </c>
      <c r="F58" s="12" t="n">
        <f aca="false">SUM(FO!F58,PO!F58,CO!F58,FE!F58,PE!F58)</f>
        <v>12334.88</v>
      </c>
      <c r="G58" s="12" t="n">
        <f aca="false">SUM(FO!G58,PO!G58,CO!G58,FE!G58,PE!G58)</f>
        <v>13958.17</v>
      </c>
      <c r="H58" s="12" t="n">
        <f aca="false">SUM(FO!H58,PO!H58,CO!H58,FE!H58,PE!H58)</f>
        <v>17445.88</v>
      </c>
      <c r="I58" s="12" t="n">
        <f aca="false">SUM(FO!I58,PO!I58,CO!I58,FE!I58,PE!I58)</f>
        <v>13773.96</v>
      </c>
      <c r="J58" s="12" t="n">
        <f aca="false">SUM(FO!J58,PO!J58,CO!J58,FE!J58,PE!J58)</f>
        <v>5208</v>
      </c>
      <c r="K58" s="12" t="n">
        <f aca="false">SUM(FO!K58,PO!K58,CO!K58,FE!K58,PE!K58)</f>
        <v>5208</v>
      </c>
      <c r="L58" s="12" t="n">
        <f aca="false">SUM(FO!L58,PO!L58,CO!L58,FE!L58,PE!L58)</f>
        <v>5208</v>
      </c>
      <c r="M58" s="12" t="n">
        <f aca="false">SUM(FO!M58,PO!M58,CO!M58,FE!M58,PE!M58)</f>
        <v>5208</v>
      </c>
      <c r="N58" s="12" t="n">
        <f aca="false">SUM(B58:M58)</f>
        <v>120528.6</v>
      </c>
      <c r="O58" s="24" t="n">
        <f aca="false">IFERROR(N58/N$16,"")</f>
        <v>0.016235126821343</v>
      </c>
      <c r="P58" s="12"/>
      <c r="Q58" s="12"/>
      <c r="R58" s="12"/>
      <c r="S58" s="12"/>
      <c r="T58" s="12"/>
      <c r="U58" s="12" t="n">
        <f aca="false">SUM(FO!U58,PO!U58,CO!U58,FE!U58,PE!U58)</f>
        <v>0</v>
      </c>
      <c r="V58" s="12" t="n">
        <f aca="false">SUM(FO!V58,PO!V58,CO!V58,FE!V58,PE!V58)</f>
        <v>0</v>
      </c>
      <c r="W58" s="12" t="n">
        <f aca="false">SUM(FO!W58,PO!W58,CO!W58,FE!W58,PE!W58)</f>
        <v>0</v>
      </c>
      <c r="X58" s="12" t="n">
        <f aca="false">SUM(FO!X58,PO!X58,CO!X58,FE!X58,PE!X58)</f>
        <v>0</v>
      </c>
      <c r="Y58" s="12" t="n">
        <f aca="false">SUM(FO!Y58,PO!Y58,CO!Y58,FE!Y58,PE!Y58)</f>
        <v>0</v>
      </c>
      <c r="Z58" s="12" t="n">
        <f aca="false">SUM(FO!Z58,PO!Z58,CO!Z58,FE!Z58,PE!Z58)</f>
        <v>0</v>
      </c>
      <c r="AA58" s="12" t="n">
        <f aca="false">SUM(FO!AA58,PO!AA58,CO!AA58,FE!AA58,PE!AA58)</f>
        <v>0</v>
      </c>
      <c r="AB58" s="12" t="n">
        <f aca="false">SUM(FO!AB58,PO!AB58,CO!AB58,FE!AB58,PE!AB58)</f>
        <v>0</v>
      </c>
      <c r="AC58" s="12" t="n">
        <f aca="false">SUM(FO!AC58,PO!AC58,CO!AC58,FE!AC58,PE!AC58)</f>
        <v>0</v>
      </c>
      <c r="AD58" s="12" t="n">
        <f aca="false">SUM(FO!AD58,PO!AD58,CO!AD58,FE!AD58,PE!AD58)</f>
        <v>0</v>
      </c>
      <c r="AE58" s="12" t="n">
        <f aca="false">SUM(FO!AE58,PO!AE58,CO!AE58,FE!AE58,PE!AE58)</f>
        <v>0</v>
      </c>
      <c r="AF58" s="12" t="n">
        <f aca="false">SUM(FO!AF58,PO!AF58,CO!AF58,FE!AF58,PE!AF58)</f>
        <v>0</v>
      </c>
      <c r="AG58" s="12" t="n">
        <f aca="false">SUM(U58:AF58)</f>
        <v>0</v>
      </c>
      <c r="AH58" s="24" t="n">
        <f aca="false">IFERROR(AG58/AG$16,"")</f>
        <v>0</v>
      </c>
      <c r="AI58" s="9"/>
      <c r="AJ58" s="12" t="n">
        <f aca="false">N58-AG58</f>
        <v>120528.6</v>
      </c>
      <c r="AK58" s="9"/>
    </row>
    <row r="59" customFormat="false" ht="13.5" hidden="false" customHeight="true" outlineLevel="0" collapsed="false">
      <c r="A59" s="23" t="s">
        <v>1314</v>
      </c>
      <c r="B59" s="12" t="n">
        <f aca="false">SUM(FO!B59,PO!B59,CO!B59,FE!B59,PE!B59)</f>
        <v>65</v>
      </c>
      <c r="C59" s="12" t="n">
        <f aca="false">SUM(FO!C59,PO!C59,CO!C59,FE!C59,PE!C59)</f>
        <v>0</v>
      </c>
      <c r="D59" s="12" t="n">
        <f aca="false">SUM(FO!D59,PO!D59,CO!D59,FE!D59,PE!D59)</f>
        <v>0</v>
      </c>
      <c r="E59" s="12" t="n">
        <f aca="false">SUM(FO!E59,PO!E59,CO!E59,FE!E59,PE!E59)</f>
        <v>0</v>
      </c>
      <c r="F59" s="12" t="n">
        <f aca="false">SUM(FO!F59,PO!F59,CO!F59,FE!F59,PE!F59)</f>
        <v>119.9</v>
      </c>
      <c r="G59" s="12" t="n">
        <f aca="false">SUM(FO!G59,PO!G59,CO!G59,FE!G59,PE!G59)</f>
        <v>0</v>
      </c>
      <c r="H59" s="12" t="n">
        <f aca="false">SUM(FO!H59,PO!H59,CO!H59,FE!H59,PE!H59)</f>
        <v>1921.29</v>
      </c>
      <c r="I59" s="12" t="n">
        <f aca="false">SUM(FO!I59,PO!I59,CO!I59,FE!I59,PE!I59)</f>
        <v>0</v>
      </c>
      <c r="J59" s="12" t="n">
        <f aca="false">SUM(FO!J59,PO!J59,CO!J59,FE!J59,PE!J59)</f>
        <v>40</v>
      </c>
      <c r="K59" s="12" t="n">
        <f aca="false">SUM(FO!K59,PO!K59,CO!K59,FE!K59,PE!K59)</f>
        <v>40</v>
      </c>
      <c r="L59" s="12" t="n">
        <f aca="false">SUM(FO!L59,PO!L59,CO!L59,FE!L59,PE!L59)</f>
        <v>40</v>
      </c>
      <c r="M59" s="12" t="n">
        <f aca="false">SUM(FO!M59,PO!M59,CO!M59,FE!M59,PE!M59)</f>
        <v>40</v>
      </c>
      <c r="N59" s="12" t="n">
        <f aca="false">SUM(B59:M59)</f>
        <v>2266.19</v>
      </c>
      <c r="O59" s="24" t="n">
        <f aca="false">IFERROR(N59/N$16,"")</f>
        <v>0.000305254371586987</v>
      </c>
      <c r="P59" s="12"/>
      <c r="Q59" s="12"/>
      <c r="R59" s="12"/>
      <c r="S59" s="12"/>
      <c r="T59" s="12"/>
      <c r="U59" s="12" t="n">
        <f aca="false">SUM(FO!U59,PO!U59,CO!U59,FE!U59,PE!U59)</f>
        <v>41.6666666666667</v>
      </c>
      <c r="V59" s="12" t="n">
        <f aca="false">SUM(FO!V59,PO!V59,CO!V59,FE!V59,PE!V59)</f>
        <v>41.6666666666667</v>
      </c>
      <c r="W59" s="12" t="n">
        <f aca="false">SUM(FO!W59,PO!W59,CO!W59,FE!W59,PE!W59)</f>
        <v>41.6666666666667</v>
      </c>
      <c r="X59" s="12" t="n">
        <f aca="false">SUM(FO!X59,PO!X59,CO!X59,FE!X59,PE!X59)</f>
        <v>41.6666666666667</v>
      </c>
      <c r="Y59" s="12" t="n">
        <f aca="false">SUM(FO!Y59,PO!Y59,CO!Y59,FE!Y59,PE!Y59)</f>
        <v>41.6666666666667</v>
      </c>
      <c r="Z59" s="12" t="n">
        <f aca="false">SUM(FO!Z59,PO!Z59,CO!Z59,FE!Z59,PE!Z59)</f>
        <v>41.6666666666667</v>
      </c>
      <c r="AA59" s="12" t="n">
        <f aca="false">SUM(FO!AA59,PO!AA59,CO!AA59,FE!AA59,PE!AA59)</f>
        <v>41.6666666666667</v>
      </c>
      <c r="AB59" s="12" t="n">
        <f aca="false">SUM(FO!AB59,PO!AB59,CO!AB59,FE!AB59,PE!AB59)</f>
        <v>41.6666666666667</v>
      </c>
      <c r="AC59" s="12" t="n">
        <f aca="false">SUM(FO!AC59,PO!AC59,CO!AC59,FE!AC59,PE!AC59)</f>
        <v>41.6666666666667</v>
      </c>
      <c r="AD59" s="12" t="n">
        <f aca="false">SUM(FO!AD59,PO!AD59,CO!AD59,FE!AD59,PE!AD59)</f>
        <v>41.6666666666667</v>
      </c>
      <c r="AE59" s="12" t="n">
        <f aca="false">SUM(FO!AE59,PO!AE59,CO!AE59,FE!AE59,PE!AE59)</f>
        <v>41.6666666666667</v>
      </c>
      <c r="AF59" s="12" t="n">
        <f aca="false">SUM(FO!AF59,PO!AF59,CO!AF59,FE!AF59,PE!AF59)</f>
        <v>41.6666666666667</v>
      </c>
      <c r="AG59" s="12" t="n">
        <f aca="false">SUM(U59:AF59)</f>
        <v>500</v>
      </c>
      <c r="AH59" s="24" t="n">
        <f aca="false">IFERROR(AG59/AG$16,"")</f>
        <v>3.21261492791911E-005</v>
      </c>
      <c r="AI59" s="9"/>
      <c r="AJ59" s="12" t="n">
        <f aca="false">N59-AG59</f>
        <v>1766.19</v>
      </c>
      <c r="AK59" s="9"/>
    </row>
    <row r="60" customFormat="false" ht="13.5" hidden="false" customHeight="true" outlineLevel="0" collapsed="false">
      <c r="A60" s="23" t="s">
        <v>1315</v>
      </c>
      <c r="B60" s="12" t="n">
        <f aca="false">SUM(FO!B60,PO!B60,CO!B60,FE!B60,PE!B60)</f>
        <v>281.96</v>
      </c>
      <c r="C60" s="12" t="n">
        <f aca="false">SUM(FO!C60,PO!C60,CO!C60,FE!C60,PE!C60)</f>
        <v>47.22</v>
      </c>
      <c r="D60" s="12" t="n">
        <f aca="false">SUM(FO!D60,PO!D60,CO!D60,FE!D60,PE!D60)</f>
        <v>0</v>
      </c>
      <c r="E60" s="12" t="n">
        <f aca="false">SUM(FO!E60,PO!E60,CO!E60,FE!E60,PE!E60)</f>
        <v>0</v>
      </c>
      <c r="F60" s="12" t="n">
        <f aca="false">SUM(FO!F60,PO!F60,CO!F60,FE!F60,PE!F60)</f>
        <v>0</v>
      </c>
      <c r="G60" s="12" t="n">
        <f aca="false">SUM(FO!G60,PO!G60,CO!G60,FE!G60,PE!G60)</f>
        <v>0</v>
      </c>
      <c r="H60" s="12" t="n">
        <f aca="false">SUM(FO!H60,PO!H60,CO!H60,FE!H60,PE!H60)</f>
        <v>20.7</v>
      </c>
      <c r="I60" s="12" t="n">
        <f aca="false">SUM(FO!I60,PO!I60,CO!I60,FE!I60,PE!I60)</f>
        <v>321.5</v>
      </c>
      <c r="J60" s="12" t="n">
        <f aca="false">SUM(FO!J60,PO!J60,CO!J60,FE!J60,PE!J60)</f>
        <v>0</v>
      </c>
      <c r="K60" s="12" t="n">
        <f aca="false">SUM(FO!K60,PO!K60,CO!K60,FE!K60,PE!K60)</f>
        <v>0</v>
      </c>
      <c r="L60" s="12" t="n">
        <f aca="false">SUM(FO!L60,PO!L60,CO!L60,FE!L60,PE!L60)</f>
        <v>0</v>
      </c>
      <c r="M60" s="12" t="n">
        <f aca="false">SUM(FO!M60,PO!M60,CO!M60,FE!M60,PE!M60)</f>
        <v>0</v>
      </c>
      <c r="N60" s="12" t="n">
        <f aca="false">SUM(B60:M60)</f>
        <v>671.38</v>
      </c>
      <c r="O60" s="24" t="n">
        <f aca="false">IFERROR(N60/N$16,"")</f>
        <v>9.04344648930899E-005</v>
      </c>
      <c r="P60" s="12"/>
      <c r="Q60" s="12"/>
      <c r="R60" s="12"/>
      <c r="S60" s="12"/>
      <c r="T60" s="12"/>
      <c r="U60" s="12" t="n">
        <f aca="false">SUM(FO!U60,PO!U60,CO!U60,FE!U60,PE!U60)</f>
        <v>0</v>
      </c>
      <c r="V60" s="12" t="n">
        <f aca="false">SUM(FO!V60,PO!V60,CO!V60,FE!V60,PE!V60)</f>
        <v>0</v>
      </c>
      <c r="W60" s="12" t="n">
        <f aca="false">SUM(FO!W60,PO!W60,CO!W60,FE!W60,PE!W60)</f>
        <v>0</v>
      </c>
      <c r="X60" s="12" t="n">
        <f aca="false">SUM(FO!X60,PO!X60,CO!X60,FE!X60,PE!X60)</f>
        <v>0</v>
      </c>
      <c r="Y60" s="12" t="n">
        <f aca="false">SUM(FO!Y60,PO!Y60,CO!Y60,FE!Y60,PE!Y60)</f>
        <v>0</v>
      </c>
      <c r="Z60" s="12" t="n">
        <f aca="false">SUM(FO!Z60,PO!Z60,CO!Z60,FE!Z60,PE!Z60)</f>
        <v>0</v>
      </c>
      <c r="AA60" s="12" t="n">
        <f aca="false">SUM(FO!AA60,PO!AA60,CO!AA60,FE!AA60,PE!AA60)</f>
        <v>0</v>
      </c>
      <c r="AB60" s="12" t="n">
        <f aca="false">SUM(FO!AB60,PO!AB60,CO!AB60,FE!AB60,PE!AB60)</f>
        <v>0</v>
      </c>
      <c r="AC60" s="12" t="n">
        <f aca="false">SUM(FO!AC60,PO!AC60,CO!AC60,FE!AC60,PE!AC60)</f>
        <v>0</v>
      </c>
      <c r="AD60" s="12" t="n">
        <f aca="false">SUM(FO!AD60,PO!AD60,CO!AD60,FE!AD60,PE!AD60)</f>
        <v>0</v>
      </c>
      <c r="AE60" s="12" t="n">
        <f aca="false">SUM(FO!AE60,PO!AE60,CO!AE60,FE!AE60,PE!AE60)</f>
        <v>0</v>
      </c>
      <c r="AF60" s="12" t="n">
        <f aca="false">SUM(FO!AF60,PO!AF60,CO!AF60,FE!AF60,PE!AF60)</f>
        <v>0</v>
      </c>
      <c r="AG60" s="12" t="n">
        <f aca="false">SUM(U60:AF60)</f>
        <v>0</v>
      </c>
      <c r="AH60" s="24" t="n">
        <f aca="false">IFERROR(AG60/AG$16,"")</f>
        <v>0</v>
      </c>
      <c r="AI60" s="9"/>
      <c r="AJ60" s="12" t="n">
        <f aca="false">N60-AG60</f>
        <v>671.38</v>
      </c>
      <c r="AK60" s="9"/>
    </row>
    <row r="61" customFormat="false" ht="13.5" hidden="false" customHeight="true" outlineLevel="0" collapsed="false">
      <c r="A61" s="26" t="s">
        <v>1316</v>
      </c>
      <c r="B61" s="32" t="n">
        <f aca="false">SUM(B58:B60)</f>
        <v>12322.81</v>
      </c>
      <c r="C61" s="32" t="n">
        <f aca="false">SUM(C58:C60)</f>
        <v>11203.39</v>
      </c>
      <c r="D61" s="32" t="n">
        <f aca="false">SUM(D58:D60)</f>
        <v>11961.24</v>
      </c>
      <c r="E61" s="32" t="n">
        <f aca="false">SUM(E58:E60)</f>
        <v>7090.45</v>
      </c>
      <c r="F61" s="32" t="n">
        <f aca="false">SUM(F58:F60)</f>
        <v>12454.78</v>
      </c>
      <c r="G61" s="32" t="n">
        <f aca="false">SUM(G58:G60)</f>
        <v>13958.17</v>
      </c>
      <c r="H61" s="32" t="n">
        <f aca="false">SUM(H58:H60)</f>
        <v>19387.87</v>
      </c>
      <c r="I61" s="32" t="n">
        <f aca="false">SUM(I58:I60)</f>
        <v>14095.46</v>
      </c>
      <c r="J61" s="32" t="n">
        <f aca="false">SUM(J58:J60)</f>
        <v>5248</v>
      </c>
      <c r="K61" s="32" t="n">
        <f aca="false">SUM(K58:K60)</f>
        <v>5248</v>
      </c>
      <c r="L61" s="32" t="n">
        <f aca="false">SUM(L58:L60)</f>
        <v>5248</v>
      </c>
      <c r="M61" s="32" t="n">
        <f aca="false">SUM(M58:M60)</f>
        <v>5248</v>
      </c>
      <c r="N61" s="32" t="n">
        <f aca="false">SUM(B61:M61)</f>
        <v>123466.17</v>
      </c>
      <c r="O61" s="33" t="n">
        <f aca="false">IFERROR(N61/N$16,"")</f>
        <v>0.0166308156578231</v>
      </c>
      <c r="P61" s="12"/>
      <c r="Q61" s="12"/>
      <c r="R61" s="12"/>
      <c r="S61" s="12"/>
      <c r="T61" s="12"/>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122966.17</v>
      </c>
      <c r="AK61" s="9"/>
    </row>
    <row r="62" customFormat="false" ht="13.5" hidden="false" customHeight="true" outlineLevel="0" collapsed="false">
      <c r="A62" s="34" t="s">
        <v>1317</v>
      </c>
      <c r="B62" s="12" t="n">
        <f aca="false">SUM(FO!B62,PO!B62,CO!B62,FE!B62,PE!B62)</f>
        <v>0</v>
      </c>
      <c r="C62" s="12" t="n">
        <f aca="false">SUM(FO!C62,PO!C62,CO!C62,FE!C62,PE!C62)</f>
        <v>0</v>
      </c>
      <c r="D62" s="12" t="n">
        <f aca="false">SUM(FO!D62,PO!D62,CO!D62,FE!D62,PE!D62)</f>
        <v>0</v>
      </c>
      <c r="E62" s="12" t="n">
        <f aca="false">SUM(FO!E62,PO!E62,CO!E62,FE!E62,PE!E62)</f>
        <v>0</v>
      </c>
      <c r="F62" s="12" t="n">
        <f aca="false">SUM(FO!F62,PO!F62,CO!F62,FE!F62,PE!F62)</f>
        <v>0</v>
      </c>
      <c r="G62" s="12" t="n">
        <f aca="false">SUM(FO!G62,PO!G62,CO!G62,FE!G62,PE!G62)</f>
        <v>0</v>
      </c>
      <c r="H62" s="12" t="n">
        <f aca="false">SUM(FO!H62,PO!H62,CO!H62,FE!H62,PE!H62)</f>
        <v>-410.41</v>
      </c>
      <c r="I62" s="12" t="n">
        <f aca="false">SUM(FO!I62,PO!I62,CO!I62,FE!I62,PE!I62)</f>
        <v>0</v>
      </c>
      <c r="J62" s="12" t="n">
        <f aca="false">SUM(FO!J62,PO!J62,CO!J62,FE!J62,PE!J62)</f>
        <v>0</v>
      </c>
      <c r="K62" s="12" t="n">
        <f aca="false">SUM(FO!K62,PO!K62,CO!K62,FE!K62,PE!K62)</f>
        <v>0</v>
      </c>
      <c r="L62" s="12" t="n">
        <f aca="false">SUM(FO!L62,PO!L62,CO!L62,FE!L62,PE!L62)</f>
        <v>0</v>
      </c>
      <c r="M62" s="12" t="n">
        <f aca="false">SUM(FO!M62,PO!M62,CO!M62,FE!M62,PE!M62)</f>
        <v>0</v>
      </c>
      <c r="N62" s="12" t="n">
        <f aca="false">SUM(B62:M62)</f>
        <v>-410.41</v>
      </c>
      <c r="O62" s="24" t="n">
        <f aca="false">IFERROR(N62/N$16,"")</f>
        <v>-5.52819695802273E-005</v>
      </c>
      <c r="P62" s="12"/>
      <c r="Q62" s="12"/>
      <c r="R62" s="12"/>
      <c r="S62" s="12"/>
      <c r="T62" s="12"/>
      <c r="U62" s="12" t="n">
        <f aca="false">SUM(FO!U62,PO!U62,CO!U62,FE!U62,PE!U62)</f>
        <v>0</v>
      </c>
      <c r="V62" s="12" t="n">
        <f aca="false">SUM(FO!V62,PO!V62,CO!V62,FE!V62,PE!V62)</f>
        <v>0</v>
      </c>
      <c r="W62" s="12" t="n">
        <f aca="false">SUM(FO!W62,PO!W62,CO!W62,FE!W62,PE!W62)</f>
        <v>0</v>
      </c>
      <c r="X62" s="12" t="n">
        <f aca="false">SUM(FO!X62,PO!X62,CO!X62,FE!X62,PE!X62)</f>
        <v>0</v>
      </c>
      <c r="Y62" s="12" t="n">
        <f aca="false">SUM(FO!Y62,PO!Y62,CO!Y62,FE!Y62,PE!Y62)</f>
        <v>0</v>
      </c>
      <c r="Z62" s="12" t="n">
        <f aca="false">SUM(FO!Z62,PO!Z62,CO!Z62,FE!Z62,PE!Z62)</f>
        <v>0</v>
      </c>
      <c r="AA62" s="12" t="n">
        <f aca="false">SUM(FO!AA62,PO!AA62,CO!AA62,FE!AA62,PE!AA62)</f>
        <v>0</v>
      </c>
      <c r="AB62" s="12" t="n">
        <f aca="false">SUM(FO!AB62,PO!AB62,CO!AB62,FE!AB62,PE!AB62)</f>
        <v>0</v>
      </c>
      <c r="AC62" s="12" t="n">
        <f aca="false">SUM(FO!AC62,PO!AC62,CO!AC62,FE!AC62,PE!AC62)</f>
        <v>0</v>
      </c>
      <c r="AD62" s="12" t="n">
        <f aca="false">SUM(FO!AD62,PO!AD62,CO!AD62,FE!AD62,PE!AD62)</f>
        <v>0</v>
      </c>
      <c r="AE62" s="12" t="n">
        <f aca="false">SUM(FO!AE62,PO!AE62,CO!AE62,FE!AE62,PE!AE62)</f>
        <v>0</v>
      </c>
      <c r="AF62" s="12" t="n">
        <f aca="false">SUM(FO!AF62,PO!AF62,CO!AF62,FE!AF62,PE!AF62)</f>
        <v>0</v>
      </c>
      <c r="AG62" s="12" t="n">
        <f aca="false">SUM(U62:AF62)</f>
        <v>0</v>
      </c>
      <c r="AH62" s="24" t="n">
        <f aca="false">IFERROR(AG62/AG$16,"")</f>
        <v>0</v>
      </c>
      <c r="AI62" s="9"/>
      <c r="AJ62" s="12" t="n">
        <f aca="false">N62-AG62</f>
        <v>-410.41</v>
      </c>
      <c r="AK62" s="9"/>
    </row>
    <row r="63" customFormat="false" ht="13.5" hidden="false" customHeight="true" outlineLevel="0" collapsed="false">
      <c r="A63" s="26" t="s">
        <v>1318</v>
      </c>
      <c r="B63" s="27" t="n">
        <f aca="false">B37+B38+B39+B40+B41+B42+B56+B61+B62</f>
        <v>268558.97</v>
      </c>
      <c r="C63" s="27" t="n">
        <f aca="false">C37+C38+C39+C40+C41+C42+C56+C61+C62</f>
        <v>280971.67</v>
      </c>
      <c r="D63" s="27" t="n">
        <f aca="false">D37+D38+D39+D40+D41+D42+D56+D61+D62</f>
        <v>345439.98</v>
      </c>
      <c r="E63" s="27" t="n">
        <f aca="false">E37+E38+E39+E40+E41+E42+E56+E61+E62</f>
        <v>344866.53</v>
      </c>
      <c r="F63" s="27" t="n">
        <f aca="false">F37+F38+F39+F40+F41+F42+F56+F61+F62</f>
        <v>384662.49</v>
      </c>
      <c r="G63" s="27" t="n">
        <f aca="false">G37+G38+G39+G40+G41+G42+G56+G61+G62</f>
        <v>357268.48</v>
      </c>
      <c r="H63" s="27" t="n">
        <f aca="false">H37+H38+H39+H40+H41+H42+H56+H61+H62</f>
        <v>344215.57</v>
      </c>
      <c r="I63" s="27" t="n">
        <f aca="false">I37+I38+I39+I40+I41+I42+I56+I61+I62</f>
        <v>458933.14</v>
      </c>
      <c r="J63" s="27" t="n">
        <f aca="false">J37+J38+J39+J40+J41+J42+J56+J61+J62</f>
        <v>416892.910476191</v>
      </c>
      <c r="K63" s="27" t="n">
        <f aca="false">K37+K38+K39+K40+K41+K42+K56+K61+K62</f>
        <v>423868.862857143</v>
      </c>
      <c r="L63" s="27" t="n">
        <f aca="false">L37+L38+L39+L40+L41+L42+L56+L61+L62</f>
        <v>422458.291428571</v>
      </c>
      <c r="M63" s="27" t="n">
        <f aca="false">M37+M38+M39+M40+M41+M42+M56+M61+M62</f>
        <v>429878.72</v>
      </c>
      <c r="N63" s="27" t="n">
        <f aca="false">SUM(B63:M63)</f>
        <v>4478015.61476191</v>
      </c>
      <c r="O63" s="28" t="n">
        <f aca="false">IFERROR(N63/N$16,"")</f>
        <v>0.603185894581152</v>
      </c>
      <c r="P63" s="12"/>
      <c r="Q63" s="12"/>
      <c r="R63" s="12"/>
      <c r="S63" s="12"/>
      <c r="T63" s="12"/>
      <c r="U63" s="27" t="n">
        <f aca="false">U37+U38+U39+U40+U41+U42+U56+U61+U62</f>
        <v>625468.615420632</v>
      </c>
      <c r="V63" s="27" t="n">
        <f aca="false">V37+V38+V39+V40+V41+V42+V56+V61+V62</f>
        <v>565663.092446146</v>
      </c>
      <c r="W63" s="27" t="n">
        <f aca="false">W37+W38+W39+W40+W41+W42+W56+W61+W62</f>
        <v>580290.269271543</v>
      </c>
      <c r="X63" s="27" t="n">
        <f aca="false">X37+X38+X39+X40+X41+X42+X56+X61+X62</f>
        <v>753554.442282181</v>
      </c>
      <c r="Y63" s="27" t="n">
        <f aca="false">Y37+Y38+Y39+Y40+Y41+Y42+Y56+Y61+Y62</f>
        <v>797665.244933973</v>
      </c>
      <c r="Z63" s="27" t="n">
        <f aca="false">Z37+Z38+Z39+Z40+Z41+Z42+Z56+Z61+Z62</f>
        <v>911834.72019617</v>
      </c>
      <c r="AA63" s="27" t="n">
        <f aca="false">AA37+AA38+AA39+AA40+AA41+AA42+AA56+AA61+AA62</f>
        <v>978612.299932147</v>
      </c>
      <c r="AB63" s="27" t="n">
        <f aca="false">AB37+AB38+AB39+AB40+AB41+AB42+AB56+AB61+AB62</f>
        <v>1090533.17770469</v>
      </c>
      <c r="AC63" s="27" t="n">
        <f aca="false">AC37+AC38+AC39+AC40+AC41+AC42+AC56+AC61+AC62</f>
        <v>1238068.65824637</v>
      </c>
      <c r="AD63" s="27" t="n">
        <f aca="false">AD37+AD38+AD39+AD40+AD41+AD42+AD56+AD61+AD62</f>
        <v>1380110.70687751</v>
      </c>
      <c r="AE63" s="27" t="n">
        <f aca="false">AE37+AE38+AE39+AE40+AE41+AE42+AE56+AE61+AE62</f>
        <v>1548263.27304547</v>
      </c>
      <c r="AF63" s="27" t="n">
        <f aca="false">AF37+AF38+AF39+AF40+AF41+AF42+AF56+AF61+AF62</f>
        <v>1681952.65791424</v>
      </c>
      <c r="AG63" s="27" t="n">
        <f aca="false">SUM(U63:AF63)</f>
        <v>12152017.1582711</v>
      </c>
      <c r="AH63" s="28" t="n">
        <f aca="false">IFERROR(AG63/AG$16,"")</f>
        <v>0.780795034539815</v>
      </c>
      <c r="AI63" s="9"/>
      <c r="AJ63" s="27" t="n">
        <f aca="false">N63-AG63</f>
        <v>-7674001.54350916</v>
      </c>
      <c r="AK63" s="9"/>
    </row>
    <row r="64" customFormat="false" ht="13.5" hidden="false" customHeight="true" outlineLevel="0" collapsed="false">
      <c r="A64" s="29" t="s">
        <v>19</v>
      </c>
      <c r="B64" s="30" t="n">
        <f aca="false">B16-B63</f>
        <v>274435.59</v>
      </c>
      <c r="C64" s="30" t="n">
        <f aca="false">C16-C63</f>
        <v>222255.39</v>
      </c>
      <c r="D64" s="30" t="n">
        <f aca="false">D16-D63</f>
        <v>201441.35</v>
      </c>
      <c r="E64" s="30" t="n">
        <f aca="false">E16-E63</f>
        <v>404837.45</v>
      </c>
      <c r="F64" s="30" t="n">
        <f aca="false">F16-F63</f>
        <v>135283.4</v>
      </c>
      <c r="G64" s="30" t="n">
        <f aca="false">G16-G63</f>
        <v>122474.52</v>
      </c>
      <c r="H64" s="30" t="n">
        <f aca="false">H16-H63</f>
        <v>296993.26</v>
      </c>
      <c r="I64" s="30" t="n">
        <f aca="false">I16-I63</f>
        <v>12372.42</v>
      </c>
      <c r="J64" s="30" t="n">
        <f aca="false">J16-J63</f>
        <v>234714.422857143</v>
      </c>
      <c r="K64" s="30" t="n">
        <f aca="false">K16-K63</f>
        <v>323571.803809524</v>
      </c>
      <c r="L64" s="30" t="n">
        <f aca="false">L16-L63</f>
        <v>349982.375238096</v>
      </c>
      <c r="M64" s="30" t="n">
        <f aca="false">M16-M63</f>
        <v>367561.946666667</v>
      </c>
      <c r="N64" s="30" t="n">
        <f aca="false">SUM(B64:M64)</f>
        <v>2945923.92857143</v>
      </c>
      <c r="O64" s="31" t="n">
        <f aca="false">IFERROR(N64/N$16,"")</f>
        <v>0.396814105418848</v>
      </c>
      <c r="P64" s="12"/>
      <c r="Q64" s="12"/>
      <c r="R64" s="12"/>
      <c r="S64" s="12"/>
      <c r="T64" s="12"/>
      <c r="U64" s="30" t="n">
        <f aca="false">U16-U63</f>
        <v>157959.801246035</v>
      </c>
      <c r="V64" s="30" t="n">
        <f aca="false">V16-V63</f>
        <v>256257.407553854</v>
      </c>
      <c r="W64" s="30" t="n">
        <f aca="false">W16-W63</f>
        <v>227455.647395124</v>
      </c>
      <c r="X64" s="30" t="n">
        <f aca="false">X16-X63</f>
        <v>153567.432717819</v>
      </c>
      <c r="Y64" s="30" t="n">
        <f aca="false">Y16-Y63</f>
        <v>199710.588399361</v>
      </c>
      <c r="Z64" s="30" t="n">
        <f aca="false">Z16-Z63</f>
        <v>204211.738137164</v>
      </c>
      <c r="AA64" s="30" t="n">
        <f aca="false">AA16-AA63</f>
        <v>252979.783401187</v>
      </c>
      <c r="AB64" s="30" t="n">
        <f aca="false">AB16-AB63</f>
        <v>289092.863961976</v>
      </c>
      <c r="AC64" s="30" t="n">
        <f aca="false">AC16-AC63</f>
        <v>323788.008420298</v>
      </c>
      <c r="AD64" s="30" t="n">
        <f aca="false">AD16-AD63</f>
        <v>371516.584789159</v>
      </c>
      <c r="AE64" s="30" t="n">
        <f aca="false">AE16-AE63</f>
        <v>426899.976954535</v>
      </c>
      <c r="AF64" s="30" t="n">
        <f aca="false">AF16-AF63</f>
        <v>548188.550419089</v>
      </c>
      <c r="AG64" s="30" t="n">
        <f aca="false">SUM(U64:AF64)</f>
        <v>3411628.3833956</v>
      </c>
      <c r="AH64" s="31" t="n">
        <f aca="false">IFERROR(AG64/AG$16,"")</f>
        <v>0.219204965460185</v>
      </c>
      <c r="AI64" s="9"/>
      <c r="AJ64" s="30" t="n">
        <f aca="false">AG64-N64</f>
        <v>465704.454824171</v>
      </c>
      <c r="AK64" s="9"/>
    </row>
    <row r="65" customFormat="false" ht="13.5" hidden="false" customHeight="true" outlineLevel="0" collapsed="false">
      <c r="A65" s="22" t="s">
        <v>1319</v>
      </c>
      <c r="B65" s="35" t="n">
        <f aca="false">IFERROR(B64/B16,"")</f>
        <v>0.505411306514747</v>
      </c>
      <c r="C65" s="35" t="n">
        <f aca="false">IFERROR(C64/C16,"")</f>
        <v>0.441660251736065</v>
      </c>
      <c r="D65" s="35" t="n">
        <f aca="false">IFERROR(D64/D16,"")</f>
        <v>0.368345633594769</v>
      </c>
      <c r="E65" s="35" t="n">
        <f aca="false">IFERROR(E64/E16,"")</f>
        <v>0.539996399645631</v>
      </c>
      <c r="F65" s="35" t="n">
        <f aca="false">IFERROR(F64/F16,"")</f>
        <v>0.260187459121948</v>
      </c>
      <c r="G65" s="35" t="n">
        <f aca="false">IFERROR(G64/G16,"")</f>
        <v>0.255291937558234</v>
      </c>
      <c r="H65" s="35" t="n">
        <f aca="false">IFERROR(H64/H16,"")</f>
        <v>0.46317712125081</v>
      </c>
      <c r="I65" s="35" t="n">
        <f aca="false">IFERROR(I64/I16,"")</f>
        <v>0.026251377132067</v>
      </c>
      <c r="J65" s="35" t="n">
        <f aca="false">IFERROR(J64/J16,"")</f>
        <v>0.360208381413463</v>
      </c>
      <c r="K65" s="35" t="n">
        <f aca="false">IFERROR(K64/K16,"")</f>
        <v>0.432906340582919</v>
      </c>
      <c r="L65" s="35" t="n">
        <f aca="false">IFERROR(L64/L16,"")</f>
        <v>0.453086418596244</v>
      </c>
      <c r="M65" s="35" t="n">
        <f aca="false">IFERROR(M64/M16,"")</f>
        <v>0.460927015677656</v>
      </c>
      <c r="N65" s="35" t="n">
        <f aca="false">IFERROR(N64/N16,"")</f>
        <v>0.396814105418848</v>
      </c>
      <c r="O65" s="35"/>
      <c r="P65" s="36"/>
      <c r="Q65" s="36"/>
      <c r="R65" s="36"/>
      <c r="S65" s="36"/>
      <c r="T65" s="36"/>
      <c r="U65" s="35" t="n">
        <f aca="false">IFERROR(U64/U16,"")</f>
        <v>0.201626336096056</v>
      </c>
      <c r="V65" s="35" t="n">
        <f aca="false">IFERROR(V64/V16,"")</f>
        <v>0.311778824781538</v>
      </c>
      <c r="W65" s="35" t="n">
        <f aca="false">IFERROR(W64/W16,"")</f>
        <v>0.281593063736884</v>
      </c>
      <c r="X65" s="35" t="n">
        <f aca="false">IFERROR(X64/X16,"")</f>
        <v>0.169290849388699</v>
      </c>
      <c r="Y65" s="35" t="n">
        <f aca="false">IFERROR(Y64/Y16,"")</f>
        <v>0.200236041143996</v>
      </c>
      <c r="Z65" s="35" t="n">
        <f aca="false">IFERROR(Z64/Z16,"")</f>
        <v>0.182977811194461</v>
      </c>
      <c r="AA65" s="35" t="n">
        <f aca="false">IFERROR(AA64/AA16,"")</f>
        <v>0.205408744359976</v>
      </c>
      <c r="AB65" s="35" t="n">
        <f aca="false">IFERROR(AB64/AB16,"")</f>
        <v>0.20954436581433</v>
      </c>
      <c r="AC65" s="35" t="n">
        <f aca="false">IFERROR(AC64/AC16,"")</f>
        <v>0.207309681695267</v>
      </c>
      <c r="AD65" s="35" t="n">
        <f aca="false">IFERROR(AD64/AD16,"")</f>
        <v>0.21209796544998</v>
      </c>
      <c r="AE65" s="35" t="n">
        <f aca="false">IFERROR(AE64/AE16,"")</f>
        <v>0.216134021810367</v>
      </c>
      <c r="AF65" s="35" t="n">
        <f aca="false">IFERROR(AF64/AF16,"")</f>
        <v>0.24580889693024</v>
      </c>
      <c r="AG65" s="35" t="n">
        <f aca="false">IFERROR(AG64/AG16,"")</f>
        <v>0.219204965460185</v>
      </c>
      <c r="AH65" s="35"/>
      <c r="AI65" s="37"/>
      <c r="AJ65" s="35"/>
      <c r="AK65" s="37"/>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12"/>
      <c r="S66" s="12"/>
      <c r="T66" s="12"/>
      <c r="U66" s="12"/>
      <c r="V66" s="12"/>
      <c r="W66" s="12"/>
      <c r="X66" s="12"/>
      <c r="Y66" s="12"/>
      <c r="Z66" s="12"/>
      <c r="AA66" s="12"/>
      <c r="AB66" s="12"/>
      <c r="AC66" s="12"/>
      <c r="AD66" s="12"/>
      <c r="AE66" s="12"/>
      <c r="AF66" s="12"/>
      <c r="AG66" s="12"/>
      <c r="AH66" s="24"/>
      <c r="AI66" s="9"/>
      <c r="AJ66" s="12"/>
      <c r="AK66" s="9"/>
    </row>
    <row r="67" customFormat="false" ht="13.5" hidden="false" customHeight="true" outlineLevel="0" collapsed="false">
      <c r="A67" s="23" t="s">
        <v>1321</v>
      </c>
      <c r="B67" s="12" t="n">
        <f aca="false">SUM(FO!B67,PO!B67,CO!B67,FE!B67,PE!B67)</f>
        <v>54176.66</v>
      </c>
      <c r="C67" s="12" t="n">
        <f aca="false">SUM(FO!C67,PO!C67,CO!C67,FE!C67,PE!C67)</f>
        <v>-73775.58</v>
      </c>
      <c r="D67" s="12" t="n">
        <f aca="false">SUM(FO!D67,PO!D67,CO!D67,FE!D67,PE!D67)</f>
        <v>140925.68</v>
      </c>
      <c r="E67" s="12" t="n">
        <f aca="false">SUM(FO!E67,PO!E67,CO!E67,FE!E67,PE!E67)</f>
        <v>134198.53</v>
      </c>
      <c r="F67" s="12" t="n">
        <f aca="false">SUM(FO!F67,PO!F67,CO!F67,FE!F67,PE!F67)</f>
        <v>203069.15</v>
      </c>
      <c r="G67" s="12" t="n">
        <f aca="false">SUM(FO!G67,PO!G67,CO!G67,FE!G67,PE!G67)</f>
        <v>190550.34</v>
      </c>
      <c r="H67" s="12" t="n">
        <f aca="false">SUM(FO!H67,PO!H67,CO!H67,FE!H67,PE!H67)</f>
        <v>184829.3</v>
      </c>
      <c r="I67" s="12" t="n">
        <f aca="false">SUM(FO!I67,PO!I67,CO!I67,FE!I67,PE!I67)</f>
        <v>197514.57</v>
      </c>
      <c r="J67" s="12" t="n">
        <f aca="false">SUM(FO!J67,PO!J67,CO!J67,FE!J67,PE!J67)</f>
        <v>265600</v>
      </c>
      <c r="K67" s="12" t="n">
        <f aca="false">SUM(FO!K67,PO!K67,CO!K67,FE!K67,PE!K67)</f>
        <v>287700</v>
      </c>
      <c r="L67" s="12" t="n">
        <f aca="false">SUM(FO!L67,PO!L67,CO!L67,FE!L67,PE!L67)</f>
        <v>290000</v>
      </c>
      <c r="M67" s="12" t="n">
        <f aca="false">SUM(FO!M67,PO!M67,CO!M67,FE!M67,PE!M67)</f>
        <v>299600</v>
      </c>
      <c r="N67" s="12" t="n">
        <f aca="false">SUM(B67:M67)</f>
        <v>2174388.65</v>
      </c>
      <c r="O67" s="24" t="n">
        <f aca="false">IFERROR(N67/N$16,"")</f>
        <v>0.292888787322169</v>
      </c>
      <c r="P67" s="12"/>
      <c r="Q67" s="12"/>
      <c r="R67" s="12"/>
      <c r="S67" s="12"/>
      <c r="T67" s="12"/>
      <c r="U67" s="12" t="n">
        <f aca="false">SUM(FO!U67,PO!U67,CO!U67,FE!U67,PE!U67)</f>
        <v>189598.666666667</v>
      </c>
      <c r="V67" s="12" t="n">
        <f aca="false">SUM(FO!V67,PO!V67,CO!V67,FE!V67,PE!V67)</f>
        <v>189598.666666667</v>
      </c>
      <c r="W67" s="12" t="n">
        <f aca="false">SUM(FO!W67,PO!W67,CO!W67,FE!W67,PE!W67)</f>
        <v>189598.666666667</v>
      </c>
      <c r="X67" s="12" t="n">
        <f aca="false">SUM(FO!X67,PO!X67,CO!X67,FE!X67,PE!X67)</f>
        <v>189598.666666667</v>
      </c>
      <c r="Y67" s="12" t="n">
        <f aca="false">SUM(FO!Y67,PO!Y67,CO!Y67,FE!Y67,PE!Y67)</f>
        <v>189598.666666667</v>
      </c>
      <c r="Z67" s="12" t="n">
        <f aca="false">SUM(FO!Z67,PO!Z67,CO!Z67,FE!Z67,PE!Z67)</f>
        <v>189598.666666667</v>
      </c>
      <c r="AA67" s="12" t="n">
        <f aca="false">SUM(FO!AA67,PO!AA67,CO!AA67,FE!AA67,PE!AA67)</f>
        <v>189598.666666667</v>
      </c>
      <c r="AB67" s="12" t="n">
        <f aca="false">SUM(FO!AB67,PO!AB67,CO!AB67,FE!AB67,PE!AB67)</f>
        <v>195015.333333333</v>
      </c>
      <c r="AC67" s="12" t="n">
        <f aca="false">SUM(FO!AC67,PO!AC67,CO!AC67,FE!AC67,PE!AC67)</f>
        <v>195015.333333333</v>
      </c>
      <c r="AD67" s="12" t="n">
        <f aca="false">SUM(FO!AD67,PO!AD67,CO!AD67,FE!AD67,PE!AD67)</f>
        <v>200865.793333333</v>
      </c>
      <c r="AE67" s="12" t="n">
        <f aca="false">SUM(FO!AE67,PO!AE67,CO!AE67,FE!AE67,PE!AE67)</f>
        <v>200865.793333333</v>
      </c>
      <c r="AF67" s="12" t="n">
        <f aca="false">SUM(FO!AF67,PO!AF67,CO!AF67,FE!AF67,PE!AF67)</f>
        <v>200865.793333333</v>
      </c>
      <c r="AG67" s="12" t="n">
        <f aca="false">SUM(U67:AF67)</f>
        <v>2319818.71333333</v>
      </c>
      <c r="AH67" s="24" t="n">
        <f aca="false">IFERROR(AG67/AG$16,"")</f>
        <v>0.149053684570415</v>
      </c>
      <c r="AI67" s="9"/>
      <c r="AJ67" s="12" t="n">
        <f aca="false">N67-AG67</f>
        <v>-145430.063333333</v>
      </c>
      <c r="AK67" s="9"/>
    </row>
    <row r="68" customFormat="false" ht="13.5" hidden="false" customHeight="true" outlineLevel="0" collapsed="false">
      <c r="A68" s="23" t="s">
        <v>1322</v>
      </c>
      <c r="B68" s="12" t="n">
        <f aca="false">SUM(FO!B68,PO!B68,CO!B68,FE!B68,PE!B68)</f>
        <v>14246.86</v>
      </c>
      <c r="C68" s="12" t="n">
        <f aca="false">SUM(FO!C68,PO!C68,CO!C68,FE!C68,PE!C68)</f>
        <v>38431.92</v>
      </c>
      <c r="D68" s="12" t="n">
        <f aca="false">SUM(FO!D68,PO!D68,CO!D68,FE!D68,PE!D68)</f>
        <v>6290.03</v>
      </c>
      <c r="E68" s="12" t="n">
        <f aca="false">SUM(FO!E68,PO!E68,CO!E68,FE!E68,PE!E68)</f>
        <v>5633.46</v>
      </c>
      <c r="F68" s="12" t="n">
        <f aca="false">SUM(FO!F68,PO!F68,CO!F68,FE!F68,PE!F68)</f>
        <v>7753.08</v>
      </c>
      <c r="G68" s="12" t="n">
        <f aca="false">SUM(FO!G68,PO!G68,CO!G68,FE!G68,PE!G68)</f>
        <v>7265.23</v>
      </c>
      <c r="H68" s="12" t="n">
        <f aca="false">SUM(FO!H68,PO!H68,CO!H68,FE!H68,PE!H68)</f>
        <v>7181.3</v>
      </c>
      <c r="I68" s="12" t="n">
        <f aca="false">SUM(FO!I68,PO!I68,CO!I68,FE!I68,PE!I68)</f>
        <v>10596.09</v>
      </c>
      <c r="J68" s="12" t="n">
        <f aca="false">SUM(FO!J68,PO!J68,CO!J68,FE!J68,PE!J68)</f>
        <v>10133</v>
      </c>
      <c r="K68" s="12" t="n">
        <f aca="false">SUM(FO!K68,PO!K68,CO!K68,FE!K68,PE!K68)</f>
        <v>11006</v>
      </c>
      <c r="L68" s="12" t="n">
        <f aca="false">SUM(FO!L68,PO!L68,CO!L68,FE!L68,PE!L68)</f>
        <v>11098</v>
      </c>
      <c r="M68" s="12" t="n">
        <f aca="false">SUM(FO!M68,PO!M68,CO!M68,FE!M68,PE!M68)</f>
        <v>11444</v>
      </c>
      <c r="N68" s="12" t="n">
        <f aca="false">SUM(B68:M68)</f>
        <v>141078.97</v>
      </c>
      <c r="O68" s="24" t="n">
        <f aca="false">IFERROR(N68/N$16,"")</f>
        <v>0.0190032487706191</v>
      </c>
      <c r="P68" s="12"/>
      <c r="Q68" s="12"/>
      <c r="R68" s="12"/>
      <c r="S68" s="12"/>
      <c r="T68" s="12"/>
      <c r="U68" s="12" t="n">
        <f aca="false">SUM(FO!U68,PO!U68,CO!U68,FE!U68,PE!U68)</f>
        <v>9323.96790522102</v>
      </c>
      <c r="V68" s="12" t="n">
        <f aca="false">SUM(FO!V68,PO!V68,CO!V68,FE!V68,PE!V68)</f>
        <v>9323.96790522102</v>
      </c>
      <c r="W68" s="12" t="n">
        <f aca="false">SUM(FO!W68,PO!W68,CO!W68,FE!W68,PE!W68)</f>
        <v>9323.96790522102</v>
      </c>
      <c r="X68" s="12" t="n">
        <f aca="false">SUM(FO!X68,PO!X68,CO!X68,FE!X68,PE!X68)</f>
        <v>9323.96790522102</v>
      </c>
      <c r="Y68" s="12" t="n">
        <f aca="false">SUM(FO!Y68,PO!Y68,CO!Y68,FE!Y68,PE!Y68)</f>
        <v>9323.96790522102</v>
      </c>
      <c r="Z68" s="12" t="n">
        <f aca="false">SUM(FO!Z68,PO!Z68,CO!Z68,FE!Z68,PE!Z68)</f>
        <v>9323.96790522102</v>
      </c>
      <c r="AA68" s="12" t="n">
        <f aca="false">SUM(FO!AA68,PO!AA68,CO!AA68,FE!AA68,PE!AA68)</f>
        <v>9323.96790522102</v>
      </c>
      <c r="AB68" s="12" t="n">
        <f aca="false">SUM(FO!AB68,PO!AB68,CO!AB68,FE!AB68,PE!AB68)</f>
        <v>9692.30123855435</v>
      </c>
      <c r="AC68" s="12" t="n">
        <f aca="false">SUM(FO!AC68,PO!AC68,CO!AC68,FE!AC68,PE!AC68)</f>
        <v>9692.30123855435</v>
      </c>
      <c r="AD68" s="12" t="n">
        <f aca="false">SUM(FO!AD68,PO!AD68,CO!AD68,FE!AD68,PE!AD68)</f>
        <v>9983.07027571098</v>
      </c>
      <c r="AE68" s="12" t="n">
        <f aca="false">SUM(FO!AE68,PO!AE68,CO!AE68,FE!AE68,PE!AE68)</f>
        <v>9983.07027571098</v>
      </c>
      <c r="AF68" s="12" t="n">
        <f aca="false">SUM(FO!AF68,PO!AF68,CO!AF68,FE!AF68,PE!AF68)</f>
        <v>9983.07027571098</v>
      </c>
      <c r="AG68" s="12" t="n">
        <f aca="false">SUM(U68:AF68)</f>
        <v>114601.588640789</v>
      </c>
      <c r="AH68" s="24" t="n">
        <f aca="false">IFERROR(AG68/AG$16,"")</f>
        <v>0.00736341548861285</v>
      </c>
      <c r="AI68" s="9"/>
      <c r="AJ68" s="12" t="n">
        <f aca="false">N68-AG68</f>
        <v>26477.3813592113</v>
      </c>
      <c r="AK68" s="9"/>
    </row>
    <row r="69" customFormat="false" ht="13.5" hidden="false" customHeight="true" outlineLevel="0" collapsed="false">
      <c r="A69" s="23" t="s">
        <v>1323</v>
      </c>
      <c r="B69" s="12" t="n">
        <f aca="false">SUM(FO!B69,PO!B69,CO!B69,FE!B69,PE!B69)</f>
        <v>56302.42</v>
      </c>
      <c r="C69" s="12" t="n">
        <f aca="false">SUM(FO!C69,PO!C69,CO!C69,FE!C69,PE!C69)</f>
        <v>25595.52</v>
      </c>
      <c r="D69" s="12" t="n">
        <f aca="false">SUM(FO!D69,PO!D69,CO!D69,FE!D69,PE!D69)</f>
        <v>20283.02</v>
      </c>
      <c r="E69" s="12" t="n">
        <f aca="false">SUM(FO!E69,PO!E69,CO!E69,FE!E69,PE!E69)</f>
        <v>21911.8</v>
      </c>
      <c r="F69" s="12" t="n">
        <f aca="false">SUM(FO!F69,PO!F69,CO!F69,FE!F69,PE!F69)</f>
        <v>14943.43</v>
      </c>
      <c r="G69" s="12" t="n">
        <f aca="false">SUM(FO!G69,PO!G69,CO!G69,FE!G69,PE!G69)</f>
        <v>18184.32</v>
      </c>
      <c r="H69" s="12" t="n">
        <f aca="false">SUM(FO!H69,PO!H69,CO!H69,FE!H69,PE!H69)</f>
        <v>12933.23</v>
      </c>
      <c r="I69" s="12" t="n">
        <f aca="false">SUM(FO!I69,PO!I69,CO!I69,FE!I69,PE!I69)</f>
        <v>20943.04</v>
      </c>
      <c r="J69" s="12" t="n">
        <f aca="false">SUM(FO!J69,PO!J69,CO!J69,FE!J69,PE!J69)</f>
        <v>23905</v>
      </c>
      <c r="K69" s="12" t="n">
        <f aca="false">SUM(FO!K69,PO!K69,CO!K69,FE!K69,PE!K69)</f>
        <v>26185</v>
      </c>
      <c r="L69" s="12" t="n">
        <f aca="false">SUM(FO!L69,PO!L69,CO!L69,FE!L69,PE!L69)</f>
        <v>26433</v>
      </c>
      <c r="M69" s="12" t="n">
        <f aca="false">SUM(FO!M69,PO!M69,CO!M69,FE!M69,PE!M69)</f>
        <v>27124</v>
      </c>
      <c r="N69" s="12" t="n">
        <f aca="false">SUM(B69:M69)</f>
        <v>294743.78</v>
      </c>
      <c r="O69" s="24" t="n">
        <f aca="false">IFERROR(N69/N$16,"")</f>
        <v>0.0397018022950737</v>
      </c>
      <c r="P69" s="12"/>
      <c r="Q69" s="12"/>
      <c r="R69" s="12"/>
      <c r="S69" s="12"/>
      <c r="T69" s="12"/>
      <c r="U69" s="12" t="n">
        <f aca="false">SUM(FO!U69,PO!U69,CO!U69,FE!U69,PE!U69)</f>
        <v>22373.8570453757</v>
      </c>
      <c r="V69" s="12" t="n">
        <f aca="false">SUM(FO!V69,PO!V69,CO!V69,FE!V69,PE!V69)</f>
        <v>22373.8570453757</v>
      </c>
      <c r="W69" s="12" t="n">
        <f aca="false">SUM(FO!W69,PO!W69,CO!W69,FE!W69,PE!W69)</f>
        <v>22373.8570453757</v>
      </c>
      <c r="X69" s="12" t="n">
        <f aca="false">SUM(FO!X69,PO!X69,CO!X69,FE!X69,PE!X69)</f>
        <v>22373.8570453757</v>
      </c>
      <c r="Y69" s="12" t="n">
        <f aca="false">SUM(FO!Y69,PO!Y69,CO!Y69,FE!Y69,PE!Y69)</f>
        <v>22373.8570453757</v>
      </c>
      <c r="Z69" s="12" t="n">
        <f aca="false">SUM(FO!Z69,PO!Z69,CO!Z69,FE!Z69,PE!Z69)</f>
        <v>22373.8570453757</v>
      </c>
      <c r="AA69" s="12" t="n">
        <f aca="false">SUM(FO!AA69,PO!AA69,CO!AA69,FE!AA69,PE!AA69)</f>
        <v>22373.8570453757</v>
      </c>
      <c r="AB69" s="12" t="n">
        <f aca="false">SUM(FO!AB69,PO!AB69,CO!AB69,FE!AB69,PE!AB69)</f>
        <v>23262.190378709</v>
      </c>
      <c r="AC69" s="12" t="n">
        <f aca="false">SUM(FO!AC69,PO!AC69,CO!AC69,FE!AC69,PE!AC69)</f>
        <v>23262.190378709</v>
      </c>
      <c r="AD69" s="12" t="n">
        <f aca="false">SUM(FO!AD69,PO!AD69,CO!AD69,FE!AD69,PE!AD69)</f>
        <v>23960.0560900703</v>
      </c>
      <c r="AE69" s="12" t="n">
        <f aca="false">SUM(FO!AE69,PO!AE69,CO!AE69,FE!AE69,PE!AE69)</f>
        <v>23960.0560900703</v>
      </c>
      <c r="AF69" s="12" t="n">
        <f aca="false">SUM(FO!AF69,PO!AF69,CO!AF69,FE!AF69,PE!AF69)</f>
        <v>23960.0560900703</v>
      </c>
      <c r="AG69" s="12" t="n">
        <f aca="false">SUM(U69:AF69)</f>
        <v>275021.548345259</v>
      </c>
      <c r="AH69" s="24" t="n">
        <f aca="false">IFERROR(AG69/AG$16,"")</f>
        <v>0.0176707666342681</v>
      </c>
      <c r="AI69" s="9"/>
      <c r="AJ69" s="12" t="n">
        <f aca="false">N69-AG69</f>
        <v>19722.2316547412</v>
      </c>
      <c r="AK69" s="9"/>
    </row>
    <row r="70" customFormat="false" ht="13.5" hidden="false" customHeight="true" outlineLevel="0" collapsed="false">
      <c r="A70" s="23" t="s">
        <v>1324</v>
      </c>
      <c r="B70" s="12" t="n">
        <f aca="false">SUM(FO!B70,PO!B70,CO!B70,FE!B70,PE!B70)</f>
        <v>0</v>
      </c>
      <c r="C70" s="12" t="n">
        <f aca="false">SUM(FO!C70,PO!C70,CO!C70,FE!C70,PE!C70)</f>
        <v>0</v>
      </c>
      <c r="D70" s="12" t="n">
        <f aca="false">SUM(FO!D70,PO!D70,CO!D70,FE!D70,PE!D70)</f>
        <v>0</v>
      </c>
      <c r="E70" s="12" t="n">
        <f aca="false">SUM(FO!E70,PO!E70,CO!E70,FE!E70,PE!E70)</f>
        <v>0</v>
      </c>
      <c r="F70" s="12" t="n">
        <f aca="false">SUM(FO!F70,PO!F70,CO!F70,FE!F70,PE!F70)</f>
        <v>0</v>
      </c>
      <c r="G70" s="12" t="n">
        <f aca="false">SUM(FO!G70,PO!G70,CO!G70,FE!G70,PE!G70)</f>
        <v>0</v>
      </c>
      <c r="H70" s="12" t="n">
        <f aca="false">SUM(FO!H70,PO!H70,CO!H70,FE!H70,PE!H70)</f>
        <v>0</v>
      </c>
      <c r="I70" s="12" t="n">
        <f aca="false">SUM(FO!I70,PO!I70,CO!I70,FE!I70,PE!I70)</f>
        <v>0</v>
      </c>
      <c r="J70" s="12" t="n">
        <f aca="false">SUM(FO!J70,PO!J70,CO!J70,FE!J70,PE!J70)</f>
        <v>0</v>
      </c>
      <c r="K70" s="12" t="n">
        <f aca="false">SUM(FO!K70,PO!K70,CO!K70,FE!K70,PE!K70)</f>
        <v>0</v>
      </c>
      <c r="L70" s="12" t="n">
        <f aca="false">SUM(FO!L70,PO!L70,CO!L70,FE!L70,PE!L70)</f>
        <v>0</v>
      </c>
      <c r="M70" s="12" t="n">
        <f aca="false">SUM(FO!M70,PO!M70,CO!M70,FE!M70,PE!M70)</f>
        <v>0</v>
      </c>
      <c r="N70" s="12" t="n">
        <f aca="false">SUM(B70:M70)</f>
        <v>0</v>
      </c>
      <c r="O70" s="24" t="n">
        <f aca="false">IFERROR(N70/N$16,"")</f>
        <v>0</v>
      </c>
      <c r="P70" s="12"/>
      <c r="Q70" s="12"/>
      <c r="R70" s="12"/>
      <c r="S70" s="12"/>
      <c r="T70" s="12"/>
      <c r="U70" s="12" t="n">
        <f aca="false">SUM(FO!U70,PO!U70,CO!U70,FE!U70,PE!U70)</f>
        <v>0</v>
      </c>
      <c r="V70" s="12" t="n">
        <f aca="false">SUM(FO!V70,PO!V70,CO!V70,FE!V70,PE!V70)</f>
        <v>0</v>
      </c>
      <c r="W70" s="12" t="n">
        <f aca="false">SUM(FO!W70,PO!W70,CO!W70,FE!W70,PE!W70)</f>
        <v>0</v>
      </c>
      <c r="X70" s="12" t="n">
        <f aca="false">SUM(FO!X70,PO!X70,CO!X70,FE!X70,PE!X70)</f>
        <v>0</v>
      </c>
      <c r="Y70" s="12" t="n">
        <f aca="false">SUM(FO!Y70,PO!Y70,CO!Y70,FE!Y70,PE!Y70)</f>
        <v>0</v>
      </c>
      <c r="Z70" s="12" t="n">
        <f aca="false">SUM(FO!Z70,PO!Z70,CO!Z70,FE!Z70,PE!Z70)</f>
        <v>0</v>
      </c>
      <c r="AA70" s="12" t="n">
        <f aca="false">SUM(FO!AA70,PO!AA70,CO!AA70,FE!AA70,PE!AA70)</f>
        <v>0</v>
      </c>
      <c r="AB70" s="12" t="n">
        <f aca="false">SUM(FO!AB70,PO!AB70,CO!AB70,FE!AB70,PE!AB70)</f>
        <v>0</v>
      </c>
      <c r="AC70" s="12" t="n">
        <f aca="false">SUM(FO!AC70,PO!AC70,CO!AC70,FE!AC70,PE!AC70)</f>
        <v>0</v>
      </c>
      <c r="AD70" s="12" t="n">
        <f aca="false">SUM(FO!AD70,PO!AD70,CO!AD70,FE!AD70,PE!AD70)</f>
        <v>0</v>
      </c>
      <c r="AE70" s="12" t="n">
        <f aca="false">SUM(FO!AE70,PO!AE70,CO!AE70,FE!AE70,PE!AE70)</f>
        <v>0</v>
      </c>
      <c r="AF70" s="12" t="n">
        <f aca="false">SUM(FO!AF70,PO!AF70,CO!AF70,FE!AF70,PE!AF70)</f>
        <v>0</v>
      </c>
      <c r="AG70" s="12" t="n">
        <f aca="false">SUM(U70:AF70)</f>
        <v>0</v>
      </c>
      <c r="AH70" s="24" t="n">
        <f aca="false">IFERROR(AG70/AG$16,"")</f>
        <v>0</v>
      </c>
      <c r="AI70" s="9"/>
      <c r="AJ70" s="12" t="n">
        <f aca="false">N70-AG70</f>
        <v>0</v>
      </c>
      <c r="AK70" s="9"/>
    </row>
    <row r="71" customFormat="false" ht="13.5" hidden="false" customHeight="true" outlineLevel="0" collapsed="false">
      <c r="A71" s="23" t="s">
        <v>1325</v>
      </c>
      <c r="B71" s="12" t="n">
        <f aca="false">SUM(FO!B71,PO!B71,CO!B71,FE!B71,PE!B71)</f>
        <v>0</v>
      </c>
      <c r="C71" s="12" t="n">
        <f aca="false">SUM(FO!C71,PO!C71,CO!C71,FE!C71,PE!C71)</f>
        <v>0</v>
      </c>
      <c r="D71" s="12" t="n">
        <f aca="false">SUM(FO!D71,PO!D71,CO!D71,FE!D71,PE!D71)</f>
        <v>0</v>
      </c>
      <c r="E71" s="12" t="n">
        <f aca="false">SUM(FO!E71,PO!E71,CO!E71,FE!E71,PE!E71)</f>
        <v>0</v>
      </c>
      <c r="F71" s="12" t="n">
        <f aca="false">SUM(FO!F71,PO!F71,CO!F71,FE!F71,PE!F71)</f>
        <v>0</v>
      </c>
      <c r="G71" s="12" t="n">
        <f aca="false">SUM(FO!G71,PO!G71,CO!G71,FE!G71,PE!G71)</f>
        <v>0</v>
      </c>
      <c r="H71" s="12" t="n">
        <f aca="false">SUM(FO!H71,PO!H71,CO!H71,FE!H71,PE!H71)</f>
        <v>0</v>
      </c>
      <c r="I71" s="12" t="n">
        <f aca="false">SUM(FO!I71,PO!I71,CO!I71,FE!I71,PE!I71)</f>
        <v>0</v>
      </c>
      <c r="J71" s="12" t="n">
        <f aca="false">SUM(FO!J71,PO!J71,CO!J71,FE!J71,PE!J71)</f>
        <v>0</v>
      </c>
      <c r="K71" s="12" t="n">
        <f aca="false">SUM(FO!K71,PO!K71,CO!K71,FE!K71,PE!K71)</f>
        <v>0</v>
      </c>
      <c r="L71" s="12" t="n">
        <f aca="false">SUM(FO!L71,PO!L71,CO!L71,FE!L71,PE!L71)</f>
        <v>0</v>
      </c>
      <c r="M71" s="12" t="n">
        <f aca="false">SUM(FO!M71,PO!M71,CO!M71,FE!M71,PE!M71)</f>
        <v>0</v>
      </c>
      <c r="N71" s="12" t="n">
        <f aca="false">SUM(B71:M71)</f>
        <v>0</v>
      </c>
      <c r="O71" s="24" t="n">
        <f aca="false">IFERROR(N71/N$16,"")</f>
        <v>0</v>
      </c>
      <c r="P71" s="12"/>
      <c r="Q71" s="12"/>
      <c r="R71" s="12"/>
      <c r="S71" s="12"/>
      <c r="T71" s="12"/>
      <c r="U71" s="12" t="n">
        <f aca="false">SUM(FO!U71,PO!U71,CO!U71,FE!U71,PE!U71)</f>
        <v>0</v>
      </c>
      <c r="V71" s="12" t="n">
        <f aca="false">SUM(FO!V71,PO!V71,CO!V71,FE!V71,PE!V71)</f>
        <v>0</v>
      </c>
      <c r="W71" s="12" t="n">
        <f aca="false">SUM(FO!W71,PO!W71,CO!W71,FE!W71,PE!W71)</f>
        <v>0</v>
      </c>
      <c r="X71" s="12" t="n">
        <f aca="false">SUM(FO!X71,PO!X71,CO!X71,FE!X71,PE!X71)</f>
        <v>0</v>
      </c>
      <c r="Y71" s="12" t="n">
        <f aca="false">SUM(FO!Y71,PO!Y71,CO!Y71,FE!Y71,PE!Y71)</f>
        <v>0</v>
      </c>
      <c r="Z71" s="12" t="n">
        <f aca="false">SUM(FO!Z71,PO!Z71,CO!Z71,FE!Z71,PE!Z71)</f>
        <v>0</v>
      </c>
      <c r="AA71" s="12" t="n">
        <f aca="false">SUM(FO!AA71,PO!AA71,CO!AA71,FE!AA71,PE!AA71)</f>
        <v>0</v>
      </c>
      <c r="AB71" s="12" t="n">
        <f aca="false">SUM(FO!AB71,PO!AB71,CO!AB71,FE!AB71,PE!AB71)</f>
        <v>0</v>
      </c>
      <c r="AC71" s="12" t="n">
        <f aca="false">SUM(FO!AC71,PO!AC71,CO!AC71,FE!AC71,PE!AC71)</f>
        <v>0</v>
      </c>
      <c r="AD71" s="12" t="n">
        <f aca="false">SUM(FO!AD71,PO!AD71,CO!AD71,FE!AD71,PE!AD71)</f>
        <v>0</v>
      </c>
      <c r="AE71" s="12" t="n">
        <f aca="false">SUM(FO!AE71,PO!AE71,CO!AE71,FE!AE71,PE!AE71)</f>
        <v>0</v>
      </c>
      <c r="AF71" s="12" t="n">
        <f aca="false">SUM(FO!AF71,PO!AF71,CO!AF71,FE!AF71,PE!AF71)</f>
        <v>0</v>
      </c>
      <c r="AG71" s="12" t="n">
        <f aca="false">SUM(U71:AF71)</f>
        <v>0</v>
      </c>
      <c r="AH71" s="24" t="n">
        <f aca="false">IFERROR(AG71/AG$16,"")</f>
        <v>0</v>
      </c>
      <c r="AI71" s="9"/>
      <c r="AJ71" s="12" t="n">
        <f aca="false">N71-AG71</f>
        <v>0</v>
      </c>
      <c r="AK71" s="9"/>
    </row>
    <row r="72" customFormat="false" ht="13.5" hidden="false" customHeight="true" outlineLevel="0" collapsed="false">
      <c r="A72" s="23" t="s">
        <v>1326</v>
      </c>
      <c r="B72" s="12" t="n">
        <f aca="false">SUM(FO!B72,PO!B72,CO!B72,FE!B72,PE!B72)</f>
        <v>0</v>
      </c>
      <c r="C72" s="12" t="n">
        <f aca="false">SUM(FO!C72,PO!C72,CO!C72,FE!C72,PE!C72)</f>
        <v>0</v>
      </c>
      <c r="D72" s="12" t="n">
        <f aca="false">SUM(FO!D72,PO!D72,CO!D72,FE!D72,PE!D72)</f>
        <v>0</v>
      </c>
      <c r="E72" s="12" t="n">
        <f aca="false">SUM(FO!E72,PO!E72,CO!E72,FE!E72,PE!E72)</f>
        <v>0</v>
      </c>
      <c r="F72" s="12" t="n">
        <f aca="false">SUM(FO!F72,PO!F72,CO!F72,FE!F72,PE!F72)</f>
        <v>0</v>
      </c>
      <c r="G72" s="12" t="n">
        <f aca="false">SUM(FO!G72,PO!G72,CO!G72,FE!G72,PE!G72)</f>
        <v>0</v>
      </c>
      <c r="H72" s="12" t="n">
        <f aca="false">SUM(FO!H72,PO!H72,CO!H72,FE!H72,PE!H72)</f>
        <v>0</v>
      </c>
      <c r="I72" s="12" t="n">
        <f aca="false">SUM(FO!I72,PO!I72,CO!I72,FE!I72,PE!I72)</f>
        <v>0</v>
      </c>
      <c r="J72" s="12" t="n">
        <f aca="false">SUM(FO!J72,PO!J72,CO!J72,FE!J72,PE!J72)</f>
        <v>0</v>
      </c>
      <c r="K72" s="12" t="n">
        <f aca="false">SUM(FO!K72,PO!K72,CO!K72,FE!K72,PE!K72)</f>
        <v>0</v>
      </c>
      <c r="L72" s="12" t="n">
        <f aca="false">SUM(FO!L72,PO!L72,CO!L72,FE!L72,PE!L72)</f>
        <v>0</v>
      </c>
      <c r="M72" s="12" t="n">
        <f aca="false">SUM(FO!M72,PO!M72,CO!M72,FE!M72,PE!M72)</f>
        <v>0</v>
      </c>
      <c r="N72" s="12" t="n">
        <f aca="false">SUM(B72:M72)</f>
        <v>0</v>
      </c>
      <c r="O72" s="24" t="n">
        <f aca="false">IFERROR(N72/N$16,"")</f>
        <v>0</v>
      </c>
      <c r="P72" s="12"/>
      <c r="Q72" s="12"/>
      <c r="R72" s="12"/>
      <c r="S72" s="12"/>
      <c r="T72" s="12"/>
      <c r="U72" s="12" t="n">
        <f aca="false">SUM(FO!U72,PO!U72,CO!U72,FE!U72,PE!U72)</f>
        <v>0</v>
      </c>
      <c r="V72" s="12" t="n">
        <f aca="false">SUM(FO!V72,PO!V72,CO!V72,FE!V72,PE!V72)</f>
        <v>0</v>
      </c>
      <c r="W72" s="12" t="n">
        <f aca="false">SUM(FO!W72,PO!W72,CO!W72,FE!W72,PE!W72)</f>
        <v>0</v>
      </c>
      <c r="X72" s="12" t="n">
        <f aca="false">SUM(FO!X72,PO!X72,CO!X72,FE!X72,PE!X72)</f>
        <v>0</v>
      </c>
      <c r="Y72" s="12" t="n">
        <f aca="false">SUM(FO!Y72,PO!Y72,CO!Y72,FE!Y72,PE!Y72)</f>
        <v>0</v>
      </c>
      <c r="Z72" s="12" t="n">
        <f aca="false">SUM(FO!Z72,PO!Z72,CO!Z72,FE!Z72,PE!Z72)</f>
        <v>0</v>
      </c>
      <c r="AA72" s="12" t="n">
        <f aca="false">SUM(FO!AA72,PO!AA72,CO!AA72,FE!AA72,PE!AA72)</f>
        <v>0</v>
      </c>
      <c r="AB72" s="12" t="n">
        <f aca="false">SUM(FO!AB72,PO!AB72,CO!AB72,FE!AB72,PE!AB72)</f>
        <v>0</v>
      </c>
      <c r="AC72" s="12" t="n">
        <f aca="false">SUM(FO!AC72,PO!AC72,CO!AC72,FE!AC72,PE!AC72)</f>
        <v>0</v>
      </c>
      <c r="AD72" s="12" t="n">
        <f aca="false">SUM(FO!AD72,PO!AD72,CO!AD72,FE!AD72,PE!AD72)</f>
        <v>0</v>
      </c>
      <c r="AE72" s="12" t="n">
        <f aca="false">SUM(FO!AE72,PO!AE72,CO!AE72,FE!AE72,PE!AE72)</f>
        <v>0</v>
      </c>
      <c r="AF72" s="12" t="n">
        <f aca="false">SUM(FO!AF72,PO!AF72,CO!AF72,FE!AF72,PE!AF72)</f>
        <v>0</v>
      </c>
      <c r="AG72" s="12" t="n">
        <f aca="false">SUM(U72:AF72)</f>
        <v>0</v>
      </c>
      <c r="AH72" s="24" t="n">
        <f aca="false">IFERROR(AG72/AG$16,"")</f>
        <v>0</v>
      </c>
      <c r="AI72" s="9"/>
      <c r="AJ72" s="12" t="n">
        <f aca="false">N72-AG72</f>
        <v>0</v>
      </c>
      <c r="AK72" s="9"/>
    </row>
    <row r="73" customFormat="false" ht="13.5" hidden="false" customHeight="true" outlineLevel="0" collapsed="false">
      <c r="A73" s="38" t="s">
        <v>1327</v>
      </c>
      <c r="B73" s="39" t="n">
        <f aca="false">SUM(B67:B72)</f>
        <v>124725.94</v>
      </c>
      <c r="C73" s="39" t="n">
        <f aca="false">SUM(C67:C72)</f>
        <v>-9748.14000000002</v>
      </c>
      <c r="D73" s="39" t="n">
        <f aca="false">SUM(D67:D72)</f>
        <v>167498.73</v>
      </c>
      <c r="E73" s="39" t="n">
        <f aca="false">SUM(E67:E72)</f>
        <v>161743.79</v>
      </c>
      <c r="F73" s="39" t="n">
        <f aca="false">SUM(F67:F72)</f>
        <v>225765.66</v>
      </c>
      <c r="G73" s="39" t="n">
        <f aca="false">SUM(G67:G72)</f>
        <v>215999.89</v>
      </c>
      <c r="H73" s="39" t="n">
        <f aca="false">SUM(H67:H72)</f>
        <v>204943.83</v>
      </c>
      <c r="I73" s="39" t="n">
        <f aca="false">SUM(I67:I72)</f>
        <v>229053.7</v>
      </c>
      <c r="J73" s="39" t="n">
        <f aca="false">SUM(J67:J72)</f>
        <v>299638</v>
      </c>
      <c r="K73" s="39" t="n">
        <f aca="false">SUM(K67:K72)</f>
        <v>324891</v>
      </c>
      <c r="L73" s="39" t="n">
        <f aca="false">SUM(L67:L72)</f>
        <v>327531</v>
      </c>
      <c r="M73" s="39" t="n">
        <f aca="false">SUM(M67:M72)</f>
        <v>338168</v>
      </c>
      <c r="N73" s="39" t="n">
        <f aca="false">SUM(B73:M73)</f>
        <v>2610211.4</v>
      </c>
      <c r="O73" s="40" t="n">
        <f aca="false">IFERROR(N73/N$16,"")</f>
        <v>0.351593838387862</v>
      </c>
      <c r="P73" s="12"/>
      <c r="Q73" s="12"/>
      <c r="R73" s="12"/>
      <c r="S73" s="12"/>
      <c r="T73" s="12"/>
      <c r="U73" s="39" t="n">
        <f aca="false">SUM(U67:U72)</f>
        <v>221296.491617263</v>
      </c>
      <c r="V73" s="39" t="n">
        <f aca="false">SUM(V67:V72)</f>
        <v>221296.491617263</v>
      </c>
      <c r="W73" s="39" t="n">
        <f aca="false">SUM(W67:W72)</f>
        <v>221296.491617263</v>
      </c>
      <c r="X73" s="39" t="n">
        <f aca="false">SUM(X67:X72)</f>
        <v>221296.491617263</v>
      </c>
      <c r="Y73" s="39" t="n">
        <f aca="false">SUM(Y67:Y72)</f>
        <v>221296.491617263</v>
      </c>
      <c r="Z73" s="39" t="n">
        <f aca="false">SUM(Z67:Z72)</f>
        <v>221296.491617263</v>
      </c>
      <c r="AA73" s="39" t="n">
        <f aca="false">SUM(AA67:AA72)</f>
        <v>221296.491617263</v>
      </c>
      <c r="AB73" s="39" t="n">
        <f aca="false">SUM(AB67:AB72)</f>
        <v>227969.824950597</v>
      </c>
      <c r="AC73" s="39" t="n">
        <f aca="false">SUM(AC67:AC72)</f>
        <v>227969.824950597</v>
      </c>
      <c r="AD73" s="39" t="n">
        <f aca="false">SUM(AD67:AD72)</f>
        <v>234808.919699115</v>
      </c>
      <c r="AE73" s="39" t="n">
        <f aca="false">SUM(AE67:AE72)</f>
        <v>234808.919699115</v>
      </c>
      <c r="AF73" s="39" t="n">
        <f aca="false">SUM(AF67:AF72)</f>
        <v>234808.919699115</v>
      </c>
      <c r="AG73" s="39" t="n">
        <f aca="false">SUM(U73:AF73)</f>
        <v>2709441.85031938</v>
      </c>
      <c r="AH73" s="40" t="n">
        <f aca="false">IFERROR(AG73/AG$16,"")</f>
        <v>0.174087866693296</v>
      </c>
      <c r="AI73" s="9"/>
      <c r="AJ73" s="39" t="n">
        <f aca="false">N73-AG73</f>
        <v>-99230.4503193805</v>
      </c>
      <c r="AK73" s="9"/>
    </row>
    <row r="74" customFormat="false" ht="13.5" hidden="false" customHeight="true" outlineLevel="0" collapsed="false">
      <c r="A74" s="23" t="s">
        <v>1328</v>
      </c>
      <c r="B74" s="12" t="n">
        <f aca="false">SUM(FO!B74,PO!B74,CO!B74,FE!B74,PE!B74)</f>
        <v>1875.49</v>
      </c>
      <c r="C74" s="12" t="n">
        <f aca="false">SUM(FO!C74,PO!C74,CO!C74,FE!C74,PE!C74)</f>
        <v>1791.21</v>
      </c>
      <c r="D74" s="12" t="n">
        <f aca="false">SUM(FO!D74,PO!D74,CO!D74,FE!D74,PE!D74)</f>
        <v>2123.14</v>
      </c>
      <c r="E74" s="12" t="n">
        <f aca="false">SUM(FO!E74,PO!E74,CO!E74,FE!E74,PE!E74)</f>
        <v>9767.2</v>
      </c>
      <c r="F74" s="12" t="n">
        <f aca="false">SUM(FO!F74,PO!F74,CO!F74,FE!F74,PE!F74)</f>
        <v>6562.35</v>
      </c>
      <c r="G74" s="12" t="n">
        <f aca="false">SUM(FO!G74,PO!G74,CO!G74,FE!G74,PE!G74)</f>
        <v>12287.21</v>
      </c>
      <c r="H74" s="12" t="n">
        <f aca="false">SUM(FO!H74,PO!H74,CO!H74,FE!H74,PE!H74)</f>
        <v>9428.97</v>
      </c>
      <c r="I74" s="12" t="n">
        <f aca="false">SUM(FO!I74,PO!I74,CO!I74,FE!I74,PE!I74)</f>
        <v>3944</v>
      </c>
      <c r="J74" s="12" t="n">
        <f aca="false">SUM(FO!J74,PO!J74,CO!J74,FE!J74,PE!J74)</f>
        <v>7500</v>
      </c>
      <c r="K74" s="12" t="n">
        <f aca="false">SUM(FO!K74,PO!K74,CO!K74,FE!K74,PE!K74)</f>
        <v>7500</v>
      </c>
      <c r="L74" s="12" t="n">
        <f aca="false">SUM(FO!L74,PO!L74,CO!L74,FE!L74,PE!L74)</f>
        <v>7500</v>
      </c>
      <c r="M74" s="12" t="n">
        <f aca="false">SUM(FO!M74,PO!M74,CO!M74,FE!M74,PE!M74)</f>
        <v>7500</v>
      </c>
      <c r="N74" s="12" t="n">
        <f aca="false">SUM(B74:M74)</f>
        <v>77779.57</v>
      </c>
      <c r="O74" s="24" t="n">
        <f aca="false">IFERROR(N74/N$16,"")</f>
        <v>0.0104768592936409</v>
      </c>
      <c r="P74" s="12"/>
      <c r="Q74" s="12"/>
      <c r="R74" s="12"/>
      <c r="S74" s="12"/>
      <c r="T74" s="12"/>
      <c r="U74" s="12" t="n">
        <f aca="false">SUM(FO!U74,PO!U74,CO!U74,FE!U74,PE!U74)</f>
        <v>4269.59375</v>
      </c>
      <c r="V74" s="12" t="n">
        <f aca="false">SUM(FO!V74,PO!V74,CO!V74,FE!V74,PE!V74)</f>
        <v>4269.59375</v>
      </c>
      <c r="W74" s="12" t="n">
        <f aca="false">SUM(FO!W74,PO!W74,CO!W74,FE!W74,PE!W74)</f>
        <v>5269.59375</v>
      </c>
      <c r="X74" s="12" t="n">
        <f aca="false">SUM(FO!X74,PO!X74,CO!X74,FE!X74,PE!X74)</f>
        <v>5269.59375</v>
      </c>
      <c r="Y74" s="12" t="n">
        <f aca="false">SUM(FO!Y74,PO!Y74,CO!Y74,FE!Y74,PE!Y74)</f>
        <v>5769.59375</v>
      </c>
      <c r="Z74" s="12" t="n">
        <f aca="false">SUM(FO!Z74,PO!Z74,CO!Z74,FE!Z74,PE!Z74)</f>
        <v>5769.59375</v>
      </c>
      <c r="AA74" s="12" t="n">
        <f aca="false">SUM(FO!AA74,PO!AA74,CO!AA74,FE!AA74,PE!AA74)</f>
        <v>6269.59375</v>
      </c>
      <c r="AB74" s="12" t="n">
        <f aca="false">SUM(FO!AB74,PO!AB74,CO!AB74,FE!AB74,PE!AB74)</f>
        <v>6269.59375</v>
      </c>
      <c r="AC74" s="12" t="n">
        <f aca="false">SUM(FO!AC74,PO!AC74,CO!AC74,FE!AC74,PE!AC74)</f>
        <v>6769.59375</v>
      </c>
      <c r="AD74" s="12" t="n">
        <f aca="false">SUM(FO!AD74,PO!AD74,CO!AD74,FE!AD74,PE!AD74)</f>
        <v>6769.59375</v>
      </c>
      <c r="AE74" s="12" t="n">
        <f aca="false">SUM(FO!AE74,PO!AE74,CO!AE74,FE!AE74,PE!AE74)</f>
        <v>7269.59375</v>
      </c>
      <c r="AF74" s="12" t="n">
        <f aca="false">SUM(FO!AF74,PO!AF74,CO!AF74,FE!AF74,PE!AF74)</f>
        <v>7769.59375</v>
      </c>
      <c r="AG74" s="12" t="n">
        <f aca="false">SUM(U74:AF74)</f>
        <v>71735.125</v>
      </c>
      <c r="AH74" s="24" t="n">
        <f aca="false">IFERROR(AG74/AG$16,"")</f>
        <v>0.00460914666862286</v>
      </c>
      <c r="AI74" s="9"/>
      <c r="AJ74" s="12" t="n">
        <f aca="false">N74-AG74</f>
        <v>6044.44500000001</v>
      </c>
      <c r="AK74" s="9"/>
    </row>
    <row r="75" customFormat="false" ht="13.5" hidden="false" customHeight="true" outlineLevel="0" collapsed="false">
      <c r="A75" s="23" t="s">
        <v>1329</v>
      </c>
      <c r="B75" s="12" t="n">
        <f aca="false">SUM(FO!B75,PO!B75,CO!B75,FE!B75,PE!B75)</f>
        <v>399.67</v>
      </c>
      <c r="C75" s="12" t="n">
        <f aca="false">SUM(FO!C75,PO!C75,CO!C75,FE!C75,PE!C75)</f>
        <v>218.65</v>
      </c>
      <c r="D75" s="12" t="n">
        <f aca="false">SUM(FO!D75,PO!D75,CO!D75,FE!D75,PE!D75)</f>
        <v>0</v>
      </c>
      <c r="E75" s="12" t="n">
        <f aca="false">SUM(FO!E75,PO!E75,CO!E75,FE!E75,PE!E75)</f>
        <v>3145.44</v>
      </c>
      <c r="F75" s="12" t="n">
        <f aca="false">SUM(FO!F75,PO!F75,CO!F75,FE!F75,PE!F75)</f>
        <v>0</v>
      </c>
      <c r="G75" s="12" t="n">
        <f aca="false">SUM(FO!G75,PO!G75,CO!G75,FE!G75,PE!G75)</f>
        <v>327.78</v>
      </c>
      <c r="H75" s="12" t="n">
        <f aca="false">SUM(FO!H75,PO!H75,CO!H75,FE!H75,PE!H75)</f>
        <v>234.79</v>
      </c>
      <c r="I75" s="12" t="n">
        <f aca="false">SUM(FO!I75,PO!I75,CO!I75,FE!I75,PE!I75)</f>
        <v>310.75</v>
      </c>
      <c r="J75" s="12" t="n">
        <f aca="false">SUM(FO!J75,PO!J75,CO!J75,FE!J75,PE!J75)</f>
        <v>850</v>
      </c>
      <c r="K75" s="12" t="n">
        <f aca="false">SUM(FO!K75,PO!K75,CO!K75,FE!K75,PE!K75)</f>
        <v>850</v>
      </c>
      <c r="L75" s="12" t="n">
        <f aca="false">SUM(FO!L75,PO!L75,CO!L75,FE!L75,PE!L75)</f>
        <v>850</v>
      </c>
      <c r="M75" s="12" t="n">
        <f aca="false">SUM(FO!M75,PO!M75,CO!M75,FE!M75,PE!M75)</f>
        <v>850</v>
      </c>
      <c r="N75" s="12" t="n">
        <f aca="false">SUM(B75:M75)</f>
        <v>8037.08</v>
      </c>
      <c r="O75" s="24" t="n">
        <f aca="false">IFERROR(N75/N$16,"")</f>
        <v>0.00108258963493544</v>
      </c>
      <c r="P75" s="12"/>
      <c r="Q75" s="12"/>
      <c r="R75" s="12"/>
      <c r="S75" s="12"/>
      <c r="T75" s="12"/>
      <c r="U75" s="12" t="n">
        <f aca="false">SUM(FO!U75,PO!U75,CO!U75,FE!U75,PE!U75)</f>
        <v>604.6140625</v>
      </c>
      <c r="V75" s="12" t="n">
        <f aca="false">SUM(FO!V75,PO!V75,CO!V75,FE!V75,PE!V75)</f>
        <v>604.6140625</v>
      </c>
      <c r="W75" s="12" t="n">
        <f aca="false">SUM(FO!W75,PO!W75,CO!W75,FE!W75,PE!W75)</f>
        <v>604.6140625</v>
      </c>
      <c r="X75" s="12" t="n">
        <f aca="false">SUM(FO!X75,PO!X75,CO!X75,FE!X75,PE!X75)</f>
        <v>604.6140625</v>
      </c>
      <c r="Y75" s="12" t="n">
        <f aca="false">SUM(FO!Y75,PO!Y75,CO!Y75,FE!Y75,PE!Y75)</f>
        <v>604.6140625</v>
      </c>
      <c r="Z75" s="12" t="n">
        <f aca="false">SUM(FO!Z75,PO!Z75,CO!Z75,FE!Z75,PE!Z75)</f>
        <v>604.6140625</v>
      </c>
      <c r="AA75" s="12" t="n">
        <f aca="false">SUM(FO!AA75,PO!AA75,CO!AA75,FE!AA75,PE!AA75)</f>
        <v>604.6140625</v>
      </c>
      <c r="AB75" s="12" t="n">
        <f aca="false">SUM(FO!AB75,PO!AB75,CO!AB75,FE!AB75,PE!AB75)</f>
        <v>604.6140625</v>
      </c>
      <c r="AC75" s="12" t="n">
        <f aca="false">SUM(FO!AC75,PO!AC75,CO!AC75,FE!AC75,PE!AC75)</f>
        <v>604.6140625</v>
      </c>
      <c r="AD75" s="12" t="n">
        <f aca="false">SUM(FO!AD75,PO!AD75,CO!AD75,FE!AD75,PE!AD75)</f>
        <v>604.6140625</v>
      </c>
      <c r="AE75" s="12" t="n">
        <f aca="false">SUM(FO!AE75,PO!AE75,CO!AE75,FE!AE75,PE!AE75)</f>
        <v>604.6140625</v>
      </c>
      <c r="AF75" s="12" t="n">
        <f aca="false">SUM(FO!AF75,PO!AF75,CO!AF75,FE!AF75,PE!AF75)</f>
        <v>604.6140625</v>
      </c>
      <c r="AG75" s="12" t="n">
        <f aca="false">SUM(U75:AF75)</f>
        <v>7255.36875</v>
      </c>
      <c r="AH75" s="24" t="n">
        <f aca="false">IFERROR(AG75/AG$16,"")</f>
        <v>0.000466174119076156</v>
      </c>
      <c r="AI75" s="9"/>
      <c r="AJ75" s="12" t="n">
        <f aca="false">N75-AG75</f>
        <v>781.711249999999</v>
      </c>
      <c r="AK75" s="9"/>
    </row>
    <row r="76" customFormat="false" ht="13.5" hidden="false" customHeight="true" outlineLevel="0" collapsed="false">
      <c r="A76" s="23" t="s">
        <v>1330</v>
      </c>
      <c r="B76" s="12" t="n">
        <f aca="false">SUM(FO!B76,PO!B76,CO!B76,FE!B76,PE!B76)</f>
        <v>410.24</v>
      </c>
      <c r="C76" s="12" t="n">
        <f aca="false">SUM(FO!C76,PO!C76,CO!C76,FE!C76,PE!C76)</f>
        <v>0</v>
      </c>
      <c r="D76" s="12" t="n">
        <f aca="false">SUM(FO!D76,PO!D76,CO!D76,FE!D76,PE!D76)</f>
        <v>356.53</v>
      </c>
      <c r="E76" s="12" t="n">
        <f aca="false">SUM(FO!E76,PO!E76,CO!E76,FE!E76,PE!E76)</f>
        <v>683.77</v>
      </c>
      <c r="F76" s="12" t="n">
        <f aca="false">SUM(FO!F76,PO!F76,CO!F76,FE!F76,PE!F76)</f>
        <v>55.11</v>
      </c>
      <c r="G76" s="12" t="n">
        <f aca="false">SUM(FO!G76,PO!G76,CO!G76,FE!G76,PE!G76)</f>
        <v>0</v>
      </c>
      <c r="H76" s="12" t="n">
        <f aca="false">SUM(FO!H76,PO!H76,CO!H76,FE!H76,PE!H76)</f>
        <v>0</v>
      </c>
      <c r="I76" s="12" t="n">
        <f aca="false">SUM(FO!I76,PO!I76,CO!I76,FE!I76,PE!I76)</f>
        <v>119.7</v>
      </c>
      <c r="J76" s="12" t="n">
        <f aca="false">SUM(FO!J76,PO!J76,CO!J76,FE!J76,PE!J76)</f>
        <v>300</v>
      </c>
      <c r="K76" s="12" t="n">
        <f aca="false">SUM(FO!K76,PO!K76,CO!K76,FE!K76,PE!K76)</f>
        <v>300</v>
      </c>
      <c r="L76" s="12" t="n">
        <f aca="false">SUM(FO!L76,PO!L76,CO!L76,FE!L76,PE!L76)</f>
        <v>300</v>
      </c>
      <c r="M76" s="12" t="n">
        <f aca="false">SUM(FO!M76,PO!M76,CO!M76,FE!M76,PE!M76)</f>
        <v>300</v>
      </c>
      <c r="N76" s="12" t="n">
        <f aca="false">SUM(B76:M76)</f>
        <v>2825.35</v>
      </c>
      <c r="O76" s="24" t="n">
        <f aca="false">IFERROR(N76/N$16,"")</f>
        <v>0.000380572872867365</v>
      </c>
      <c r="P76" s="12"/>
      <c r="Q76" s="12"/>
      <c r="R76" s="12"/>
      <c r="S76" s="12"/>
      <c r="T76" s="12"/>
      <c r="U76" s="12" t="n">
        <f aca="false">SUM(FO!U76,PO!U76,CO!U76,FE!U76,PE!U76)</f>
        <v>100</v>
      </c>
      <c r="V76" s="12" t="n">
        <f aca="false">SUM(FO!V76,PO!V76,CO!V76,FE!V76,PE!V76)</f>
        <v>100</v>
      </c>
      <c r="W76" s="12" t="n">
        <f aca="false">SUM(FO!W76,PO!W76,CO!W76,FE!W76,PE!W76)</f>
        <v>300</v>
      </c>
      <c r="X76" s="12" t="n">
        <f aca="false">SUM(FO!X76,PO!X76,CO!X76,FE!X76,PE!X76)</f>
        <v>300</v>
      </c>
      <c r="Y76" s="12" t="n">
        <f aca="false">SUM(FO!Y76,PO!Y76,CO!Y76,FE!Y76,PE!Y76)</f>
        <v>400</v>
      </c>
      <c r="Z76" s="12" t="n">
        <f aca="false">SUM(FO!Z76,PO!Z76,CO!Z76,FE!Z76,PE!Z76)</f>
        <v>400</v>
      </c>
      <c r="AA76" s="12" t="n">
        <f aca="false">SUM(FO!AA76,PO!AA76,CO!AA76,FE!AA76,PE!AA76)</f>
        <v>500</v>
      </c>
      <c r="AB76" s="12" t="n">
        <f aca="false">SUM(FO!AB76,PO!AB76,CO!AB76,FE!AB76,PE!AB76)</f>
        <v>500</v>
      </c>
      <c r="AC76" s="12" t="n">
        <f aca="false">SUM(FO!AC76,PO!AC76,CO!AC76,FE!AC76,PE!AC76)</f>
        <v>600</v>
      </c>
      <c r="AD76" s="12" t="n">
        <f aca="false">SUM(FO!AD76,PO!AD76,CO!AD76,FE!AD76,PE!AD76)</f>
        <v>600</v>
      </c>
      <c r="AE76" s="12" t="n">
        <f aca="false">SUM(FO!AE76,PO!AE76,CO!AE76,FE!AE76,PE!AE76)</f>
        <v>700</v>
      </c>
      <c r="AF76" s="12" t="n">
        <f aca="false">SUM(FO!AF76,PO!AF76,CO!AF76,FE!AF76,PE!AF76)</f>
        <v>800</v>
      </c>
      <c r="AG76" s="12" t="n">
        <f aca="false">SUM(U76:AF76)</f>
        <v>5300</v>
      </c>
      <c r="AH76" s="24" t="n">
        <f aca="false">IFERROR(AG76/AG$16,"")</f>
        <v>0.000340537182359425</v>
      </c>
      <c r="AI76" s="9"/>
      <c r="AJ76" s="12" t="n">
        <f aca="false">N76-AG76</f>
        <v>-2474.65</v>
      </c>
      <c r="AK76" s="9"/>
    </row>
    <row r="77" customFormat="false" ht="13.5" hidden="false" customHeight="true" outlineLevel="0" collapsed="false">
      <c r="A77" s="23" t="s">
        <v>1331</v>
      </c>
      <c r="B77" s="12" t="n">
        <f aca="false">SUM(FO!B77,PO!B77,CO!B77,FE!B77,PE!B77)</f>
        <v>0</v>
      </c>
      <c r="C77" s="12" t="n">
        <f aca="false">SUM(FO!C77,PO!C77,CO!C77,FE!C77,PE!C77)</f>
        <v>0</v>
      </c>
      <c r="D77" s="12" t="n">
        <f aca="false">SUM(FO!D77,PO!D77,CO!D77,FE!D77,PE!D77)</f>
        <v>0</v>
      </c>
      <c r="E77" s="12" t="n">
        <f aca="false">SUM(FO!E77,PO!E77,CO!E77,FE!E77,PE!E77)</f>
        <v>0</v>
      </c>
      <c r="F77" s="12" t="n">
        <f aca="false">SUM(FO!F77,PO!F77,CO!F77,FE!F77,PE!F77)</f>
        <v>0</v>
      </c>
      <c r="G77" s="12" t="n">
        <f aca="false">SUM(FO!G77,PO!G77,CO!G77,FE!G77,PE!G77)</f>
        <v>0</v>
      </c>
      <c r="H77" s="12" t="n">
        <f aca="false">SUM(FO!H77,PO!H77,CO!H77,FE!H77,PE!H77)</f>
        <v>0</v>
      </c>
      <c r="I77" s="12" t="n">
        <f aca="false">SUM(FO!I77,PO!I77,CO!I77,FE!I77,PE!I77)</f>
        <v>0</v>
      </c>
      <c r="J77" s="12" t="n">
        <f aca="false">SUM(FO!J77,PO!J77,CO!J77,FE!J77,PE!J77)</f>
        <v>0</v>
      </c>
      <c r="K77" s="12" t="n">
        <f aca="false">SUM(FO!K77,PO!K77,CO!K77,FE!K77,PE!K77)</f>
        <v>0</v>
      </c>
      <c r="L77" s="12" t="n">
        <f aca="false">SUM(FO!L77,PO!L77,CO!L77,FE!L77,PE!L77)</f>
        <v>0</v>
      </c>
      <c r="M77" s="12" t="n">
        <f aca="false">SUM(FO!M77,PO!M77,CO!M77,FE!M77,PE!M77)</f>
        <v>0</v>
      </c>
      <c r="N77" s="12" t="n">
        <f aca="false">SUM(B77:M77)</f>
        <v>0</v>
      </c>
      <c r="O77" s="24" t="n">
        <f aca="false">IFERROR(N77/N$16,"")</f>
        <v>0</v>
      </c>
      <c r="P77" s="12"/>
      <c r="Q77" s="12"/>
      <c r="R77" s="12"/>
      <c r="S77" s="12"/>
      <c r="T77" s="12"/>
      <c r="U77" s="12" t="n">
        <f aca="false">SUM(FO!U77,PO!U77,CO!U77,FE!U77,PE!U77)</f>
        <v>0</v>
      </c>
      <c r="V77" s="12" t="n">
        <f aca="false">SUM(FO!V77,PO!V77,CO!V77,FE!V77,PE!V77)</f>
        <v>0</v>
      </c>
      <c r="W77" s="12" t="n">
        <f aca="false">SUM(FO!W77,PO!W77,CO!W77,FE!W77,PE!W77)</f>
        <v>0</v>
      </c>
      <c r="X77" s="12" t="n">
        <f aca="false">SUM(FO!X77,PO!X77,CO!X77,FE!X77,PE!X77)</f>
        <v>0</v>
      </c>
      <c r="Y77" s="12" t="n">
        <f aca="false">SUM(FO!Y77,PO!Y77,CO!Y77,FE!Y77,PE!Y77)</f>
        <v>0</v>
      </c>
      <c r="Z77" s="12" t="n">
        <f aca="false">SUM(FO!Z77,PO!Z77,CO!Z77,FE!Z77,PE!Z77)</f>
        <v>0</v>
      </c>
      <c r="AA77" s="12" t="n">
        <f aca="false">SUM(FO!AA77,PO!AA77,CO!AA77,FE!AA77,PE!AA77)</f>
        <v>0</v>
      </c>
      <c r="AB77" s="12" t="n">
        <f aca="false">SUM(FO!AB77,PO!AB77,CO!AB77,FE!AB77,PE!AB77)</f>
        <v>0</v>
      </c>
      <c r="AC77" s="12" t="n">
        <f aca="false">SUM(FO!AC77,PO!AC77,CO!AC77,FE!AC77,PE!AC77)</f>
        <v>0</v>
      </c>
      <c r="AD77" s="12" t="n">
        <f aca="false">SUM(FO!AD77,PO!AD77,CO!AD77,FE!AD77,PE!AD77)</f>
        <v>0</v>
      </c>
      <c r="AE77" s="12" t="n">
        <f aca="false">SUM(FO!AE77,PO!AE77,CO!AE77,FE!AE77,PE!AE77)</f>
        <v>0</v>
      </c>
      <c r="AF77" s="12" t="n">
        <f aca="false">SUM(FO!AF77,PO!AF77,CO!AF77,FE!AF77,PE!AF77)</f>
        <v>0</v>
      </c>
      <c r="AG77" s="12" t="n">
        <f aca="false">SUM(U77:AF77)</f>
        <v>0</v>
      </c>
      <c r="AH77" s="24" t="n">
        <f aca="false">IFERROR(AG77/AG$16,"")</f>
        <v>0</v>
      </c>
      <c r="AI77" s="9"/>
      <c r="AJ77" s="12" t="n">
        <f aca="false">N77-AG77</f>
        <v>0</v>
      </c>
      <c r="AK77" s="9"/>
    </row>
    <row r="78" customFormat="false" ht="13.5" hidden="false" customHeight="true" outlineLevel="0" collapsed="false">
      <c r="A78" s="23" t="s">
        <v>1332</v>
      </c>
      <c r="B78" s="12" t="n">
        <f aca="false">SUM(FO!B78,PO!B78,CO!B78,FE!B78,PE!B78)</f>
        <v>0</v>
      </c>
      <c r="C78" s="12" t="n">
        <f aca="false">SUM(FO!C78,PO!C78,CO!C78,FE!C78,PE!C78)</f>
        <v>0</v>
      </c>
      <c r="D78" s="12" t="n">
        <f aca="false">SUM(FO!D78,PO!D78,CO!D78,FE!D78,PE!D78)</f>
        <v>0</v>
      </c>
      <c r="E78" s="12" t="n">
        <f aca="false">SUM(FO!E78,PO!E78,CO!E78,FE!E78,PE!E78)</f>
        <v>0</v>
      </c>
      <c r="F78" s="12" t="n">
        <f aca="false">SUM(FO!F78,PO!F78,CO!F78,FE!F78,PE!F78)</f>
        <v>0</v>
      </c>
      <c r="G78" s="12" t="n">
        <f aca="false">SUM(FO!G78,PO!G78,CO!G78,FE!G78,PE!G78)</f>
        <v>0</v>
      </c>
      <c r="H78" s="12" t="n">
        <f aca="false">SUM(FO!H78,PO!H78,CO!H78,FE!H78,PE!H78)</f>
        <v>0</v>
      </c>
      <c r="I78" s="12" t="n">
        <f aca="false">SUM(FO!I78,PO!I78,CO!I78,FE!I78,PE!I78)</f>
        <v>0</v>
      </c>
      <c r="J78" s="12" t="n">
        <f aca="false">SUM(FO!J78,PO!J78,CO!J78,FE!J78,PE!J78)</f>
        <v>300</v>
      </c>
      <c r="K78" s="12" t="n">
        <f aca="false">SUM(FO!K78,PO!K78,CO!K78,FE!K78,PE!K78)</f>
        <v>300</v>
      </c>
      <c r="L78" s="12" t="n">
        <f aca="false">SUM(FO!L78,PO!L78,CO!L78,FE!L78,PE!L78)</f>
        <v>300</v>
      </c>
      <c r="M78" s="12" t="n">
        <f aca="false">SUM(FO!M78,PO!M78,CO!M78,FE!M78,PE!M78)</f>
        <v>300</v>
      </c>
      <c r="N78" s="12" t="n">
        <f aca="false">SUM(B78:M78)</f>
        <v>1200</v>
      </c>
      <c r="O78" s="24" t="n">
        <f aca="false">IFERROR(N78/N$16,"")</f>
        <v>0.000161639247328946</v>
      </c>
      <c r="P78" s="12"/>
      <c r="Q78" s="12"/>
      <c r="R78" s="12"/>
      <c r="S78" s="12"/>
      <c r="T78" s="12"/>
      <c r="U78" s="12" t="n">
        <f aca="false">SUM(FO!U78,PO!U78,CO!U78,FE!U78,PE!U78)</f>
        <v>0</v>
      </c>
      <c r="V78" s="12" t="n">
        <f aca="false">SUM(FO!V78,PO!V78,CO!V78,FE!V78,PE!V78)</f>
        <v>0</v>
      </c>
      <c r="W78" s="12" t="n">
        <f aca="false">SUM(FO!W78,PO!W78,CO!W78,FE!W78,PE!W78)</f>
        <v>0</v>
      </c>
      <c r="X78" s="12" t="n">
        <f aca="false">SUM(FO!X78,PO!X78,CO!X78,FE!X78,PE!X78)</f>
        <v>0</v>
      </c>
      <c r="Y78" s="12" t="n">
        <f aca="false">SUM(FO!Y78,PO!Y78,CO!Y78,FE!Y78,PE!Y78)</f>
        <v>0</v>
      </c>
      <c r="Z78" s="12" t="n">
        <f aca="false">SUM(FO!Z78,PO!Z78,CO!Z78,FE!Z78,PE!Z78)</f>
        <v>0</v>
      </c>
      <c r="AA78" s="12" t="n">
        <f aca="false">SUM(FO!AA78,PO!AA78,CO!AA78,FE!AA78,PE!AA78)</f>
        <v>0</v>
      </c>
      <c r="AB78" s="12" t="n">
        <f aca="false">SUM(FO!AB78,PO!AB78,CO!AB78,FE!AB78,PE!AB78)</f>
        <v>0</v>
      </c>
      <c r="AC78" s="12" t="n">
        <f aca="false">SUM(FO!AC78,PO!AC78,CO!AC78,FE!AC78,PE!AC78)</f>
        <v>0</v>
      </c>
      <c r="AD78" s="12" t="n">
        <f aca="false">SUM(FO!AD78,PO!AD78,CO!AD78,FE!AD78,PE!AD78)</f>
        <v>0</v>
      </c>
      <c r="AE78" s="12" t="n">
        <f aca="false">SUM(FO!AE78,PO!AE78,CO!AE78,FE!AE78,PE!AE78)</f>
        <v>0</v>
      </c>
      <c r="AF78" s="12" t="n">
        <f aca="false">SUM(FO!AF78,PO!AF78,CO!AF78,FE!AF78,PE!AF78)</f>
        <v>0</v>
      </c>
      <c r="AG78" s="12" t="n">
        <f aca="false">SUM(U78:AF78)</f>
        <v>0</v>
      </c>
      <c r="AH78" s="24" t="n">
        <f aca="false">IFERROR(AG78/AG$16,"")</f>
        <v>0</v>
      </c>
      <c r="AI78" s="9"/>
      <c r="AJ78" s="12" t="n">
        <f aca="false">N78-AG78</f>
        <v>1200</v>
      </c>
      <c r="AK78" s="9"/>
    </row>
    <row r="79" customFormat="false" ht="13.5" hidden="false" customHeight="true" outlineLevel="0" collapsed="false">
      <c r="A79" s="23" t="s">
        <v>1333</v>
      </c>
      <c r="B79" s="12" t="n">
        <f aca="false">SUM(FO!B79,PO!B79,CO!B79,FE!B79,PE!B79)</f>
        <v>0</v>
      </c>
      <c r="C79" s="12" t="n">
        <f aca="false">SUM(FO!C79,PO!C79,CO!C79,FE!C79,PE!C79)</f>
        <v>0</v>
      </c>
      <c r="D79" s="12" t="n">
        <f aca="false">SUM(FO!D79,PO!D79,CO!D79,FE!D79,PE!D79)</f>
        <v>871.4</v>
      </c>
      <c r="E79" s="12" t="n">
        <f aca="false">SUM(FO!E79,PO!E79,CO!E79,FE!E79,PE!E79)</f>
        <v>2711.33</v>
      </c>
      <c r="F79" s="12" t="n">
        <f aca="false">SUM(FO!F79,PO!F79,CO!F79,FE!F79,PE!F79)</f>
        <v>0</v>
      </c>
      <c r="G79" s="12" t="n">
        <f aca="false">SUM(FO!G79,PO!G79,CO!G79,FE!G79,PE!G79)</f>
        <v>2900</v>
      </c>
      <c r="H79" s="12" t="n">
        <f aca="false">SUM(FO!H79,PO!H79,CO!H79,FE!H79,PE!H79)</f>
        <v>0</v>
      </c>
      <c r="I79" s="12" t="n">
        <f aca="false">SUM(FO!I79,PO!I79,CO!I79,FE!I79,PE!I79)</f>
        <v>0</v>
      </c>
      <c r="J79" s="12" t="n">
        <f aca="false">SUM(FO!J79,PO!J79,CO!J79,FE!J79,PE!J79)</f>
        <v>1000</v>
      </c>
      <c r="K79" s="12" t="n">
        <f aca="false">SUM(FO!K79,PO!K79,CO!K79,FE!K79,PE!K79)</f>
        <v>1000</v>
      </c>
      <c r="L79" s="12" t="n">
        <f aca="false">SUM(FO!L79,PO!L79,CO!L79,FE!L79,PE!L79)</f>
        <v>3000</v>
      </c>
      <c r="M79" s="12" t="n">
        <f aca="false">SUM(FO!M79,PO!M79,CO!M79,FE!M79,PE!M79)</f>
        <v>1000</v>
      </c>
      <c r="N79" s="12" t="n">
        <f aca="false">SUM(B79:M79)</f>
        <v>12482.73</v>
      </c>
      <c r="O79" s="24" t="n">
        <f aca="false">IFERROR(N79/N$16,"")</f>
        <v>0.00168141590150871</v>
      </c>
      <c r="P79" s="12"/>
      <c r="Q79" s="12"/>
      <c r="R79" s="12"/>
      <c r="S79" s="12"/>
      <c r="T79" s="12"/>
      <c r="U79" s="12" t="n">
        <f aca="false">SUM(FO!U79,PO!U79,CO!U79,FE!U79,PE!U79)</f>
        <v>0</v>
      </c>
      <c r="V79" s="12" t="n">
        <f aca="false">SUM(FO!V79,PO!V79,CO!V79,FE!V79,PE!V79)</f>
        <v>0</v>
      </c>
      <c r="W79" s="12" t="n">
        <f aca="false">SUM(FO!W79,PO!W79,CO!W79,FE!W79,PE!W79)</f>
        <v>0</v>
      </c>
      <c r="X79" s="12" t="n">
        <f aca="false">SUM(FO!X79,PO!X79,CO!X79,FE!X79,PE!X79)</f>
        <v>0</v>
      </c>
      <c r="Y79" s="12" t="n">
        <f aca="false">SUM(FO!Y79,PO!Y79,CO!Y79,FE!Y79,PE!Y79)</f>
        <v>0</v>
      </c>
      <c r="Z79" s="12" t="n">
        <f aca="false">SUM(FO!Z79,PO!Z79,CO!Z79,FE!Z79,PE!Z79)</f>
        <v>0</v>
      </c>
      <c r="AA79" s="12" t="n">
        <f aca="false">SUM(FO!AA79,PO!AA79,CO!AA79,FE!AA79,PE!AA79)</f>
        <v>0</v>
      </c>
      <c r="AB79" s="12" t="n">
        <f aca="false">SUM(FO!AB79,PO!AB79,CO!AB79,FE!AB79,PE!AB79)</f>
        <v>0</v>
      </c>
      <c r="AC79" s="12" t="n">
        <f aca="false">SUM(FO!AC79,PO!AC79,CO!AC79,FE!AC79,PE!AC79)</f>
        <v>0</v>
      </c>
      <c r="AD79" s="12" t="n">
        <f aca="false">SUM(FO!AD79,PO!AD79,CO!AD79,FE!AD79,PE!AD79)</f>
        <v>0</v>
      </c>
      <c r="AE79" s="12" t="n">
        <f aca="false">SUM(FO!AE79,PO!AE79,CO!AE79,FE!AE79,PE!AE79)</f>
        <v>0</v>
      </c>
      <c r="AF79" s="12" t="n">
        <f aca="false">SUM(FO!AF79,PO!AF79,CO!AF79,FE!AF79,PE!AF79)</f>
        <v>0</v>
      </c>
      <c r="AG79" s="12" t="n">
        <f aca="false">SUM(U79:AF79)</f>
        <v>0</v>
      </c>
      <c r="AH79" s="24" t="n">
        <f aca="false">IFERROR(AG79/AG$16,"")</f>
        <v>0</v>
      </c>
      <c r="AI79" s="9"/>
      <c r="AJ79" s="12" t="n">
        <f aca="false">N79-AG79</f>
        <v>12482.73</v>
      </c>
      <c r="AK79" s="9"/>
    </row>
    <row r="80" customFormat="false" ht="13.5" hidden="false" customHeight="true" outlineLevel="0" collapsed="false">
      <c r="A80" s="23" t="s">
        <v>1334</v>
      </c>
      <c r="B80" s="12" t="n">
        <f aca="false">SUM(FO!B80,PO!B80,CO!B80,FE!B80,PE!B80)</f>
        <v>70.88</v>
      </c>
      <c r="C80" s="12" t="n">
        <f aca="false">SUM(FO!C80,PO!C80,CO!C80,FE!C80,PE!C80)</f>
        <v>205.88</v>
      </c>
      <c r="D80" s="12" t="n">
        <f aca="false">SUM(FO!D80,PO!D80,CO!D80,FE!D80,PE!D80)</f>
        <v>355.89</v>
      </c>
      <c r="E80" s="12" t="n">
        <f aca="false">SUM(FO!E80,PO!E80,CO!E80,FE!E80,PE!E80)</f>
        <v>255.89</v>
      </c>
      <c r="F80" s="12" t="n">
        <f aca="false">SUM(FO!F80,PO!F80,CO!F80,FE!F80,PE!F80)</f>
        <v>34.99</v>
      </c>
      <c r="G80" s="12" t="n">
        <f aca="false">SUM(FO!G80,PO!G80,CO!G80,FE!G80,PE!G80)</f>
        <v>0</v>
      </c>
      <c r="H80" s="12" t="n">
        <f aca="false">SUM(FO!H80,PO!H80,CO!H80,FE!H80,PE!H80)</f>
        <v>0</v>
      </c>
      <c r="I80" s="12" t="n">
        <f aca="false">SUM(FO!I80,PO!I80,CO!I80,FE!I80,PE!I80)</f>
        <v>0</v>
      </c>
      <c r="J80" s="12" t="n">
        <f aca="false">SUM(FO!J80,PO!J80,CO!J80,FE!J80,PE!J80)</f>
        <v>210</v>
      </c>
      <c r="K80" s="12" t="n">
        <f aca="false">SUM(FO!K80,PO!K80,CO!K80,FE!K80,PE!K80)</f>
        <v>210</v>
      </c>
      <c r="L80" s="12" t="n">
        <f aca="false">SUM(FO!L80,PO!L80,CO!L80,FE!L80,PE!L80)</f>
        <v>210</v>
      </c>
      <c r="M80" s="12" t="n">
        <f aca="false">SUM(FO!M80,PO!M80,CO!M80,FE!M80,PE!M80)</f>
        <v>210</v>
      </c>
      <c r="N80" s="12" t="n">
        <f aca="false">SUM(B80:M80)</f>
        <v>1763.53</v>
      </c>
      <c r="O80" s="24" t="n">
        <f aca="false">IFERROR(N80/N$16,"")</f>
        <v>0.000237546384868347</v>
      </c>
      <c r="P80" s="12"/>
      <c r="Q80" s="12"/>
      <c r="R80" s="12"/>
      <c r="S80" s="12"/>
      <c r="T80" s="12"/>
      <c r="U80" s="12" t="n">
        <f aca="false">SUM(FO!U80,PO!U80,CO!U80,FE!U80,PE!U80)</f>
        <v>150</v>
      </c>
      <c r="V80" s="12" t="n">
        <f aca="false">SUM(FO!V80,PO!V80,CO!V80,FE!V80,PE!V80)</f>
        <v>150</v>
      </c>
      <c r="W80" s="12" t="n">
        <f aca="false">SUM(FO!W80,PO!W80,CO!W80,FE!W80,PE!W80)</f>
        <v>150</v>
      </c>
      <c r="X80" s="12" t="n">
        <f aca="false">SUM(FO!X80,PO!X80,CO!X80,FE!X80,PE!X80)</f>
        <v>150</v>
      </c>
      <c r="Y80" s="12" t="n">
        <f aca="false">SUM(FO!Y80,PO!Y80,CO!Y80,FE!Y80,PE!Y80)</f>
        <v>150</v>
      </c>
      <c r="Z80" s="12" t="n">
        <f aca="false">SUM(FO!Z80,PO!Z80,CO!Z80,FE!Z80,PE!Z80)</f>
        <v>150</v>
      </c>
      <c r="AA80" s="12" t="n">
        <f aca="false">SUM(FO!AA80,PO!AA80,CO!AA80,FE!AA80,PE!AA80)</f>
        <v>150</v>
      </c>
      <c r="AB80" s="12" t="n">
        <f aca="false">SUM(FO!AB80,PO!AB80,CO!AB80,FE!AB80,PE!AB80)</f>
        <v>150</v>
      </c>
      <c r="AC80" s="12" t="n">
        <f aca="false">SUM(FO!AC80,PO!AC80,CO!AC80,FE!AC80,PE!AC80)</f>
        <v>150</v>
      </c>
      <c r="AD80" s="12" t="n">
        <f aca="false">SUM(FO!AD80,PO!AD80,CO!AD80,FE!AD80,PE!AD80)</f>
        <v>150</v>
      </c>
      <c r="AE80" s="12" t="n">
        <f aca="false">SUM(FO!AE80,PO!AE80,CO!AE80,FE!AE80,PE!AE80)</f>
        <v>150</v>
      </c>
      <c r="AF80" s="12" t="n">
        <f aca="false">SUM(FO!AF80,PO!AF80,CO!AF80,FE!AF80,PE!AF80)</f>
        <v>150</v>
      </c>
      <c r="AG80" s="12" t="n">
        <f aca="false">SUM(U80:AF80)</f>
        <v>1800</v>
      </c>
      <c r="AH80" s="24" t="n">
        <f aca="false">IFERROR(AG80/AG$16,"")</f>
        <v>0.000115654137405088</v>
      </c>
      <c r="AI80" s="9"/>
      <c r="AJ80" s="12" t="n">
        <f aca="false">N80-AG80</f>
        <v>-36.47</v>
      </c>
      <c r="AK80" s="9"/>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12"/>
      <c r="S81" s="12"/>
      <c r="T81" s="12"/>
      <c r="U81" s="12"/>
      <c r="V81" s="12"/>
      <c r="W81" s="12"/>
      <c r="X81" s="12"/>
      <c r="Y81" s="12"/>
      <c r="Z81" s="12"/>
      <c r="AA81" s="12"/>
      <c r="AB81" s="12"/>
      <c r="AC81" s="12"/>
      <c r="AD81" s="12"/>
      <c r="AE81" s="12"/>
      <c r="AF81" s="12"/>
      <c r="AG81" s="12"/>
      <c r="AH81" s="24"/>
      <c r="AI81" s="9"/>
      <c r="AJ81" s="12"/>
      <c r="AK81" s="9"/>
    </row>
    <row r="82" customFormat="false" ht="13.5" hidden="false" customHeight="true" outlineLevel="0" collapsed="false">
      <c r="A82" s="23" t="s">
        <v>1336</v>
      </c>
      <c r="B82" s="12" t="n">
        <f aca="false">SUM(FO!B82,PO!B82,CO!B82,FE!B82,PE!B82)</f>
        <v>0</v>
      </c>
      <c r="C82" s="12" t="n">
        <f aca="false">SUM(FO!C82,PO!C82,CO!C82,FE!C82,PE!C82)</f>
        <v>0</v>
      </c>
      <c r="D82" s="12" t="n">
        <f aca="false">SUM(FO!D82,PO!D82,CO!D82,FE!D82,PE!D82)</f>
        <v>0</v>
      </c>
      <c r="E82" s="12" t="n">
        <f aca="false">SUM(FO!E82,PO!E82,CO!E82,FE!E82,PE!E82)</f>
        <v>0</v>
      </c>
      <c r="F82" s="12" t="n">
        <f aca="false">SUM(FO!F82,PO!F82,CO!F82,FE!F82,PE!F82)</f>
        <v>0</v>
      </c>
      <c r="G82" s="12" t="n">
        <f aca="false">SUM(FO!G82,PO!G82,CO!G82,FE!G82,PE!G82)</f>
        <v>0</v>
      </c>
      <c r="H82" s="12" t="n">
        <f aca="false">SUM(FO!H82,PO!H82,CO!H82,FE!H82,PE!H82)</f>
        <v>0</v>
      </c>
      <c r="I82" s="12" t="n">
        <f aca="false">SUM(FO!I82,PO!I82,CO!I82,FE!I82,PE!I82)</f>
        <v>0</v>
      </c>
      <c r="J82" s="12" t="n">
        <f aca="false">SUM(FO!J82,PO!J82,CO!J82,FE!J82,PE!J82)</f>
        <v>0</v>
      </c>
      <c r="K82" s="12" t="n">
        <f aca="false">SUM(FO!K82,PO!K82,CO!K82,FE!K82,PE!K82)</f>
        <v>0</v>
      </c>
      <c r="L82" s="12" t="n">
        <f aca="false">SUM(FO!L82,PO!L82,CO!L82,FE!L82,PE!L82)</f>
        <v>0</v>
      </c>
      <c r="M82" s="12" t="n">
        <f aca="false">SUM(FO!M82,PO!M82,CO!M82,FE!M82,PE!M82)</f>
        <v>0</v>
      </c>
      <c r="N82" s="12" t="n">
        <f aca="false">SUM(B82:M82)</f>
        <v>0</v>
      </c>
      <c r="O82" s="24" t="n">
        <f aca="false">IFERROR(N82/N$16,"")</f>
        <v>0</v>
      </c>
      <c r="P82" s="12"/>
      <c r="Q82" s="12"/>
      <c r="R82" s="12"/>
      <c r="S82" s="12"/>
      <c r="T82" s="12"/>
      <c r="U82" s="12" t="n">
        <f aca="false">SUM(FO!U82,PO!U82,CO!U82,FE!U82,PE!U82)</f>
        <v>0</v>
      </c>
      <c r="V82" s="12" t="n">
        <f aca="false">SUM(FO!V82,PO!V82,CO!V82,FE!V82,PE!V82)</f>
        <v>0</v>
      </c>
      <c r="W82" s="12" t="n">
        <f aca="false">SUM(FO!W82,PO!W82,CO!W82,FE!W82,PE!W82)</f>
        <v>0</v>
      </c>
      <c r="X82" s="12" t="n">
        <f aca="false">SUM(FO!X82,PO!X82,CO!X82,FE!X82,PE!X82)</f>
        <v>0</v>
      </c>
      <c r="Y82" s="12" t="n">
        <f aca="false">SUM(FO!Y82,PO!Y82,CO!Y82,FE!Y82,PE!Y82)</f>
        <v>0</v>
      </c>
      <c r="Z82" s="12" t="n">
        <f aca="false">SUM(FO!Z82,PO!Z82,CO!Z82,FE!Z82,PE!Z82)</f>
        <v>0</v>
      </c>
      <c r="AA82" s="12" t="n">
        <f aca="false">SUM(FO!AA82,PO!AA82,CO!AA82,FE!AA82,PE!AA82)</f>
        <v>0</v>
      </c>
      <c r="AB82" s="12" t="n">
        <f aca="false">SUM(FO!AB82,PO!AB82,CO!AB82,FE!AB82,PE!AB82)</f>
        <v>0</v>
      </c>
      <c r="AC82" s="12" t="n">
        <f aca="false">SUM(FO!AC82,PO!AC82,CO!AC82,FE!AC82,PE!AC82)</f>
        <v>0</v>
      </c>
      <c r="AD82" s="12" t="n">
        <f aca="false">SUM(FO!AD82,PO!AD82,CO!AD82,FE!AD82,PE!AD82)</f>
        <v>0</v>
      </c>
      <c r="AE82" s="12" t="n">
        <f aca="false">SUM(FO!AE82,PO!AE82,CO!AE82,FE!AE82,PE!AE82)</f>
        <v>0</v>
      </c>
      <c r="AF82" s="12" t="n">
        <f aca="false">SUM(FO!AF82,PO!AF82,CO!AF82,FE!AF82,PE!AF82)</f>
        <v>0</v>
      </c>
      <c r="AG82" s="12" t="n">
        <f aca="false">SUM(U82:AF82)</f>
        <v>0</v>
      </c>
      <c r="AH82" s="24" t="n">
        <f aca="false">IFERROR(AG82/AG$16,"")</f>
        <v>0</v>
      </c>
      <c r="AI82" s="9"/>
      <c r="AJ82" s="12" t="n">
        <f aca="false">N82-AG82</f>
        <v>0</v>
      </c>
      <c r="AK82" s="9"/>
    </row>
    <row r="83" customFormat="false" ht="13.5" hidden="false" customHeight="true" outlineLevel="0" collapsed="false">
      <c r="A83" s="23" t="s">
        <v>1337</v>
      </c>
      <c r="B83" s="12" t="n">
        <f aca="false">SUM(FO!B83,PO!B83,CO!B83,FE!B83,PE!B83)</f>
        <v>1716.81</v>
      </c>
      <c r="C83" s="12" t="n">
        <f aca="false">SUM(FO!C83,PO!C83,CO!C83,FE!C83,PE!C83)</f>
        <v>1639.89</v>
      </c>
      <c r="D83" s="12" t="n">
        <f aca="false">SUM(FO!D83,PO!D83,CO!D83,FE!D83,PE!D83)</f>
        <v>654.95</v>
      </c>
      <c r="E83" s="12" t="n">
        <f aca="false">SUM(FO!E83,PO!E83,CO!E83,FE!E83,PE!E83)</f>
        <v>0</v>
      </c>
      <c r="F83" s="12" t="n">
        <f aca="false">SUM(FO!F83,PO!F83,CO!F83,FE!F83,PE!F83)</f>
        <v>596.5</v>
      </c>
      <c r="G83" s="12" t="n">
        <f aca="false">SUM(FO!G83,PO!G83,CO!G83,FE!G83,PE!G83)</f>
        <v>1755.52</v>
      </c>
      <c r="H83" s="12" t="n">
        <f aca="false">SUM(FO!H83,PO!H83,CO!H83,FE!H83,PE!H83)</f>
        <v>728.5</v>
      </c>
      <c r="I83" s="12" t="n">
        <f aca="false">SUM(FO!I83,PO!I83,CO!I83,FE!I83,PE!I83)</f>
        <v>0</v>
      </c>
      <c r="J83" s="12" t="n">
        <f aca="false">SUM(FO!J83,PO!J83,CO!J83,FE!J83,PE!J83)</f>
        <v>1500</v>
      </c>
      <c r="K83" s="12" t="n">
        <f aca="false">SUM(FO!K83,PO!K83,CO!K83,FE!K83,PE!K83)</f>
        <v>1500</v>
      </c>
      <c r="L83" s="12" t="n">
        <f aca="false">SUM(FO!L83,PO!L83,CO!L83,FE!L83,PE!L83)</f>
        <v>3000</v>
      </c>
      <c r="M83" s="12" t="n">
        <f aca="false">SUM(FO!M83,PO!M83,CO!M83,FE!M83,PE!M83)</f>
        <v>1500</v>
      </c>
      <c r="N83" s="12" t="n">
        <f aca="false">SUM(B83:M83)</f>
        <v>14592.17</v>
      </c>
      <c r="O83" s="24" t="n">
        <f aca="false">IFERROR(N83/N$16,"")</f>
        <v>0.00196555614641336</v>
      </c>
      <c r="P83" s="12"/>
      <c r="Q83" s="12"/>
      <c r="R83" s="12"/>
      <c r="S83" s="12"/>
      <c r="T83" s="12"/>
      <c r="U83" s="12" t="n">
        <f aca="false">SUM(FO!U83,PO!U83,CO!U83,FE!U83,PE!U83)</f>
        <v>0</v>
      </c>
      <c r="V83" s="12" t="n">
        <f aca="false">SUM(FO!V83,PO!V83,CO!V83,FE!V83,PE!V83)</f>
        <v>0</v>
      </c>
      <c r="W83" s="12" t="n">
        <f aca="false">SUM(FO!W83,PO!W83,CO!W83,FE!W83,PE!W83)</f>
        <v>0</v>
      </c>
      <c r="X83" s="12" t="n">
        <f aca="false">SUM(FO!X83,PO!X83,CO!X83,FE!X83,PE!X83)</f>
        <v>0</v>
      </c>
      <c r="Y83" s="12" t="n">
        <f aca="false">SUM(FO!Y83,PO!Y83,CO!Y83,FE!Y83,PE!Y83)</f>
        <v>0</v>
      </c>
      <c r="Z83" s="12" t="n">
        <f aca="false">SUM(FO!Z83,PO!Z83,CO!Z83,FE!Z83,PE!Z83)</f>
        <v>0</v>
      </c>
      <c r="AA83" s="12" t="n">
        <f aca="false">SUM(FO!AA83,PO!AA83,CO!AA83,FE!AA83,PE!AA83)</f>
        <v>0</v>
      </c>
      <c r="AB83" s="12" t="n">
        <f aca="false">SUM(FO!AB83,PO!AB83,CO!AB83,FE!AB83,PE!AB83)</f>
        <v>0</v>
      </c>
      <c r="AC83" s="12" t="n">
        <f aca="false">SUM(FO!AC83,PO!AC83,CO!AC83,FE!AC83,PE!AC83)</f>
        <v>0</v>
      </c>
      <c r="AD83" s="12" t="n">
        <f aca="false">SUM(FO!AD83,PO!AD83,CO!AD83,FE!AD83,PE!AD83)</f>
        <v>0</v>
      </c>
      <c r="AE83" s="12" t="n">
        <f aca="false">SUM(FO!AE83,PO!AE83,CO!AE83,FE!AE83,PE!AE83)</f>
        <v>0</v>
      </c>
      <c r="AF83" s="12" t="n">
        <f aca="false">SUM(FO!AF83,PO!AF83,CO!AF83,FE!AF83,PE!AF83)</f>
        <v>0</v>
      </c>
      <c r="AG83" s="12" t="n">
        <f aca="false">SUM(U83:AF83)</f>
        <v>0</v>
      </c>
      <c r="AH83" s="24" t="n">
        <f aca="false">IFERROR(AG83/AG$16,"")</f>
        <v>0</v>
      </c>
      <c r="AI83" s="9"/>
      <c r="AJ83" s="12" t="n">
        <f aca="false">N83-AG83</f>
        <v>14592.17</v>
      </c>
      <c r="AK83" s="9"/>
    </row>
    <row r="84" customFormat="false" ht="13.5" hidden="false" customHeight="true" outlineLevel="0" collapsed="false">
      <c r="A84" s="23" t="s">
        <v>1338</v>
      </c>
      <c r="B84" s="12" t="n">
        <f aca="false">SUM(FO!B84,PO!B84,CO!B84,FE!B84,PE!B84)</f>
        <v>153.63</v>
      </c>
      <c r="C84" s="12" t="n">
        <f aca="false">SUM(FO!C84,PO!C84,CO!C84,FE!C84,PE!C84)</f>
        <v>1867.65</v>
      </c>
      <c r="D84" s="12" t="n">
        <f aca="false">SUM(FO!D84,PO!D84,CO!D84,FE!D84,PE!D84)</f>
        <v>0</v>
      </c>
      <c r="E84" s="12" t="n">
        <f aca="false">SUM(FO!E84,PO!E84,CO!E84,FE!E84,PE!E84)</f>
        <v>0</v>
      </c>
      <c r="F84" s="12" t="n">
        <f aca="false">SUM(FO!F84,PO!F84,CO!F84,FE!F84,PE!F84)</f>
        <v>901.61</v>
      </c>
      <c r="G84" s="12" t="n">
        <f aca="false">SUM(FO!G84,PO!G84,CO!G84,FE!G84,PE!G84)</f>
        <v>20</v>
      </c>
      <c r="H84" s="12" t="n">
        <f aca="false">SUM(FO!H84,PO!H84,CO!H84,FE!H84,PE!H84)</f>
        <v>270.05</v>
      </c>
      <c r="I84" s="12" t="n">
        <f aca="false">SUM(FO!I84,PO!I84,CO!I84,FE!I84,PE!I84)</f>
        <v>0</v>
      </c>
      <c r="J84" s="12" t="n">
        <f aca="false">SUM(FO!J84,PO!J84,CO!J84,FE!J84,PE!J84)</f>
        <v>600</v>
      </c>
      <c r="K84" s="12" t="n">
        <f aca="false">SUM(FO!K84,PO!K84,CO!K84,FE!K84,PE!K84)</f>
        <v>600</v>
      </c>
      <c r="L84" s="12" t="n">
        <f aca="false">SUM(FO!L84,PO!L84,CO!L84,FE!L84,PE!L84)</f>
        <v>600</v>
      </c>
      <c r="M84" s="12" t="n">
        <f aca="false">SUM(FO!M84,PO!M84,CO!M84,FE!M84,PE!M84)</f>
        <v>600</v>
      </c>
      <c r="N84" s="12" t="n">
        <f aca="false">SUM(B84:M84)</f>
        <v>5612.94</v>
      </c>
      <c r="O84" s="24" t="n">
        <f aca="false">IFERROR(N84/N$16,"")</f>
        <v>0.000756059497418779</v>
      </c>
      <c r="P84" s="12"/>
      <c r="Q84" s="12"/>
      <c r="R84" s="12"/>
      <c r="S84" s="12"/>
      <c r="T84" s="12"/>
      <c r="U84" s="12" t="n">
        <f aca="false">SUM(FO!U84,PO!U84,CO!U84,FE!U84,PE!U84)</f>
        <v>0</v>
      </c>
      <c r="V84" s="12" t="n">
        <f aca="false">SUM(FO!V84,PO!V84,CO!V84,FE!V84,PE!V84)</f>
        <v>0</v>
      </c>
      <c r="W84" s="12" t="n">
        <f aca="false">SUM(FO!W84,PO!W84,CO!W84,FE!W84,PE!W84)</f>
        <v>0</v>
      </c>
      <c r="X84" s="12" t="n">
        <f aca="false">SUM(FO!X84,PO!X84,CO!X84,FE!X84,PE!X84)</f>
        <v>0</v>
      </c>
      <c r="Y84" s="12" t="n">
        <f aca="false">SUM(FO!Y84,PO!Y84,CO!Y84,FE!Y84,PE!Y84)</f>
        <v>0</v>
      </c>
      <c r="Z84" s="12" t="n">
        <f aca="false">SUM(FO!Z84,PO!Z84,CO!Z84,FE!Z84,PE!Z84)</f>
        <v>0</v>
      </c>
      <c r="AA84" s="12" t="n">
        <f aca="false">SUM(FO!AA84,PO!AA84,CO!AA84,FE!AA84,PE!AA84)</f>
        <v>0</v>
      </c>
      <c r="AB84" s="12" t="n">
        <f aca="false">SUM(FO!AB84,PO!AB84,CO!AB84,FE!AB84,PE!AB84)</f>
        <v>0</v>
      </c>
      <c r="AC84" s="12" t="n">
        <f aca="false">SUM(FO!AC84,PO!AC84,CO!AC84,FE!AC84,PE!AC84)</f>
        <v>0</v>
      </c>
      <c r="AD84" s="12" t="n">
        <f aca="false">SUM(FO!AD84,PO!AD84,CO!AD84,FE!AD84,PE!AD84)</f>
        <v>0</v>
      </c>
      <c r="AE84" s="12" t="n">
        <f aca="false">SUM(FO!AE84,PO!AE84,CO!AE84,FE!AE84,PE!AE84)</f>
        <v>0</v>
      </c>
      <c r="AF84" s="12" t="n">
        <f aca="false">SUM(FO!AF84,PO!AF84,CO!AF84,FE!AF84,PE!AF84)</f>
        <v>0</v>
      </c>
      <c r="AG84" s="12" t="n">
        <f aca="false">SUM(U84:AF84)</f>
        <v>0</v>
      </c>
      <c r="AH84" s="24" t="n">
        <f aca="false">IFERROR(AG84/AG$16,"")</f>
        <v>0</v>
      </c>
      <c r="AI84" s="9"/>
      <c r="AJ84" s="12" t="n">
        <f aca="false">N84-AG84</f>
        <v>5612.94</v>
      </c>
      <c r="AK84" s="9"/>
    </row>
    <row r="85" customFormat="false" ht="13.5" hidden="false" customHeight="true" outlineLevel="0" collapsed="false">
      <c r="A85" s="23" t="s">
        <v>1339</v>
      </c>
      <c r="B85" s="12" t="n">
        <f aca="false">SUM(FO!B85,PO!B85,CO!B85,FE!B85,PE!B85)</f>
        <v>2186.21</v>
      </c>
      <c r="C85" s="12" t="n">
        <f aca="false">SUM(FO!C85,PO!C85,CO!C85,FE!C85,PE!C85)</f>
        <v>3511.69</v>
      </c>
      <c r="D85" s="12" t="n">
        <f aca="false">SUM(FO!D85,PO!D85,CO!D85,FE!D85,PE!D85)</f>
        <v>325.9</v>
      </c>
      <c r="E85" s="12" t="n">
        <f aca="false">SUM(FO!E85,PO!E85,CO!E85,FE!E85,PE!E85)</f>
        <v>1638.14</v>
      </c>
      <c r="F85" s="12" t="n">
        <f aca="false">SUM(FO!F85,PO!F85,CO!F85,FE!F85,PE!F85)</f>
        <v>1041.91</v>
      </c>
      <c r="G85" s="12" t="n">
        <f aca="false">SUM(FO!G85,PO!G85,CO!G85,FE!G85,PE!G85)</f>
        <v>721.44</v>
      </c>
      <c r="H85" s="12" t="n">
        <f aca="false">SUM(FO!H85,PO!H85,CO!H85,FE!H85,PE!H85)</f>
        <v>1816.86</v>
      </c>
      <c r="I85" s="12" t="n">
        <f aca="false">SUM(FO!I85,PO!I85,CO!I85,FE!I85,PE!I85)</f>
        <v>0</v>
      </c>
      <c r="J85" s="12" t="n">
        <f aca="false">SUM(FO!J85,PO!J85,CO!J85,FE!J85,PE!J85)</f>
        <v>1500</v>
      </c>
      <c r="K85" s="12" t="n">
        <f aca="false">SUM(FO!K85,PO!K85,CO!K85,FE!K85,PE!K85)</f>
        <v>1500</v>
      </c>
      <c r="L85" s="12" t="n">
        <f aca="false">SUM(FO!L85,PO!L85,CO!L85,FE!L85,PE!L85)</f>
        <v>4000</v>
      </c>
      <c r="M85" s="12" t="n">
        <f aca="false">SUM(FO!M85,PO!M85,CO!M85,FE!M85,PE!M85)</f>
        <v>1500</v>
      </c>
      <c r="N85" s="12" t="n">
        <f aca="false">SUM(B85:M85)</f>
        <v>19742.15</v>
      </c>
      <c r="O85" s="24" t="n">
        <f aca="false">IFERROR(N85/N$16,"")</f>
        <v>0.00265925522221263</v>
      </c>
      <c r="P85" s="12"/>
      <c r="Q85" s="12"/>
      <c r="R85" s="12"/>
      <c r="S85" s="12"/>
      <c r="T85" s="12"/>
      <c r="U85" s="12" t="n">
        <f aca="false">SUM(FO!U85,PO!U85,CO!U85,FE!U85,PE!U85)</f>
        <v>0</v>
      </c>
      <c r="V85" s="12" t="n">
        <f aca="false">SUM(FO!V85,PO!V85,CO!V85,FE!V85,PE!V85)</f>
        <v>0</v>
      </c>
      <c r="W85" s="12" t="n">
        <f aca="false">SUM(FO!W85,PO!W85,CO!W85,FE!W85,PE!W85)</f>
        <v>0</v>
      </c>
      <c r="X85" s="12" t="n">
        <f aca="false">SUM(FO!X85,PO!X85,CO!X85,FE!X85,PE!X85)</f>
        <v>0</v>
      </c>
      <c r="Y85" s="12" t="n">
        <f aca="false">SUM(FO!Y85,PO!Y85,CO!Y85,FE!Y85,PE!Y85)</f>
        <v>0</v>
      </c>
      <c r="Z85" s="12" t="n">
        <f aca="false">SUM(FO!Z85,PO!Z85,CO!Z85,FE!Z85,PE!Z85)</f>
        <v>0</v>
      </c>
      <c r="AA85" s="12" t="n">
        <f aca="false">SUM(FO!AA85,PO!AA85,CO!AA85,FE!AA85,PE!AA85)</f>
        <v>0</v>
      </c>
      <c r="AB85" s="12" t="n">
        <f aca="false">SUM(FO!AB85,PO!AB85,CO!AB85,FE!AB85,PE!AB85)</f>
        <v>0</v>
      </c>
      <c r="AC85" s="12" t="n">
        <f aca="false">SUM(FO!AC85,PO!AC85,CO!AC85,FE!AC85,PE!AC85)</f>
        <v>0</v>
      </c>
      <c r="AD85" s="12" t="n">
        <f aca="false">SUM(FO!AD85,PO!AD85,CO!AD85,FE!AD85,PE!AD85)</f>
        <v>0</v>
      </c>
      <c r="AE85" s="12" t="n">
        <f aca="false">SUM(FO!AE85,PO!AE85,CO!AE85,FE!AE85,PE!AE85)</f>
        <v>0</v>
      </c>
      <c r="AF85" s="12" t="n">
        <f aca="false">SUM(FO!AF85,PO!AF85,CO!AF85,FE!AF85,PE!AF85)</f>
        <v>0</v>
      </c>
      <c r="AG85" s="12" t="n">
        <f aca="false">SUM(U85:AF85)</f>
        <v>0</v>
      </c>
      <c r="AH85" s="24" t="n">
        <f aca="false">IFERROR(AG85/AG$16,"")</f>
        <v>0</v>
      </c>
      <c r="AI85" s="9"/>
      <c r="AJ85" s="12" t="n">
        <f aca="false">N85-AG85</f>
        <v>19742.15</v>
      </c>
      <c r="AK85" s="9"/>
    </row>
    <row r="86" customFormat="false" ht="13.5" hidden="false" customHeight="true" outlineLevel="0" collapsed="false">
      <c r="A86" s="23" t="s">
        <v>1340</v>
      </c>
      <c r="B86" s="12" t="n">
        <f aca="false">SUM(FO!B86,PO!B86,CO!B86,FE!B86,PE!B86)</f>
        <v>143.34</v>
      </c>
      <c r="C86" s="12" t="n">
        <f aca="false">SUM(FO!C86,PO!C86,CO!C86,FE!C86,PE!C86)</f>
        <v>368.8</v>
      </c>
      <c r="D86" s="12" t="n">
        <f aca="false">SUM(FO!D86,PO!D86,CO!D86,FE!D86,PE!D86)</f>
        <v>160.18</v>
      </c>
      <c r="E86" s="12" t="n">
        <f aca="false">SUM(FO!E86,PO!E86,CO!E86,FE!E86,PE!E86)</f>
        <v>0</v>
      </c>
      <c r="F86" s="12" t="n">
        <f aca="false">SUM(FO!F86,PO!F86,CO!F86,FE!F86,PE!F86)</f>
        <v>235.48</v>
      </c>
      <c r="G86" s="12" t="n">
        <f aca="false">SUM(FO!G86,PO!G86,CO!G86,FE!G86,PE!G86)</f>
        <v>241.47</v>
      </c>
      <c r="H86" s="12" t="n">
        <f aca="false">SUM(FO!H86,PO!H86,CO!H86,FE!H86,PE!H86)</f>
        <v>169.9</v>
      </c>
      <c r="I86" s="12" t="n">
        <f aca="false">SUM(FO!I86,PO!I86,CO!I86,FE!I86,PE!I86)</f>
        <v>0</v>
      </c>
      <c r="J86" s="12" t="n">
        <f aca="false">SUM(FO!J86,PO!J86,CO!J86,FE!J86,PE!J86)</f>
        <v>200</v>
      </c>
      <c r="K86" s="12" t="n">
        <f aca="false">SUM(FO!K86,PO!K86,CO!K86,FE!K86,PE!K86)</f>
        <v>200</v>
      </c>
      <c r="L86" s="12" t="n">
        <f aca="false">SUM(FO!L86,PO!L86,CO!L86,FE!L86,PE!L86)</f>
        <v>500</v>
      </c>
      <c r="M86" s="12" t="n">
        <f aca="false">SUM(FO!M86,PO!M86,CO!M86,FE!M86,PE!M86)</f>
        <v>200</v>
      </c>
      <c r="N86" s="12" t="n">
        <f aca="false">SUM(B86:M86)</f>
        <v>2419.17</v>
      </c>
      <c r="O86" s="24" t="n">
        <f aca="false">IFERROR(N86/N$16,"")</f>
        <v>0.000325860681633972</v>
      </c>
      <c r="P86" s="12"/>
      <c r="Q86" s="12"/>
      <c r="R86" s="12"/>
      <c r="S86" s="12"/>
      <c r="T86" s="12"/>
      <c r="U86" s="12" t="n">
        <f aca="false">SUM(FO!U86,PO!U86,CO!U86,FE!U86,PE!U86)</f>
        <v>0</v>
      </c>
      <c r="V86" s="12" t="n">
        <f aca="false">SUM(FO!V86,PO!V86,CO!V86,FE!V86,PE!V86)</f>
        <v>0</v>
      </c>
      <c r="W86" s="12" t="n">
        <f aca="false">SUM(FO!W86,PO!W86,CO!W86,FE!W86,PE!W86)</f>
        <v>0</v>
      </c>
      <c r="X86" s="12" t="n">
        <f aca="false">SUM(FO!X86,PO!X86,CO!X86,FE!X86,PE!X86)</f>
        <v>0</v>
      </c>
      <c r="Y86" s="12" t="n">
        <f aca="false">SUM(FO!Y86,PO!Y86,CO!Y86,FE!Y86,PE!Y86)</f>
        <v>0</v>
      </c>
      <c r="Z86" s="12" t="n">
        <f aca="false">SUM(FO!Z86,PO!Z86,CO!Z86,FE!Z86,PE!Z86)</f>
        <v>0</v>
      </c>
      <c r="AA86" s="12" t="n">
        <f aca="false">SUM(FO!AA86,PO!AA86,CO!AA86,FE!AA86,PE!AA86)</f>
        <v>0</v>
      </c>
      <c r="AB86" s="12" t="n">
        <f aca="false">SUM(FO!AB86,PO!AB86,CO!AB86,FE!AB86,PE!AB86)</f>
        <v>0</v>
      </c>
      <c r="AC86" s="12" t="n">
        <f aca="false">SUM(FO!AC86,PO!AC86,CO!AC86,FE!AC86,PE!AC86)</f>
        <v>0</v>
      </c>
      <c r="AD86" s="12" t="n">
        <f aca="false">SUM(FO!AD86,PO!AD86,CO!AD86,FE!AD86,PE!AD86)</f>
        <v>0</v>
      </c>
      <c r="AE86" s="12" t="n">
        <f aca="false">SUM(FO!AE86,PO!AE86,CO!AE86,FE!AE86,PE!AE86)</f>
        <v>0</v>
      </c>
      <c r="AF86" s="12" t="n">
        <f aca="false">SUM(FO!AF86,PO!AF86,CO!AF86,FE!AF86,PE!AF86)</f>
        <v>0</v>
      </c>
      <c r="AG86" s="12" t="n">
        <f aca="false">SUM(U86:AF86)</f>
        <v>0</v>
      </c>
      <c r="AH86" s="24" t="n">
        <f aca="false">IFERROR(AG86/AG$16,"")</f>
        <v>0</v>
      </c>
      <c r="AI86" s="9"/>
      <c r="AJ86" s="12" t="n">
        <f aca="false">N86-AG86</f>
        <v>2419.17</v>
      </c>
      <c r="AK86" s="9"/>
    </row>
    <row r="87" customFormat="false" ht="13.5" hidden="false" customHeight="true" outlineLevel="0" collapsed="false">
      <c r="A87" s="26" t="s">
        <v>1341</v>
      </c>
      <c r="B87" s="27" t="n">
        <f aca="false">SUM(B82:B86)</f>
        <v>4199.99</v>
      </c>
      <c r="C87" s="27" t="n">
        <f aca="false">SUM(C82:C86)</f>
        <v>7388.03</v>
      </c>
      <c r="D87" s="27" t="n">
        <f aca="false">SUM(D82:D86)</f>
        <v>1141.03</v>
      </c>
      <c r="E87" s="27" t="n">
        <f aca="false">SUM(E82:E86)</f>
        <v>1638.14</v>
      </c>
      <c r="F87" s="27" t="n">
        <f aca="false">SUM(F82:F86)</f>
        <v>2775.5</v>
      </c>
      <c r="G87" s="27" t="n">
        <f aca="false">SUM(G82:G86)</f>
        <v>2738.43</v>
      </c>
      <c r="H87" s="27" t="n">
        <f aca="false">SUM(H82:H86)</f>
        <v>2985.31</v>
      </c>
      <c r="I87" s="27" t="n">
        <f aca="false">SUM(I82:I86)</f>
        <v>0</v>
      </c>
      <c r="J87" s="27" t="n">
        <f aca="false">SUM(J82:J86)</f>
        <v>3800</v>
      </c>
      <c r="K87" s="27" t="n">
        <f aca="false">SUM(K82:K86)</f>
        <v>3800</v>
      </c>
      <c r="L87" s="27" t="n">
        <f aca="false">SUM(L82:L86)</f>
        <v>8100</v>
      </c>
      <c r="M87" s="27" t="n">
        <f aca="false">SUM(M82:M86)</f>
        <v>3800</v>
      </c>
      <c r="N87" s="27" t="n">
        <f aca="false">SUM(B87:M87)</f>
        <v>42366.43</v>
      </c>
      <c r="O87" s="28" t="n">
        <f aca="false">IFERROR(N87/N$16,"")</f>
        <v>0.00570673154767874</v>
      </c>
      <c r="P87" s="12"/>
      <c r="Q87" s="12"/>
      <c r="R87" s="12"/>
      <c r="S87" s="12"/>
      <c r="T87" s="12"/>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42366.43</v>
      </c>
      <c r="AK87" s="9"/>
    </row>
    <row r="88" customFormat="false" ht="13.5" hidden="false" customHeight="true" outlineLevel="0" collapsed="false">
      <c r="A88" s="23" t="s">
        <v>1342</v>
      </c>
      <c r="B88" s="12" t="n">
        <f aca="false">SUM(FO!B88,PO!B88,CO!B88,FE!B88,PE!B88)</f>
        <v>0</v>
      </c>
      <c r="C88" s="12" t="n">
        <f aca="false">SUM(FO!C88,PO!C88,CO!C88,FE!C88,PE!C88)</f>
        <v>0</v>
      </c>
      <c r="D88" s="12" t="n">
        <f aca="false">SUM(FO!D88,PO!D88,CO!D88,FE!D88,PE!D88)</f>
        <v>0</v>
      </c>
      <c r="E88" s="12" t="n">
        <f aca="false">SUM(FO!E88,PO!E88,CO!E88,FE!E88,PE!E88)</f>
        <v>0</v>
      </c>
      <c r="F88" s="12" t="n">
        <f aca="false">SUM(FO!F88,PO!F88,CO!F88,FE!F88,PE!F88)</f>
        <v>0</v>
      </c>
      <c r="G88" s="12" t="n">
        <f aca="false">SUM(FO!G88,PO!G88,CO!G88,FE!G88,PE!G88)</f>
        <v>0</v>
      </c>
      <c r="H88" s="12" t="n">
        <f aca="false">SUM(FO!H88,PO!H88,CO!H88,FE!H88,PE!H88)</f>
        <v>0</v>
      </c>
      <c r="I88" s="12" t="n">
        <f aca="false">SUM(FO!I88,PO!I88,CO!I88,FE!I88,PE!I88)</f>
        <v>0</v>
      </c>
      <c r="J88" s="12" t="n">
        <f aca="false">SUM(FO!J88,PO!J88,CO!J88,FE!J88,PE!J88)</f>
        <v>0</v>
      </c>
      <c r="K88" s="12" t="n">
        <f aca="false">SUM(FO!K88,PO!K88,CO!K88,FE!K88,PE!K88)</f>
        <v>0</v>
      </c>
      <c r="L88" s="12" t="n">
        <f aca="false">SUM(FO!L88,PO!L88,CO!L88,FE!L88,PE!L88)</f>
        <v>0</v>
      </c>
      <c r="M88" s="12" t="n">
        <f aca="false">SUM(FO!M88,PO!M88,CO!M88,FE!M88,PE!M88)</f>
        <v>0</v>
      </c>
      <c r="N88" s="12" t="n">
        <f aca="false">SUM(B88:M88)</f>
        <v>0</v>
      </c>
      <c r="O88" s="24" t="n">
        <f aca="false">IFERROR(N88/N$16,"")</f>
        <v>0</v>
      </c>
      <c r="P88" s="12"/>
      <c r="Q88" s="12"/>
      <c r="R88" s="12"/>
      <c r="S88" s="12"/>
      <c r="T88" s="12"/>
      <c r="U88" s="12" t="n">
        <f aca="false">SUM(FO!U88,PO!U88,CO!U88,FE!U88,PE!U88)</f>
        <v>0</v>
      </c>
      <c r="V88" s="12" t="n">
        <f aca="false">SUM(FO!V88,PO!V88,CO!V88,FE!V88,PE!V88)</f>
        <v>0</v>
      </c>
      <c r="W88" s="12" t="n">
        <f aca="false">SUM(FO!W88,PO!W88,CO!W88,FE!W88,PE!W88)</f>
        <v>0</v>
      </c>
      <c r="X88" s="12" t="n">
        <f aca="false">SUM(FO!X88,PO!X88,CO!X88,FE!X88,PE!X88)</f>
        <v>0</v>
      </c>
      <c r="Y88" s="12" t="n">
        <f aca="false">SUM(FO!Y88,PO!Y88,CO!Y88,FE!Y88,PE!Y88)</f>
        <v>0</v>
      </c>
      <c r="Z88" s="12" t="n">
        <f aca="false">SUM(FO!Z88,PO!Z88,CO!Z88,FE!Z88,PE!Z88)</f>
        <v>0</v>
      </c>
      <c r="AA88" s="12" t="n">
        <f aca="false">SUM(FO!AA88,PO!AA88,CO!AA88,FE!AA88,PE!AA88)</f>
        <v>0</v>
      </c>
      <c r="AB88" s="12" t="n">
        <f aca="false">SUM(FO!AB88,PO!AB88,CO!AB88,FE!AB88,PE!AB88)</f>
        <v>0</v>
      </c>
      <c r="AC88" s="12" t="n">
        <f aca="false">SUM(FO!AC88,PO!AC88,CO!AC88,FE!AC88,PE!AC88)</f>
        <v>0</v>
      </c>
      <c r="AD88" s="12" t="n">
        <f aca="false">SUM(FO!AD88,PO!AD88,CO!AD88,FE!AD88,PE!AD88)</f>
        <v>0</v>
      </c>
      <c r="AE88" s="12" t="n">
        <f aca="false">SUM(FO!AE88,PO!AE88,CO!AE88,FE!AE88,PE!AE88)</f>
        <v>0</v>
      </c>
      <c r="AF88" s="12" t="n">
        <f aca="false">SUM(FO!AF88,PO!AF88,CO!AF88,FE!AF88,PE!AF88)</f>
        <v>0</v>
      </c>
      <c r="AG88" s="12" t="n">
        <f aca="false">SUM(U88:AF88)</f>
        <v>0</v>
      </c>
      <c r="AH88" s="24" t="n">
        <f aca="false">IFERROR(AG88/AG$16,"")</f>
        <v>0</v>
      </c>
      <c r="AI88" s="9"/>
      <c r="AJ88" s="12" t="n">
        <f aca="false">N88-AG88</f>
        <v>0</v>
      </c>
      <c r="AK88" s="9"/>
    </row>
    <row r="89" customFormat="false" ht="13.5" hidden="false" customHeight="true" outlineLevel="0" collapsed="false">
      <c r="A89" s="23" t="s">
        <v>1343</v>
      </c>
      <c r="B89" s="12" t="n">
        <f aca="false">SUM(FO!B89,PO!B89,CO!B89,FE!B89,PE!B89)</f>
        <v>0</v>
      </c>
      <c r="C89" s="12" t="n">
        <f aca="false">SUM(FO!C89,PO!C89,CO!C89,FE!C89,PE!C89)</f>
        <v>0</v>
      </c>
      <c r="D89" s="12" t="n">
        <f aca="false">SUM(FO!D89,PO!D89,CO!D89,FE!D89,PE!D89)</f>
        <v>0</v>
      </c>
      <c r="E89" s="12" t="n">
        <f aca="false">SUM(FO!E89,PO!E89,CO!E89,FE!E89,PE!E89)</f>
        <v>0</v>
      </c>
      <c r="F89" s="12" t="n">
        <f aca="false">SUM(FO!F89,PO!F89,CO!F89,FE!F89,PE!F89)</f>
        <v>0</v>
      </c>
      <c r="G89" s="12" t="n">
        <f aca="false">SUM(FO!G89,PO!G89,CO!G89,FE!G89,PE!G89)</f>
        <v>31320</v>
      </c>
      <c r="H89" s="12" t="n">
        <f aca="false">SUM(FO!H89,PO!H89,CO!H89,FE!H89,PE!H89)</f>
        <v>-8375</v>
      </c>
      <c r="I89" s="12" t="n">
        <f aca="false">SUM(FO!I89,PO!I89,CO!I89,FE!I89,PE!I89)</f>
        <v>-8375</v>
      </c>
      <c r="J89" s="12" t="n">
        <f aca="false">SUM(FO!J89,PO!J89,CO!J89,FE!J89,PE!J89)</f>
        <v>0</v>
      </c>
      <c r="K89" s="12" t="n">
        <f aca="false">SUM(FO!K89,PO!K89,CO!K89,FE!K89,PE!K89)</f>
        <v>0</v>
      </c>
      <c r="L89" s="12" t="n">
        <f aca="false">SUM(FO!L89,PO!L89,CO!L89,FE!L89,PE!L89)</f>
        <v>0</v>
      </c>
      <c r="M89" s="12" t="n">
        <f aca="false">SUM(FO!M89,PO!M89,CO!M89,FE!M89,PE!M89)</f>
        <v>0</v>
      </c>
      <c r="N89" s="12" t="n">
        <f aca="false">SUM(B89:M89)</f>
        <v>14570</v>
      </c>
      <c r="O89" s="24" t="n">
        <f aca="false">IFERROR(N89/N$16,"")</f>
        <v>0.00196256986131895</v>
      </c>
      <c r="P89" s="12"/>
      <c r="Q89" s="12"/>
      <c r="R89" s="12"/>
      <c r="S89" s="12"/>
      <c r="T89" s="12"/>
      <c r="U89" s="12" t="n">
        <f aca="false">SUM(FO!U89,PO!U89,CO!U89,FE!U89,PE!U89)</f>
        <v>0</v>
      </c>
      <c r="V89" s="12" t="n">
        <f aca="false">SUM(FO!V89,PO!V89,CO!V89,FE!V89,PE!V89)</f>
        <v>0</v>
      </c>
      <c r="W89" s="12" t="n">
        <f aca="false">SUM(FO!W89,PO!W89,CO!W89,FE!W89,PE!W89)</f>
        <v>0</v>
      </c>
      <c r="X89" s="12" t="n">
        <f aca="false">SUM(FO!X89,PO!X89,CO!X89,FE!X89,PE!X89)</f>
        <v>0</v>
      </c>
      <c r="Y89" s="12" t="n">
        <f aca="false">SUM(FO!Y89,PO!Y89,CO!Y89,FE!Y89,PE!Y89)</f>
        <v>0</v>
      </c>
      <c r="Z89" s="12" t="n">
        <f aca="false">SUM(FO!Z89,PO!Z89,CO!Z89,FE!Z89,PE!Z89)</f>
        <v>0</v>
      </c>
      <c r="AA89" s="12" t="n">
        <f aca="false">SUM(FO!AA89,PO!AA89,CO!AA89,FE!AA89,PE!AA89)</f>
        <v>0</v>
      </c>
      <c r="AB89" s="12" t="n">
        <f aca="false">SUM(FO!AB89,PO!AB89,CO!AB89,FE!AB89,PE!AB89)</f>
        <v>0</v>
      </c>
      <c r="AC89" s="12" t="n">
        <f aca="false">SUM(FO!AC89,PO!AC89,CO!AC89,FE!AC89,PE!AC89)</f>
        <v>0</v>
      </c>
      <c r="AD89" s="12" t="n">
        <f aca="false">SUM(FO!AD89,PO!AD89,CO!AD89,FE!AD89,PE!AD89)</f>
        <v>0</v>
      </c>
      <c r="AE89" s="12" t="n">
        <f aca="false">SUM(FO!AE89,PO!AE89,CO!AE89,FE!AE89,PE!AE89)</f>
        <v>0</v>
      </c>
      <c r="AF89" s="12" t="n">
        <f aca="false">SUM(FO!AF89,PO!AF89,CO!AF89,FE!AF89,PE!AF89)</f>
        <v>0</v>
      </c>
      <c r="AG89" s="12" t="n">
        <f aca="false">SUM(U89:AF89)</f>
        <v>0</v>
      </c>
      <c r="AH89" s="24" t="n">
        <f aca="false">IFERROR(AG89/AG$16,"")</f>
        <v>0</v>
      </c>
      <c r="AI89" s="9"/>
      <c r="AJ89" s="12" t="n">
        <f aca="false">N89-AG89</f>
        <v>14570</v>
      </c>
      <c r="AK89" s="9"/>
    </row>
    <row r="90" customFormat="false" ht="13.5" hidden="false" customHeight="true" outlineLevel="0" collapsed="false">
      <c r="A90" s="23" t="s">
        <v>1344</v>
      </c>
      <c r="B90" s="12" t="n">
        <f aca="false">SUM(FO!B90,PO!B90,CO!B90,FE!B90,PE!B90)</f>
        <v>0</v>
      </c>
      <c r="C90" s="12" t="n">
        <f aca="false">SUM(FO!C90,PO!C90,CO!C90,FE!C90,PE!C90)</f>
        <v>0</v>
      </c>
      <c r="D90" s="12" t="n">
        <f aca="false">SUM(FO!D90,PO!D90,CO!D90,FE!D90,PE!D90)</f>
        <v>0</v>
      </c>
      <c r="E90" s="12" t="n">
        <f aca="false">SUM(FO!E90,PO!E90,CO!E90,FE!E90,PE!E90)</f>
        <v>0</v>
      </c>
      <c r="F90" s="12" t="n">
        <f aca="false">SUM(FO!F90,PO!F90,CO!F90,FE!F90,PE!F90)</f>
        <v>0</v>
      </c>
      <c r="G90" s="12" t="n">
        <f aca="false">SUM(FO!G90,PO!G90,CO!G90,FE!G90,PE!G90)</f>
        <v>0</v>
      </c>
      <c r="H90" s="12" t="n">
        <f aca="false">SUM(FO!H90,PO!H90,CO!H90,FE!H90,PE!H90)</f>
        <v>0</v>
      </c>
      <c r="I90" s="12" t="n">
        <f aca="false">SUM(FO!I90,PO!I90,CO!I90,FE!I90,PE!I90)</f>
        <v>0</v>
      </c>
      <c r="J90" s="12" t="n">
        <f aca="false">SUM(FO!J90,PO!J90,CO!J90,FE!J90,PE!J90)</f>
        <v>0</v>
      </c>
      <c r="K90" s="12" t="n">
        <f aca="false">SUM(FO!K90,PO!K90,CO!K90,FE!K90,PE!K90)</f>
        <v>0</v>
      </c>
      <c r="L90" s="12" t="n">
        <f aca="false">SUM(FO!L90,PO!L90,CO!L90,FE!L90,PE!L90)</f>
        <v>0</v>
      </c>
      <c r="M90" s="12" t="n">
        <f aca="false">SUM(FO!M90,PO!M90,CO!M90,FE!M90,PE!M90)</f>
        <v>0</v>
      </c>
      <c r="N90" s="12" t="n">
        <f aca="false">SUM(B90:M90)</f>
        <v>0</v>
      </c>
      <c r="O90" s="24" t="n">
        <f aca="false">IFERROR(N90/N$16,"")</f>
        <v>0</v>
      </c>
      <c r="P90" s="12"/>
      <c r="Q90" s="12"/>
      <c r="R90" s="12"/>
      <c r="S90" s="12"/>
      <c r="T90" s="12"/>
      <c r="U90" s="12" t="n">
        <f aca="false">SUM(FO!U90,PO!U90,CO!U90,FE!U90,PE!U90)</f>
        <v>0</v>
      </c>
      <c r="V90" s="12" t="n">
        <f aca="false">SUM(FO!V90,PO!V90,CO!V90,FE!V90,PE!V90)</f>
        <v>0</v>
      </c>
      <c r="W90" s="12" t="n">
        <f aca="false">SUM(FO!W90,PO!W90,CO!W90,FE!W90,PE!W90)</f>
        <v>0</v>
      </c>
      <c r="X90" s="12" t="n">
        <f aca="false">SUM(FO!X90,PO!X90,CO!X90,FE!X90,PE!X90)</f>
        <v>0</v>
      </c>
      <c r="Y90" s="12" t="n">
        <f aca="false">SUM(FO!Y90,PO!Y90,CO!Y90,FE!Y90,PE!Y90)</f>
        <v>0</v>
      </c>
      <c r="Z90" s="12" t="n">
        <f aca="false">SUM(FO!Z90,PO!Z90,CO!Z90,FE!Z90,PE!Z90)</f>
        <v>0</v>
      </c>
      <c r="AA90" s="12" t="n">
        <f aca="false">SUM(FO!AA90,PO!AA90,CO!AA90,FE!AA90,PE!AA90)</f>
        <v>0</v>
      </c>
      <c r="AB90" s="12" t="n">
        <f aca="false">SUM(FO!AB90,PO!AB90,CO!AB90,FE!AB90,PE!AB90)</f>
        <v>0</v>
      </c>
      <c r="AC90" s="12" t="n">
        <f aca="false">SUM(FO!AC90,PO!AC90,CO!AC90,FE!AC90,PE!AC90)</f>
        <v>0</v>
      </c>
      <c r="AD90" s="12" t="n">
        <f aca="false">SUM(FO!AD90,PO!AD90,CO!AD90,FE!AD90,PE!AD90)</f>
        <v>0</v>
      </c>
      <c r="AE90" s="12" t="n">
        <f aca="false">SUM(FO!AE90,PO!AE90,CO!AE90,FE!AE90,PE!AE90)</f>
        <v>0</v>
      </c>
      <c r="AF90" s="12" t="n">
        <f aca="false">SUM(FO!AF90,PO!AF90,CO!AF90,FE!AF90,PE!AF90)</f>
        <v>0</v>
      </c>
      <c r="AG90" s="12" t="n">
        <f aca="false">SUM(U90:AF90)</f>
        <v>0</v>
      </c>
      <c r="AH90" s="24" t="n">
        <f aca="false">IFERROR(AG90/AG$16,"")</f>
        <v>0</v>
      </c>
      <c r="AI90" s="9"/>
      <c r="AJ90" s="12" t="n">
        <f aca="false">N90-AG90</f>
        <v>0</v>
      </c>
      <c r="AK90" s="9"/>
    </row>
    <row r="91" customFormat="false" ht="13.5" hidden="false" customHeight="true" outlineLevel="0" collapsed="false">
      <c r="A91" s="23" t="s">
        <v>1345</v>
      </c>
      <c r="B91" s="12" t="n">
        <f aca="false">SUM(FO!B91,PO!B91,CO!B91,FE!B91,PE!B91)</f>
        <v>0</v>
      </c>
      <c r="C91" s="12" t="n">
        <f aca="false">SUM(FO!C91,PO!C91,CO!C91,FE!C91,PE!C91)</f>
        <v>11217.74</v>
      </c>
      <c r="D91" s="12" t="n">
        <f aca="false">SUM(FO!D91,PO!D91,CO!D91,FE!D91,PE!D91)</f>
        <v>51810.95</v>
      </c>
      <c r="E91" s="12" t="n">
        <f aca="false">SUM(FO!E91,PO!E91,CO!E91,FE!E91,PE!E91)</f>
        <v>34690.39</v>
      </c>
      <c r="F91" s="12" t="n">
        <f aca="false">SUM(FO!F91,PO!F91,CO!F91,FE!F91,PE!F91)</f>
        <v>36509.27</v>
      </c>
      <c r="G91" s="12" t="n">
        <f aca="false">SUM(FO!G91,PO!G91,CO!G91,FE!G91,PE!G91)</f>
        <v>56672.78</v>
      </c>
      <c r="H91" s="12" t="n">
        <f aca="false">SUM(FO!H91,PO!H91,CO!H91,FE!H91,PE!H91)</f>
        <v>8883.71</v>
      </c>
      <c r="I91" s="12" t="n">
        <f aca="false">SUM(FO!I91,PO!I91,CO!I91,FE!I91,PE!I91)</f>
        <v>14805.67</v>
      </c>
      <c r="J91" s="12" t="n">
        <f aca="false">SUM(FO!J91,PO!J91,CO!J91,FE!J91,PE!J91)</f>
        <v>0</v>
      </c>
      <c r="K91" s="12" t="n">
        <f aca="false">SUM(FO!K91,PO!K91,CO!K91,FE!K91,PE!K91)</f>
        <v>0</v>
      </c>
      <c r="L91" s="12" t="n">
        <f aca="false">SUM(FO!L91,PO!L91,CO!L91,FE!L91,PE!L91)</f>
        <v>0</v>
      </c>
      <c r="M91" s="12" t="n">
        <f aca="false">SUM(FO!M91,PO!M91,CO!M91,FE!M91,PE!M91)</f>
        <v>0</v>
      </c>
      <c r="N91" s="12" t="n">
        <f aca="false">SUM(B91:M91)</f>
        <v>214590.51</v>
      </c>
      <c r="O91" s="24" t="n">
        <f aca="false">IFERROR(N91/N$16,"")</f>
        <v>0.0289052071002789</v>
      </c>
      <c r="P91" s="12"/>
      <c r="Q91" s="12"/>
      <c r="R91" s="12"/>
      <c r="S91" s="12"/>
      <c r="T91" s="12"/>
      <c r="U91" s="12" t="n">
        <f aca="false">SUM(FO!U91,PO!U91,CO!U91,FE!U91,PE!U91)</f>
        <v>0</v>
      </c>
      <c r="V91" s="12" t="n">
        <f aca="false">SUM(FO!V91,PO!V91,CO!V91,FE!V91,PE!V91)</f>
        <v>0</v>
      </c>
      <c r="W91" s="12" t="n">
        <f aca="false">SUM(FO!W91,PO!W91,CO!W91,FE!W91,PE!W91)</f>
        <v>0</v>
      </c>
      <c r="X91" s="12" t="n">
        <f aca="false">SUM(FO!X91,PO!X91,CO!X91,FE!X91,PE!X91)</f>
        <v>0</v>
      </c>
      <c r="Y91" s="12" t="n">
        <f aca="false">SUM(FO!Y91,PO!Y91,CO!Y91,FE!Y91,PE!Y91)</f>
        <v>0</v>
      </c>
      <c r="Z91" s="12" t="n">
        <f aca="false">SUM(FO!Z91,PO!Z91,CO!Z91,FE!Z91,PE!Z91)</f>
        <v>0</v>
      </c>
      <c r="AA91" s="12" t="n">
        <f aca="false">SUM(FO!AA91,PO!AA91,CO!AA91,FE!AA91,PE!AA91)</f>
        <v>0</v>
      </c>
      <c r="AB91" s="12" t="n">
        <f aca="false">SUM(FO!AB91,PO!AB91,CO!AB91,FE!AB91,PE!AB91)</f>
        <v>0</v>
      </c>
      <c r="AC91" s="12" t="n">
        <f aca="false">SUM(FO!AC91,PO!AC91,CO!AC91,FE!AC91,PE!AC91)</f>
        <v>0</v>
      </c>
      <c r="AD91" s="12" t="n">
        <f aca="false">SUM(FO!AD91,PO!AD91,CO!AD91,FE!AD91,PE!AD91)</f>
        <v>0</v>
      </c>
      <c r="AE91" s="12" t="n">
        <f aca="false">SUM(FO!AE91,PO!AE91,CO!AE91,FE!AE91,PE!AE91)</f>
        <v>0</v>
      </c>
      <c r="AF91" s="12" t="n">
        <f aca="false">SUM(FO!AF91,PO!AF91,CO!AF91,FE!AF91,PE!AF91)</f>
        <v>0</v>
      </c>
      <c r="AG91" s="12" t="n">
        <f aca="false">SUM(U91:AF91)</f>
        <v>0</v>
      </c>
      <c r="AH91" s="24" t="n">
        <f aca="false">IFERROR(AG91/AG$16,"")</f>
        <v>0</v>
      </c>
      <c r="AI91" s="9"/>
      <c r="AJ91" s="12" t="n">
        <f aca="false">N91-AG91</f>
        <v>214590.51</v>
      </c>
      <c r="AK91" s="9"/>
    </row>
    <row r="92" customFormat="false" ht="13.5" hidden="false" customHeight="true" outlineLevel="0" collapsed="false">
      <c r="A92" s="23" t="s">
        <v>1346</v>
      </c>
      <c r="B92" s="12" t="n">
        <f aca="false">SUM(FO!B92,PO!B92,CO!B92,FE!B92,PE!B92)</f>
        <v>2556.61</v>
      </c>
      <c r="C92" s="12" t="n">
        <f aca="false">SUM(FO!C92,PO!C92,CO!C92,FE!C92,PE!C92)</f>
        <v>2642.64</v>
      </c>
      <c r="D92" s="12" t="n">
        <f aca="false">SUM(FO!D92,PO!D92,CO!D92,FE!D92,PE!D92)</f>
        <v>4142.74</v>
      </c>
      <c r="E92" s="12" t="n">
        <f aca="false">SUM(FO!E92,PO!E92,CO!E92,FE!E92,PE!E92)</f>
        <v>3000.52</v>
      </c>
      <c r="F92" s="12" t="n">
        <f aca="false">SUM(FO!F92,PO!F92,CO!F92,FE!F92,PE!F92)</f>
        <v>9578.03</v>
      </c>
      <c r="G92" s="12" t="n">
        <f aca="false">SUM(FO!G92,PO!G92,CO!G92,FE!G92,PE!G92)</f>
        <v>3128.81</v>
      </c>
      <c r="H92" s="12" t="n">
        <f aca="false">SUM(FO!H92,PO!H92,CO!H92,FE!H92,PE!H92)</f>
        <v>0</v>
      </c>
      <c r="I92" s="12" t="n">
        <f aca="false">SUM(FO!I92,PO!I92,CO!I92,FE!I92,PE!I92)</f>
        <v>811.1</v>
      </c>
      <c r="J92" s="12" t="n">
        <f aca="false">SUM(FO!J92,PO!J92,CO!J92,FE!J92,PE!J92)</f>
        <v>0</v>
      </c>
      <c r="K92" s="12" t="n">
        <f aca="false">SUM(FO!K92,PO!K92,CO!K92,FE!K92,PE!K92)</f>
        <v>0</v>
      </c>
      <c r="L92" s="12" t="n">
        <f aca="false">SUM(FO!L92,PO!L92,CO!L92,FE!L92,PE!L92)</f>
        <v>0</v>
      </c>
      <c r="M92" s="12" t="n">
        <f aca="false">SUM(FO!M92,PO!M92,CO!M92,FE!M92,PE!M92)</f>
        <v>0</v>
      </c>
      <c r="N92" s="12" t="n">
        <f aca="false">SUM(B92:M92)</f>
        <v>25860.45</v>
      </c>
      <c r="O92" s="24" t="n">
        <f aca="false">IFERROR(N92/N$16,"")</f>
        <v>0.00348338639465654</v>
      </c>
      <c r="P92" s="12"/>
      <c r="Q92" s="12"/>
      <c r="R92" s="12"/>
      <c r="S92" s="12"/>
      <c r="T92" s="12"/>
      <c r="U92" s="12" t="n">
        <f aca="false">SUM(FO!U92,PO!U92,CO!U92,FE!U92,PE!U92)</f>
        <v>0</v>
      </c>
      <c r="V92" s="12" t="n">
        <f aca="false">SUM(FO!V92,PO!V92,CO!V92,FE!V92,PE!V92)</f>
        <v>0</v>
      </c>
      <c r="W92" s="12" t="n">
        <f aca="false">SUM(FO!W92,PO!W92,CO!W92,FE!W92,PE!W92)</f>
        <v>0</v>
      </c>
      <c r="X92" s="12" t="n">
        <f aca="false">SUM(FO!X92,PO!X92,CO!X92,FE!X92,PE!X92)</f>
        <v>0</v>
      </c>
      <c r="Y92" s="12" t="n">
        <f aca="false">SUM(FO!Y92,PO!Y92,CO!Y92,FE!Y92,PE!Y92)</f>
        <v>0</v>
      </c>
      <c r="Z92" s="12" t="n">
        <f aca="false">SUM(FO!Z92,PO!Z92,CO!Z92,FE!Z92,PE!Z92)</f>
        <v>0</v>
      </c>
      <c r="AA92" s="12" t="n">
        <f aca="false">SUM(FO!AA92,PO!AA92,CO!AA92,FE!AA92,PE!AA92)</f>
        <v>0</v>
      </c>
      <c r="AB92" s="12" t="n">
        <f aca="false">SUM(FO!AB92,PO!AB92,CO!AB92,FE!AB92,PE!AB92)</f>
        <v>0</v>
      </c>
      <c r="AC92" s="12" t="n">
        <f aca="false">SUM(FO!AC92,PO!AC92,CO!AC92,FE!AC92,PE!AC92)</f>
        <v>0</v>
      </c>
      <c r="AD92" s="12" t="n">
        <f aca="false">SUM(FO!AD92,PO!AD92,CO!AD92,FE!AD92,PE!AD92)</f>
        <v>0</v>
      </c>
      <c r="AE92" s="12" t="n">
        <f aca="false">SUM(FO!AE92,PO!AE92,CO!AE92,FE!AE92,PE!AE92)</f>
        <v>0</v>
      </c>
      <c r="AF92" s="12" t="n">
        <f aca="false">SUM(FO!AF92,PO!AF92,CO!AF92,FE!AF92,PE!AF92)</f>
        <v>0</v>
      </c>
      <c r="AG92" s="12" t="n">
        <f aca="false">SUM(U92:AF92)</f>
        <v>0</v>
      </c>
      <c r="AH92" s="24" t="n">
        <f aca="false">IFERROR(AG92/AG$16,"")</f>
        <v>0</v>
      </c>
      <c r="AI92" s="9"/>
      <c r="AJ92" s="12" t="n">
        <f aca="false">N92-AG92</f>
        <v>25860.45</v>
      </c>
      <c r="AK92" s="9"/>
    </row>
    <row r="93" customFormat="false" ht="13.5" hidden="false" customHeight="true" outlineLevel="0" collapsed="false">
      <c r="A93" s="23" t="s">
        <v>1347</v>
      </c>
      <c r="B93" s="12" t="n">
        <f aca="false">SUM(FO!B93,PO!B93,CO!B93,FE!B93,PE!B93)</f>
        <v>695.8</v>
      </c>
      <c r="C93" s="12" t="n">
        <f aca="false">SUM(FO!C93,PO!C93,CO!C93,FE!C93,PE!C93)</f>
        <v>1174.04</v>
      </c>
      <c r="D93" s="12" t="n">
        <f aca="false">SUM(FO!D93,PO!D93,CO!D93,FE!D93,PE!D93)</f>
        <v>946.56</v>
      </c>
      <c r="E93" s="12" t="n">
        <f aca="false">SUM(FO!E93,PO!E93,CO!E93,FE!E93,PE!E93)</f>
        <v>2409.75</v>
      </c>
      <c r="F93" s="12" t="n">
        <f aca="false">SUM(FO!F93,PO!F93,CO!F93,FE!F93,PE!F93)</f>
        <v>5233.37</v>
      </c>
      <c r="G93" s="12" t="n">
        <f aca="false">SUM(FO!G93,PO!G93,CO!G93,FE!G93,PE!G93)</f>
        <v>555.44</v>
      </c>
      <c r="H93" s="12" t="n">
        <f aca="false">SUM(FO!H93,PO!H93,CO!H93,FE!H93,PE!H93)</f>
        <v>0</v>
      </c>
      <c r="I93" s="12" t="n">
        <f aca="false">SUM(FO!I93,PO!I93,CO!I93,FE!I93,PE!I93)</f>
        <v>19.07</v>
      </c>
      <c r="J93" s="12" t="n">
        <f aca="false">SUM(FO!J93,PO!J93,CO!J93,FE!J93,PE!J93)</f>
        <v>1100</v>
      </c>
      <c r="K93" s="12" t="n">
        <f aca="false">SUM(FO!K93,PO!K93,CO!K93,FE!K93,PE!K93)</f>
        <v>5300</v>
      </c>
      <c r="L93" s="12" t="n">
        <f aca="false">SUM(FO!L93,PO!L93,CO!L93,FE!L93,PE!L93)</f>
        <v>5300</v>
      </c>
      <c r="M93" s="12" t="n">
        <f aca="false">SUM(FO!M93,PO!M93,CO!M93,FE!M93,PE!M93)</f>
        <v>5300</v>
      </c>
      <c r="N93" s="12" t="n">
        <f aca="false">SUM(B93:M93)</f>
        <v>28034.03</v>
      </c>
      <c r="O93" s="24" t="n">
        <f aca="false">IFERROR(N93/N$16,"")</f>
        <v>0.00377616625733091</v>
      </c>
      <c r="P93" s="12"/>
      <c r="Q93" s="12"/>
      <c r="R93" s="12"/>
      <c r="S93" s="12"/>
      <c r="T93" s="12"/>
      <c r="U93" s="12" t="n">
        <f aca="false">SUM(FO!U93,PO!U93,CO!U93,FE!U93,PE!U93)</f>
        <v>1116.66666666667</v>
      </c>
      <c r="V93" s="12" t="n">
        <f aca="false">SUM(FO!V93,PO!V93,CO!V93,FE!V93,PE!V93)</f>
        <v>1116.66666666667</v>
      </c>
      <c r="W93" s="12" t="n">
        <f aca="false">SUM(FO!W93,PO!W93,CO!W93,FE!W93,PE!W93)</f>
        <v>1116.66666666667</v>
      </c>
      <c r="X93" s="12" t="n">
        <f aca="false">SUM(FO!X93,PO!X93,CO!X93,FE!X93,PE!X93)</f>
        <v>1116.66666666667</v>
      </c>
      <c r="Y93" s="12" t="n">
        <f aca="false">SUM(FO!Y93,PO!Y93,CO!Y93,FE!Y93,PE!Y93)</f>
        <v>1172.5</v>
      </c>
      <c r="Z93" s="12" t="n">
        <f aca="false">SUM(FO!Z93,PO!Z93,CO!Z93,FE!Z93,PE!Z93)</f>
        <v>1228.33333333333</v>
      </c>
      <c r="AA93" s="12" t="n">
        <f aca="false">SUM(FO!AA93,PO!AA93,CO!AA93,FE!AA93,PE!AA93)</f>
        <v>1284.16666666667</v>
      </c>
      <c r="AB93" s="12" t="n">
        <f aca="false">SUM(FO!AB93,PO!AB93,CO!AB93,FE!AB93,PE!AB93)</f>
        <v>1340</v>
      </c>
      <c r="AC93" s="12" t="n">
        <f aca="false">SUM(FO!AC93,PO!AC93,CO!AC93,FE!AC93,PE!AC93)</f>
        <v>1395.83333333333</v>
      </c>
      <c r="AD93" s="12" t="n">
        <f aca="false">SUM(FO!AD93,PO!AD93,CO!AD93,FE!AD93,PE!AD93)</f>
        <v>1451.66666666667</v>
      </c>
      <c r="AE93" s="12" t="n">
        <f aca="false">SUM(FO!AE93,PO!AE93,CO!AE93,FE!AE93,PE!AE93)</f>
        <v>1507.5</v>
      </c>
      <c r="AF93" s="12" t="n">
        <f aca="false">SUM(FO!AF93,PO!AF93,CO!AF93,FE!AF93,PE!AF93)</f>
        <v>1283.33333333333</v>
      </c>
      <c r="AG93" s="12" t="n">
        <f aca="false">SUM(U93:AF93)</f>
        <v>15130</v>
      </c>
      <c r="AH93" s="24" t="n">
        <f aca="false">IFERROR(AG93/AG$16,"")</f>
        <v>0.000972137277188322</v>
      </c>
      <c r="AI93" s="9"/>
      <c r="AJ93" s="12" t="n">
        <f aca="false">N93-AG93</f>
        <v>12904.03</v>
      </c>
      <c r="AK93" s="9"/>
    </row>
    <row r="94" customFormat="false" ht="13.5" hidden="false" customHeight="true" outlineLevel="0" collapsed="false">
      <c r="A94" s="23" t="s">
        <v>1348</v>
      </c>
      <c r="B94" s="12" t="n">
        <f aca="false">SUM(FO!B94,PO!B94,CO!B94,FE!B94,PE!B94)</f>
        <v>0</v>
      </c>
      <c r="C94" s="12" t="n">
        <f aca="false">SUM(FO!C94,PO!C94,CO!C94,FE!C94,PE!C94)</f>
        <v>0</v>
      </c>
      <c r="D94" s="12" t="n">
        <f aca="false">SUM(FO!D94,PO!D94,CO!D94,FE!D94,PE!D94)</f>
        <v>0</v>
      </c>
      <c r="E94" s="12" t="n">
        <f aca="false">SUM(FO!E94,PO!E94,CO!E94,FE!E94,PE!E94)</f>
        <v>0</v>
      </c>
      <c r="F94" s="12" t="n">
        <f aca="false">SUM(FO!F94,PO!F94,CO!F94,FE!F94,PE!F94)</f>
        <v>0</v>
      </c>
      <c r="G94" s="12" t="n">
        <f aca="false">SUM(FO!G94,PO!G94,CO!G94,FE!G94,PE!G94)</f>
        <v>0</v>
      </c>
      <c r="H94" s="12" t="n">
        <f aca="false">SUM(FO!H94,PO!H94,CO!H94,FE!H94,PE!H94)</f>
        <v>0</v>
      </c>
      <c r="I94" s="12" t="n">
        <f aca="false">SUM(FO!I94,PO!I94,CO!I94,FE!I94,PE!I94)</f>
        <v>0</v>
      </c>
      <c r="J94" s="12" t="n">
        <f aca="false">SUM(FO!J94,PO!J94,CO!J94,FE!J94,PE!J94)</f>
        <v>0</v>
      </c>
      <c r="K94" s="12" t="n">
        <f aca="false">SUM(FO!K94,PO!K94,CO!K94,FE!K94,PE!K94)</f>
        <v>0</v>
      </c>
      <c r="L94" s="12" t="n">
        <f aca="false">SUM(FO!L94,PO!L94,CO!L94,FE!L94,PE!L94)</f>
        <v>0</v>
      </c>
      <c r="M94" s="12" t="n">
        <f aca="false">SUM(FO!M94,PO!M94,CO!M94,FE!M94,PE!M94)</f>
        <v>0</v>
      </c>
      <c r="N94" s="12" t="n">
        <f aca="false">SUM(B94:M94)</f>
        <v>0</v>
      </c>
      <c r="O94" s="24" t="n">
        <f aca="false">IFERROR(N94/N$16,"")</f>
        <v>0</v>
      </c>
      <c r="P94" s="12"/>
      <c r="Q94" s="12"/>
      <c r="R94" s="12"/>
      <c r="S94" s="12"/>
      <c r="T94" s="12"/>
      <c r="U94" s="12" t="n">
        <f aca="false">SUM(FO!U94,PO!U94,CO!U94,FE!U94,PE!U94)</f>
        <v>0</v>
      </c>
      <c r="V94" s="12" t="n">
        <f aca="false">SUM(FO!V94,PO!V94,CO!V94,FE!V94,PE!V94)</f>
        <v>0</v>
      </c>
      <c r="W94" s="12" t="n">
        <f aca="false">SUM(FO!W94,PO!W94,CO!W94,FE!W94,PE!W94)</f>
        <v>0</v>
      </c>
      <c r="X94" s="12" t="n">
        <f aca="false">SUM(FO!X94,PO!X94,CO!X94,FE!X94,PE!X94)</f>
        <v>0</v>
      </c>
      <c r="Y94" s="12" t="n">
        <f aca="false">SUM(FO!Y94,PO!Y94,CO!Y94,FE!Y94,PE!Y94)</f>
        <v>0</v>
      </c>
      <c r="Z94" s="12" t="n">
        <f aca="false">SUM(FO!Z94,PO!Z94,CO!Z94,FE!Z94,PE!Z94)</f>
        <v>0</v>
      </c>
      <c r="AA94" s="12" t="n">
        <f aca="false">SUM(FO!AA94,PO!AA94,CO!AA94,FE!AA94,PE!AA94)</f>
        <v>0</v>
      </c>
      <c r="AB94" s="12" t="n">
        <f aca="false">SUM(FO!AB94,PO!AB94,CO!AB94,FE!AB94,PE!AB94)</f>
        <v>0</v>
      </c>
      <c r="AC94" s="12" t="n">
        <f aca="false">SUM(FO!AC94,PO!AC94,CO!AC94,FE!AC94,PE!AC94)</f>
        <v>0</v>
      </c>
      <c r="AD94" s="12" t="n">
        <f aca="false">SUM(FO!AD94,PO!AD94,CO!AD94,FE!AD94,PE!AD94)</f>
        <v>0</v>
      </c>
      <c r="AE94" s="12" t="n">
        <f aca="false">SUM(FO!AE94,PO!AE94,CO!AE94,FE!AE94,PE!AE94)</f>
        <v>0</v>
      </c>
      <c r="AF94" s="12" t="n">
        <f aca="false">SUM(FO!AF94,PO!AF94,CO!AF94,FE!AF94,PE!AF94)</f>
        <v>0</v>
      </c>
      <c r="AG94" s="12" t="n">
        <f aca="false">SUM(U94:AF94)</f>
        <v>0</v>
      </c>
      <c r="AH94" s="24" t="n">
        <f aca="false">IFERROR(AG94/AG$16,"")</f>
        <v>0</v>
      </c>
      <c r="AI94" s="9"/>
      <c r="AJ94" s="12" t="n">
        <f aca="false">N94-AG94</f>
        <v>0</v>
      </c>
      <c r="AK94" s="9"/>
    </row>
    <row r="95" customFormat="false" ht="13.5" hidden="false" customHeight="true" outlineLevel="0" collapsed="false">
      <c r="A95" s="23" t="s">
        <v>1349</v>
      </c>
      <c r="B95" s="12" t="n">
        <f aca="false">SUM(FO!B95,PO!B95,CO!B95,FE!B95,PE!B95)</f>
        <v>5265.28</v>
      </c>
      <c r="C95" s="12" t="n">
        <f aca="false">SUM(FO!C95,PO!C95,CO!C95,FE!C95,PE!C95)</f>
        <v>2452.18</v>
      </c>
      <c r="D95" s="12" t="n">
        <f aca="false">SUM(FO!D95,PO!D95,CO!D95,FE!D95,PE!D95)</f>
        <v>4962.84</v>
      </c>
      <c r="E95" s="12" t="n">
        <f aca="false">SUM(FO!E95,PO!E95,CO!E95,FE!E95,PE!E95)</f>
        <v>6484.85</v>
      </c>
      <c r="F95" s="12" t="n">
        <f aca="false">SUM(FO!F95,PO!F95,CO!F95,FE!F95,PE!F95)</f>
        <v>2744.63</v>
      </c>
      <c r="G95" s="12" t="n">
        <f aca="false">SUM(FO!G95,PO!G95,CO!G95,FE!G95,PE!G95)</f>
        <v>-14.2900000000002</v>
      </c>
      <c r="H95" s="12" t="n">
        <f aca="false">SUM(FO!H95,PO!H95,CO!H95,FE!H95,PE!H95)</f>
        <v>3654.69</v>
      </c>
      <c r="I95" s="12" t="n">
        <f aca="false">SUM(FO!I95,PO!I95,CO!I95,FE!I95,PE!I95)</f>
        <v>2514.69</v>
      </c>
      <c r="J95" s="12" t="n">
        <f aca="false">SUM(FO!J95,PO!J95,CO!J95,FE!J95,PE!J95)</f>
        <v>7450</v>
      </c>
      <c r="K95" s="12" t="n">
        <f aca="false">SUM(FO!K95,PO!K95,CO!K95,FE!K95,PE!K95)</f>
        <v>7450</v>
      </c>
      <c r="L95" s="12" t="n">
        <f aca="false">SUM(FO!L95,PO!L95,CO!L95,FE!L95,PE!L95)</f>
        <v>7450</v>
      </c>
      <c r="M95" s="12" t="n">
        <f aca="false">SUM(FO!M95,PO!M95,CO!M95,FE!M95,PE!M95)</f>
        <v>7450</v>
      </c>
      <c r="N95" s="12" t="n">
        <f aca="false">SUM(B95:M95)</f>
        <v>57864.87</v>
      </c>
      <c r="O95" s="24" t="n">
        <f aca="false">IFERROR(N95/N$16,"")</f>
        <v>0.0077943616946561</v>
      </c>
      <c r="P95" s="12"/>
      <c r="Q95" s="12"/>
      <c r="R95" s="12"/>
      <c r="S95" s="12"/>
      <c r="T95" s="12"/>
      <c r="U95" s="12" t="n">
        <f aca="false">SUM(FO!U95,PO!U95,CO!U95,FE!U95,PE!U95)</f>
        <v>4866.66666666667</v>
      </c>
      <c r="V95" s="12" t="n">
        <f aca="false">SUM(FO!V95,PO!V95,CO!V95,FE!V95,PE!V95)</f>
        <v>4866.66666666667</v>
      </c>
      <c r="W95" s="12" t="n">
        <f aca="false">SUM(FO!W95,PO!W95,CO!W95,FE!W95,PE!W95)</f>
        <v>4866.66666666667</v>
      </c>
      <c r="X95" s="12" t="n">
        <f aca="false">SUM(FO!X95,PO!X95,CO!X95,FE!X95,PE!X95)</f>
        <v>4866.66666666667</v>
      </c>
      <c r="Y95" s="12" t="n">
        <f aca="false">SUM(FO!Y95,PO!Y95,CO!Y95,FE!Y95,PE!Y95)</f>
        <v>5110</v>
      </c>
      <c r="Z95" s="12" t="n">
        <f aca="false">SUM(FO!Z95,PO!Z95,CO!Z95,FE!Z95,PE!Z95)</f>
        <v>5353.33333333333</v>
      </c>
      <c r="AA95" s="12" t="n">
        <f aca="false">SUM(FO!AA95,PO!AA95,CO!AA95,FE!AA95,PE!AA95)</f>
        <v>5596.66666666667</v>
      </c>
      <c r="AB95" s="12" t="n">
        <f aca="false">SUM(FO!AB95,PO!AB95,CO!AB95,FE!AB95,PE!AB95)</f>
        <v>5840</v>
      </c>
      <c r="AC95" s="12" t="n">
        <f aca="false">SUM(FO!AC95,PO!AC95,CO!AC95,FE!AC95,PE!AC95)</f>
        <v>6083.33333333333</v>
      </c>
      <c r="AD95" s="12" t="n">
        <f aca="false">SUM(FO!AD95,PO!AD95,CO!AD95,FE!AD95,PE!AD95)</f>
        <v>6326.66666666667</v>
      </c>
      <c r="AE95" s="12" t="n">
        <f aca="false">SUM(FO!AE95,PO!AE95,CO!AE95,FE!AE95,PE!AE95)</f>
        <v>6570</v>
      </c>
      <c r="AF95" s="12" t="n">
        <f aca="false">SUM(FO!AF95,PO!AF95,CO!AF95,FE!AF95,PE!AF95)</f>
        <v>5733.33333333333</v>
      </c>
      <c r="AG95" s="12" t="n">
        <f aca="false">SUM(U95:AF95)</f>
        <v>66080</v>
      </c>
      <c r="AH95" s="24" t="n">
        <f aca="false">IFERROR(AG95/AG$16,"")</f>
        <v>0.00424579188873789</v>
      </c>
      <c r="AI95" s="9"/>
      <c r="AJ95" s="12" t="n">
        <f aca="false">N95-AG95</f>
        <v>-8215.13</v>
      </c>
      <c r="AK95" s="9"/>
    </row>
    <row r="96" customFormat="false" ht="13.5" hidden="false" customHeight="true" outlineLevel="0" collapsed="false">
      <c r="A96" s="23" t="s">
        <v>1350</v>
      </c>
      <c r="B96" s="12" t="n">
        <f aca="false">SUM(FO!B96,PO!B96,CO!B96,FE!B96,PE!B96)</f>
        <v>4965.69</v>
      </c>
      <c r="C96" s="12" t="n">
        <f aca="false">SUM(FO!C96,PO!C96,CO!C96,FE!C96,PE!C96)</f>
        <v>15.09</v>
      </c>
      <c r="D96" s="12" t="n">
        <f aca="false">SUM(FO!D96,PO!D96,CO!D96,FE!D96,PE!D96)</f>
        <v>765.15</v>
      </c>
      <c r="E96" s="12" t="n">
        <f aca="false">SUM(FO!E96,PO!E96,CO!E96,FE!E96,PE!E96)</f>
        <v>9652.71</v>
      </c>
      <c r="F96" s="12" t="n">
        <f aca="false">SUM(FO!F96,PO!F96,CO!F96,FE!F96,PE!F96)</f>
        <v>1174.75</v>
      </c>
      <c r="G96" s="12" t="n">
        <f aca="false">SUM(FO!G96,PO!G96,CO!G96,FE!G96,PE!G96)</f>
        <v>4659.04</v>
      </c>
      <c r="H96" s="12" t="n">
        <f aca="false">SUM(FO!H96,PO!H96,CO!H96,FE!H96,PE!H96)</f>
        <v>561.23</v>
      </c>
      <c r="I96" s="12" t="n">
        <f aca="false">SUM(FO!I96,PO!I96,CO!I96,FE!I96,PE!I96)</f>
        <v>273.43</v>
      </c>
      <c r="J96" s="12" t="n">
        <f aca="false">SUM(FO!J96,PO!J96,CO!J96,FE!J96,PE!J96)</f>
        <v>600</v>
      </c>
      <c r="K96" s="12" t="n">
        <f aca="false">SUM(FO!K96,PO!K96,CO!K96,FE!K96,PE!K96)</f>
        <v>600</v>
      </c>
      <c r="L96" s="12" t="n">
        <f aca="false">SUM(FO!L96,PO!L96,CO!L96,FE!L96,PE!L96)</f>
        <v>600</v>
      </c>
      <c r="M96" s="12" t="n">
        <f aca="false">SUM(FO!M96,PO!M96,CO!M96,FE!M96,PE!M96)</f>
        <v>600</v>
      </c>
      <c r="N96" s="12" t="n">
        <f aca="false">SUM(B96:M96)</f>
        <v>24467.09</v>
      </c>
      <c r="O96" s="24" t="n">
        <f aca="false">IFERROR(N96/N$16,"")</f>
        <v>0.00329570167660799</v>
      </c>
      <c r="P96" s="12"/>
      <c r="Q96" s="12"/>
      <c r="R96" s="12"/>
      <c r="S96" s="12"/>
      <c r="T96" s="12"/>
      <c r="U96" s="12" t="n">
        <f aca="false">SUM(FO!U96,PO!U96,CO!U96,FE!U96,PE!U96)</f>
        <v>500</v>
      </c>
      <c r="V96" s="12" t="n">
        <f aca="false">SUM(FO!V96,PO!V96,CO!V96,FE!V96,PE!V96)</f>
        <v>500</v>
      </c>
      <c r="W96" s="12" t="n">
        <f aca="false">SUM(FO!W96,PO!W96,CO!W96,FE!W96,PE!W96)</f>
        <v>500</v>
      </c>
      <c r="X96" s="12" t="n">
        <f aca="false">SUM(FO!X96,PO!X96,CO!X96,FE!X96,PE!X96)</f>
        <v>500</v>
      </c>
      <c r="Y96" s="12" t="n">
        <f aca="false">SUM(FO!Y96,PO!Y96,CO!Y96,FE!Y96,PE!Y96)</f>
        <v>500</v>
      </c>
      <c r="Z96" s="12" t="n">
        <f aca="false">SUM(FO!Z96,PO!Z96,CO!Z96,FE!Z96,PE!Z96)</f>
        <v>500</v>
      </c>
      <c r="AA96" s="12" t="n">
        <f aca="false">SUM(FO!AA96,PO!AA96,CO!AA96,FE!AA96,PE!AA96)</f>
        <v>500</v>
      </c>
      <c r="AB96" s="12" t="n">
        <f aca="false">SUM(FO!AB96,PO!AB96,CO!AB96,FE!AB96,PE!AB96)</f>
        <v>500</v>
      </c>
      <c r="AC96" s="12" t="n">
        <f aca="false">SUM(FO!AC96,PO!AC96,CO!AC96,FE!AC96,PE!AC96)</f>
        <v>500</v>
      </c>
      <c r="AD96" s="12" t="n">
        <f aca="false">SUM(FO!AD96,PO!AD96,CO!AD96,FE!AD96,PE!AD96)</f>
        <v>500</v>
      </c>
      <c r="AE96" s="12" t="n">
        <f aca="false">SUM(FO!AE96,PO!AE96,CO!AE96,FE!AE96,PE!AE96)</f>
        <v>500</v>
      </c>
      <c r="AF96" s="12" t="n">
        <f aca="false">SUM(FO!AF96,PO!AF96,CO!AF96,FE!AF96,PE!AF96)</f>
        <v>500</v>
      </c>
      <c r="AG96" s="12" t="n">
        <f aca="false">SUM(U96:AF96)</f>
        <v>6000</v>
      </c>
      <c r="AH96" s="24" t="n">
        <f aca="false">IFERROR(AG96/AG$16,"")</f>
        <v>0.000385513791350293</v>
      </c>
      <c r="AI96" s="9"/>
      <c r="AJ96" s="12" t="n">
        <f aca="false">N96-AG96</f>
        <v>18467.09</v>
      </c>
      <c r="AK96" s="9"/>
    </row>
    <row r="97" customFormat="false" ht="13.5" hidden="false" customHeight="true" outlineLevel="0" collapsed="false">
      <c r="A97" s="23" t="s">
        <v>1351</v>
      </c>
      <c r="B97" s="12" t="n">
        <f aca="false">SUM(FO!B97,PO!B97,CO!B97,FE!B97,PE!B97)</f>
        <v>0</v>
      </c>
      <c r="C97" s="12" t="n">
        <f aca="false">SUM(FO!C97,PO!C97,CO!C97,FE!C97,PE!C97)</f>
        <v>0</v>
      </c>
      <c r="D97" s="12" t="n">
        <f aca="false">SUM(FO!D97,PO!D97,CO!D97,FE!D97,PE!D97)</f>
        <v>0</v>
      </c>
      <c r="E97" s="12" t="n">
        <f aca="false">SUM(FO!E97,PO!E97,CO!E97,FE!E97,PE!E97)</f>
        <v>0</v>
      </c>
      <c r="F97" s="12" t="n">
        <f aca="false">SUM(FO!F97,PO!F97,CO!F97,FE!F97,PE!F97)</f>
        <v>0</v>
      </c>
      <c r="G97" s="12" t="n">
        <f aca="false">SUM(FO!G97,PO!G97,CO!G97,FE!G97,PE!G97)</f>
        <v>0</v>
      </c>
      <c r="H97" s="12" t="n">
        <f aca="false">SUM(FO!H97,PO!H97,CO!H97,FE!H97,PE!H97)</f>
        <v>0</v>
      </c>
      <c r="I97" s="12" t="n">
        <f aca="false">SUM(FO!I97,PO!I97,CO!I97,FE!I97,PE!I97)</f>
        <v>0</v>
      </c>
      <c r="J97" s="12" t="n">
        <f aca="false">SUM(FO!J97,PO!J97,CO!J97,FE!J97,PE!J97)</f>
        <v>0</v>
      </c>
      <c r="K97" s="12" t="n">
        <f aca="false">SUM(FO!K97,PO!K97,CO!K97,FE!K97,PE!K97)</f>
        <v>0</v>
      </c>
      <c r="L97" s="12" t="n">
        <f aca="false">SUM(FO!L97,PO!L97,CO!L97,FE!L97,PE!L97)</f>
        <v>0</v>
      </c>
      <c r="M97" s="12" t="n">
        <f aca="false">SUM(FO!M97,PO!M97,CO!M97,FE!M97,PE!M97)</f>
        <v>0</v>
      </c>
      <c r="N97" s="12" t="n">
        <f aca="false">SUM(B97:M97)</f>
        <v>0</v>
      </c>
      <c r="O97" s="24" t="n">
        <f aca="false">IFERROR(N97/N$16,"")</f>
        <v>0</v>
      </c>
      <c r="P97" s="12"/>
      <c r="Q97" s="12"/>
      <c r="R97" s="12"/>
      <c r="S97" s="12"/>
      <c r="T97" s="12"/>
      <c r="U97" s="12" t="n">
        <f aca="false">SUM(FO!U97,PO!U97,CO!U97,FE!U97,PE!U97)</f>
        <v>0</v>
      </c>
      <c r="V97" s="12" t="n">
        <f aca="false">SUM(FO!V97,PO!V97,CO!V97,FE!V97,PE!V97)</f>
        <v>0</v>
      </c>
      <c r="W97" s="12" t="n">
        <f aca="false">SUM(FO!W97,PO!W97,CO!W97,FE!W97,PE!W97)</f>
        <v>0</v>
      </c>
      <c r="X97" s="12" t="n">
        <f aca="false">SUM(FO!X97,PO!X97,CO!X97,FE!X97,PE!X97)</f>
        <v>0</v>
      </c>
      <c r="Y97" s="12" t="n">
        <f aca="false">SUM(FO!Y97,PO!Y97,CO!Y97,FE!Y97,PE!Y97)</f>
        <v>0</v>
      </c>
      <c r="Z97" s="12" t="n">
        <f aca="false">SUM(FO!Z97,PO!Z97,CO!Z97,FE!Z97,PE!Z97)</f>
        <v>0</v>
      </c>
      <c r="AA97" s="12" t="n">
        <f aca="false">SUM(FO!AA97,PO!AA97,CO!AA97,FE!AA97,PE!AA97)</f>
        <v>0</v>
      </c>
      <c r="AB97" s="12" t="n">
        <f aca="false">SUM(FO!AB97,PO!AB97,CO!AB97,FE!AB97,PE!AB97)</f>
        <v>0</v>
      </c>
      <c r="AC97" s="12" t="n">
        <f aca="false">SUM(FO!AC97,PO!AC97,CO!AC97,FE!AC97,PE!AC97)</f>
        <v>0</v>
      </c>
      <c r="AD97" s="12" t="n">
        <f aca="false">SUM(FO!AD97,PO!AD97,CO!AD97,FE!AD97,PE!AD97)</f>
        <v>0</v>
      </c>
      <c r="AE97" s="12" t="n">
        <f aca="false">SUM(FO!AE97,PO!AE97,CO!AE97,FE!AE97,PE!AE97)</f>
        <v>0</v>
      </c>
      <c r="AF97" s="12" t="n">
        <f aca="false">SUM(FO!AF97,PO!AF97,CO!AF97,FE!AF97,PE!AF97)</f>
        <v>0</v>
      </c>
      <c r="AG97" s="12" t="n">
        <f aca="false">SUM(U97:AF97)</f>
        <v>0</v>
      </c>
      <c r="AH97" s="24" t="n">
        <f aca="false">IFERROR(AG97/AG$16,"")</f>
        <v>0</v>
      </c>
      <c r="AI97" s="9"/>
      <c r="AJ97" s="12" t="n">
        <f aca="false">N97-AG97</f>
        <v>0</v>
      </c>
      <c r="AK97" s="9"/>
    </row>
    <row r="98" customFormat="false" ht="13.5" hidden="false" customHeight="true" outlineLevel="0" collapsed="false">
      <c r="A98" s="23" t="s">
        <v>1352</v>
      </c>
      <c r="B98" s="12" t="n">
        <f aca="false">SUM(FO!B98,PO!B98,CO!B98,FE!B98,PE!B98)</f>
        <v>0</v>
      </c>
      <c r="C98" s="12" t="n">
        <f aca="false">SUM(FO!C98,PO!C98,CO!C98,FE!C98,PE!C98)</f>
        <v>0</v>
      </c>
      <c r="D98" s="12" t="n">
        <f aca="false">SUM(FO!D98,PO!D98,CO!D98,FE!D98,PE!D98)</f>
        <v>0</v>
      </c>
      <c r="E98" s="12" t="n">
        <f aca="false">SUM(FO!E98,PO!E98,CO!E98,FE!E98,PE!E98)</f>
        <v>0</v>
      </c>
      <c r="F98" s="12" t="n">
        <f aca="false">SUM(FO!F98,PO!F98,CO!F98,FE!F98,PE!F98)</f>
        <v>0</v>
      </c>
      <c r="G98" s="12" t="n">
        <f aca="false">SUM(FO!G98,PO!G98,CO!G98,FE!G98,PE!G98)</f>
        <v>0</v>
      </c>
      <c r="H98" s="12" t="n">
        <f aca="false">SUM(FO!H98,PO!H98,CO!H98,FE!H98,PE!H98)</f>
        <v>0</v>
      </c>
      <c r="I98" s="12" t="n">
        <f aca="false">SUM(FO!I98,PO!I98,CO!I98,FE!I98,PE!I98)</f>
        <v>0</v>
      </c>
      <c r="J98" s="12" t="n">
        <f aca="false">SUM(FO!J98,PO!J98,CO!J98,FE!J98,PE!J98)</f>
        <v>630000</v>
      </c>
      <c r="K98" s="12" t="n">
        <f aca="false">SUM(FO!K98,PO!K98,CO!K98,FE!K98,PE!K98)</f>
        <v>2000</v>
      </c>
      <c r="L98" s="12" t="n">
        <f aca="false">SUM(FO!L98,PO!L98,CO!L98,FE!L98,PE!L98)</f>
        <v>2000</v>
      </c>
      <c r="M98" s="12" t="n">
        <f aca="false">SUM(FO!M98,PO!M98,CO!M98,FE!M98,PE!M98)</f>
        <v>2000</v>
      </c>
      <c r="N98" s="12" t="n">
        <f aca="false">SUM(B98:M98)</f>
        <v>636000</v>
      </c>
      <c r="O98" s="24" t="n">
        <f aca="false">IFERROR(N98/N$16,"")</f>
        <v>0.0856688010843414</v>
      </c>
      <c r="P98" s="12"/>
      <c r="Q98" s="12"/>
      <c r="R98" s="12"/>
      <c r="S98" s="12"/>
      <c r="T98" s="12"/>
      <c r="U98" s="12" t="n">
        <f aca="false">SUM(FO!U98,PO!U98,CO!U98,FE!U98,PE!U98)</f>
        <v>0</v>
      </c>
      <c r="V98" s="12" t="n">
        <f aca="false">SUM(FO!V98,PO!V98,CO!V98,FE!V98,PE!V98)</f>
        <v>0</v>
      </c>
      <c r="W98" s="12" t="n">
        <f aca="false">SUM(FO!W98,PO!W98,CO!W98,FE!W98,PE!W98)</f>
        <v>0</v>
      </c>
      <c r="X98" s="12" t="n">
        <f aca="false">SUM(FO!X98,PO!X98,CO!X98,FE!X98,PE!X98)</f>
        <v>0</v>
      </c>
      <c r="Y98" s="12" t="n">
        <f aca="false">SUM(FO!Y98,PO!Y98,CO!Y98,FE!Y98,PE!Y98)</f>
        <v>0</v>
      </c>
      <c r="Z98" s="12" t="n">
        <f aca="false">SUM(FO!Z98,PO!Z98,CO!Z98,FE!Z98,PE!Z98)</f>
        <v>0</v>
      </c>
      <c r="AA98" s="12" t="n">
        <f aca="false">SUM(FO!AA98,PO!AA98,CO!AA98,FE!AA98,PE!AA98)</f>
        <v>0</v>
      </c>
      <c r="AB98" s="12" t="n">
        <f aca="false">SUM(FO!AB98,PO!AB98,CO!AB98,FE!AB98,PE!AB98)</f>
        <v>0</v>
      </c>
      <c r="AC98" s="12" t="n">
        <f aca="false">SUM(FO!AC98,PO!AC98,CO!AC98,FE!AC98,PE!AC98)</f>
        <v>0</v>
      </c>
      <c r="AD98" s="12" t="n">
        <f aca="false">SUM(FO!AD98,PO!AD98,CO!AD98,FE!AD98,PE!AD98)</f>
        <v>0</v>
      </c>
      <c r="AE98" s="12" t="n">
        <f aca="false">SUM(FO!AE98,PO!AE98,CO!AE98,FE!AE98,PE!AE98)</f>
        <v>0</v>
      </c>
      <c r="AF98" s="12" t="n">
        <f aca="false">SUM(FO!AF98,PO!AF98,CO!AF98,FE!AF98,PE!AF98)</f>
        <v>0</v>
      </c>
      <c r="AG98" s="12" t="n">
        <f aca="false">SUM(U98:AF98)</f>
        <v>0</v>
      </c>
      <c r="AH98" s="24" t="n">
        <f aca="false">IFERROR(AG98/AG$16,"")</f>
        <v>0</v>
      </c>
      <c r="AI98" s="9"/>
      <c r="AJ98" s="12" t="n">
        <f aca="false">N98-AG98</f>
        <v>636000</v>
      </c>
      <c r="AK98" s="9"/>
    </row>
    <row r="99" customFormat="false" ht="13.5" hidden="false" customHeight="true" outlineLevel="0" collapsed="false">
      <c r="A99" s="23" t="s">
        <v>1353</v>
      </c>
      <c r="B99" s="12" t="n">
        <f aca="false">SUM(FO!B99,PO!B99,CO!B99,FE!B99,PE!B99)</f>
        <v>5040.75</v>
      </c>
      <c r="C99" s="12" t="n">
        <f aca="false">SUM(FO!C99,PO!C99,CO!C99,FE!C99,PE!C99)</f>
        <v>826.9</v>
      </c>
      <c r="D99" s="12" t="n">
        <f aca="false">SUM(FO!D99,PO!D99,CO!D99,FE!D99,PE!D99)</f>
        <v>303.94</v>
      </c>
      <c r="E99" s="12" t="n">
        <f aca="false">SUM(FO!E99,PO!E99,CO!E99,FE!E99,PE!E99)</f>
        <v>557.39</v>
      </c>
      <c r="F99" s="12" t="n">
        <f aca="false">SUM(FO!F99,PO!F99,CO!F99,FE!F99,PE!F99)</f>
        <v>597.8</v>
      </c>
      <c r="G99" s="12" t="n">
        <f aca="false">SUM(FO!G99,PO!G99,CO!G99,FE!G99,PE!G99)</f>
        <v>497.39</v>
      </c>
      <c r="H99" s="12" t="n">
        <f aca="false">SUM(FO!H99,PO!H99,CO!H99,FE!H99,PE!H99)</f>
        <v>573.49</v>
      </c>
      <c r="I99" s="12" t="n">
        <f aca="false">SUM(FO!I99,PO!I99,CO!I99,FE!I99,PE!I99)</f>
        <v>512.64</v>
      </c>
      <c r="J99" s="12" t="n">
        <f aca="false">SUM(FO!J99,PO!J99,CO!J99,FE!J99,PE!J99)</f>
        <v>2210</v>
      </c>
      <c r="K99" s="12" t="n">
        <f aca="false">SUM(FO!K99,PO!K99,CO!K99,FE!K99,PE!K99)</f>
        <v>2210</v>
      </c>
      <c r="L99" s="12" t="n">
        <f aca="false">SUM(FO!L99,PO!L99,CO!L99,FE!L99,PE!L99)</f>
        <v>2210</v>
      </c>
      <c r="M99" s="12" t="n">
        <f aca="false">SUM(FO!M99,PO!M99,CO!M99,FE!M99,PE!M99)</f>
        <v>2210</v>
      </c>
      <c r="N99" s="12" t="n">
        <f aca="false">SUM(B99:M99)</f>
        <v>17750.3</v>
      </c>
      <c r="O99" s="24" t="n">
        <f aca="false">IFERROR(N99/N$16,"")</f>
        <v>0.00239095427655249</v>
      </c>
      <c r="P99" s="12"/>
      <c r="Q99" s="12"/>
      <c r="R99" s="12"/>
      <c r="S99" s="12"/>
      <c r="T99" s="12"/>
      <c r="U99" s="12" t="n">
        <f aca="false">SUM(FO!U99,PO!U99,CO!U99,FE!U99,PE!U99)</f>
        <v>2116.66666666667</v>
      </c>
      <c r="V99" s="12" t="n">
        <f aca="false">SUM(FO!V99,PO!V99,CO!V99,FE!V99,PE!V99)</f>
        <v>2116.66666666667</v>
      </c>
      <c r="W99" s="12" t="n">
        <f aca="false">SUM(FO!W99,PO!W99,CO!W99,FE!W99,PE!W99)</f>
        <v>2116.66666666667</v>
      </c>
      <c r="X99" s="12" t="n">
        <f aca="false">SUM(FO!X99,PO!X99,CO!X99,FE!X99,PE!X99)</f>
        <v>2116.66666666667</v>
      </c>
      <c r="Y99" s="12" t="n">
        <f aca="false">SUM(FO!Y99,PO!Y99,CO!Y99,FE!Y99,PE!Y99)</f>
        <v>2116.66666666667</v>
      </c>
      <c r="Z99" s="12" t="n">
        <f aca="false">SUM(FO!Z99,PO!Z99,CO!Z99,FE!Z99,PE!Z99)</f>
        <v>2116.66666666667</v>
      </c>
      <c r="AA99" s="12" t="n">
        <f aca="false">SUM(FO!AA99,PO!AA99,CO!AA99,FE!AA99,PE!AA99)</f>
        <v>2116.66666666667</v>
      </c>
      <c r="AB99" s="12" t="n">
        <f aca="false">SUM(FO!AB99,PO!AB99,CO!AB99,FE!AB99,PE!AB99)</f>
        <v>2116.66666666667</v>
      </c>
      <c r="AC99" s="12" t="n">
        <f aca="false">SUM(FO!AC99,PO!AC99,CO!AC99,FE!AC99,PE!AC99)</f>
        <v>2116.66666666667</v>
      </c>
      <c r="AD99" s="12" t="n">
        <f aca="false">SUM(FO!AD99,PO!AD99,CO!AD99,FE!AD99,PE!AD99)</f>
        <v>2116.66666666667</v>
      </c>
      <c r="AE99" s="12" t="n">
        <f aca="false">SUM(FO!AE99,PO!AE99,CO!AE99,FE!AE99,PE!AE99)</f>
        <v>2116.66666666667</v>
      </c>
      <c r="AF99" s="12" t="n">
        <f aca="false">SUM(FO!AF99,PO!AF99,CO!AF99,FE!AF99,PE!AF99)</f>
        <v>2116.66666666667</v>
      </c>
      <c r="AG99" s="12" t="n">
        <f aca="false">SUM(U99:AF99)</f>
        <v>25400</v>
      </c>
      <c r="AH99" s="24" t="n">
        <f aca="false">IFERROR(AG99/AG$16,"")</f>
        <v>0.00163200838338291</v>
      </c>
      <c r="AI99" s="9"/>
      <c r="AJ99" s="12" t="n">
        <f aca="false">N99-AG99</f>
        <v>-7649.7</v>
      </c>
      <c r="AK99" s="9"/>
    </row>
    <row r="100" customFormat="false" ht="13.5" hidden="false" customHeight="true" outlineLevel="0" collapsed="false">
      <c r="A100" s="23" t="s">
        <v>1354</v>
      </c>
      <c r="B100" s="12" t="n">
        <f aca="false">SUM(FO!B100,PO!B100,CO!B100,FE!B100,PE!B100)</f>
        <v>0</v>
      </c>
      <c r="C100" s="12" t="n">
        <f aca="false">SUM(FO!C100,PO!C100,CO!C100,FE!C100,PE!C100)</f>
        <v>0</v>
      </c>
      <c r="D100" s="12" t="n">
        <f aca="false">SUM(FO!D100,PO!D100,CO!D100,FE!D100,PE!D100)</f>
        <v>930</v>
      </c>
      <c r="E100" s="12" t="n">
        <f aca="false">SUM(FO!E100,PO!E100,CO!E100,FE!E100,PE!E100)</f>
        <v>450</v>
      </c>
      <c r="F100" s="12" t="n">
        <f aca="false">SUM(FO!F100,PO!F100,CO!F100,FE!F100,PE!F100)</f>
        <v>450</v>
      </c>
      <c r="G100" s="12" t="n">
        <f aca="false">SUM(FO!G100,PO!G100,CO!G100,FE!G100,PE!G100)</f>
        <v>450</v>
      </c>
      <c r="H100" s="12" t="n">
        <f aca="false">SUM(FO!H100,PO!H100,CO!H100,FE!H100,PE!H100)</f>
        <v>450</v>
      </c>
      <c r="I100" s="12" t="n">
        <f aca="false">SUM(FO!I100,PO!I100,CO!I100,FE!I100,PE!I100)</f>
        <v>450</v>
      </c>
      <c r="J100" s="12" t="n">
        <f aca="false">SUM(FO!J100,PO!J100,CO!J100,FE!J100,PE!J100)</f>
        <v>450</v>
      </c>
      <c r="K100" s="12" t="n">
        <f aca="false">SUM(FO!K100,PO!K100,CO!K100,FE!K100,PE!K100)</f>
        <v>450</v>
      </c>
      <c r="L100" s="12" t="n">
        <f aca="false">SUM(FO!L100,PO!L100,CO!L100,FE!L100,PE!L100)</f>
        <v>450</v>
      </c>
      <c r="M100" s="12" t="n">
        <f aca="false">SUM(FO!M100,PO!M100,CO!M100,FE!M100,PE!M100)</f>
        <v>450</v>
      </c>
      <c r="N100" s="12" t="n">
        <f aca="false">SUM(B100:M100)</f>
        <v>4980</v>
      </c>
      <c r="O100" s="24" t="n">
        <f aca="false">IFERROR(N100/N$16,"")</f>
        <v>0.000670802876415126</v>
      </c>
      <c r="P100" s="12"/>
      <c r="Q100" s="12"/>
      <c r="R100" s="12"/>
      <c r="S100" s="12"/>
      <c r="T100" s="12"/>
      <c r="U100" s="12" t="n">
        <f aca="false">SUM(FO!U100,PO!U100,CO!U100,FE!U100,PE!U100)</f>
        <v>0</v>
      </c>
      <c r="V100" s="12" t="n">
        <f aca="false">SUM(FO!V100,PO!V100,CO!V100,FE!V100,PE!V100)</f>
        <v>0</v>
      </c>
      <c r="W100" s="12" t="n">
        <f aca="false">SUM(FO!W100,PO!W100,CO!W100,FE!W100,PE!W100)</f>
        <v>0</v>
      </c>
      <c r="X100" s="12" t="n">
        <f aca="false">SUM(FO!X100,PO!X100,CO!X100,FE!X100,PE!X100)</f>
        <v>0</v>
      </c>
      <c r="Y100" s="12" t="n">
        <f aca="false">SUM(FO!Y100,PO!Y100,CO!Y100,FE!Y100,PE!Y100)</f>
        <v>0</v>
      </c>
      <c r="Z100" s="12" t="n">
        <f aca="false">SUM(FO!Z100,PO!Z100,CO!Z100,FE!Z100,PE!Z100)</f>
        <v>0</v>
      </c>
      <c r="AA100" s="12" t="n">
        <f aca="false">SUM(FO!AA100,PO!AA100,CO!AA100,FE!AA100,PE!AA100)</f>
        <v>0</v>
      </c>
      <c r="AB100" s="12" t="n">
        <f aca="false">SUM(FO!AB100,PO!AB100,CO!AB100,FE!AB100,PE!AB100)</f>
        <v>0</v>
      </c>
      <c r="AC100" s="12" t="n">
        <f aca="false">SUM(FO!AC100,PO!AC100,CO!AC100,FE!AC100,PE!AC100)</f>
        <v>0</v>
      </c>
      <c r="AD100" s="12" t="n">
        <f aca="false">SUM(FO!AD100,PO!AD100,CO!AD100,FE!AD100,PE!AD100)</f>
        <v>0</v>
      </c>
      <c r="AE100" s="12" t="n">
        <f aca="false">SUM(FO!AE100,PO!AE100,CO!AE100,FE!AE100,PE!AE100)</f>
        <v>0</v>
      </c>
      <c r="AF100" s="12" t="n">
        <f aca="false">SUM(FO!AF100,PO!AF100,CO!AF100,FE!AF100,PE!AF100)</f>
        <v>0</v>
      </c>
      <c r="AG100" s="12" t="n">
        <f aca="false">SUM(U100:AF100)</f>
        <v>0</v>
      </c>
      <c r="AH100" s="24" t="n">
        <f aca="false">IFERROR(AG100/AG$16,"")</f>
        <v>0</v>
      </c>
      <c r="AI100" s="9"/>
      <c r="AJ100" s="12" t="n">
        <f aca="false">N100-AG100</f>
        <v>4980</v>
      </c>
      <c r="AK100" s="9"/>
    </row>
    <row r="101" customFormat="false" ht="13.5" hidden="false" customHeight="true" outlineLevel="0" collapsed="false">
      <c r="A101" s="23" t="s">
        <v>1355</v>
      </c>
      <c r="B101" s="12" t="n">
        <f aca="false">SUM(FO!B101,PO!B101,CO!B101,FE!B101,PE!B101)</f>
        <v>2546.7</v>
      </c>
      <c r="C101" s="12" t="n">
        <f aca="false">SUM(FO!C101,PO!C101,CO!C101,FE!C101,PE!C101)</f>
        <v>1667.4</v>
      </c>
      <c r="D101" s="12" t="n">
        <f aca="false">SUM(FO!D101,PO!D101,CO!D101,FE!D101,PE!D101)</f>
        <v>2572.86</v>
      </c>
      <c r="E101" s="12" t="n">
        <f aca="false">SUM(FO!E101,PO!E101,CO!E101,FE!E101,PE!E101)</f>
        <v>2170.39</v>
      </c>
      <c r="F101" s="12" t="n">
        <f aca="false">SUM(FO!F101,PO!F101,CO!F101,FE!F101,PE!F101)</f>
        <v>2114.52</v>
      </c>
      <c r="G101" s="12" t="n">
        <f aca="false">SUM(FO!G101,PO!G101,CO!G101,FE!G101,PE!G101)</f>
        <v>2730.36</v>
      </c>
      <c r="H101" s="12" t="n">
        <f aca="false">SUM(FO!H101,PO!H101,CO!H101,FE!H101,PE!H101)</f>
        <v>2114.51</v>
      </c>
      <c r="I101" s="12" t="n">
        <f aca="false">SUM(FO!I101,PO!I101,CO!I101,FE!I101,PE!I101)</f>
        <v>0</v>
      </c>
      <c r="J101" s="12" t="n">
        <f aca="false">SUM(FO!J101,PO!J101,CO!J101,FE!J101,PE!J101)</f>
        <v>2200</v>
      </c>
      <c r="K101" s="12" t="n">
        <f aca="false">SUM(FO!K101,PO!K101,CO!K101,FE!K101,PE!K101)</f>
        <v>2200</v>
      </c>
      <c r="L101" s="12" t="n">
        <f aca="false">SUM(FO!L101,PO!L101,CO!L101,FE!L101,PE!L101)</f>
        <v>2200</v>
      </c>
      <c r="M101" s="12" t="n">
        <f aca="false">SUM(FO!M101,PO!M101,CO!M101,FE!M101,PE!M101)</f>
        <v>2200</v>
      </c>
      <c r="N101" s="12" t="n">
        <f aca="false">SUM(B101:M101)</f>
        <v>24716.74</v>
      </c>
      <c r="O101" s="24" t="n">
        <f aca="false">IFERROR(N101/N$16,"")</f>
        <v>0.00332932937502105</v>
      </c>
      <c r="P101" s="12"/>
      <c r="Q101" s="12"/>
      <c r="R101" s="12"/>
      <c r="S101" s="12"/>
      <c r="T101" s="12"/>
      <c r="U101" s="12" t="n">
        <f aca="false">SUM(FO!U101,PO!U101,CO!U101,FE!U101,PE!U101)</f>
        <v>4166.66666666667</v>
      </c>
      <c r="V101" s="12" t="n">
        <f aca="false">SUM(FO!V101,PO!V101,CO!V101,FE!V101,PE!V101)</f>
        <v>4166.66666666667</v>
      </c>
      <c r="W101" s="12" t="n">
        <f aca="false">SUM(FO!W101,PO!W101,CO!W101,FE!W101,PE!W101)</f>
        <v>4166.66666666667</v>
      </c>
      <c r="X101" s="12" t="n">
        <f aca="false">SUM(FO!X101,PO!X101,CO!X101,FE!X101,PE!X101)</f>
        <v>4166.66666666667</v>
      </c>
      <c r="Y101" s="12" t="n">
        <f aca="false">SUM(FO!Y101,PO!Y101,CO!Y101,FE!Y101,PE!Y101)</f>
        <v>4166.66666666667</v>
      </c>
      <c r="Z101" s="12" t="n">
        <f aca="false">SUM(FO!Z101,PO!Z101,CO!Z101,FE!Z101,PE!Z101)</f>
        <v>4166.66666666667</v>
      </c>
      <c r="AA101" s="12" t="n">
        <f aca="false">SUM(FO!AA101,PO!AA101,CO!AA101,FE!AA101,PE!AA101)</f>
        <v>4166.66666666667</v>
      </c>
      <c r="AB101" s="12" t="n">
        <f aca="false">SUM(FO!AB101,PO!AB101,CO!AB101,FE!AB101,PE!AB101)</f>
        <v>4166.66666666667</v>
      </c>
      <c r="AC101" s="12" t="n">
        <f aca="false">SUM(FO!AC101,PO!AC101,CO!AC101,FE!AC101,PE!AC101)</f>
        <v>4166.66666666667</v>
      </c>
      <c r="AD101" s="12" t="n">
        <f aca="false">SUM(FO!AD101,PO!AD101,CO!AD101,FE!AD101,PE!AD101)</f>
        <v>4166.66666666667</v>
      </c>
      <c r="AE101" s="12" t="n">
        <f aca="false">SUM(FO!AE101,PO!AE101,CO!AE101,FE!AE101,PE!AE101)</f>
        <v>4166.66666666667</v>
      </c>
      <c r="AF101" s="12" t="n">
        <f aca="false">SUM(FO!AF101,PO!AF101,CO!AF101,FE!AF101,PE!AF101)</f>
        <v>4166.66666666667</v>
      </c>
      <c r="AG101" s="12" t="n">
        <f aca="false">SUM(U101:AF101)</f>
        <v>50000</v>
      </c>
      <c r="AH101" s="24" t="n">
        <f aca="false">IFERROR(AG101/AG$16,"")</f>
        <v>0.00321261492791911</v>
      </c>
      <c r="AI101" s="9"/>
      <c r="AJ101" s="12" t="n">
        <f aca="false">N101-AG101</f>
        <v>-25283.26</v>
      </c>
      <c r="AK101" s="9"/>
    </row>
    <row r="102" customFormat="false" ht="13.5" hidden="false" customHeight="true" outlineLevel="0" collapsed="false">
      <c r="A102" s="23" t="s">
        <v>1356</v>
      </c>
      <c r="B102" s="12" t="n">
        <f aca="false">SUM(FO!B102,PO!B102,CO!B102,FE!B102,PE!B102)</f>
        <v>0</v>
      </c>
      <c r="C102" s="12" t="n">
        <f aca="false">SUM(FO!C102,PO!C102,CO!C102,FE!C102,PE!C102)</f>
        <v>270.16</v>
      </c>
      <c r="D102" s="12" t="n">
        <f aca="false">SUM(FO!D102,PO!D102,CO!D102,FE!D102,PE!D102)</f>
        <v>0</v>
      </c>
      <c r="E102" s="12" t="n">
        <f aca="false">SUM(FO!E102,PO!E102,CO!E102,FE!E102,PE!E102)</f>
        <v>36.2</v>
      </c>
      <c r="F102" s="12" t="n">
        <f aca="false">SUM(FO!F102,PO!F102,CO!F102,FE!F102,PE!F102)</f>
        <v>21.59</v>
      </c>
      <c r="G102" s="12" t="n">
        <f aca="false">SUM(FO!G102,PO!G102,CO!G102,FE!G102,PE!G102)</f>
        <v>10.06</v>
      </c>
      <c r="H102" s="12" t="n">
        <f aca="false">SUM(FO!H102,PO!H102,CO!H102,FE!H102,PE!H102)</f>
        <v>0</v>
      </c>
      <c r="I102" s="12" t="n">
        <f aca="false">SUM(FO!I102,PO!I102,CO!I102,FE!I102,PE!I102)</f>
        <v>238.27</v>
      </c>
      <c r="J102" s="12" t="n">
        <f aca="false">SUM(FO!J102,PO!J102,CO!J102,FE!J102,PE!J102)</f>
        <v>50</v>
      </c>
      <c r="K102" s="12" t="n">
        <f aca="false">SUM(FO!K102,PO!K102,CO!K102,FE!K102,PE!K102)</f>
        <v>50</v>
      </c>
      <c r="L102" s="12" t="n">
        <f aca="false">SUM(FO!L102,PO!L102,CO!L102,FE!L102,PE!L102)</f>
        <v>50</v>
      </c>
      <c r="M102" s="12" t="n">
        <f aca="false">SUM(FO!M102,PO!M102,CO!M102,FE!M102,PE!M102)</f>
        <v>50</v>
      </c>
      <c r="N102" s="12" t="n">
        <f aca="false">SUM(B102:M102)</f>
        <v>776.28</v>
      </c>
      <c r="O102" s="24" t="n">
        <f aca="false">IFERROR(N102/N$16,"")</f>
        <v>0.000104564429097095</v>
      </c>
      <c r="P102" s="12"/>
      <c r="Q102" s="12"/>
      <c r="R102" s="12"/>
      <c r="S102" s="12"/>
      <c r="T102" s="12"/>
      <c r="U102" s="12" t="n">
        <f aca="false">SUM(FO!U102,PO!U102,CO!U102,FE!U102,PE!U102)</f>
        <v>0</v>
      </c>
      <c r="V102" s="12" t="n">
        <f aca="false">SUM(FO!V102,PO!V102,CO!V102,FE!V102,PE!V102)</f>
        <v>0</v>
      </c>
      <c r="W102" s="12" t="n">
        <f aca="false">SUM(FO!W102,PO!W102,CO!W102,FE!W102,PE!W102)</f>
        <v>0</v>
      </c>
      <c r="X102" s="12" t="n">
        <f aca="false">SUM(FO!X102,PO!X102,CO!X102,FE!X102,PE!X102)</f>
        <v>0</v>
      </c>
      <c r="Y102" s="12" t="n">
        <f aca="false">SUM(FO!Y102,PO!Y102,CO!Y102,FE!Y102,PE!Y102)</f>
        <v>0</v>
      </c>
      <c r="Z102" s="12" t="n">
        <f aca="false">SUM(FO!Z102,PO!Z102,CO!Z102,FE!Z102,PE!Z102)</f>
        <v>0</v>
      </c>
      <c r="AA102" s="12" t="n">
        <f aca="false">SUM(FO!AA102,PO!AA102,CO!AA102,FE!AA102,PE!AA102)</f>
        <v>0</v>
      </c>
      <c r="AB102" s="12" t="n">
        <f aca="false">SUM(FO!AB102,PO!AB102,CO!AB102,FE!AB102,PE!AB102)</f>
        <v>0</v>
      </c>
      <c r="AC102" s="12" t="n">
        <f aca="false">SUM(FO!AC102,PO!AC102,CO!AC102,FE!AC102,PE!AC102)</f>
        <v>0</v>
      </c>
      <c r="AD102" s="12" t="n">
        <f aca="false">SUM(FO!AD102,PO!AD102,CO!AD102,FE!AD102,PE!AD102)</f>
        <v>0</v>
      </c>
      <c r="AE102" s="12" t="n">
        <f aca="false">SUM(FO!AE102,PO!AE102,CO!AE102,FE!AE102,PE!AE102)</f>
        <v>0</v>
      </c>
      <c r="AF102" s="12" t="n">
        <f aca="false">SUM(FO!AF102,PO!AF102,CO!AF102,FE!AF102,PE!AF102)</f>
        <v>0</v>
      </c>
      <c r="AG102" s="12" t="n">
        <f aca="false">SUM(U102:AF102)</f>
        <v>0</v>
      </c>
      <c r="AH102" s="24" t="n">
        <f aca="false">IFERROR(AG102/AG$16,"")</f>
        <v>0</v>
      </c>
      <c r="AI102" s="9"/>
      <c r="AJ102" s="12" t="n">
        <f aca="false">N102-AG102</f>
        <v>776.28</v>
      </c>
      <c r="AK102" s="9"/>
    </row>
    <row r="103" customFormat="false" ht="13.5" hidden="false" customHeight="true" outlineLevel="0" collapsed="false">
      <c r="A103" s="23" t="s">
        <v>1357</v>
      </c>
      <c r="B103" s="12" t="n">
        <f aca="false">SUM(FO!B103,PO!B103,CO!B103,FE!B103,PE!B103)</f>
        <v>0</v>
      </c>
      <c r="C103" s="12" t="n">
        <f aca="false">SUM(FO!C103,PO!C103,CO!C103,FE!C103,PE!C103)</f>
        <v>0</v>
      </c>
      <c r="D103" s="12" t="n">
        <f aca="false">SUM(FO!D103,PO!D103,CO!D103,FE!D103,PE!D103)</f>
        <v>0</v>
      </c>
      <c r="E103" s="12" t="n">
        <f aca="false">SUM(FO!E103,PO!E103,CO!E103,FE!E103,PE!E103)</f>
        <v>0</v>
      </c>
      <c r="F103" s="12" t="n">
        <f aca="false">SUM(FO!F103,PO!F103,CO!F103,FE!F103,PE!F103)</f>
        <v>0</v>
      </c>
      <c r="G103" s="12" t="n">
        <f aca="false">SUM(FO!G103,PO!G103,CO!G103,FE!G103,PE!G103)</f>
        <v>0</v>
      </c>
      <c r="H103" s="12" t="n">
        <f aca="false">SUM(FO!H103,PO!H103,CO!H103,FE!H103,PE!H103)</f>
        <v>0</v>
      </c>
      <c r="I103" s="12" t="n">
        <f aca="false">SUM(FO!I103,PO!I103,CO!I103,FE!I103,PE!I103)</f>
        <v>0</v>
      </c>
      <c r="J103" s="12" t="n">
        <f aca="false">SUM(FO!J103,PO!J103,CO!J103,FE!J103,PE!J103)</f>
        <v>0</v>
      </c>
      <c r="K103" s="12" t="n">
        <f aca="false">SUM(FO!K103,PO!K103,CO!K103,FE!K103,PE!K103)</f>
        <v>0</v>
      </c>
      <c r="L103" s="12" t="n">
        <f aca="false">SUM(FO!L103,PO!L103,CO!L103,FE!L103,PE!L103)</f>
        <v>0</v>
      </c>
      <c r="M103" s="12" t="n">
        <f aca="false">SUM(FO!M103,PO!M103,CO!M103,FE!M103,PE!M103)</f>
        <v>0</v>
      </c>
      <c r="N103" s="12" t="n">
        <f aca="false">SUM(B103:M103)</f>
        <v>0</v>
      </c>
      <c r="O103" s="24" t="n">
        <f aca="false">IFERROR(N103/N$16,"")</f>
        <v>0</v>
      </c>
      <c r="P103" s="12"/>
      <c r="Q103" s="12"/>
      <c r="R103" s="12"/>
      <c r="S103" s="12"/>
      <c r="T103" s="12"/>
      <c r="U103" s="12" t="n">
        <f aca="false">SUM(FO!U103,PO!U103,CO!U103,FE!U103,PE!U103)</f>
        <v>0</v>
      </c>
      <c r="V103" s="12" t="n">
        <f aca="false">SUM(FO!V103,PO!V103,CO!V103,FE!V103,PE!V103)</f>
        <v>0</v>
      </c>
      <c r="W103" s="12" t="n">
        <f aca="false">SUM(FO!W103,PO!W103,CO!W103,FE!W103,PE!W103)</f>
        <v>0</v>
      </c>
      <c r="X103" s="12" t="n">
        <f aca="false">SUM(FO!X103,PO!X103,CO!X103,FE!X103,PE!X103)</f>
        <v>0</v>
      </c>
      <c r="Y103" s="12" t="n">
        <f aca="false">SUM(FO!Y103,PO!Y103,CO!Y103,FE!Y103,PE!Y103)</f>
        <v>0</v>
      </c>
      <c r="Z103" s="12" t="n">
        <f aca="false">SUM(FO!Z103,PO!Z103,CO!Z103,FE!Z103,PE!Z103)</f>
        <v>0</v>
      </c>
      <c r="AA103" s="12" t="n">
        <f aca="false">SUM(FO!AA103,PO!AA103,CO!AA103,FE!AA103,PE!AA103)</f>
        <v>0</v>
      </c>
      <c r="AB103" s="12" t="n">
        <f aca="false">SUM(FO!AB103,PO!AB103,CO!AB103,FE!AB103,PE!AB103)</f>
        <v>0</v>
      </c>
      <c r="AC103" s="12" t="n">
        <f aca="false">SUM(FO!AC103,PO!AC103,CO!AC103,FE!AC103,PE!AC103)</f>
        <v>0</v>
      </c>
      <c r="AD103" s="12" t="n">
        <f aca="false">SUM(FO!AD103,PO!AD103,CO!AD103,FE!AD103,PE!AD103)</f>
        <v>0</v>
      </c>
      <c r="AE103" s="12" t="n">
        <f aca="false">SUM(FO!AE103,PO!AE103,CO!AE103,FE!AE103,PE!AE103)</f>
        <v>0</v>
      </c>
      <c r="AF103" s="12" t="n">
        <f aca="false">SUM(FO!AF103,PO!AF103,CO!AF103,FE!AF103,PE!AF103)</f>
        <v>0</v>
      </c>
      <c r="AG103" s="12" t="n">
        <f aca="false">SUM(U103:AF103)</f>
        <v>0</v>
      </c>
      <c r="AH103" s="24" t="n">
        <f aca="false">IFERROR(AG103/AG$16,"")</f>
        <v>0</v>
      </c>
      <c r="AI103" s="9"/>
      <c r="AJ103" s="12" t="n">
        <f aca="false">N103-AG103</f>
        <v>0</v>
      </c>
      <c r="AK103" s="9"/>
    </row>
    <row r="104" customFormat="false" ht="13.5" hidden="false" customHeight="true" outlineLevel="0" collapsed="false">
      <c r="A104" s="23" t="s">
        <v>1358</v>
      </c>
      <c r="B104" s="12" t="n">
        <f aca="false">SUM(FO!B104,PO!B104,CO!B104,FE!B104,PE!B104)</f>
        <v>0</v>
      </c>
      <c r="C104" s="12" t="n">
        <f aca="false">SUM(FO!C104,PO!C104,CO!C104,FE!C104,PE!C104)</f>
        <v>0</v>
      </c>
      <c r="D104" s="12" t="n">
        <f aca="false">SUM(FO!D104,PO!D104,CO!D104,FE!D104,PE!D104)</f>
        <v>0</v>
      </c>
      <c r="E104" s="12" t="n">
        <f aca="false">SUM(FO!E104,PO!E104,CO!E104,FE!E104,PE!E104)</f>
        <v>2070.05</v>
      </c>
      <c r="F104" s="12" t="n">
        <f aca="false">SUM(FO!F104,PO!F104,CO!F104,FE!F104,PE!F104)</f>
        <v>0</v>
      </c>
      <c r="G104" s="12" t="n">
        <f aca="false">SUM(FO!G104,PO!G104,CO!G104,FE!G104,PE!G104)</f>
        <v>676.49</v>
      </c>
      <c r="H104" s="12" t="n">
        <f aca="false">SUM(FO!H104,PO!H104,CO!H104,FE!H104,PE!H104)</f>
        <v>0</v>
      </c>
      <c r="I104" s="12" t="n">
        <f aca="false">SUM(FO!I104,PO!I104,CO!I104,FE!I104,PE!I104)</f>
        <v>0</v>
      </c>
      <c r="J104" s="12" t="n">
        <f aca="false">SUM(FO!J104,PO!J104,CO!J104,FE!J104,PE!J104)</f>
        <v>0</v>
      </c>
      <c r="K104" s="12" t="n">
        <f aca="false">SUM(FO!K104,PO!K104,CO!K104,FE!K104,PE!K104)</f>
        <v>0</v>
      </c>
      <c r="L104" s="12" t="n">
        <f aca="false">SUM(FO!L104,PO!L104,CO!L104,FE!L104,PE!L104)</f>
        <v>0</v>
      </c>
      <c r="M104" s="12" t="n">
        <f aca="false">SUM(FO!M104,PO!M104,CO!M104,FE!M104,PE!M104)</f>
        <v>0</v>
      </c>
      <c r="N104" s="12" t="n">
        <f aca="false">SUM(B104:M104)</f>
        <v>2746.54</v>
      </c>
      <c r="O104" s="24" t="n">
        <f aca="false">IFERROR(N104/N$16,"")</f>
        <v>0.000369957215299036</v>
      </c>
      <c r="P104" s="12"/>
      <c r="Q104" s="12"/>
      <c r="R104" s="12"/>
      <c r="S104" s="12"/>
      <c r="T104" s="12"/>
      <c r="U104" s="12" t="n">
        <f aca="false">SUM(FO!U104,PO!U104,CO!U104,FE!U104,PE!U104)</f>
        <v>0</v>
      </c>
      <c r="V104" s="12" t="n">
        <f aca="false">SUM(FO!V104,PO!V104,CO!V104,FE!V104,PE!V104)</f>
        <v>0</v>
      </c>
      <c r="W104" s="12" t="n">
        <f aca="false">SUM(FO!W104,PO!W104,CO!W104,FE!W104,PE!W104)</f>
        <v>0</v>
      </c>
      <c r="X104" s="12" t="n">
        <f aca="false">SUM(FO!X104,PO!X104,CO!X104,FE!X104,PE!X104)</f>
        <v>0</v>
      </c>
      <c r="Y104" s="12" t="n">
        <f aca="false">SUM(FO!Y104,PO!Y104,CO!Y104,FE!Y104,PE!Y104)</f>
        <v>0</v>
      </c>
      <c r="Z104" s="12" t="n">
        <f aca="false">SUM(FO!Z104,PO!Z104,CO!Z104,FE!Z104,PE!Z104)</f>
        <v>0</v>
      </c>
      <c r="AA104" s="12" t="n">
        <f aca="false">SUM(FO!AA104,PO!AA104,CO!AA104,FE!AA104,PE!AA104)</f>
        <v>0</v>
      </c>
      <c r="AB104" s="12" t="n">
        <f aca="false">SUM(FO!AB104,PO!AB104,CO!AB104,FE!AB104,PE!AB104)</f>
        <v>0</v>
      </c>
      <c r="AC104" s="12" t="n">
        <f aca="false">SUM(FO!AC104,PO!AC104,CO!AC104,FE!AC104,PE!AC104)</f>
        <v>0</v>
      </c>
      <c r="AD104" s="12" t="n">
        <f aca="false">SUM(FO!AD104,PO!AD104,CO!AD104,FE!AD104,PE!AD104)</f>
        <v>0</v>
      </c>
      <c r="AE104" s="12" t="n">
        <f aca="false">SUM(FO!AE104,PO!AE104,CO!AE104,FE!AE104,PE!AE104)</f>
        <v>0</v>
      </c>
      <c r="AF104" s="12" t="n">
        <f aca="false">SUM(FO!AF104,PO!AF104,CO!AF104,FE!AF104,PE!AF104)</f>
        <v>0</v>
      </c>
      <c r="AG104" s="12" t="n">
        <f aca="false">SUM(U104:AF104)</f>
        <v>0</v>
      </c>
      <c r="AH104" s="24" t="n">
        <f aca="false">IFERROR(AG104/AG$16,"")</f>
        <v>0</v>
      </c>
      <c r="AI104" s="9"/>
      <c r="AJ104" s="12" t="n">
        <f aca="false">N104-AG104</f>
        <v>2746.54</v>
      </c>
      <c r="AK104" s="9"/>
    </row>
    <row r="105" customFormat="false" ht="13.5" hidden="false" customHeight="true" outlineLevel="0" collapsed="false">
      <c r="A105" s="23" t="s">
        <v>1359</v>
      </c>
      <c r="B105" s="12" t="n">
        <f aca="false">SUM(FO!B105,PO!B105,CO!B105,FE!B105,PE!B105)</f>
        <v>0</v>
      </c>
      <c r="C105" s="12" t="n">
        <f aca="false">SUM(FO!C105,PO!C105,CO!C105,FE!C105,PE!C105)</f>
        <v>0</v>
      </c>
      <c r="D105" s="12" t="n">
        <f aca="false">SUM(FO!D105,PO!D105,CO!D105,FE!D105,PE!D105)</f>
        <v>0</v>
      </c>
      <c r="E105" s="12" t="n">
        <f aca="false">SUM(FO!E105,PO!E105,CO!E105,FE!E105,PE!E105)</f>
        <v>0</v>
      </c>
      <c r="F105" s="12" t="n">
        <f aca="false">SUM(FO!F105,PO!F105,CO!F105,FE!F105,PE!F105)</f>
        <v>0</v>
      </c>
      <c r="G105" s="12" t="n">
        <f aca="false">SUM(FO!G105,PO!G105,CO!G105,FE!G105,PE!G105)</f>
        <v>0</v>
      </c>
      <c r="H105" s="12" t="n">
        <f aca="false">SUM(FO!H105,PO!H105,CO!H105,FE!H105,PE!H105)</f>
        <v>0</v>
      </c>
      <c r="I105" s="12" t="n">
        <f aca="false">SUM(FO!I105,PO!I105,CO!I105,FE!I105,PE!I105)</f>
        <v>0</v>
      </c>
      <c r="J105" s="12" t="n">
        <f aca="false">SUM(FO!J105,PO!J105,CO!J105,FE!J105,PE!J105)</f>
        <v>0</v>
      </c>
      <c r="K105" s="12" t="n">
        <f aca="false">SUM(FO!K105,PO!K105,CO!K105,FE!K105,PE!K105)</f>
        <v>0</v>
      </c>
      <c r="L105" s="12" t="n">
        <f aca="false">SUM(FO!L105,PO!L105,CO!L105,FE!L105,PE!L105)</f>
        <v>0</v>
      </c>
      <c r="M105" s="12" t="n">
        <f aca="false">SUM(FO!M105,PO!M105,CO!M105,FE!M105,PE!M105)</f>
        <v>0</v>
      </c>
      <c r="N105" s="12" t="n">
        <f aca="false">SUM(B105:M105)</f>
        <v>0</v>
      </c>
      <c r="O105" s="24" t="n">
        <f aca="false">IFERROR(N105/N$16,"")</f>
        <v>0</v>
      </c>
      <c r="P105" s="12"/>
      <c r="Q105" s="12"/>
      <c r="R105" s="12"/>
      <c r="S105" s="12"/>
      <c r="T105" s="12"/>
      <c r="U105" s="12" t="n">
        <f aca="false">SUM(FO!U105,PO!U105,CO!U105,FE!U105,PE!U105)</f>
        <v>0</v>
      </c>
      <c r="V105" s="12" t="n">
        <f aca="false">SUM(FO!V105,PO!V105,CO!V105,FE!V105,PE!V105)</f>
        <v>0</v>
      </c>
      <c r="W105" s="12" t="n">
        <f aca="false">SUM(FO!W105,PO!W105,CO!W105,FE!W105,PE!W105)</f>
        <v>0</v>
      </c>
      <c r="X105" s="12" t="n">
        <f aca="false">SUM(FO!X105,PO!X105,CO!X105,FE!X105,PE!X105)</f>
        <v>0</v>
      </c>
      <c r="Y105" s="12" t="n">
        <f aca="false">SUM(FO!Y105,PO!Y105,CO!Y105,FE!Y105,PE!Y105)</f>
        <v>0</v>
      </c>
      <c r="Z105" s="12" t="n">
        <f aca="false">SUM(FO!Z105,PO!Z105,CO!Z105,FE!Z105,PE!Z105)</f>
        <v>0</v>
      </c>
      <c r="AA105" s="12" t="n">
        <f aca="false">SUM(FO!AA105,PO!AA105,CO!AA105,FE!AA105,PE!AA105)</f>
        <v>0</v>
      </c>
      <c r="AB105" s="12" t="n">
        <f aca="false">SUM(FO!AB105,PO!AB105,CO!AB105,FE!AB105,PE!AB105)</f>
        <v>0</v>
      </c>
      <c r="AC105" s="12" t="n">
        <f aca="false">SUM(FO!AC105,PO!AC105,CO!AC105,FE!AC105,PE!AC105)</f>
        <v>0</v>
      </c>
      <c r="AD105" s="12" t="n">
        <f aca="false">SUM(FO!AD105,PO!AD105,CO!AD105,FE!AD105,PE!AD105)</f>
        <v>0</v>
      </c>
      <c r="AE105" s="12" t="n">
        <f aca="false">SUM(FO!AE105,PO!AE105,CO!AE105,FE!AE105,PE!AE105)</f>
        <v>0</v>
      </c>
      <c r="AF105" s="12" t="n">
        <f aca="false">SUM(FO!AF105,PO!AF105,CO!AF105,FE!AF105,PE!AF105)</f>
        <v>0</v>
      </c>
      <c r="AG105" s="12" t="n">
        <f aca="false">SUM(U105:AF105)</f>
        <v>0</v>
      </c>
      <c r="AH105" s="24" t="n">
        <f aca="false">IFERROR(AG105/AG$16,"")</f>
        <v>0</v>
      </c>
      <c r="AI105" s="9"/>
      <c r="AJ105" s="12" t="n">
        <f aca="false">N105-AG105</f>
        <v>0</v>
      </c>
      <c r="AK105" s="9"/>
    </row>
    <row r="106" customFormat="false" ht="13.5" hidden="false" customHeight="true" outlineLevel="0" collapsed="false">
      <c r="A106" s="23" t="s">
        <v>1360</v>
      </c>
      <c r="B106" s="12" t="n">
        <f aca="false">SUM(FO!B106,PO!B106,CO!B106,FE!B106,PE!B106)</f>
        <v>2271</v>
      </c>
      <c r="C106" s="12" t="n">
        <f aca="false">SUM(FO!C106,PO!C106,CO!C106,FE!C106,PE!C106)</f>
        <v>10588.35</v>
      </c>
      <c r="D106" s="12" t="n">
        <f aca="false">SUM(FO!D106,PO!D106,CO!D106,FE!D106,PE!D106)</f>
        <v>4997.13</v>
      </c>
      <c r="E106" s="12" t="n">
        <f aca="false">SUM(FO!E106,PO!E106,CO!E106,FE!E106,PE!E106)</f>
        <v>6587.76</v>
      </c>
      <c r="F106" s="12" t="n">
        <f aca="false">SUM(FO!F106,PO!F106,CO!F106,FE!F106,PE!F106)</f>
        <v>526.42</v>
      </c>
      <c r="G106" s="12" t="n">
        <f aca="false">SUM(FO!G106,PO!G106,CO!G106,FE!G106,PE!G106)</f>
        <v>0</v>
      </c>
      <c r="H106" s="12" t="n">
        <f aca="false">SUM(FO!H106,PO!H106,CO!H106,FE!H106,PE!H106)</f>
        <v>150</v>
      </c>
      <c r="I106" s="12" t="n">
        <f aca="false">SUM(FO!I106,PO!I106,CO!I106,FE!I106,PE!I106)</f>
        <v>2590.92</v>
      </c>
      <c r="J106" s="12" t="n">
        <f aca="false">SUM(FO!J106,PO!J106,CO!J106,FE!J106,PE!J106)</f>
        <v>4000</v>
      </c>
      <c r="K106" s="12" t="n">
        <f aca="false">SUM(FO!K106,PO!K106,CO!K106,FE!K106,PE!K106)</f>
        <v>6500</v>
      </c>
      <c r="L106" s="12" t="n">
        <f aca="false">SUM(FO!L106,PO!L106,CO!L106,FE!L106,PE!L106)</f>
        <v>6500</v>
      </c>
      <c r="M106" s="12" t="n">
        <f aca="false">SUM(FO!M106,PO!M106,CO!M106,FE!M106,PE!M106)</f>
        <v>6500</v>
      </c>
      <c r="N106" s="12" t="n">
        <f aca="false">SUM(B106:M106)</f>
        <v>51211.58</v>
      </c>
      <c r="O106" s="24" t="n">
        <f aca="false">IFERROR(N106/N$16,"")</f>
        <v>0.00689816770477176</v>
      </c>
      <c r="P106" s="12"/>
      <c r="Q106" s="12"/>
      <c r="R106" s="12"/>
      <c r="S106" s="12"/>
      <c r="T106" s="12"/>
      <c r="U106" s="12" t="n">
        <f aca="false">SUM(FO!U106,PO!U106,CO!U106,FE!U106,PE!U106)</f>
        <v>0</v>
      </c>
      <c r="V106" s="12" t="n">
        <f aca="false">SUM(FO!V106,PO!V106,CO!V106,FE!V106,PE!V106)</f>
        <v>0</v>
      </c>
      <c r="W106" s="12" t="n">
        <f aca="false">SUM(FO!W106,PO!W106,CO!W106,FE!W106,PE!W106)</f>
        <v>0</v>
      </c>
      <c r="X106" s="12" t="n">
        <f aca="false">SUM(FO!X106,PO!X106,CO!X106,FE!X106,PE!X106)</f>
        <v>0</v>
      </c>
      <c r="Y106" s="12" t="n">
        <f aca="false">SUM(FO!Y106,PO!Y106,CO!Y106,FE!Y106,PE!Y106)</f>
        <v>0</v>
      </c>
      <c r="Z106" s="12" t="n">
        <f aca="false">SUM(FO!Z106,PO!Z106,CO!Z106,FE!Z106,PE!Z106)</f>
        <v>0</v>
      </c>
      <c r="AA106" s="12" t="n">
        <f aca="false">SUM(FO!AA106,PO!AA106,CO!AA106,FE!AA106,PE!AA106)</f>
        <v>0</v>
      </c>
      <c r="AB106" s="12" t="n">
        <f aca="false">SUM(FO!AB106,PO!AB106,CO!AB106,FE!AB106,PE!AB106)</f>
        <v>0</v>
      </c>
      <c r="AC106" s="12" t="n">
        <f aca="false">SUM(FO!AC106,PO!AC106,CO!AC106,FE!AC106,PE!AC106)</f>
        <v>0</v>
      </c>
      <c r="AD106" s="12" t="n">
        <f aca="false">SUM(FO!AD106,PO!AD106,CO!AD106,FE!AD106,PE!AD106)</f>
        <v>0</v>
      </c>
      <c r="AE106" s="12" t="n">
        <f aca="false">SUM(FO!AE106,PO!AE106,CO!AE106,FE!AE106,PE!AE106)</f>
        <v>0</v>
      </c>
      <c r="AF106" s="12" t="n">
        <f aca="false">SUM(FO!AF106,PO!AF106,CO!AF106,FE!AF106,PE!AF106)</f>
        <v>0</v>
      </c>
      <c r="AG106" s="12" t="n">
        <f aca="false">SUM(U106:AF106)</f>
        <v>0</v>
      </c>
      <c r="AH106" s="24" t="n">
        <f aca="false">IFERROR(AG106/AG$16,"")</f>
        <v>0</v>
      </c>
      <c r="AI106" s="9"/>
      <c r="AJ106" s="12" t="n">
        <f aca="false">N106-AG106</f>
        <v>51211.58</v>
      </c>
      <c r="AK106" s="9"/>
    </row>
    <row r="107" customFormat="false" ht="13.5" hidden="false" customHeight="true" outlineLevel="0" collapsed="false">
      <c r="A107" s="23" t="s">
        <v>1361</v>
      </c>
      <c r="B107" s="12" t="n">
        <f aca="false">SUM(FO!B107,PO!B107,CO!B107,FE!B107,PE!B107)</f>
        <v>4830.25</v>
      </c>
      <c r="C107" s="12" t="n">
        <f aca="false">SUM(FO!C107,PO!C107,CO!C107,FE!C107,PE!C107)</f>
        <v>5363.35</v>
      </c>
      <c r="D107" s="12" t="n">
        <f aca="false">SUM(FO!D107,PO!D107,CO!D107,FE!D107,PE!D107)</f>
        <v>4304.45</v>
      </c>
      <c r="E107" s="12" t="n">
        <f aca="false">SUM(FO!E107,PO!E107,CO!E107,FE!E107,PE!E107)</f>
        <v>4118.95</v>
      </c>
      <c r="F107" s="12" t="n">
        <f aca="false">SUM(FO!F107,PO!F107,CO!F107,FE!F107,PE!F107)</f>
        <v>5555.2</v>
      </c>
      <c r="G107" s="12" t="n">
        <f aca="false">SUM(FO!G107,PO!G107,CO!G107,FE!G107,PE!G107)</f>
        <v>4469.11</v>
      </c>
      <c r="H107" s="12" t="n">
        <f aca="false">SUM(FO!H107,PO!H107,CO!H107,FE!H107,PE!H107)</f>
        <v>0</v>
      </c>
      <c r="I107" s="12" t="n">
        <f aca="false">SUM(FO!I107,PO!I107,CO!I107,FE!I107,PE!I107)</f>
        <v>7531.48</v>
      </c>
      <c r="J107" s="12" t="n">
        <f aca="false">SUM(FO!J107,PO!J107,CO!J107,FE!J107,PE!J107)</f>
        <v>4800</v>
      </c>
      <c r="K107" s="12" t="n">
        <f aca="false">SUM(FO!K107,PO!K107,CO!K107,FE!K107,PE!K107)</f>
        <v>4800</v>
      </c>
      <c r="L107" s="12" t="n">
        <f aca="false">SUM(FO!L107,PO!L107,CO!L107,FE!L107,PE!L107)</f>
        <v>4800</v>
      </c>
      <c r="M107" s="12" t="n">
        <f aca="false">SUM(FO!M107,PO!M107,CO!M107,FE!M107,PE!M107)</f>
        <v>4800</v>
      </c>
      <c r="N107" s="12" t="n">
        <f aca="false">SUM(B107:M107)</f>
        <v>55372.79</v>
      </c>
      <c r="O107" s="24" t="n">
        <f aca="false">IFERROR(N107/N$16,"")</f>
        <v>0.00745868008175316</v>
      </c>
      <c r="P107" s="12"/>
      <c r="Q107" s="12"/>
      <c r="R107" s="12"/>
      <c r="S107" s="12"/>
      <c r="T107" s="12"/>
      <c r="U107" s="12" t="n">
        <f aca="false">SUM(FO!U107,PO!U107,CO!U107,FE!U107,PE!U107)</f>
        <v>5000</v>
      </c>
      <c r="V107" s="12" t="n">
        <f aca="false">SUM(FO!V107,PO!V107,CO!V107,FE!V107,PE!V107)</f>
        <v>5000</v>
      </c>
      <c r="W107" s="12" t="n">
        <f aca="false">SUM(FO!W107,PO!W107,CO!W107,FE!W107,PE!W107)</f>
        <v>5000</v>
      </c>
      <c r="X107" s="12" t="n">
        <f aca="false">SUM(FO!X107,PO!X107,CO!X107,FE!X107,PE!X107)</f>
        <v>5000</v>
      </c>
      <c r="Y107" s="12" t="n">
        <f aca="false">SUM(FO!Y107,PO!Y107,CO!Y107,FE!Y107,PE!Y107)</f>
        <v>5000</v>
      </c>
      <c r="Z107" s="12" t="n">
        <f aca="false">SUM(FO!Z107,PO!Z107,CO!Z107,FE!Z107,PE!Z107)</f>
        <v>5000</v>
      </c>
      <c r="AA107" s="12" t="n">
        <f aca="false">SUM(FO!AA107,PO!AA107,CO!AA107,FE!AA107,PE!AA107)</f>
        <v>5000</v>
      </c>
      <c r="AB107" s="12" t="n">
        <f aca="false">SUM(FO!AB107,PO!AB107,CO!AB107,FE!AB107,PE!AB107)</f>
        <v>5000</v>
      </c>
      <c r="AC107" s="12" t="n">
        <f aca="false">SUM(FO!AC107,PO!AC107,CO!AC107,FE!AC107,PE!AC107)</f>
        <v>5000</v>
      </c>
      <c r="AD107" s="12" t="n">
        <f aca="false">SUM(FO!AD107,PO!AD107,CO!AD107,FE!AD107,PE!AD107)</f>
        <v>5000</v>
      </c>
      <c r="AE107" s="12" t="n">
        <f aca="false">SUM(FO!AE107,PO!AE107,CO!AE107,FE!AE107,PE!AE107)</f>
        <v>5000</v>
      </c>
      <c r="AF107" s="12" t="n">
        <f aca="false">SUM(FO!AF107,PO!AF107,CO!AF107,FE!AF107,PE!AF107)</f>
        <v>5000</v>
      </c>
      <c r="AG107" s="12" t="n">
        <f aca="false">SUM(U107:AF107)</f>
        <v>60000</v>
      </c>
      <c r="AH107" s="24" t="n">
        <f aca="false">IFERROR(AG107/AG$16,"")</f>
        <v>0.00385513791350293</v>
      </c>
      <c r="AI107" s="9"/>
      <c r="AJ107" s="12" t="n">
        <f aca="false">N107-AG107</f>
        <v>-4627.21</v>
      </c>
      <c r="AK107" s="9"/>
    </row>
    <row r="108" customFormat="false" ht="13.5" hidden="false" customHeight="true" outlineLevel="0" collapsed="false">
      <c r="A108" s="23" t="s">
        <v>1362</v>
      </c>
      <c r="B108" s="12" t="n">
        <f aca="false">SUM(FO!B108,PO!B108,CO!B108,FE!B108,PE!B108)</f>
        <v>0</v>
      </c>
      <c r="C108" s="12" t="n">
        <f aca="false">SUM(FO!C108,PO!C108,CO!C108,FE!C108,PE!C108)</f>
        <v>0</v>
      </c>
      <c r="D108" s="12" t="n">
        <f aca="false">SUM(FO!D108,PO!D108,CO!D108,FE!D108,PE!D108)</f>
        <v>0</v>
      </c>
      <c r="E108" s="12" t="n">
        <f aca="false">SUM(FO!E108,PO!E108,CO!E108,FE!E108,PE!E108)</f>
        <v>0</v>
      </c>
      <c r="F108" s="12" t="n">
        <f aca="false">SUM(FO!F108,PO!F108,CO!F108,FE!F108,PE!F108)</f>
        <v>0</v>
      </c>
      <c r="G108" s="12" t="n">
        <f aca="false">SUM(FO!G108,PO!G108,CO!G108,FE!G108,PE!G108)</f>
        <v>0</v>
      </c>
      <c r="H108" s="12" t="n">
        <f aca="false">SUM(FO!H108,PO!H108,CO!H108,FE!H108,PE!H108)</f>
        <v>0</v>
      </c>
      <c r="I108" s="12" t="n">
        <f aca="false">SUM(FO!I108,PO!I108,CO!I108,FE!I108,PE!I108)</f>
        <v>0</v>
      </c>
      <c r="J108" s="12" t="n">
        <f aca="false">SUM(FO!J108,PO!J108,CO!J108,FE!J108,PE!J108)</f>
        <v>0</v>
      </c>
      <c r="K108" s="12" t="n">
        <f aca="false">SUM(FO!K108,PO!K108,CO!K108,FE!K108,PE!K108)</f>
        <v>0</v>
      </c>
      <c r="L108" s="12" t="n">
        <f aca="false">SUM(FO!L108,PO!L108,CO!L108,FE!L108,PE!L108)</f>
        <v>0</v>
      </c>
      <c r="M108" s="12" t="n">
        <f aca="false">SUM(FO!M108,PO!M108,CO!M108,FE!M108,PE!M108)</f>
        <v>0</v>
      </c>
      <c r="N108" s="12" t="n">
        <f aca="false">SUM(B108:M108)</f>
        <v>0</v>
      </c>
      <c r="O108" s="24" t="n">
        <f aca="false">IFERROR(N108/N$16,"")</f>
        <v>0</v>
      </c>
      <c r="P108" s="12"/>
      <c r="Q108" s="12"/>
      <c r="R108" s="12"/>
      <c r="S108" s="12"/>
      <c r="T108" s="12"/>
      <c r="U108" s="12" t="n">
        <f aca="false">SUM(FO!U108,PO!U108,CO!U108,FE!U108,PE!U108)</f>
        <v>0</v>
      </c>
      <c r="V108" s="12" t="n">
        <f aca="false">SUM(FO!V108,PO!V108,CO!V108,FE!V108,PE!V108)</f>
        <v>0</v>
      </c>
      <c r="W108" s="12" t="n">
        <f aca="false">SUM(FO!W108,PO!W108,CO!W108,FE!W108,PE!W108)</f>
        <v>0</v>
      </c>
      <c r="X108" s="12" t="n">
        <f aca="false">SUM(FO!X108,PO!X108,CO!X108,FE!X108,PE!X108)</f>
        <v>0</v>
      </c>
      <c r="Y108" s="12" t="n">
        <f aca="false">SUM(FO!Y108,PO!Y108,CO!Y108,FE!Y108,PE!Y108)</f>
        <v>0</v>
      </c>
      <c r="Z108" s="12" t="n">
        <f aca="false">SUM(FO!Z108,PO!Z108,CO!Z108,FE!Z108,PE!Z108)</f>
        <v>0</v>
      </c>
      <c r="AA108" s="12" t="n">
        <f aca="false">SUM(FO!AA108,PO!AA108,CO!AA108,FE!AA108,PE!AA108)</f>
        <v>0</v>
      </c>
      <c r="AB108" s="12" t="n">
        <f aca="false">SUM(FO!AB108,PO!AB108,CO!AB108,FE!AB108,PE!AB108)</f>
        <v>0</v>
      </c>
      <c r="AC108" s="12" t="n">
        <f aca="false">SUM(FO!AC108,PO!AC108,CO!AC108,FE!AC108,PE!AC108)</f>
        <v>0</v>
      </c>
      <c r="AD108" s="12" t="n">
        <f aca="false">SUM(FO!AD108,PO!AD108,CO!AD108,FE!AD108,PE!AD108)</f>
        <v>0</v>
      </c>
      <c r="AE108" s="12" t="n">
        <f aca="false">SUM(FO!AE108,PO!AE108,CO!AE108,FE!AE108,PE!AE108)</f>
        <v>0</v>
      </c>
      <c r="AF108" s="12" t="n">
        <f aca="false">SUM(FO!AF108,PO!AF108,CO!AF108,FE!AF108,PE!AF108)</f>
        <v>0</v>
      </c>
      <c r="AG108" s="12" t="n">
        <f aca="false">SUM(U108:AF108)</f>
        <v>0</v>
      </c>
      <c r="AH108" s="24" t="n">
        <f aca="false">IFERROR(AG108/AG$16,"")</f>
        <v>0</v>
      </c>
      <c r="AI108" s="9"/>
      <c r="AJ108" s="12" t="n">
        <f aca="false">N108-AG108</f>
        <v>0</v>
      </c>
      <c r="AK108" s="9"/>
    </row>
    <row r="109" customFormat="false" ht="13.5" hidden="false" customHeight="true" outlineLevel="0" collapsed="false">
      <c r="A109" s="23" t="s">
        <v>1363</v>
      </c>
      <c r="B109" s="12" t="n">
        <f aca="false">SUM(FO!B109,PO!B109,CO!B109,FE!B109,PE!B109)</f>
        <v>0</v>
      </c>
      <c r="C109" s="12" t="n">
        <f aca="false">SUM(FO!C109,PO!C109,CO!C109,FE!C109,PE!C109)</f>
        <v>0</v>
      </c>
      <c r="D109" s="12" t="n">
        <f aca="false">SUM(FO!D109,PO!D109,CO!D109,FE!D109,PE!D109)</f>
        <v>0</v>
      </c>
      <c r="E109" s="12" t="n">
        <f aca="false">SUM(FO!E109,PO!E109,CO!E109,FE!E109,PE!E109)</f>
        <v>0</v>
      </c>
      <c r="F109" s="12" t="n">
        <f aca="false">SUM(FO!F109,PO!F109,CO!F109,FE!F109,PE!F109)</f>
        <v>0</v>
      </c>
      <c r="G109" s="12" t="n">
        <f aca="false">SUM(FO!G109,PO!G109,CO!G109,FE!G109,PE!G109)</f>
        <v>0</v>
      </c>
      <c r="H109" s="12" t="n">
        <f aca="false">SUM(FO!H109,PO!H109,CO!H109,FE!H109,PE!H109)</f>
        <v>0</v>
      </c>
      <c r="I109" s="12" t="n">
        <f aca="false">SUM(FO!I109,PO!I109,CO!I109,FE!I109,PE!I109)</f>
        <v>0</v>
      </c>
      <c r="J109" s="12" t="n">
        <f aca="false">SUM(FO!J109,PO!J109,CO!J109,FE!J109,PE!J109)</f>
        <v>0</v>
      </c>
      <c r="K109" s="12" t="n">
        <f aca="false">SUM(FO!K109,PO!K109,CO!K109,FE!K109,PE!K109)</f>
        <v>0</v>
      </c>
      <c r="L109" s="12" t="n">
        <f aca="false">SUM(FO!L109,PO!L109,CO!L109,FE!L109,PE!L109)</f>
        <v>0</v>
      </c>
      <c r="M109" s="12" t="n">
        <f aca="false">SUM(FO!M109,PO!M109,CO!M109,FE!M109,PE!M109)</f>
        <v>0</v>
      </c>
      <c r="N109" s="12" t="n">
        <f aca="false">SUM(B109:M109)</f>
        <v>0</v>
      </c>
      <c r="O109" s="24" t="n">
        <f aca="false">IFERROR(N109/N$16,"")</f>
        <v>0</v>
      </c>
      <c r="P109" s="12"/>
      <c r="Q109" s="12"/>
      <c r="R109" s="12"/>
      <c r="S109" s="12"/>
      <c r="T109" s="12"/>
      <c r="U109" s="12" t="n">
        <f aca="false">SUM(FO!U109,PO!U109,CO!U109,FE!U109,PE!U109)</f>
        <v>0</v>
      </c>
      <c r="V109" s="12" t="n">
        <f aca="false">SUM(FO!V109,PO!V109,CO!V109,FE!V109,PE!V109)</f>
        <v>0</v>
      </c>
      <c r="W109" s="12" t="n">
        <f aca="false">SUM(FO!W109,PO!W109,CO!W109,FE!W109,PE!W109)</f>
        <v>0</v>
      </c>
      <c r="X109" s="12" t="n">
        <f aca="false">SUM(FO!X109,PO!X109,CO!X109,FE!X109,PE!X109)</f>
        <v>0</v>
      </c>
      <c r="Y109" s="12" t="n">
        <f aca="false">SUM(FO!Y109,PO!Y109,CO!Y109,FE!Y109,PE!Y109)</f>
        <v>0</v>
      </c>
      <c r="Z109" s="12" t="n">
        <f aca="false">SUM(FO!Z109,PO!Z109,CO!Z109,FE!Z109,PE!Z109)</f>
        <v>0</v>
      </c>
      <c r="AA109" s="12" t="n">
        <f aca="false">SUM(FO!AA109,PO!AA109,CO!AA109,FE!AA109,PE!AA109)</f>
        <v>0</v>
      </c>
      <c r="AB109" s="12" t="n">
        <f aca="false">SUM(FO!AB109,PO!AB109,CO!AB109,FE!AB109,PE!AB109)</f>
        <v>0</v>
      </c>
      <c r="AC109" s="12" t="n">
        <f aca="false">SUM(FO!AC109,PO!AC109,CO!AC109,FE!AC109,PE!AC109)</f>
        <v>0</v>
      </c>
      <c r="AD109" s="12" t="n">
        <f aca="false">SUM(FO!AD109,PO!AD109,CO!AD109,FE!AD109,PE!AD109)</f>
        <v>0</v>
      </c>
      <c r="AE109" s="12" t="n">
        <f aca="false">SUM(FO!AE109,PO!AE109,CO!AE109,FE!AE109,PE!AE109)</f>
        <v>0</v>
      </c>
      <c r="AF109" s="12" t="n">
        <f aca="false">SUM(FO!AF109,PO!AF109,CO!AF109,FE!AF109,PE!AF109)</f>
        <v>0</v>
      </c>
      <c r="AG109" s="12" t="n">
        <f aca="false">SUM(U109:AF109)</f>
        <v>0</v>
      </c>
      <c r="AH109" s="24" t="n">
        <f aca="false">IFERROR(AG109/AG$16,"")</f>
        <v>0</v>
      </c>
      <c r="AI109" s="9"/>
      <c r="AJ109" s="12" t="n">
        <f aca="false">N109-AG109</f>
        <v>0</v>
      </c>
      <c r="AK109" s="9"/>
    </row>
    <row r="110" customFormat="false" ht="13.5" hidden="false" customHeight="true" outlineLevel="0" collapsed="false">
      <c r="A110" s="23" t="s">
        <v>1364</v>
      </c>
      <c r="B110" s="12" t="n">
        <f aca="false">SUM(FO!B110,PO!B110,CO!B110,FE!B110,PE!B110)</f>
        <v>0</v>
      </c>
      <c r="C110" s="12" t="n">
        <f aca="false">SUM(FO!C110,PO!C110,CO!C110,FE!C110,PE!C110)</f>
        <v>0</v>
      </c>
      <c r="D110" s="12" t="n">
        <f aca="false">SUM(FO!D110,PO!D110,CO!D110,FE!D110,PE!D110)</f>
        <v>0</v>
      </c>
      <c r="E110" s="12" t="n">
        <f aca="false">SUM(FO!E110,PO!E110,CO!E110,FE!E110,PE!E110)</f>
        <v>5</v>
      </c>
      <c r="F110" s="12" t="n">
        <f aca="false">SUM(FO!F110,PO!F110,CO!F110,FE!F110,PE!F110)</f>
        <v>0</v>
      </c>
      <c r="G110" s="12" t="n">
        <f aca="false">SUM(FO!G110,PO!G110,CO!G110,FE!G110,PE!G110)</f>
        <v>6515</v>
      </c>
      <c r="H110" s="12" t="n">
        <f aca="false">SUM(FO!H110,PO!H110,CO!H110,FE!H110,PE!H110)</f>
        <v>3900</v>
      </c>
      <c r="I110" s="12" t="n">
        <f aca="false">SUM(FO!I110,PO!I110,CO!I110,FE!I110,PE!I110)</f>
        <v>3900</v>
      </c>
      <c r="J110" s="12" t="n">
        <f aca="false">SUM(FO!J110,PO!J110,CO!J110,FE!J110,PE!J110)</f>
        <v>0</v>
      </c>
      <c r="K110" s="12" t="n">
        <f aca="false">SUM(FO!K110,PO!K110,CO!K110,FE!K110,PE!K110)</f>
        <v>0</v>
      </c>
      <c r="L110" s="12" t="n">
        <f aca="false">SUM(FO!L110,PO!L110,CO!L110,FE!L110,PE!L110)</f>
        <v>0</v>
      </c>
      <c r="M110" s="12" t="n">
        <f aca="false">SUM(FO!M110,PO!M110,CO!M110,FE!M110,PE!M110)</f>
        <v>0</v>
      </c>
      <c r="N110" s="12" t="n">
        <f aca="false">SUM(B110:M110)</f>
        <v>14320</v>
      </c>
      <c r="O110" s="24" t="n">
        <f aca="false">IFERROR(N110/N$16,"")</f>
        <v>0.00192889501812542</v>
      </c>
      <c r="P110" s="12"/>
      <c r="Q110" s="12"/>
      <c r="R110" s="12"/>
      <c r="S110" s="12"/>
      <c r="T110" s="12"/>
      <c r="U110" s="12" t="n">
        <f aca="false">SUM(FO!U110,PO!U110,CO!U110,FE!U110,PE!U110)</f>
        <v>0</v>
      </c>
      <c r="V110" s="12" t="n">
        <f aca="false">SUM(FO!V110,PO!V110,CO!V110,FE!V110,PE!V110)</f>
        <v>0</v>
      </c>
      <c r="W110" s="12" t="n">
        <f aca="false">SUM(FO!W110,PO!W110,CO!W110,FE!W110,PE!W110)</f>
        <v>0</v>
      </c>
      <c r="X110" s="12" t="n">
        <f aca="false">SUM(FO!X110,PO!X110,CO!X110,FE!X110,PE!X110)</f>
        <v>0</v>
      </c>
      <c r="Y110" s="12" t="n">
        <f aca="false">SUM(FO!Y110,PO!Y110,CO!Y110,FE!Y110,PE!Y110)</f>
        <v>0</v>
      </c>
      <c r="Z110" s="12" t="n">
        <f aca="false">SUM(FO!Z110,PO!Z110,CO!Z110,FE!Z110,PE!Z110)</f>
        <v>0</v>
      </c>
      <c r="AA110" s="12" t="n">
        <f aca="false">SUM(FO!AA110,PO!AA110,CO!AA110,FE!AA110,PE!AA110)</f>
        <v>0</v>
      </c>
      <c r="AB110" s="12" t="n">
        <f aca="false">SUM(FO!AB110,PO!AB110,CO!AB110,FE!AB110,PE!AB110)</f>
        <v>0</v>
      </c>
      <c r="AC110" s="12" t="n">
        <f aca="false">SUM(FO!AC110,PO!AC110,CO!AC110,FE!AC110,PE!AC110)</f>
        <v>0</v>
      </c>
      <c r="AD110" s="12" t="n">
        <f aca="false">SUM(FO!AD110,PO!AD110,CO!AD110,FE!AD110,PE!AD110)</f>
        <v>0</v>
      </c>
      <c r="AE110" s="12" t="n">
        <f aca="false">SUM(FO!AE110,PO!AE110,CO!AE110,FE!AE110,PE!AE110)</f>
        <v>0</v>
      </c>
      <c r="AF110" s="12" t="n">
        <f aca="false">SUM(FO!AF110,PO!AF110,CO!AF110,FE!AF110,PE!AF110)</f>
        <v>0</v>
      </c>
      <c r="AG110" s="12" t="n">
        <f aca="false">SUM(U110:AF110)</f>
        <v>0</v>
      </c>
      <c r="AH110" s="24" t="n">
        <f aca="false">IFERROR(AG110/AG$16,"")</f>
        <v>0</v>
      </c>
      <c r="AI110" s="9"/>
      <c r="AJ110" s="12" t="n">
        <f aca="false">N110-AG110</f>
        <v>14320</v>
      </c>
      <c r="AK110" s="9"/>
    </row>
    <row r="111" customFormat="false" ht="13.5" hidden="false" customHeight="true" outlineLevel="0" collapsed="false">
      <c r="A111" s="23" t="s">
        <v>1365</v>
      </c>
      <c r="B111" s="12" t="n">
        <f aca="false">SUM(FO!B111,PO!B111,CO!B111,FE!B111,PE!B111)</f>
        <v>0</v>
      </c>
      <c r="C111" s="12" t="n">
        <f aca="false">SUM(FO!C111,PO!C111,CO!C111,FE!C111,PE!C111)</f>
        <v>0</v>
      </c>
      <c r="D111" s="12" t="n">
        <f aca="false">SUM(FO!D111,PO!D111,CO!D111,FE!D111,PE!D111)</f>
        <v>0</v>
      </c>
      <c r="E111" s="12" t="n">
        <f aca="false">SUM(FO!E111,PO!E111,CO!E111,FE!E111,PE!E111)</f>
        <v>0</v>
      </c>
      <c r="F111" s="12" t="n">
        <f aca="false">SUM(FO!F111,PO!F111,CO!F111,FE!F111,PE!F111)</f>
        <v>0</v>
      </c>
      <c r="G111" s="12" t="n">
        <f aca="false">SUM(FO!G111,PO!G111,CO!G111,FE!G111,PE!G111)</f>
        <v>0</v>
      </c>
      <c r="H111" s="12" t="n">
        <f aca="false">SUM(FO!H111,PO!H111,CO!H111,FE!H111,PE!H111)</f>
        <v>0</v>
      </c>
      <c r="I111" s="12" t="n">
        <f aca="false">SUM(FO!I111,PO!I111,CO!I111,FE!I111,PE!I111)</f>
        <v>0</v>
      </c>
      <c r="J111" s="12" t="n">
        <f aca="false">SUM(FO!J111,PO!J111,CO!J111,FE!J111,PE!J111)</f>
        <v>0</v>
      </c>
      <c r="K111" s="12" t="n">
        <f aca="false">SUM(FO!K111,PO!K111,CO!K111,FE!K111,PE!K111)</f>
        <v>0</v>
      </c>
      <c r="L111" s="12" t="n">
        <f aca="false">SUM(FO!L111,PO!L111,CO!L111,FE!L111,PE!L111)</f>
        <v>0</v>
      </c>
      <c r="M111" s="12" t="n">
        <f aca="false">SUM(FO!M111,PO!M111,CO!M111,FE!M111,PE!M111)</f>
        <v>0</v>
      </c>
      <c r="N111" s="12" t="n">
        <f aca="false">SUM(B111:M111)</f>
        <v>0</v>
      </c>
      <c r="O111" s="24" t="n">
        <f aca="false">IFERROR(N111/N$16,"")</f>
        <v>0</v>
      </c>
      <c r="P111" s="12"/>
      <c r="Q111" s="12"/>
      <c r="R111" s="12"/>
      <c r="S111" s="12"/>
      <c r="T111" s="12"/>
      <c r="U111" s="12" t="n">
        <f aca="false">SUM(FO!U111,PO!U111,CO!U111,FE!U111,PE!U111)</f>
        <v>0</v>
      </c>
      <c r="V111" s="12" t="n">
        <f aca="false">SUM(FO!V111,PO!V111,CO!V111,FE!V111,PE!V111)</f>
        <v>0</v>
      </c>
      <c r="W111" s="12" t="n">
        <f aca="false">SUM(FO!W111,PO!W111,CO!W111,FE!W111,PE!W111)</f>
        <v>0</v>
      </c>
      <c r="X111" s="12" t="n">
        <f aca="false">SUM(FO!X111,PO!X111,CO!X111,FE!X111,PE!X111)</f>
        <v>0</v>
      </c>
      <c r="Y111" s="12" t="n">
        <f aca="false">SUM(FO!Y111,PO!Y111,CO!Y111,FE!Y111,PE!Y111)</f>
        <v>0</v>
      </c>
      <c r="Z111" s="12" t="n">
        <f aca="false">SUM(FO!Z111,PO!Z111,CO!Z111,FE!Z111,PE!Z111)</f>
        <v>0</v>
      </c>
      <c r="AA111" s="12" t="n">
        <f aca="false">SUM(FO!AA111,PO!AA111,CO!AA111,FE!AA111,PE!AA111)</f>
        <v>0</v>
      </c>
      <c r="AB111" s="12" t="n">
        <f aca="false">SUM(FO!AB111,PO!AB111,CO!AB111,FE!AB111,PE!AB111)</f>
        <v>0</v>
      </c>
      <c r="AC111" s="12" t="n">
        <f aca="false">SUM(FO!AC111,PO!AC111,CO!AC111,FE!AC111,PE!AC111)</f>
        <v>0</v>
      </c>
      <c r="AD111" s="12" t="n">
        <f aca="false">SUM(FO!AD111,PO!AD111,CO!AD111,FE!AD111,PE!AD111)</f>
        <v>0</v>
      </c>
      <c r="AE111" s="12" t="n">
        <f aca="false">SUM(FO!AE111,PO!AE111,CO!AE111,FE!AE111,PE!AE111)</f>
        <v>0</v>
      </c>
      <c r="AF111" s="12" t="n">
        <f aca="false">SUM(FO!AF111,PO!AF111,CO!AF111,FE!AF111,PE!AF111)</f>
        <v>0</v>
      </c>
      <c r="AG111" s="12" t="n">
        <f aca="false">SUM(U111:AF111)</f>
        <v>0</v>
      </c>
      <c r="AH111" s="24" t="n">
        <f aca="false">IFERROR(AG111/AG$16,"")</f>
        <v>0</v>
      </c>
      <c r="AI111" s="9"/>
      <c r="AJ111" s="12" t="n">
        <f aca="false">N111-AG111</f>
        <v>0</v>
      </c>
      <c r="AK111" s="9"/>
    </row>
    <row r="112" customFormat="false" ht="13.5" hidden="false" customHeight="true" outlineLevel="0" collapsed="false">
      <c r="A112" s="23" t="s">
        <v>1366</v>
      </c>
      <c r="B112" s="12" t="n">
        <f aca="false">SUM(FO!B112,PO!B112,CO!B112,FE!B112,PE!B112)</f>
        <v>0</v>
      </c>
      <c r="C112" s="12" t="n">
        <f aca="false">SUM(FO!C112,PO!C112,CO!C112,FE!C112,PE!C112)</f>
        <v>0</v>
      </c>
      <c r="D112" s="12" t="n">
        <f aca="false">SUM(FO!D112,PO!D112,CO!D112,FE!D112,PE!D112)</f>
        <v>0</v>
      </c>
      <c r="E112" s="12" t="n">
        <f aca="false">SUM(FO!E112,PO!E112,CO!E112,FE!E112,PE!E112)</f>
        <v>0</v>
      </c>
      <c r="F112" s="12" t="n">
        <f aca="false">SUM(FO!F112,PO!F112,CO!F112,FE!F112,PE!F112)</f>
        <v>0</v>
      </c>
      <c r="G112" s="12" t="n">
        <f aca="false">SUM(FO!G112,PO!G112,CO!G112,FE!G112,PE!G112)</f>
        <v>0</v>
      </c>
      <c r="H112" s="12" t="n">
        <f aca="false">SUM(FO!H112,PO!H112,CO!H112,FE!H112,PE!H112)</f>
        <v>0</v>
      </c>
      <c r="I112" s="12" t="n">
        <f aca="false">SUM(FO!I112,PO!I112,CO!I112,FE!I112,PE!I112)</f>
        <v>0</v>
      </c>
      <c r="J112" s="12" t="n">
        <f aca="false">SUM(FO!J112,PO!J112,CO!J112,FE!J112,PE!J112)</f>
        <v>0</v>
      </c>
      <c r="K112" s="12" t="n">
        <f aca="false">SUM(FO!K112,PO!K112,CO!K112,FE!K112,PE!K112)</f>
        <v>0</v>
      </c>
      <c r="L112" s="12" t="n">
        <f aca="false">SUM(FO!L112,PO!L112,CO!L112,FE!L112,PE!L112)</f>
        <v>0</v>
      </c>
      <c r="M112" s="12" t="n">
        <f aca="false">SUM(FO!M112,PO!M112,CO!M112,FE!M112,PE!M112)</f>
        <v>0</v>
      </c>
      <c r="N112" s="12" t="n">
        <f aca="false">SUM(B112:M112)</f>
        <v>0</v>
      </c>
      <c r="O112" s="24" t="n">
        <f aca="false">IFERROR(N112/N$16,"")</f>
        <v>0</v>
      </c>
      <c r="P112" s="12"/>
      <c r="Q112" s="12"/>
      <c r="R112" s="12"/>
      <c r="S112" s="12"/>
      <c r="T112" s="12"/>
      <c r="U112" s="12" t="n">
        <f aca="false">SUM(FO!U112,PO!U112,CO!U112,FE!U112,PE!U112)</f>
        <v>0</v>
      </c>
      <c r="V112" s="12" t="n">
        <f aca="false">SUM(FO!V112,PO!V112,CO!V112,FE!V112,PE!V112)</f>
        <v>0</v>
      </c>
      <c r="W112" s="12" t="n">
        <f aca="false">SUM(FO!W112,PO!W112,CO!W112,FE!W112,PE!W112)</f>
        <v>0</v>
      </c>
      <c r="X112" s="12" t="n">
        <f aca="false">SUM(FO!X112,PO!X112,CO!X112,FE!X112,PE!X112)</f>
        <v>0</v>
      </c>
      <c r="Y112" s="12" t="n">
        <f aca="false">SUM(FO!Y112,PO!Y112,CO!Y112,FE!Y112,PE!Y112)</f>
        <v>0</v>
      </c>
      <c r="Z112" s="12" t="n">
        <f aca="false">SUM(FO!Z112,PO!Z112,CO!Z112,FE!Z112,PE!Z112)</f>
        <v>0</v>
      </c>
      <c r="AA112" s="12" t="n">
        <f aca="false">SUM(FO!AA112,PO!AA112,CO!AA112,FE!AA112,PE!AA112)</f>
        <v>0</v>
      </c>
      <c r="AB112" s="12" t="n">
        <f aca="false">SUM(FO!AB112,PO!AB112,CO!AB112,FE!AB112,PE!AB112)</f>
        <v>0</v>
      </c>
      <c r="AC112" s="12" t="n">
        <f aca="false">SUM(FO!AC112,PO!AC112,CO!AC112,FE!AC112,PE!AC112)</f>
        <v>0</v>
      </c>
      <c r="AD112" s="12" t="n">
        <f aca="false">SUM(FO!AD112,PO!AD112,CO!AD112,FE!AD112,PE!AD112)</f>
        <v>0</v>
      </c>
      <c r="AE112" s="12" t="n">
        <f aca="false">SUM(FO!AE112,PO!AE112,CO!AE112,FE!AE112,PE!AE112)</f>
        <v>0</v>
      </c>
      <c r="AF112" s="12" t="n">
        <f aca="false">SUM(FO!AF112,PO!AF112,CO!AF112,FE!AF112,PE!AF112)</f>
        <v>0</v>
      </c>
      <c r="AG112" s="12" t="n">
        <f aca="false">SUM(U112:AF112)</f>
        <v>0</v>
      </c>
      <c r="AH112" s="24" t="n">
        <f aca="false">IFERROR(AG112/AG$16,"")</f>
        <v>0</v>
      </c>
      <c r="AI112" s="9"/>
      <c r="AJ112" s="12" t="n">
        <f aca="false">N112-AG112</f>
        <v>0</v>
      </c>
      <c r="AK112" s="9"/>
    </row>
    <row r="113" customFormat="false" ht="13.5" hidden="false" customHeight="true" outlineLevel="0" collapsed="false">
      <c r="A113" s="23" t="s">
        <v>1367</v>
      </c>
      <c r="B113" s="12" t="n">
        <f aca="false">SUM(FO!B113,PO!B113,CO!B113,FE!B113,PE!B113)</f>
        <v>0</v>
      </c>
      <c r="C113" s="12" t="n">
        <f aca="false">SUM(FO!C113,PO!C113,CO!C113,FE!C113,PE!C113)</f>
        <v>0</v>
      </c>
      <c r="D113" s="12" t="n">
        <f aca="false">SUM(FO!D113,PO!D113,CO!D113,FE!D113,PE!D113)</f>
        <v>0</v>
      </c>
      <c r="E113" s="12" t="n">
        <f aca="false">SUM(FO!E113,PO!E113,CO!E113,FE!E113,PE!E113)</f>
        <v>0</v>
      </c>
      <c r="F113" s="12" t="n">
        <f aca="false">SUM(FO!F113,PO!F113,CO!F113,FE!F113,PE!F113)</f>
        <v>0</v>
      </c>
      <c r="G113" s="12" t="n">
        <f aca="false">SUM(FO!G113,PO!G113,CO!G113,FE!G113,PE!G113)</f>
        <v>0</v>
      </c>
      <c r="H113" s="12" t="n">
        <f aca="false">SUM(FO!H113,PO!H113,CO!H113,FE!H113,PE!H113)</f>
        <v>0</v>
      </c>
      <c r="I113" s="12" t="n">
        <f aca="false">SUM(FO!I113,PO!I113,CO!I113,FE!I113,PE!I113)</f>
        <v>0</v>
      </c>
      <c r="J113" s="12" t="n">
        <f aca="false">SUM(FO!J113,PO!J113,CO!J113,FE!J113,PE!J113)</f>
        <v>0</v>
      </c>
      <c r="K113" s="12" t="n">
        <f aca="false">SUM(FO!K113,PO!K113,CO!K113,FE!K113,PE!K113)</f>
        <v>0</v>
      </c>
      <c r="L113" s="12" t="n">
        <f aca="false">SUM(FO!L113,PO!L113,CO!L113,FE!L113,PE!L113)</f>
        <v>0</v>
      </c>
      <c r="M113" s="12" t="n">
        <f aca="false">SUM(FO!M113,PO!M113,CO!M113,FE!M113,PE!M113)</f>
        <v>0</v>
      </c>
      <c r="N113" s="12" t="n">
        <f aca="false">SUM(B113:M113)</f>
        <v>0</v>
      </c>
      <c r="O113" s="24" t="n">
        <f aca="false">IFERROR(N113/N$16,"")</f>
        <v>0</v>
      </c>
      <c r="P113" s="12"/>
      <c r="Q113" s="12"/>
      <c r="R113" s="12"/>
      <c r="S113" s="12"/>
      <c r="T113" s="12"/>
      <c r="U113" s="12" t="n">
        <f aca="false">SUM(FO!U113,PO!U113,CO!U113,FE!U113,PE!U113)</f>
        <v>0</v>
      </c>
      <c r="V113" s="12" t="n">
        <f aca="false">SUM(FO!V113,PO!V113,CO!V113,FE!V113,PE!V113)</f>
        <v>0</v>
      </c>
      <c r="W113" s="12" t="n">
        <f aca="false">SUM(FO!W113,PO!W113,CO!W113,FE!W113,PE!W113)</f>
        <v>0</v>
      </c>
      <c r="X113" s="12" t="n">
        <f aca="false">SUM(FO!X113,PO!X113,CO!X113,FE!X113,PE!X113)</f>
        <v>0</v>
      </c>
      <c r="Y113" s="12" t="n">
        <f aca="false">SUM(FO!Y113,PO!Y113,CO!Y113,FE!Y113,PE!Y113)</f>
        <v>0</v>
      </c>
      <c r="Z113" s="12" t="n">
        <f aca="false">SUM(FO!Z113,PO!Z113,CO!Z113,FE!Z113,PE!Z113)</f>
        <v>0</v>
      </c>
      <c r="AA113" s="12" t="n">
        <f aca="false">SUM(FO!AA113,PO!AA113,CO!AA113,FE!AA113,PE!AA113)</f>
        <v>0</v>
      </c>
      <c r="AB113" s="12" t="n">
        <f aca="false">SUM(FO!AB113,PO!AB113,CO!AB113,FE!AB113,PE!AB113)</f>
        <v>0</v>
      </c>
      <c r="AC113" s="12" t="n">
        <f aca="false">SUM(FO!AC113,PO!AC113,CO!AC113,FE!AC113,PE!AC113)</f>
        <v>0</v>
      </c>
      <c r="AD113" s="12" t="n">
        <f aca="false">SUM(FO!AD113,PO!AD113,CO!AD113,FE!AD113,PE!AD113)</f>
        <v>0</v>
      </c>
      <c r="AE113" s="12" t="n">
        <f aca="false">SUM(FO!AE113,PO!AE113,CO!AE113,FE!AE113,PE!AE113)</f>
        <v>0</v>
      </c>
      <c r="AF113" s="12" t="n">
        <f aca="false">SUM(FO!AF113,PO!AF113,CO!AF113,FE!AF113,PE!AF113)</f>
        <v>0</v>
      </c>
      <c r="AG113" s="12" t="n">
        <f aca="false">SUM(U113:AF113)</f>
        <v>0</v>
      </c>
      <c r="AH113" s="24" t="n">
        <f aca="false">IFERROR(AG113/AG$16,"")</f>
        <v>0</v>
      </c>
      <c r="AI113" s="9"/>
      <c r="AJ113" s="12" t="n">
        <f aca="false">N113-AG113</f>
        <v>0</v>
      </c>
      <c r="AK113" s="9"/>
    </row>
    <row r="114" customFormat="false" ht="13.5" hidden="false" customHeight="true" outlineLevel="0" collapsed="false">
      <c r="A114" s="23" t="s">
        <v>1368</v>
      </c>
      <c r="B114" s="12" t="n">
        <f aca="false">SUM(FO!B114,PO!B114,CO!B114,FE!B114,PE!B114)</f>
        <v>0</v>
      </c>
      <c r="C114" s="12" t="n">
        <f aca="false">SUM(FO!C114,PO!C114,CO!C114,FE!C114,PE!C114)</f>
        <v>0</v>
      </c>
      <c r="D114" s="12" t="n">
        <f aca="false">SUM(FO!D114,PO!D114,CO!D114,FE!D114,PE!D114)</f>
        <v>0</v>
      </c>
      <c r="E114" s="12" t="n">
        <f aca="false">SUM(FO!E114,PO!E114,CO!E114,FE!E114,PE!E114)</f>
        <v>0</v>
      </c>
      <c r="F114" s="12" t="n">
        <f aca="false">SUM(FO!F114,PO!F114,CO!F114,FE!F114,PE!F114)</f>
        <v>0</v>
      </c>
      <c r="G114" s="12" t="n">
        <f aca="false">SUM(FO!G114,PO!G114,CO!G114,FE!G114,PE!G114)</f>
        <v>30.03</v>
      </c>
      <c r="H114" s="12" t="n">
        <f aca="false">SUM(FO!H114,PO!H114,CO!H114,FE!H114,PE!H114)</f>
        <v>0</v>
      </c>
      <c r="I114" s="12" t="n">
        <f aca="false">SUM(FO!I114,PO!I114,CO!I114,FE!I114,PE!I114)</f>
        <v>0</v>
      </c>
      <c r="J114" s="12" t="n">
        <f aca="false">SUM(FO!J114,PO!J114,CO!J114,FE!J114,PE!J114)</f>
        <v>0</v>
      </c>
      <c r="K114" s="12" t="n">
        <f aca="false">SUM(FO!K114,PO!K114,CO!K114,FE!K114,PE!K114)</f>
        <v>0</v>
      </c>
      <c r="L114" s="12" t="n">
        <f aca="false">SUM(FO!L114,PO!L114,CO!L114,FE!L114,PE!L114)</f>
        <v>0</v>
      </c>
      <c r="M114" s="12" t="n">
        <f aca="false">SUM(FO!M114,PO!M114,CO!M114,FE!M114,PE!M114)</f>
        <v>0</v>
      </c>
      <c r="N114" s="12" t="n">
        <f aca="false">SUM(B114:M114)</f>
        <v>30.03</v>
      </c>
      <c r="O114" s="24" t="n">
        <f aca="false">IFERROR(N114/N$16,"")</f>
        <v>4.04502216440688E-006</v>
      </c>
      <c r="P114" s="12"/>
      <c r="Q114" s="12"/>
      <c r="R114" s="12"/>
      <c r="S114" s="12"/>
      <c r="T114" s="12"/>
      <c r="U114" s="12" t="n">
        <f aca="false">SUM(FO!U114,PO!U114,CO!U114,FE!U114,PE!U114)</f>
        <v>0</v>
      </c>
      <c r="V114" s="12" t="n">
        <f aca="false">SUM(FO!V114,PO!V114,CO!V114,FE!V114,PE!V114)</f>
        <v>0</v>
      </c>
      <c r="W114" s="12" t="n">
        <f aca="false">SUM(FO!W114,PO!W114,CO!W114,FE!W114,PE!W114)</f>
        <v>0</v>
      </c>
      <c r="X114" s="12" t="n">
        <f aca="false">SUM(FO!X114,PO!X114,CO!X114,FE!X114,PE!X114)</f>
        <v>0</v>
      </c>
      <c r="Y114" s="12" t="n">
        <f aca="false">SUM(FO!Y114,PO!Y114,CO!Y114,FE!Y114,PE!Y114)</f>
        <v>0</v>
      </c>
      <c r="Z114" s="12" t="n">
        <f aca="false">SUM(FO!Z114,PO!Z114,CO!Z114,FE!Z114,PE!Z114)</f>
        <v>0</v>
      </c>
      <c r="AA114" s="12" t="n">
        <f aca="false">SUM(FO!AA114,PO!AA114,CO!AA114,FE!AA114,PE!AA114)</f>
        <v>0</v>
      </c>
      <c r="AB114" s="12" t="n">
        <f aca="false">SUM(FO!AB114,PO!AB114,CO!AB114,FE!AB114,PE!AB114)</f>
        <v>0</v>
      </c>
      <c r="AC114" s="12" t="n">
        <f aca="false">SUM(FO!AC114,PO!AC114,CO!AC114,FE!AC114,PE!AC114)</f>
        <v>0</v>
      </c>
      <c r="AD114" s="12" t="n">
        <f aca="false">SUM(FO!AD114,PO!AD114,CO!AD114,FE!AD114,PE!AD114)</f>
        <v>0</v>
      </c>
      <c r="AE114" s="12" t="n">
        <f aca="false">SUM(FO!AE114,PO!AE114,CO!AE114,FE!AE114,PE!AE114)</f>
        <v>0</v>
      </c>
      <c r="AF114" s="12" t="n">
        <f aca="false">SUM(FO!AF114,PO!AF114,CO!AF114,FE!AF114,PE!AF114)</f>
        <v>0</v>
      </c>
      <c r="AG114" s="12" t="n">
        <f aca="false">SUM(U114:AF114)</f>
        <v>0</v>
      </c>
      <c r="AH114" s="24" t="n">
        <f aca="false">IFERROR(AG114/AG$16,"")</f>
        <v>0</v>
      </c>
      <c r="AI114" s="9"/>
      <c r="AJ114" s="12" t="n">
        <f aca="false">N114-AG114</f>
        <v>30.03</v>
      </c>
      <c r="AK114" s="9"/>
    </row>
    <row r="115" customFormat="false" ht="13.5" hidden="false" customHeight="true" outlineLevel="0" collapsed="false">
      <c r="A115" s="23" t="s">
        <v>1369</v>
      </c>
      <c r="B115" s="12" t="n">
        <f aca="false">SUM(FO!B115,PO!B115,CO!B115,FE!B115,PE!B115)</f>
        <v>0</v>
      </c>
      <c r="C115" s="12" t="n">
        <f aca="false">SUM(FO!C115,PO!C115,CO!C115,FE!C115,PE!C115)</f>
        <v>0</v>
      </c>
      <c r="D115" s="12" t="n">
        <f aca="false">SUM(FO!D115,PO!D115,CO!D115,FE!D115,PE!D115)</f>
        <v>0</v>
      </c>
      <c r="E115" s="12" t="n">
        <f aca="false">SUM(FO!E115,PO!E115,CO!E115,FE!E115,PE!E115)</f>
        <v>0</v>
      </c>
      <c r="F115" s="12" t="n">
        <f aca="false">SUM(FO!F115,PO!F115,CO!F115,FE!F115,PE!F115)</f>
        <v>0</v>
      </c>
      <c r="G115" s="12" t="n">
        <f aca="false">SUM(FO!G115,PO!G115,CO!G115,FE!G115,PE!G115)</f>
        <v>0</v>
      </c>
      <c r="H115" s="12" t="n">
        <f aca="false">SUM(FO!H115,PO!H115,CO!H115,FE!H115,PE!H115)</f>
        <v>0</v>
      </c>
      <c r="I115" s="12" t="n">
        <f aca="false">SUM(FO!I115,PO!I115,CO!I115,FE!I115,PE!I115)</f>
        <v>0</v>
      </c>
      <c r="J115" s="12" t="n">
        <f aca="false">SUM(FO!J115,PO!J115,CO!J115,FE!J115,PE!J115)</f>
        <v>0</v>
      </c>
      <c r="K115" s="12" t="n">
        <f aca="false">SUM(FO!K115,PO!K115,CO!K115,FE!K115,PE!K115)</f>
        <v>0</v>
      </c>
      <c r="L115" s="12" t="n">
        <f aca="false">SUM(FO!L115,PO!L115,CO!L115,FE!L115,PE!L115)</f>
        <v>0</v>
      </c>
      <c r="M115" s="12" t="n">
        <f aca="false">SUM(FO!M115,PO!M115,CO!M115,FE!M115,PE!M115)</f>
        <v>0</v>
      </c>
      <c r="N115" s="12" t="n">
        <f aca="false">SUM(B115:M115)</f>
        <v>0</v>
      </c>
      <c r="O115" s="24" t="n">
        <f aca="false">IFERROR(N115/N$16,"")</f>
        <v>0</v>
      </c>
      <c r="P115" s="12"/>
      <c r="Q115" s="12"/>
      <c r="R115" s="12"/>
      <c r="S115" s="12"/>
      <c r="T115" s="12"/>
      <c r="U115" s="12" t="n">
        <f aca="false">SUM(FO!U115,PO!U115,CO!U115,FE!U115,PE!U115)</f>
        <v>0</v>
      </c>
      <c r="V115" s="12" t="n">
        <f aca="false">SUM(FO!V115,PO!V115,CO!V115,FE!V115,PE!V115)</f>
        <v>0</v>
      </c>
      <c r="W115" s="12" t="n">
        <f aca="false">SUM(FO!W115,PO!W115,CO!W115,FE!W115,PE!W115)</f>
        <v>0</v>
      </c>
      <c r="X115" s="12" t="n">
        <f aca="false">SUM(FO!X115,PO!X115,CO!X115,FE!X115,PE!X115)</f>
        <v>0</v>
      </c>
      <c r="Y115" s="12" t="n">
        <f aca="false">SUM(FO!Y115,PO!Y115,CO!Y115,FE!Y115,PE!Y115)</f>
        <v>0</v>
      </c>
      <c r="Z115" s="12" t="n">
        <f aca="false">SUM(FO!Z115,PO!Z115,CO!Z115,FE!Z115,PE!Z115)</f>
        <v>0</v>
      </c>
      <c r="AA115" s="12" t="n">
        <f aca="false">SUM(FO!AA115,PO!AA115,CO!AA115,FE!AA115,PE!AA115)</f>
        <v>0</v>
      </c>
      <c r="AB115" s="12" t="n">
        <f aca="false">SUM(FO!AB115,PO!AB115,CO!AB115,FE!AB115,PE!AB115)</f>
        <v>0</v>
      </c>
      <c r="AC115" s="12" t="n">
        <f aca="false">SUM(FO!AC115,PO!AC115,CO!AC115,FE!AC115,PE!AC115)</f>
        <v>0</v>
      </c>
      <c r="AD115" s="12" t="n">
        <f aca="false">SUM(FO!AD115,PO!AD115,CO!AD115,FE!AD115,PE!AD115)</f>
        <v>0</v>
      </c>
      <c r="AE115" s="12" t="n">
        <f aca="false">SUM(FO!AE115,PO!AE115,CO!AE115,FE!AE115,PE!AE115)</f>
        <v>0</v>
      </c>
      <c r="AF115" s="12" t="n">
        <f aca="false">SUM(FO!AF115,PO!AF115,CO!AF115,FE!AF115,PE!AF115)</f>
        <v>0</v>
      </c>
      <c r="AG115" s="12" t="n">
        <f aca="false">SUM(U115:AF115)</f>
        <v>0</v>
      </c>
      <c r="AH115" s="24" t="n">
        <f aca="false">IFERROR(AG115/AG$16,"")</f>
        <v>0</v>
      </c>
      <c r="AI115" s="9"/>
      <c r="AJ115" s="12" t="n">
        <f aca="false">N115-AG115</f>
        <v>0</v>
      </c>
      <c r="AK115" s="9"/>
    </row>
    <row r="116" customFormat="false" ht="13.5" hidden="false" customHeight="true" outlineLevel="0" collapsed="false">
      <c r="A116" s="26" t="s">
        <v>1370</v>
      </c>
      <c r="B116" s="27" t="n">
        <f aca="false">B73+SUM(B74:B80)+B87+SUM(B88:B115)</f>
        <v>159854.29</v>
      </c>
      <c r="C116" s="27" t="n">
        <f aca="false">C73+SUM(C74:C80)+C87+SUM(C88:C115)</f>
        <v>36073.48</v>
      </c>
      <c r="D116" s="27" t="n">
        <f aca="false">D73+SUM(D74:D80)+D87+SUM(D88:D115)</f>
        <v>248083.34</v>
      </c>
      <c r="E116" s="27" t="n">
        <f aca="false">E73+SUM(E74:E80)+E87+SUM(E88:E115)</f>
        <v>252179.52</v>
      </c>
      <c r="F116" s="27" t="n">
        <f aca="false">F73+SUM(F74:F80)+F87+SUM(F88:F115)</f>
        <v>299699.19</v>
      </c>
      <c r="G116" s="27" t="n">
        <f aca="false">G73+SUM(G74:G80)+G87+SUM(G88:G115)</f>
        <v>345953.53</v>
      </c>
      <c r="H116" s="27" t="n">
        <f aca="false">H73+SUM(H74:H80)+H87+SUM(H88:H115)</f>
        <v>229505.53</v>
      </c>
      <c r="I116" s="27" t="n">
        <f aca="false">I73+SUM(I74:I80)+I87+SUM(I88:I115)</f>
        <v>258700.42</v>
      </c>
      <c r="J116" s="27" t="n">
        <f aca="false">J73+SUM(J74:J80)+J87+SUM(J88:J115)</f>
        <v>966458</v>
      </c>
      <c r="K116" s="27" t="n">
        <f aca="false">K73+SUM(K74:K80)+K87+SUM(K88:K115)</f>
        <v>370411</v>
      </c>
      <c r="L116" s="27" t="n">
        <f aca="false">L73+SUM(L74:L80)+L87+SUM(L88:L115)</f>
        <v>379351</v>
      </c>
      <c r="M116" s="27" t="n">
        <f aca="false">M73+SUM(M74:M80)+M87+SUM(M88:M115)</f>
        <v>383688</v>
      </c>
      <c r="N116" s="27" t="n">
        <f aca="false">SUM(B116:M116)</f>
        <v>3929957.3</v>
      </c>
      <c r="O116" s="28" t="n">
        <f aca="false">IFERROR(N116/N$16,"")</f>
        <v>0.529362783339081</v>
      </c>
      <c r="P116" s="12"/>
      <c r="Q116" s="12"/>
      <c r="R116" s="12"/>
      <c r="S116" s="12"/>
      <c r="T116" s="12"/>
      <c r="U116" s="27" t="n">
        <f aca="false">U73+SUM(U74:U80)+U87+SUM(U88:U115)</f>
        <v>244187.36609643</v>
      </c>
      <c r="V116" s="27" t="n">
        <f aca="false">V73+SUM(V74:V80)+V87+SUM(V88:V115)</f>
        <v>244187.36609643</v>
      </c>
      <c r="W116" s="27" t="n">
        <f aca="false">W73+SUM(W74:W80)+W87+SUM(W88:W115)</f>
        <v>245387.36609643</v>
      </c>
      <c r="X116" s="27" t="n">
        <f aca="false">X73+SUM(X74:X80)+X87+SUM(X88:X115)</f>
        <v>245387.36609643</v>
      </c>
      <c r="Y116" s="27" t="n">
        <f aca="false">Y73+SUM(Y74:Y80)+Y87+SUM(Y88:Y115)</f>
        <v>246286.532763097</v>
      </c>
      <c r="Z116" s="27" t="n">
        <f aca="false">Z73+SUM(Z74:Z80)+Z87+SUM(Z88:Z115)</f>
        <v>246585.699429763</v>
      </c>
      <c r="AA116" s="27" t="n">
        <f aca="false">AA73+SUM(AA74:AA80)+AA87+SUM(AA88:AA115)</f>
        <v>247484.86609643</v>
      </c>
      <c r="AB116" s="27" t="n">
        <f aca="false">AB73+SUM(AB74:AB80)+AB87+SUM(AB88:AB115)</f>
        <v>254457.36609643</v>
      </c>
      <c r="AC116" s="27" t="n">
        <f aca="false">AC73+SUM(AC74:AC80)+AC87+SUM(AC88:AC115)</f>
        <v>255356.532763097</v>
      </c>
      <c r="AD116" s="27" t="n">
        <f aca="false">AD73+SUM(AD74:AD80)+AD87+SUM(AD88:AD115)</f>
        <v>262494.794178281</v>
      </c>
      <c r="AE116" s="27" t="n">
        <f aca="false">AE73+SUM(AE74:AE80)+AE87+SUM(AE88:AE115)</f>
        <v>263393.960844948</v>
      </c>
      <c r="AF116" s="27" t="n">
        <f aca="false">AF73+SUM(AF74:AF80)+AF87+SUM(AF88:AF115)</f>
        <v>262933.127511615</v>
      </c>
      <c r="AG116" s="27" t="n">
        <f aca="false">SUM(U116:AF116)</f>
        <v>3018142.34406938</v>
      </c>
      <c r="AH116" s="28" t="n">
        <f aca="false">IFERROR(AG116/AG$16,"")</f>
        <v>0.193922582982841</v>
      </c>
      <c r="AI116" s="9"/>
      <c r="AJ116" s="27" t="n">
        <f aca="false">N116-AG116</f>
        <v>911814.95593062</v>
      </c>
      <c r="AK116" s="9"/>
    </row>
    <row r="117" customFormat="false" ht="13.5" hidden="false" customHeight="true" outlineLevel="0" collapsed="false">
      <c r="A117" s="38" t="s">
        <v>1371</v>
      </c>
      <c r="B117" s="39" t="n">
        <f aca="false">B64-B116</f>
        <v>114581.3</v>
      </c>
      <c r="C117" s="39" t="n">
        <f aca="false">C64-C116</f>
        <v>186181.91</v>
      </c>
      <c r="D117" s="39" t="n">
        <f aca="false">D64-D116</f>
        <v>-46641.9900000001</v>
      </c>
      <c r="E117" s="39" t="n">
        <f aca="false">E64-E116</f>
        <v>152657.93</v>
      </c>
      <c r="F117" s="39" t="n">
        <f aca="false">F64-F116</f>
        <v>-164415.79</v>
      </c>
      <c r="G117" s="39" t="n">
        <f aca="false">G64-G116</f>
        <v>-223479.01</v>
      </c>
      <c r="H117" s="39" t="n">
        <f aca="false">H64-H116</f>
        <v>67487.7299999998</v>
      </c>
      <c r="I117" s="39" t="n">
        <f aca="false">I64-I116</f>
        <v>-246328</v>
      </c>
      <c r="J117" s="39" t="n">
        <f aca="false">J64-J116</f>
        <v>-731743.577142858</v>
      </c>
      <c r="K117" s="39" t="n">
        <f aca="false">K64-K116</f>
        <v>-46839.196190476</v>
      </c>
      <c r="L117" s="39" t="n">
        <f aca="false">L64-L116</f>
        <v>-29368.6247619044</v>
      </c>
      <c r="M117" s="39" t="n">
        <f aca="false">M64-M116</f>
        <v>-16126.053333333</v>
      </c>
      <c r="N117" s="39" t="n">
        <f aca="false">SUM(B117:M117)</f>
        <v>-984033.371428571</v>
      </c>
      <c r="O117" s="40" t="n">
        <f aca="false">IFERROR(N117/N$16,"")</f>
        <v>-0.132548677920233</v>
      </c>
      <c r="P117" s="12"/>
      <c r="Q117" s="12"/>
      <c r="R117" s="12"/>
      <c r="S117" s="12"/>
      <c r="T117" s="12"/>
      <c r="U117" s="39" t="n">
        <f aca="false">U64-U116</f>
        <v>-86227.5648503953</v>
      </c>
      <c r="V117" s="39" t="n">
        <f aca="false">V64-V116</f>
        <v>12070.0414574244</v>
      </c>
      <c r="W117" s="39" t="n">
        <f aca="false">W64-W116</f>
        <v>-17931.7187013057</v>
      </c>
      <c r="X117" s="39" t="n">
        <f aca="false">X64-X116</f>
        <v>-91819.933378611</v>
      </c>
      <c r="Y117" s="39" t="n">
        <f aca="false">Y64-Y116</f>
        <v>-46575.944363736</v>
      </c>
      <c r="Z117" s="39" t="n">
        <f aca="false">Z64-Z116</f>
        <v>-42373.9612925993</v>
      </c>
      <c r="AA117" s="39" t="n">
        <f aca="false">AA64-AA116</f>
        <v>5494.9173047567</v>
      </c>
      <c r="AB117" s="39" t="n">
        <f aca="false">AB64-AB116</f>
        <v>34635.4978655462</v>
      </c>
      <c r="AC117" s="39" t="n">
        <f aca="false">AC64-AC116</f>
        <v>68431.4756572009</v>
      </c>
      <c r="AD117" s="39" t="n">
        <f aca="false">AD64-AD116</f>
        <v>109021.790610878</v>
      </c>
      <c r="AE117" s="39" t="n">
        <f aca="false">AE64-AE116</f>
        <v>163506.016109587</v>
      </c>
      <c r="AF117" s="39" t="n">
        <f aca="false">AF64-AF116</f>
        <v>285255.422907474</v>
      </c>
      <c r="AG117" s="39" t="n">
        <f aca="false">SUM(U117:AF117)</f>
        <v>393486.03932622</v>
      </c>
      <c r="AH117" s="40" t="n">
        <f aca="false">IFERROR(AG117/AG$16,"")</f>
        <v>0.0252823824773436</v>
      </c>
      <c r="AI117" s="9"/>
      <c r="AJ117" s="39" t="n">
        <f aca="false">AG117-N117</f>
        <v>1377519.41075479</v>
      </c>
      <c r="AK117" s="9"/>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12"/>
      <c r="S118" s="12"/>
      <c r="T118" s="12"/>
      <c r="U118" s="12"/>
      <c r="V118" s="12"/>
      <c r="W118" s="12"/>
      <c r="X118" s="12"/>
      <c r="Y118" s="12"/>
      <c r="Z118" s="12"/>
      <c r="AA118" s="12"/>
      <c r="AB118" s="12"/>
      <c r="AC118" s="12"/>
      <c r="AD118" s="12"/>
      <c r="AE118" s="12"/>
      <c r="AF118" s="12"/>
      <c r="AG118" s="12"/>
      <c r="AH118" s="24"/>
      <c r="AI118" s="9"/>
      <c r="AJ118" s="12"/>
      <c r="AK118" s="9"/>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12"/>
      <c r="S119" s="12"/>
      <c r="T119" s="12"/>
      <c r="U119" s="12"/>
      <c r="V119" s="12"/>
      <c r="W119" s="12"/>
      <c r="X119" s="12"/>
      <c r="Y119" s="12"/>
      <c r="Z119" s="12"/>
      <c r="AA119" s="12"/>
      <c r="AB119" s="12"/>
      <c r="AC119" s="12"/>
      <c r="AD119" s="12"/>
      <c r="AE119" s="12"/>
      <c r="AF119" s="12"/>
      <c r="AG119" s="12"/>
      <c r="AH119" s="24"/>
      <c r="AI119" s="9"/>
      <c r="AJ119" s="12"/>
      <c r="AK119" s="9"/>
    </row>
    <row r="120" customFormat="false" ht="13.5" hidden="false" customHeight="true" outlineLevel="0" collapsed="false">
      <c r="A120" s="23" t="s">
        <v>1374</v>
      </c>
      <c r="B120" s="12" t="n">
        <f aca="false">SUM(FO!B120,PO!B120,CO!B120,FE!B120,PE!B120)</f>
        <v>0</v>
      </c>
      <c r="C120" s="12" t="n">
        <f aca="false">SUM(FO!C120,PO!C120,CO!C120,FE!C120,PE!C120)</f>
        <v>0</v>
      </c>
      <c r="D120" s="12" t="n">
        <f aca="false">SUM(FO!D120,PO!D120,CO!D120,FE!D120,PE!D120)</f>
        <v>0</v>
      </c>
      <c r="E120" s="12" t="n">
        <f aca="false">SUM(FO!E120,PO!E120,CO!E120,FE!E120,PE!E120)</f>
        <v>0</v>
      </c>
      <c r="F120" s="12" t="n">
        <f aca="false">SUM(FO!F120,PO!F120,CO!F120,FE!F120,PE!F120)</f>
        <v>0</v>
      </c>
      <c r="G120" s="12" t="n">
        <f aca="false">SUM(FO!G120,PO!G120,CO!G120,FE!G120,PE!G120)</f>
        <v>0</v>
      </c>
      <c r="H120" s="12" t="n">
        <f aca="false">SUM(FO!H120,PO!H120,CO!H120,FE!H120,PE!H120)</f>
        <v>0</v>
      </c>
      <c r="I120" s="12" t="n">
        <f aca="false">SUM(FO!I120,PO!I120,CO!I120,FE!I120,PE!I120)</f>
        <v>0</v>
      </c>
      <c r="J120" s="12" t="n">
        <f aca="false">SUM(FO!J120,PO!J120,CO!J120,FE!J120,PE!J120)</f>
        <v>0</v>
      </c>
      <c r="K120" s="12" t="n">
        <f aca="false">SUM(FO!K120,PO!K120,CO!K120,FE!K120,PE!K120)</f>
        <v>0</v>
      </c>
      <c r="L120" s="12" t="n">
        <f aca="false">SUM(FO!L120,PO!L120,CO!L120,FE!L120,PE!L120)</f>
        <v>0</v>
      </c>
      <c r="M120" s="12" t="n">
        <f aca="false">SUM(FO!M120,PO!M120,CO!M120,FE!M120,PE!M120)</f>
        <v>0</v>
      </c>
      <c r="N120" s="12" t="n">
        <f aca="false">SUM(B120:M120)</f>
        <v>0</v>
      </c>
      <c r="O120" s="24" t="n">
        <f aca="false">IFERROR(N120/N$16,"")</f>
        <v>0</v>
      </c>
      <c r="P120" s="12"/>
      <c r="Q120" s="12"/>
      <c r="R120" s="12"/>
      <c r="S120" s="12"/>
      <c r="T120" s="12"/>
      <c r="U120" s="12" t="n">
        <f aca="false">SUM(FO!U120,PO!U120,CO!U120,FE!U120,PE!U120)</f>
        <v>0</v>
      </c>
      <c r="V120" s="12" t="n">
        <f aca="false">SUM(FO!V120,PO!V120,CO!V120,FE!V120,PE!V120)</f>
        <v>0</v>
      </c>
      <c r="W120" s="12" t="n">
        <f aca="false">SUM(FO!W120,PO!W120,CO!W120,FE!W120,PE!W120)</f>
        <v>0</v>
      </c>
      <c r="X120" s="12" t="n">
        <f aca="false">SUM(FO!X120,PO!X120,CO!X120,FE!X120,PE!X120)</f>
        <v>0</v>
      </c>
      <c r="Y120" s="12" t="n">
        <f aca="false">SUM(FO!Y120,PO!Y120,CO!Y120,FE!Y120,PE!Y120)</f>
        <v>0</v>
      </c>
      <c r="Z120" s="12" t="n">
        <f aca="false">SUM(FO!Z120,PO!Z120,CO!Z120,FE!Z120,PE!Z120)</f>
        <v>0</v>
      </c>
      <c r="AA120" s="12" t="n">
        <f aca="false">SUM(FO!AA120,PO!AA120,CO!AA120,FE!AA120,PE!AA120)</f>
        <v>0</v>
      </c>
      <c r="AB120" s="12" t="n">
        <f aca="false">SUM(FO!AB120,PO!AB120,CO!AB120,FE!AB120,PE!AB120)</f>
        <v>0</v>
      </c>
      <c r="AC120" s="12" t="n">
        <f aca="false">SUM(FO!AC120,PO!AC120,CO!AC120,FE!AC120,PE!AC120)</f>
        <v>0</v>
      </c>
      <c r="AD120" s="12" t="n">
        <f aca="false">SUM(FO!AD120,PO!AD120,CO!AD120,FE!AD120,PE!AD120)</f>
        <v>0</v>
      </c>
      <c r="AE120" s="12" t="n">
        <f aca="false">SUM(FO!AE120,PO!AE120,CO!AE120,FE!AE120,PE!AE120)</f>
        <v>0</v>
      </c>
      <c r="AF120" s="12" t="n">
        <f aca="false">SUM(FO!AF120,PO!AF120,CO!AF120,FE!AF120,PE!AF120)</f>
        <v>0</v>
      </c>
      <c r="AG120" s="12" t="n">
        <f aca="false">SUM(U120:AF120)</f>
        <v>0</v>
      </c>
      <c r="AH120" s="24" t="n">
        <f aca="false">IFERROR(AG120/AG$16,"")</f>
        <v>0</v>
      </c>
      <c r="AI120" s="9"/>
      <c r="AJ120" s="12" t="n">
        <f aca="false">AG120-N120</f>
        <v>0</v>
      </c>
      <c r="AK120" s="9"/>
    </row>
    <row r="121" customFormat="false" ht="13.5" hidden="false" customHeight="true" outlineLevel="0" collapsed="false">
      <c r="A121" s="23" t="s">
        <v>1375</v>
      </c>
      <c r="B121" s="12" t="n">
        <f aca="false">SUM(FO!B121,PO!B121,CO!B121,FE!B121,PE!B121)</f>
        <v>0</v>
      </c>
      <c r="C121" s="12" t="n">
        <f aca="false">SUM(FO!C121,PO!C121,CO!C121,FE!C121,PE!C121)</f>
        <v>0</v>
      </c>
      <c r="D121" s="12" t="n">
        <f aca="false">SUM(FO!D121,PO!D121,CO!D121,FE!D121,PE!D121)</f>
        <v>0</v>
      </c>
      <c r="E121" s="12" t="n">
        <f aca="false">SUM(FO!E121,PO!E121,CO!E121,FE!E121,PE!E121)</f>
        <v>104811.32</v>
      </c>
      <c r="F121" s="12" t="n">
        <f aca="false">SUM(FO!F121,PO!F121,CO!F121,FE!F121,PE!F121)</f>
        <v>0</v>
      </c>
      <c r="G121" s="12" t="n">
        <f aca="false">SUM(FO!G121,PO!G121,CO!G121,FE!G121,PE!G121)</f>
        <v>0</v>
      </c>
      <c r="H121" s="12" t="n">
        <f aca="false">SUM(FO!H121,PO!H121,CO!H121,FE!H121,PE!H121)</f>
        <v>0</v>
      </c>
      <c r="I121" s="12" t="n">
        <f aca="false">SUM(FO!I121,PO!I121,CO!I121,FE!I121,PE!I121)</f>
        <v>0</v>
      </c>
      <c r="J121" s="12" t="n">
        <f aca="false">SUM(FO!J121,PO!J121,CO!J121,FE!J121,PE!J121)</f>
        <v>0</v>
      </c>
      <c r="K121" s="12" t="n">
        <f aca="false">SUM(FO!K121,PO!K121,CO!K121,FE!K121,PE!K121)</f>
        <v>0</v>
      </c>
      <c r="L121" s="12" t="n">
        <f aca="false">SUM(FO!L121,PO!L121,CO!L121,FE!L121,PE!L121)</f>
        <v>0</v>
      </c>
      <c r="M121" s="12" t="n">
        <f aca="false">SUM(FO!M121,PO!M121,CO!M121,FE!M121,PE!M121)</f>
        <v>0</v>
      </c>
      <c r="N121" s="12" t="n">
        <f aca="false">SUM(B121:M121)</f>
        <v>104811.32</v>
      </c>
      <c r="O121" s="24" t="n">
        <f aca="false">IFERROR(N121/N$16,"")</f>
        <v>0.0141180190636278</v>
      </c>
      <c r="P121" s="12"/>
      <c r="Q121" s="12"/>
      <c r="R121" s="12"/>
      <c r="S121" s="12"/>
      <c r="T121" s="12"/>
      <c r="U121" s="12" t="n">
        <f aca="false">SUM(FO!U121,PO!U121,CO!U121,FE!U121,PE!U121)</f>
        <v>0</v>
      </c>
      <c r="V121" s="12" t="n">
        <f aca="false">SUM(FO!V121,PO!V121,CO!V121,FE!V121,PE!V121)</f>
        <v>0</v>
      </c>
      <c r="W121" s="12" t="n">
        <f aca="false">SUM(FO!W121,PO!W121,CO!W121,FE!W121,PE!W121)</f>
        <v>0</v>
      </c>
      <c r="X121" s="12" t="n">
        <f aca="false">SUM(FO!X121,PO!X121,CO!X121,FE!X121,PE!X121)</f>
        <v>0</v>
      </c>
      <c r="Y121" s="12" t="n">
        <f aca="false">SUM(FO!Y121,PO!Y121,CO!Y121,FE!Y121,PE!Y121)</f>
        <v>0</v>
      </c>
      <c r="Z121" s="12" t="n">
        <f aca="false">SUM(FO!Z121,PO!Z121,CO!Z121,FE!Z121,PE!Z121)</f>
        <v>0</v>
      </c>
      <c r="AA121" s="12" t="n">
        <f aca="false">SUM(FO!AA121,PO!AA121,CO!AA121,FE!AA121,PE!AA121)</f>
        <v>0</v>
      </c>
      <c r="AB121" s="12" t="n">
        <f aca="false">SUM(FO!AB121,PO!AB121,CO!AB121,FE!AB121,PE!AB121)</f>
        <v>0</v>
      </c>
      <c r="AC121" s="12" t="n">
        <f aca="false">SUM(FO!AC121,PO!AC121,CO!AC121,FE!AC121,PE!AC121)</f>
        <v>0</v>
      </c>
      <c r="AD121" s="12" t="n">
        <f aca="false">SUM(FO!AD121,PO!AD121,CO!AD121,FE!AD121,PE!AD121)</f>
        <v>0</v>
      </c>
      <c r="AE121" s="12" t="n">
        <f aca="false">SUM(FO!AE121,PO!AE121,CO!AE121,FE!AE121,PE!AE121)</f>
        <v>0</v>
      </c>
      <c r="AF121" s="12" t="n">
        <f aca="false">SUM(FO!AF121,PO!AF121,CO!AF121,FE!AF121,PE!AF121)</f>
        <v>0</v>
      </c>
      <c r="AG121" s="12" t="n">
        <f aca="false">SUM(U121:AF121)</f>
        <v>0</v>
      </c>
      <c r="AH121" s="24" t="n">
        <f aca="false">IFERROR(AG121/AG$16,"")</f>
        <v>0</v>
      </c>
      <c r="AI121" s="9"/>
      <c r="AJ121" s="12" t="n">
        <f aca="false">AG121-N121</f>
        <v>-104811.32</v>
      </c>
      <c r="AK121" s="9"/>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12"/>
      <c r="S122" s="12"/>
      <c r="T122" s="12"/>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c r="AK122" s="9"/>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12"/>
      <c r="S123" s="12"/>
      <c r="T123" s="12"/>
      <c r="U123" s="12"/>
      <c r="V123" s="12"/>
      <c r="W123" s="12"/>
      <c r="X123" s="12"/>
      <c r="Y123" s="12"/>
      <c r="Z123" s="12"/>
      <c r="AA123" s="12"/>
      <c r="AB123" s="12"/>
      <c r="AC123" s="12"/>
      <c r="AD123" s="12"/>
      <c r="AE123" s="12"/>
      <c r="AF123" s="12"/>
      <c r="AG123" s="12"/>
      <c r="AH123" s="24"/>
      <c r="AI123" s="9"/>
      <c r="AJ123" s="12"/>
      <c r="AK123" s="9"/>
    </row>
    <row r="124" customFormat="false" ht="13.5" hidden="false" customHeight="true" outlineLevel="0" collapsed="false">
      <c r="A124" s="34" t="s">
        <v>1378</v>
      </c>
      <c r="B124" s="12" t="n">
        <f aca="false">SUM(FO!B124,PO!B124,CO!B124,FE!B124,PE!B124)</f>
        <v>0</v>
      </c>
      <c r="C124" s="12" t="n">
        <f aca="false">SUM(FO!C124,PO!C124,CO!C124,FE!C124,PE!C124)</f>
        <v>0</v>
      </c>
      <c r="D124" s="12" t="n">
        <f aca="false">SUM(FO!D124,PO!D124,CO!D124,FE!D124,PE!D124)</f>
        <v>0</v>
      </c>
      <c r="E124" s="12" t="n">
        <f aca="false">SUM(FO!E124,PO!E124,CO!E124,FE!E124,PE!E124)</f>
        <v>0</v>
      </c>
      <c r="F124" s="12" t="n">
        <f aca="false">SUM(FO!F124,PO!F124,CO!F124,FE!F124,PE!F124)</f>
        <v>0</v>
      </c>
      <c r="G124" s="12" t="n">
        <f aca="false">SUM(FO!G124,PO!G124,CO!G124,FE!G124,PE!G124)</f>
        <v>0</v>
      </c>
      <c r="H124" s="12" t="n">
        <v>0</v>
      </c>
      <c r="I124" s="12" t="n">
        <v>0</v>
      </c>
      <c r="J124" s="12" t="n">
        <v>0</v>
      </c>
      <c r="K124" s="12" t="n">
        <v>0</v>
      </c>
      <c r="L124" s="12" t="n">
        <v>0</v>
      </c>
      <c r="M124" s="12" t="n">
        <v>0</v>
      </c>
      <c r="N124" s="12" t="n">
        <v>0</v>
      </c>
      <c r="O124" s="24" t="n">
        <f aca="false">IFERROR(N124/N$16,"")</f>
        <v>0</v>
      </c>
      <c r="P124" s="12"/>
      <c r="Q124" s="12"/>
      <c r="R124" s="12"/>
      <c r="S124" s="12"/>
      <c r="T124" s="12"/>
      <c r="U124" s="12" t="n">
        <v>0</v>
      </c>
      <c r="V124" s="12" t="n">
        <v>0</v>
      </c>
      <c r="W124" s="12" t="n">
        <v>0</v>
      </c>
      <c r="X124" s="12" t="n">
        <v>0</v>
      </c>
      <c r="Y124" s="12" t="n">
        <v>0</v>
      </c>
      <c r="Z124" s="12" t="n">
        <v>0</v>
      </c>
      <c r="AA124" s="12" t="n">
        <v>0</v>
      </c>
      <c r="AB124" s="12" t="n">
        <v>0</v>
      </c>
      <c r="AC124" s="12" t="n">
        <v>0</v>
      </c>
      <c r="AD124" s="12" t="n">
        <v>0</v>
      </c>
      <c r="AE124" s="12" t="n">
        <v>0</v>
      </c>
      <c r="AF124" s="12" t="n">
        <v>0</v>
      </c>
      <c r="AG124" s="12" t="n">
        <f aca="false">SUM(U124:AF124)</f>
        <v>0</v>
      </c>
      <c r="AH124" s="24" t="n">
        <f aca="false">IFERROR(AG124/AG$16,"")</f>
        <v>0</v>
      </c>
      <c r="AI124" s="9"/>
      <c r="AJ124" s="12" t="n">
        <f aca="false">N124-AG124</f>
        <v>0</v>
      </c>
      <c r="AK124" s="9"/>
    </row>
    <row r="125" customFormat="false" ht="13.5" hidden="false" customHeight="true" outlineLevel="0" collapsed="false">
      <c r="A125" s="23" t="s">
        <v>1379</v>
      </c>
      <c r="B125" s="12" t="n">
        <f aca="false">SUM(FO!B125,PO!B125,CO!B125,FE!B125,PE!B125)</f>
        <v>0</v>
      </c>
      <c r="C125" s="12" t="n">
        <f aca="false">SUM(FO!C125,PO!C125,CO!C125,FE!C125,PE!C125)</f>
        <v>0</v>
      </c>
      <c r="D125" s="12" t="n">
        <f aca="false">SUM(FO!D125,PO!D125,CO!D125,FE!D125,PE!D125)</f>
        <v>0</v>
      </c>
      <c r="E125" s="12" t="n">
        <f aca="false">SUM(FO!E125,PO!E125,CO!E125,FE!E125,PE!E125)</f>
        <v>0</v>
      </c>
      <c r="F125" s="12" t="n">
        <f aca="false">SUM(FO!F125,PO!F125,CO!F125,FE!F125,PE!F125)</f>
        <v>0</v>
      </c>
      <c r="G125" s="12" t="n">
        <f aca="false">SUM(FO!G125,PO!G125,CO!G125,FE!G125,PE!G125)</f>
        <v>0</v>
      </c>
      <c r="H125" s="12" t="n">
        <f aca="false">SUM(FO!H125,PO!H125,CO!H125,FE!H125,PE!H125)</f>
        <v>0</v>
      </c>
      <c r="I125" s="12" t="n">
        <f aca="false">SUM(FO!I125,PO!I125,CO!I125,FE!I125,PE!I125)</f>
        <v>0</v>
      </c>
      <c r="J125" s="12" t="n">
        <f aca="false">SUM(FO!J125,PO!J125,CO!J125,FE!J125,PE!J125)</f>
        <v>0</v>
      </c>
      <c r="K125" s="12" t="n">
        <f aca="false">SUM(FO!K125,PO!K125,CO!K125,FE!K125,PE!K125)</f>
        <v>0</v>
      </c>
      <c r="L125" s="12" t="n">
        <f aca="false">SUM(FO!L125,PO!L125,CO!L125,FE!L125,PE!L125)</f>
        <v>0</v>
      </c>
      <c r="M125" s="12" t="n">
        <f aca="false">SUM(FO!M125,PO!M125,CO!M125,FE!M125,PE!M125)</f>
        <v>0</v>
      </c>
      <c r="N125" s="12" t="n">
        <f aca="false">SUM(B125:M125)</f>
        <v>0</v>
      </c>
      <c r="O125" s="24" t="n">
        <f aca="false">IFERROR(N125/N$16,"")</f>
        <v>0</v>
      </c>
      <c r="P125" s="12"/>
      <c r="Q125" s="12"/>
      <c r="R125" s="12"/>
      <c r="S125" s="12"/>
      <c r="T125" s="12"/>
      <c r="U125" s="12" t="n">
        <f aca="false">SUM(FO!U125,PO!U125,CO!U125,FE!U125,PE!U125)</f>
        <v>0</v>
      </c>
      <c r="V125" s="12" t="n">
        <f aca="false">SUM(FO!V125,PO!V125,CO!V125,FE!V125,PE!V125)</f>
        <v>0</v>
      </c>
      <c r="W125" s="12" t="n">
        <f aca="false">SUM(FO!W125,PO!W125,CO!W125,FE!W125,PE!W125)</f>
        <v>0</v>
      </c>
      <c r="X125" s="12" t="n">
        <f aca="false">SUM(FO!X125,PO!X125,CO!X125,FE!X125,PE!X125)</f>
        <v>0</v>
      </c>
      <c r="Y125" s="12" t="n">
        <f aca="false">SUM(FO!Y125,PO!Y125,CO!Y125,FE!Y125,PE!Y125)</f>
        <v>0</v>
      </c>
      <c r="Z125" s="12" t="n">
        <f aca="false">SUM(FO!Z125,PO!Z125,CO!Z125,FE!Z125,PE!Z125)</f>
        <v>0</v>
      </c>
      <c r="AA125" s="12" t="n">
        <f aca="false">SUM(FO!AA125,PO!AA125,CO!AA125,FE!AA125,PE!AA125)</f>
        <v>0</v>
      </c>
      <c r="AB125" s="12" t="n">
        <f aca="false">SUM(FO!AB125,PO!AB125,CO!AB125,FE!AB125,PE!AB125)</f>
        <v>0</v>
      </c>
      <c r="AC125" s="12" t="n">
        <f aca="false">SUM(FO!AC125,PO!AC125,CO!AC125,FE!AC125,PE!AC125)</f>
        <v>0</v>
      </c>
      <c r="AD125" s="12" t="n">
        <f aca="false">SUM(FO!AD125,PO!AD125,CO!AD125,FE!AD125,PE!AD125)</f>
        <v>0</v>
      </c>
      <c r="AE125" s="12" t="n">
        <f aca="false">SUM(FO!AE125,PO!AE125,CO!AE125,FE!AE125,PE!AE125)</f>
        <v>0</v>
      </c>
      <c r="AF125" s="12" t="n">
        <f aca="false">SUM(FO!AF125,PO!AF125,CO!AF125,FE!AF125,PE!AF125)</f>
        <v>0</v>
      </c>
      <c r="AG125" s="12" t="n">
        <f aca="false">SUM(U125:AF125)</f>
        <v>0</v>
      </c>
      <c r="AH125" s="24" t="n">
        <f aca="false">IFERROR(AG125/AG$16,"")</f>
        <v>0</v>
      </c>
      <c r="AI125" s="9"/>
      <c r="AJ125" s="12" t="n">
        <f aca="false">N125-AG125</f>
        <v>0</v>
      </c>
      <c r="AK125" s="9"/>
    </row>
    <row r="126" customFormat="false" ht="13.5" hidden="false" customHeight="true" outlineLevel="0" collapsed="false">
      <c r="A126" s="23" t="s">
        <v>1380</v>
      </c>
      <c r="B126" s="12" t="n">
        <f aca="false">SUM(FO!B126,PO!B126,CO!B126,FE!B126,PE!B126)</f>
        <v>0</v>
      </c>
      <c r="C126" s="12" t="n">
        <f aca="false">SUM(FO!C126,PO!C126,CO!C126,FE!C126,PE!C126)</f>
        <v>0</v>
      </c>
      <c r="D126" s="12" t="n">
        <f aca="false">SUM(FO!D126,PO!D126,CO!D126,FE!D126,PE!D126)</f>
        <v>0</v>
      </c>
      <c r="E126" s="12" t="n">
        <f aca="false">SUM(FO!E126,PO!E126,CO!E126,FE!E126,PE!E126)</f>
        <v>0</v>
      </c>
      <c r="F126" s="12" t="n">
        <f aca="false">SUM(FO!F126,PO!F126,CO!F126,FE!F126,PE!F126)</f>
        <v>0</v>
      </c>
      <c r="G126" s="12" t="n">
        <f aca="false">SUM(FO!G126,PO!G126,CO!G126,FE!G126,PE!G126)</f>
        <v>0</v>
      </c>
      <c r="H126" s="12" t="n">
        <f aca="false">SUM(FO!H126,PO!H126,CO!H126,FE!H126,PE!H126)</f>
        <v>0</v>
      </c>
      <c r="I126" s="12" t="n">
        <f aca="false">SUM(FO!I126,PO!I126,CO!I126,FE!I126,PE!I126)</f>
        <v>0</v>
      </c>
      <c r="J126" s="12" t="n">
        <f aca="false">SUM(FO!J126,PO!J126,CO!J126,FE!J126,PE!J126)</f>
        <v>5000</v>
      </c>
      <c r="K126" s="12" t="n">
        <f aca="false">SUM(FO!K126,PO!K126,CO!K126,FE!K126,PE!K126)</f>
        <v>5000</v>
      </c>
      <c r="L126" s="12" t="n">
        <f aca="false">SUM(FO!L126,PO!L126,CO!L126,FE!L126,PE!L126)</f>
        <v>5000</v>
      </c>
      <c r="M126" s="12" t="n">
        <f aca="false">SUM(FO!M126,PO!M126,CO!M126,FE!M126,PE!M126)</f>
        <v>5000</v>
      </c>
      <c r="N126" s="12" t="n">
        <f aca="false">SUM(B126:M126)</f>
        <v>20000</v>
      </c>
      <c r="O126" s="24" t="n">
        <f aca="false">IFERROR(N126/N$16,"")</f>
        <v>0.00269398745548244</v>
      </c>
      <c r="P126" s="12"/>
      <c r="Q126" s="12"/>
      <c r="R126" s="12"/>
      <c r="S126" s="12"/>
      <c r="T126" s="12"/>
      <c r="U126" s="12" t="n">
        <f aca="false">SUM(FO!U126,PO!U126,CO!U126,FE!U126,PE!U126)</f>
        <v>0</v>
      </c>
      <c r="V126" s="12" t="n">
        <f aca="false">SUM(FO!V126,PO!V126,CO!V126,FE!V126,PE!V126)</f>
        <v>0</v>
      </c>
      <c r="W126" s="12" t="n">
        <f aca="false">SUM(FO!W126,PO!W126,CO!W126,FE!W126,PE!W126)</f>
        <v>0</v>
      </c>
      <c r="X126" s="12" t="n">
        <f aca="false">SUM(FO!X126,PO!X126,CO!X126,FE!X126,PE!X126)</f>
        <v>0</v>
      </c>
      <c r="Y126" s="12" t="n">
        <f aca="false">SUM(FO!Y126,PO!Y126,CO!Y126,FE!Y126,PE!Y126)</f>
        <v>0</v>
      </c>
      <c r="Z126" s="12" t="n">
        <f aca="false">SUM(FO!Z126,PO!Z126,CO!Z126,FE!Z126,PE!Z126)</f>
        <v>0</v>
      </c>
      <c r="AA126" s="12" t="n">
        <f aca="false">SUM(FO!AA126,PO!AA126,CO!AA126,FE!AA126,PE!AA126)</f>
        <v>0</v>
      </c>
      <c r="AB126" s="12" t="n">
        <f aca="false">SUM(FO!AB126,PO!AB126,CO!AB126,FE!AB126,PE!AB126)</f>
        <v>0</v>
      </c>
      <c r="AC126" s="12" t="n">
        <f aca="false">SUM(FO!AC126,PO!AC126,CO!AC126,FE!AC126,PE!AC126)</f>
        <v>0</v>
      </c>
      <c r="AD126" s="12" t="n">
        <f aca="false">SUM(FO!AD126,PO!AD126,CO!AD126,FE!AD126,PE!AD126)</f>
        <v>0</v>
      </c>
      <c r="AE126" s="12" t="n">
        <f aca="false">SUM(FO!AE126,PO!AE126,CO!AE126,FE!AE126,PE!AE126)</f>
        <v>0</v>
      </c>
      <c r="AF126" s="12" t="n">
        <f aca="false">SUM(FO!AF126,PO!AF126,CO!AF126,FE!AF126,PE!AF126)</f>
        <v>0</v>
      </c>
      <c r="AG126" s="12" t="n">
        <f aca="false">SUM(U126:AF126)</f>
        <v>0</v>
      </c>
      <c r="AH126" s="24" t="n">
        <f aca="false">IFERROR(AG126/AG$16,"")</f>
        <v>0</v>
      </c>
      <c r="AI126" s="9"/>
      <c r="AJ126" s="12" t="n">
        <f aca="false">N126-AG126</f>
        <v>20000</v>
      </c>
      <c r="AK126" s="9"/>
    </row>
    <row r="127" customFormat="false" ht="13.5" hidden="false" customHeight="true" outlineLevel="0" collapsed="false">
      <c r="A127" s="23" t="s">
        <v>1381</v>
      </c>
      <c r="B127" s="12" t="n">
        <f aca="false">SUM(FO!B127,PO!B127,CO!B127,FE!B127,PE!B127)</f>
        <v>0</v>
      </c>
      <c r="C127" s="12" t="n">
        <f aca="false">SUM(FO!C127,PO!C127,CO!C127,FE!C127,PE!C127)</f>
        <v>0</v>
      </c>
      <c r="D127" s="12" t="n">
        <f aca="false">SUM(FO!D127,PO!D127,CO!D127,FE!D127,PE!D127)</f>
        <v>0</v>
      </c>
      <c r="E127" s="12" t="n">
        <f aca="false">SUM(FO!E127,PO!E127,CO!E127,FE!E127,PE!E127)</f>
        <v>0</v>
      </c>
      <c r="F127" s="12" t="n">
        <f aca="false">SUM(FO!F127,PO!F127,CO!F127,FE!F127,PE!F127)</f>
        <v>0</v>
      </c>
      <c r="G127" s="12" t="n">
        <f aca="false">SUM(FO!G127,PO!G127,CO!G127,FE!G127,PE!G127)</f>
        <v>0</v>
      </c>
      <c r="H127" s="12" t="n">
        <f aca="false">SUM(FO!H127,PO!H127,CO!H127,FE!H127,PE!H127)</f>
        <v>0</v>
      </c>
      <c r="I127" s="12" t="n">
        <f aca="false">SUM(FO!I127,PO!I127,CO!I127,FE!I127,PE!I127)</f>
        <v>0</v>
      </c>
      <c r="J127" s="12" t="n">
        <f aca="false">SUM(FO!J127,PO!J127,CO!J127,FE!J127,PE!J127)</f>
        <v>0</v>
      </c>
      <c r="K127" s="12" t="n">
        <f aca="false">SUM(FO!K127,PO!K127,CO!K127,FE!K127,PE!K127)</f>
        <v>0</v>
      </c>
      <c r="L127" s="12" t="n">
        <f aca="false">SUM(FO!L127,PO!L127,CO!L127,FE!L127,PE!L127)</f>
        <v>0</v>
      </c>
      <c r="M127" s="12" t="n">
        <f aca="false">SUM(FO!M127,PO!M127,CO!M127,FE!M127,PE!M127)</f>
        <v>0</v>
      </c>
      <c r="N127" s="12" t="n">
        <f aca="false">SUM(B127:M127)</f>
        <v>0</v>
      </c>
      <c r="O127" s="24" t="n">
        <f aca="false">IFERROR(N127/N$16,"")</f>
        <v>0</v>
      </c>
      <c r="P127" s="12"/>
      <c r="Q127" s="12"/>
      <c r="R127" s="12"/>
      <c r="S127" s="12"/>
      <c r="T127" s="12"/>
      <c r="U127" s="12" t="n">
        <f aca="false">SUM(FO!U127,PO!U127,CO!U127,FE!U127,PE!U127)</f>
        <v>0</v>
      </c>
      <c r="V127" s="12" t="n">
        <f aca="false">SUM(FO!V127,PO!V127,CO!V127,FE!V127,PE!V127)</f>
        <v>0</v>
      </c>
      <c r="W127" s="12" t="n">
        <f aca="false">SUM(FO!W127,PO!W127,CO!W127,FE!W127,PE!W127)</f>
        <v>0</v>
      </c>
      <c r="X127" s="12" t="n">
        <f aca="false">SUM(FO!X127,PO!X127,CO!X127,FE!X127,PE!X127)</f>
        <v>0</v>
      </c>
      <c r="Y127" s="12" t="n">
        <f aca="false">SUM(FO!Y127,PO!Y127,CO!Y127,FE!Y127,PE!Y127)</f>
        <v>0</v>
      </c>
      <c r="Z127" s="12" t="n">
        <f aca="false">SUM(FO!Z127,PO!Z127,CO!Z127,FE!Z127,PE!Z127)</f>
        <v>0</v>
      </c>
      <c r="AA127" s="12" t="n">
        <f aca="false">SUM(FO!AA127,PO!AA127,CO!AA127,FE!AA127,PE!AA127)</f>
        <v>0</v>
      </c>
      <c r="AB127" s="12" t="n">
        <f aca="false">SUM(FO!AB127,PO!AB127,CO!AB127,FE!AB127,PE!AB127)</f>
        <v>0</v>
      </c>
      <c r="AC127" s="12" t="n">
        <f aca="false">SUM(FO!AC127,PO!AC127,CO!AC127,FE!AC127,PE!AC127)</f>
        <v>0</v>
      </c>
      <c r="AD127" s="12" t="n">
        <f aca="false">SUM(FO!AD127,PO!AD127,CO!AD127,FE!AD127,PE!AD127)</f>
        <v>0</v>
      </c>
      <c r="AE127" s="12" t="n">
        <f aca="false">SUM(FO!AE127,PO!AE127,CO!AE127,FE!AE127,PE!AE127)</f>
        <v>0</v>
      </c>
      <c r="AF127" s="12" t="n">
        <f aca="false">SUM(FO!AF127,PO!AF127,CO!AF127,FE!AF127,PE!AF127)</f>
        <v>0</v>
      </c>
      <c r="AG127" s="12"/>
      <c r="AH127" s="24"/>
      <c r="AI127" s="9"/>
      <c r="AJ127" s="12"/>
      <c r="AK127" s="9"/>
    </row>
    <row r="128" customFormat="false" ht="13.5" hidden="false" customHeight="true" outlineLevel="0" collapsed="false">
      <c r="A128" s="23" t="s">
        <v>1382</v>
      </c>
      <c r="B128" s="12" t="n">
        <f aca="false">SUM(FO!B128,PO!B128,CO!B128,FE!B128,PE!B128)</f>
        <v>0</v>
      </c>
      <c r="C128" s="12" t="n">
        <f aca="false">SUM(FO!C128,PO!C128,CO!C128,FE!C128,PE!C128)</f>
        <v>0</v>
      </c>
      <c r="D128" s="12" t="n">
        <f aca="false">SUM(FO!D128,PO!D128,CO!D128,FE!D128,PE!D128)</f>
        <v>0</v>
      </c>
      <c r="E128" s="12" t="n">
        <f aca="false">SUM(FO!E128,PO!E128,CO!E128,FE!E128,PE!E128)</f>
        <v>0</v>
      </c>
      <c r="F128" s="12" t="n">
        <f aca="false">SUM(FO!F128,PO!F128,CO!F128,FE!F128,PE!F128)</f>
        <v>0</v>
      </c>
      <c r="G128" s="12" t="n">
        <f aca="false">SUM(FO!G128,PO!G128,CO!G128,FE!G128,PE!G128)</f>
        <v>0</v>
      </c>
      <c r="H128" s="12" t="n">
        <f aca="false">SUM(FO!H128,PO!H128,CO!H128,FE!H128,PE!H128)</f>
        <v>0</v>
      </c>
      <c r="I128" s="12" t="n">
        <f aca="false">SUM(FO!I128,PO!I128,CO!I128,FE!I128,PE!I128)</f>
        <v>0</v>
      </c>
      <c r="J128" s="12" t="n">
        <f aca="false">SUM(FO!J128,PO!J128,CO!J128,FE!J128,PE!J128)</f>
        <v>0</v>
      </c>
      <c r="K128" s="12" t="n">
        <f aca="false">SUM(FO!K128,PO!K128,CO!K128,FE!K128,PE!K128)</f>
        <v>0</v>
      </c>
      <c r="L128" s="12" t="n">
        <f aca="false">SUM(FO!L128,PO!L128,CO!L128,FE!L128,PE!L128)</f>
        <v>0</v>
      </c>
      <c r="M128" s="12" t="n">
        <f aca="false">SUM(FO!M128,PO!M128,CO!M128,FE!M128,PE!M128)</f>
        <v>0</v>
      </c>
      <c r="N128" s="12" t="n">
        <f aca="false">SUM(B128:M128)</f>
        <v>0</v>
      </c>
      <c r="O128" s="24" t="n">
        <f aca="false">IFERROR(N128/N$16,"")</f>
        <v>0</v>
      </c>
      <c r="P128" s="12"/>
      <c r="Q128" s="12"/>
      <c r="R128" s="12"/>
      <c r="S128" s="12"/>
      <c r="T128" s="12"/>
      <c r="U128" s="12" t="n">
        <f aca="false">SUM(FO!U128,PO!U128,CO!U128,FE!U128,PE!U128)</f>
        <v>0</v>
      </c>
      <c r="V128" s="12" t="n">
        <f aca="false">SUM(FO!V128,PO!V128,CO!V128,FE!V128,PE!V128)</f>
        <v>0</v>
      </c>
      <c r="W128" s="12" t="n">
        <f aca="false">SUM(FO!W128,PO!W128,CO!W128,FE!W128,PE!W128)</f>
        <v>0</v>
      </c>
      <c r="X128" s="12" t="n">
        <f aca="false">SUM(FO!X128,PO!X128,CO!X128,FE!X128,PE!X128)</f>
        <v>0</v>
      </c>
      <c r="Y128" s="12" t="n">
        <f aca="false">SUM(FO!Y128,PO!Y128,CO!Y128,FE!Y128,PE!Y128)</f>
        <v>0</v>
      </c>
      <c r="Z128" s="12" t="n">
        <f aca="false">SUM(FO!Z128,PO!Z128,CO!Z128,FE!Z128,PE!Z128)</f>
        <v>0</v>
      </c>
      <c r="AA128" s="12" t="n">
        <f aca="false">SUM(FO!AA128,PO!AA128,CO!AA128,FE!AA128,PE!AA128)</f>
        <v>0</v>
      </c>
      <c r="AB128" s="12" t="n">
        <f aca="false">SUM(FO!AB128,PO!AB128,CO!AB128,FE!AB128,PE!AB128)</f>
        <v>0</v>
      </c>
      <c r="AC128" s="12" t="n">
        <f aca="false">SUM(FO!AC128,PO!AC128,CO!AC128,FE!AC128,PE!AC128)</f>
        <v>0</v>
      </c>
      <c r="AD128" s="12" t="n">
        <f aca="false">SUM(FO!AD128,PO!AD128,CO!AD128,FE!AD128,PE!AD128)</f>
        <v>0</v>
      </c>
      <c r="AE128" s="12" t="n">
        <f aca="false">SUM(FO!AE128,PO!AE128,CO!AE128,FE!AE128,PE!AE128)</f>
        <v>0</v>
      </c>
      <c r="AF128" s="12" t="n">
        <f aca="false">SUM(FO!AF128,PO!AF128,CO!AF128,FE!AF128,PE!AF128)</f>
        <v>0</v>
      </c>
      <c r="AG128" s="12" t="n">
        <f aca="false">SUM(U128:AF128)</f>
        <v>0</v>
      </c>
      <c r="AH128" s="24" t="n">
        <f aca="false">IFERROR(AG128/AG$16,"")</f>
        <v>0</v>
      </c>
      <c r="AI128" s="9"/>
      <c r="AJ128" s="12" t="n">
        <f aca="false">N128-AG128</f>
        <v>0</v>
      </c>
      <c r="AK128" s="9"/>
    </row>
    <row r="129" customFormat="false" ht="13.5" hidden="false" customHeight="true" outlineLevel="0" collapsed="false">
      <c r="A129" s="23" t="s">
        <v>1383</v>
      </c>
      <c r="B129" s="12" t="n">
        <f aca="false">SUM(FO!B129,PO!B129,CO!B129,FE!B129,PE!B129)</f>
        <v>0</v>
      </c>
      <c r="C129" s="12" t="n">
        <f aca="false">SUM(FO!C129,PO!C129,CO!C129,FE!C129,PE!C129)</f>
        <v>0</v>
      </c>
      <c r="D129" s="12" t="n">
        <f aca="false">SUM(FO!D129,PO!D129,CO!D129,FE!D129,PE!D129)</f>
        <v>0</v>
      </c>
      <c r="E129" s="12" t="n">
        <f aca="false">SUM(FO!E129,PO!E129,CO!E129,FE!E129,PE!E129)</f>
        <v>0</v>
      </c>
      <c r="F129" s="12" t="n">
        <f aca="false">SUM(FO!F129,PO!F129,CO!F129,FE!F129,PE!F129)</f>
        <v>0</v>
      </c>
      <c r="G129" s="12" t="n">
        <f aca="false">SUM(FO!G129,PO!G129,CO!G129,FE!G129,PE!G129)</f>
        <v>0</v>
      </c>
      <c r="H129" s="12" t="n">
        <f aca="false">SUM(FO!H129,PO!H129,CO!H129,FE!H129,PE!H129)</f>
        <v>0</v>
      </c>
      <c r="I129" s="12" t="n">
        <f aca="false">SUM(FO!I129,PO!I129,CO!I129,FE!I129,PE!I129)</f>
        <v>0</v>
      </c>
      <c r="J129" s="12" t="n">
        <f aca="false">SUM(FO!J129,PO!J129,CO!J129,FE!J129,PE!J129)</f>
        <v>0</v>
      </c>
      <c r="K129" s="12" t="n">
        <f aca="false">SUM(FO!K129,PO!K129,CO!K129,FE!K129,PE!K129)</f>
        <v>0</v>
      </c>
      <c r="L129" s="12" t="n">
        <f aca="false">SUM(FO!L129,PO!L129,CO!L129,FE!L129,PE!L129)</f>
        <v>0</v>
      </c>
      <c r="M129" s="12" t="n">
        <f aca="false">SUM(FO!M129,PO!M129,CO!M129,FE!M129,PE!M129)</f>
        <v>0</v>
      </c>
      <c r="N129" s="12" t="n">
        <f aca="false">SUM(B129:M129)</f>
        <v>0</v>
      </c>
      <c r="O129" s="24" t="n">
        <f aca="false">IFERROR(N129/N$16,"")</f>
        <v>0</v>
      </c>
      <c r="P129" s="12"/>
      <c r="Q129" s="12"/>
      <c r="R129" s="12"/>
      <c r="S129" s="12"/>
      <c r="T129" s="12"/>
      <c r="U129" s="12" t="n">
        <f aca="false">SUM(FO!U129,PO!U129,CO!U129,FE!U129,PE!U129)</f>
        <v>0</v>
      </c>
      <c r="V129" s="12" t="n">
        <f aca="false">SUM(FO!V129,PO!V129,CO!V129,FE!V129,PE!V129)</f>
        <v>0</v>
      </c>
      <c r="W129" s="12" t="n">
        <f aca="false">SUM(FO!W129,PO!W129,CO!W129,FE!W129,PE!W129)</f>
        <v>0</v>
      </c>
      <c r="X129" s="12" t="n">
        <f aca="false">SUM(FO!X129,PO!X129,CO!X129,FE!X129,PE!X129)</f>
        <v>0</v>
      </c>
      <c r="Y129" s="12" t="n">
        <f aca="false">SUM(FO!Y129,PO!Y129,CO!Y129,FE!Y129,PE!Y129)</f>
        <v>0</v>
      </c>
      <c r="Z129" s="12" t="n">
        <f aca="false">SUM(FO!Z129,PO!Z129,CO!Z129,FE!Z129,PE!Z129)</f>
        <v>0</v>
      </c>
      <c r="AA129" s="12" t="n">
        <f aca="false">SUM(FO!AA129,PO!AA129,CO!AA129,FE!AA129,PE!AA129)</f>
        <v>0</v>
      </c>
      <c r="AB129" s="12" t="n">
        <f aca="false">SUM(FO!AB129,PO!AB129,CO!AB129,FE!AB129,PE!AB129)</f>
        <v>0</v>
      </c>
      <c r="AC129" s="12" t="n">
        <f aca="false">SUM(FO!AC129,PO!AC129,CO!AC129,FE!AC129,PE!AC129)</f>
        <v>0</v>
      </c>
      <c r="AD129" s="12" t="n">
        <f aca="false">SUM(FO!AD129,PO!AD129,CO!AD129,FE!AD129,PE!AD129)</f>
        <v>0</v>
      </c>
      <c r="AE129" s="12" t="n">
        <f aca="false">SUM(FO!AE129,PO!AE129,CO!AE129,FE!AE129,PE!AE129)</f>
        <v>0</v>
      </c>
      <c r="AF129" s="12" t="n">
        <f aca="false">SUM(FO!AF129,PO!AF129,CO!AF129,FE!AF129,PE!AF129)</f>
        <v>0</v>
      </c>
      <c r="AG129" s="12" t="n">
        <f aca="false">SUM(U129:AF129)</f>
        <v>0</v>
      </c>
      <c r="AH129" s="24" t="n">
        <f aca="false">IFERROR(AG129/AG$16,"")</f>
        <v>0</v>
      </c>
      <c r="AI129" s="9"/>
      <c r="AJ129" s="12" t="n">
        <f aca="false">N129-AG129</f>
        <v>0</v>
      </c>
      <c r="AK129" s="9"/>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12"/>
      <c r="S130" s="12"/>
      <c r="T130" s="12"/>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c r="AK130" s="9"/>
    </row>
    <row r="131" customFormat="false" ht="13.5" hidden="false" customHeight="true" outlineLevel="0" collapsed="false">
      <c r="A131" s="41" t="s">
        <v>1385</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12"/>
      <c r="S131" s="12"/>
      <c r="T131" s="12"/>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c r="AK131" s="9"/>
    </row>
    <row r="132" customFormat="false" ht="13.5" hidden="false" customHeight="true" outlineLevel="0" collapsed="false">
      <c r="A132" s="29" t="s">
        <v>21</v>
      </c>
      <c r="B132" s="30" t="n">
        <f aca="false">B117+B131</f>
        <v>114581.3</v>
      </c>
      <c r="C132" s="30" t="n">
        <f aca="false">C117+C131</f>
        <v>186181.91</v>
      </c>
      <c r="D132" s="30" t="n">
        <f aca="false">D117+D131</f>
        <v>-46641.9900000001</v>
      </c>
      <c r="E132" s="30" t="n">
        <f aca="false">E117+E131</f>
        <v>257469.25</v>
      </c>
      <c r="F132" s="30" t="n">
        <f aca="false">F117+F131</f>
        <v>-164415.79</v>
      </c>
      <c r="G132" s="30" t="n">
        <f aca="false">G117+G131</f>
        <v>-223479.01</v>
      </c>
      <c r="H132" s="30" t="n">
        <f aca="false">H117+H131</f>
        <v>67487.7299999998</v>
      </c>
      <c r="I132" s="30" t="n">
        <f aca="false">I117+I131</f>
        <v>-246328</v>
      </c>
      <c r="J132" s="30" t="n">
        <f aca="false">J117+J131</f>
        <v>-736743.577142858</v>
      </c>
      <c r="K132" s="30" t="n">
        <f aca="false">K117+K131</f>
        <v>-51839.196190476</v>
      </c>
      <c r="L132" s="30" t="n">
        <f aca="false">L117+L131</f>
        <v>-34368.6247619044</v>
      </c>
      <c r="M132" s="30" t="n">
        <f aca="false">M117+M131</f>
        <v>-21126.053333333</v>
      </c>
      <c r="N132" s="30" t="n">
        <f aca="false">SUM(B132:M132)</f>
        <v>-899222.051428571</v>
      </c>
      <c r="O132" s="31" t="n">
        <f aca="false">IFERROR(N132/N$16,"")</f>
        <v>-0.121124646312088</v>
      </c>
      <c r="P132" s="12"/>
      <c r="Q132" s="12"/>
      <c r="R132" s="12"/>
      <c r="S132" s="12"/>
      <c r="T132" s="12"/>
      <c r="U132" s="30" t="n">
        <f aca="false">U117+U131</f>
        <v>-86227.5648503953</v>
      </c>
      <c r="V132" s="30" t="n">
        <f aca="false">V117+V131</f>
        <v>12070.0414574244</v>
      </c>
      <c r="W132" s="30" t="n">
        <f aca="false">W117+W131</f>
        <v>-17931.7187013057</v>
      </c>
      <c r="X132" s="30" t="n">
        <f aca="false">X117+X131</f>
        <v>-91819.933378611</v>
      </c>
      <c r="Y132" s="30" t="n">
        <f aca="false">Y117+Y131</f>
        <v>-46575.944363736</v>
      </c>
      <c r="Z132" s="30" t="n">
        <f aca="false">Z117+Z131</f>
        <v>-42373.9612925993</v>
      </c>
      <c r="AA132" s="30" t="n">
        <f aca="false">AA117+AA131</f>
        <v>5494.9173047567</v>
      </c>
      <c r="AB132" s="30" t="n">
        <f aca="false">AB117+AB131</f>
        <v>34635.4978655462</v>
      </c>
      <c r="AC132" s="30" t="n">
        <f aca="false">AC117+AC131</f>
        <v>68431.4756572009</v>
      </c>
      <c r="AD132" s="30" t="n">
        <f aca="false">AD117+AD131</f>
        <v>109021.790610878</v>
      </c>
      <c r="AE132" s="30" t="n">
        <f aca="false">AE117+AE131</f>
        <v>163506.016109587</v>
      </c>
      <c r="AF132" s="30" t="n">
        <f aca="false">AF117+AF131</f>
        <v>285255.422907474</v>
      </c>
      <c r="AG132" s="30" t="n">
        <f aca="false">SUM(U132:AF132)</f>
        <v>393486.03932622</v>
      </c>
      <c r="AH132" s="31" t="n">
        <f aca="false">IFERROR(AG132/AG$16,"")</f>
        <v>0.0252823824773436</v>
      </c>
      <c r="AI132" s="9"/>
      <c r="AJ132" s="30" t="n">
        <f aca="false">AG132-N132</f>
        <v>1292708.09075479</v>
      </c>
      <c r="AK132" s="9"/>
    </row>
    <row r="133" customFormat="false" ht="13.5" hidden="false" customHeight="true" outlineLevel="0" collapsed="false">
      <c r="A133" s="42" t="s">
        <v>1386</v>
      </c>
      <c r="B133" s="43" t="n">
        <f aca="false">B132-(CO!B132+FE!B132+FO!B132+PE!B132+PO!B132)</f>
        <v>0</v>
      </c>
      <c r="C133" s="43" t="n">
        <f aca="false">C132-(CO!C132+FE!C132+FO!C132+PE!C132+PO!C132)</f>
        <v>0</v>
      </c>
      <c r="D133" s="43" t="n">
        <f aca="false">D132-(CO!D132+FE!D132+FO!D132+PE!D132+PO!D132)</f>
        <v>0</v>
      </c>
      <c r="E133" s="43" t="n">
        <f aca="false">E132-(CO!E132+FE!E132+FO!E132+PE!E132+PO!E132)</f>
        <v>0</v>
      </c>
      <c r="F133" s="43" t="n">
        <f aca="false">F132-(CO!F132+FE!F132+FO!F132+PE!F132+PO!F132)</f>
        <v>0</v>
      </c>
      <c r="G133" s="43" t="n">
        <f aca="false">G132-(CO!G132+FE!G132+FO!G132+PE!G132+PO!G132)</f>
        <v>0</v>
      </c>
      <c r="H133" s="43" t="n">
        <f aca="false">H132-(CO!H132+FE!H132+FO!H132+PE!H132+PO!H132)</f>
        <v>0</v>
      </c>
      <c r="I133" s="43" t="n">
        <f aca="false">I132-(CO!I132+FE!I132+FO!I132+PE!I132+PO!I132)</f>
        <v>0</v>
      </c>
      <c r="J133" s="43" t="n">
        <f aca="false">J132-(CO!J132+FE!J132+FO!J132+PE!J132+PO!J132)</f>
        <v>0</v>
      </c>
      <c r="K133" s="43" t="n">
        <f aca="false">K132-(CO!K132+FE!K132+FO!K132+PE!K132+PO!K132)</f>
        <v>0</v>
      </c>
      <c r="L133" s="43" t="n">
        <f aca="false">L132-(CO!L132+FE!L132+FO!L132+PE!L132+PO!L132)</f>
        <v>0</v>
      </c>
      <c r="M133" s="43" t="n">
        <f aca="false">M132-(CO!M132+FE!M132+FO!M132+PE!M132+PO!M132)</f>
        <v>0</v>
      </c>
      <c r="N133" s="43" t="n">
        <f aca="false">N132-(CO!N132+FE!N132+FO!N132+PE!N132+PO!N132)</f>
        <v>0</v>
      </c>
      <c r="O133" s="44"/>
      <c r="P133" s="44" t="n">
        <f aca="false">P132-(CO!P132+FE!P132+FO!P132+PE!P132+PO!P132)</f>
        <v>0</v>
      </c>
      <c r="Q133" s="44"/>
      <c r="R133" s="44"/>
      <c r="S133" s="44" t="n">
        <f aca="false">S132-(CO!S132+FE!S132+FO!S132+PE!S132+PO!S132)</f>
        <v>0</v>
      </c>
      <c r="T133" s="44" t="n">
        <f aca="false">T132-(CO!T132+FE!T132+FO!T132+PE!T132+PO!T132)</f>
        <v>0</v>
      </c>
      <c r="U133" s="43" t="n">
        <f aca="false">U132-(CO!U132+FE!U132+FO!U132+PE!U132+PO!U132)</f>
        <v>0</v>
      </c>
      <c r="V133" s="43" t="n">
        <f aca="false">V132-(CO!V132+FE!V132+FO!V132+PE!V132+PO!V132)</f>
        <v>-1.16415321826935E-010</v>
      </c>
      <c r="W133" s="43" t="n">
        <f aca="false">W132-(CO!W132+FE!W132+FO!W132+PE!W132+PO!W132)</f>
        <v>0</v>
      </c>
      <c r="X133" s="43" t="n">
        <f aca="false">X132-(CO!X132+FE!X132+FO!X132+PE!X132+PO!X132)</f>
        <v>0</v>
      </c>
      <c r="Y133" s="43" t="n">
        <f aca="false">Y132-(CO!Y132+FE!Y132+FO!Y132+PE!Y132+PO!Y132)</f>
        <v>1.74622982740402E-010</v>
      </c>
      <c r="Z133" s="43" t="n">
        <f aca="false">Z132-(CO!Z132+FE!Z132+FO!Z132+PE!Z132+PO!Z132)</f>
        <v>0</v>
      </c>
      <c r="AA133" s="43" t="n">
        <f aca="false">AA132-(CO!AA132+FE!AA132+FO!AA132+PE!AA132+PO!AA132)</f>
        <v>0</v>
      </c>
      <c r="AB133" s="43" t="n">
        <f aca="false">AB132-(CO!AB132+FE!AB132+FO!AB132+PE!AB132+PO!AB132)</f>
        <v>0</v>
      </c>
      <c r="AC133" s="43" t="n">
        <f aca="false">AC132-(CO!AC132+FE!AC132+FO!AC132+PE!AC132+PO!AC132)</f>
        <v>0</v>
      </c>
      <c r="AD133" s="43" t="n">
        <f aca="false">AD132-(CO!AD132+FE!AD132+FO!AD132+PE!AD132+PO!AD132)</f>
        <v>0</v>
      </c>
      <c r="AE133" s="43" t="n">
        <f aca="false">AE132-(CO!AE132+FE!AE132+FO!AE132+PE!AE132+PO!AE132)</f>
        <v>0</v>
      </c>
      <c r="AF133" s="43" t="n">
        <f aca="false">AF132-(CO!AF132+FE!AF132+FO!AF132+PE!AF132+PO!AF132)</f>
        <v>0</v>
      </c>
      <c r="AG133" s="45"/>
      <c r="AH133" s="46"/>
      <c r="AI133" s="42"/>
      <c r="AJ133" s="42"/>
      <c r="AK133" s="42"/>
    </row>
    <row r="134" customFormat="false" ht="13.5" hidden="false" customHeight="true" outlineLevel="0" collapsed="false">
      <c r="A134" s="47"/>
      <c r="B134" s="48"/>
      <c r="C134" s="48"/>
      <c r="D134" s="48"/>
      <c r="E134" s="48"/>
      <c r="F134" s="48"/>
      <c r="G134" s="48"/>
      <c r="H134" s="12"/>
      <c r="I134" s="12"/>
      <c r="J134" s="12"/>
      <c r="K134" s="12"/>
      <c r="L134" s="12"/>
      <c r="M134" s="12"/>
      <c r="N134" s="12"/>
      <c r="O134" s="24"/>
      <c r="P134" s="12"/>
      <c r="Q134" s="12"/>
      <c r="R134" s="12"/>
      <c r="S134" s="12"/>
      <c r="T134" s="12"/>
      <c r="U134" s="12"/>
      <c r="V134" s="12"/>
      <c r="W134" s="12"/>
      <c r="X134" s="12"/>
      <c r="Y134" s="12"/>
      <c r="Z134" s="12"/>
      <c r="AA134" s="12"/>
      <c r="AB134" s="12"/>
      <c r="AC134" s="12"/>
      <c r="AD134" s="12"/>
      <c r="AE134" s="12"/>
      <c r="AF134" s="12"/>
      <c r="AG134" s="12"/>
      <c r="AH134" s="12"/>
      <c r="AI134" s="9"/>
      <c r="AJ134" s="9"/>
      <c r="AK134" s="9"/>
    </row>
    <row r="135" customFormat="false" ht="13.5" hidden="false" customHeight="true" outlineLevel="0" collapsed="false">
      <c r="A135" s="47"/>
      <c r="B135" s="48"/>
      <c r="C135" s="48"/>
      <c r="D135" s="48"/>
      <c r="E135" s="48"/>
      <c r="F135" s="48"/>
      <c r="G135" s="48"/>
      <c r="H135" s="12"/>
      <c r="I135" s="12"/>
      <c r="J135" s="12"/>
      <c r="K135" s="12"/>
      <c r="L135" s="12"/>
      <c r="M135" s="12"/>
      <c r="N135" s="12"/>
      <c r="O135" s="24"/>
      <c r="P135" s="12"/>
      <c r="Q135" s="12"/>
      <c r="R135" s="12"/>
      <c r="S135" s="12"/>
      <c r="T135" s="12"/>
      <c r="U135" s="12"/>
      <c r="V135" s="12"/>
      <c r="W135" s="12"/>
      <c r="X135" s="12"/>
      <c r="Y135" s="12"/>
      <c r="Z135" s="12"/>
      <c r="AA135" s="12"/>
      <c r="AB135" s="12"/>
      <c r="AC135" s="12"/>
      <c r="AD135" s="12"/>
      <c r="AE135" s="12"/>
      <c r="AF135" s="12"/>
      <c r="AG135" s="12"/>
      <c r="AH135" s="12"/>
      <c r="AI135" s="9"/>
      <c r="AJ135" s="9"/>
      <c r="AK135" s="9"/>
    </row>
    <row r="136" customFormat="false" ht="13.5" hidden="false" customHeight="true" outlineLevel="0" collapsed="false">
      <c r="A136" s="47"/>
      <c r="B136" s="48"/>
      <c r="C136" s="48"/>
      <c r="D136" s="48"/>
      <c r="E136" s="48"/>
      <c r="F136" s="48"/>
      <c r="G136" s="48"/>
      <c r="H136" s="12"/>
      <c r="I136" s="12"/>
      <c r="J136" s="12"/>
      <c r="K136" s="12"/>
      <c r="L136" s="12"/>
      <c r="M136" s="12"/>
      <c r="N136" s="12"/>
      <c r="O136" s="24"/>
      <c r="P136" s="12"/>
      <c r="Q136" s="12"/>
      <c r="R136" s="12"/>
      <c r="S136" s="12"/>
      <c r="T136" s="12"/>
      <c r="U136" s="12"/>
      <c r="V136" s="12"/>
      <c r="W136" s="12"/>
      <c r="X136" s="12"/>
      <c r="Y136" s="12"/>
      <c r="Z136" s="12"/>
      <c r="AA136" s="12"/>
      <c r="AB136" s="12"/>
      <c r="AC136" s="12"/>
      <c r="AD136" s="12"/>
      <c r="AE136" s="12"/>
      <c r="AF136" s="12"/>
      <c r="AG136" s="12"/>
      <c r="AH136" s="12"/>
      <c r="AI136" s="9"/>
      <c r="AJ136" s="9"/>
      <c r="AK136" s="9"/>
    </row>
    <row r="137" customFormat="false" ht="13.5" hidden="false" customHeight="true" outlineLevel="0" collapsed="false">
      <c r="A137" s="9" t="s">
        <v>1387</v>
      </c>
      <c r="B137" s="12" t="n">
        <f aca="false">SUMIF($A$9:$A$132,"*"&amp;$A137&amp;"*",B$9:B$132)</f>
        <v>95947.69</v>
      </c>
      <c r="C137" s="12" t="n">
        <f aca="false">SUMIF($A$9:$A$132,"*"&amp;$A137&amp;"*",C$9:C$132)</f>
        <v>-5713.61000000002</v>
      </c>
      <c r="D137" s="12" t="n">
        <f aca="false">SUMIF($A$9:$A$132,"*"&amp;$A137&amp;"*",D$9:D$132)</f>
        <v>208518.9</v>
      </c>
      <c r="E137" s="12" t="n">
        <f aca="false">SUMIF($A$9:$A$132,"*"&amp;$A137&amp;"*",E$9:E$132)</f>
        <v>233047.33</v>
      </c>
      <c r="F137" s="12" t="n">
        <f aca="false">SUMIF($A$9:$A$132,"*"&amp;$A137&amp;"*",F$9:F$132)</f>
        <v>293194.88</v>
      </c>
      <c r="G137" s="12" t="n">
        <f aca="false">SUMIF($A$9:$A$132,"*"&amp;$A137&amp;"*",G$9:G$132)</f>
        <v>272706.22</v>
      </c>
      <c r="H137" s="12" t="n">
        <f aca="false">SUMIF($A$9:$A$132,"*"&amp;$A137&amp;"*",H$9:H$132)</f>
        <v>286992.28</v>
      </c>
      <c r="I137" s="12" t="n">
        <f aca="false">SUMIF($A$9:$A$132,"*"&amp;$A137&amp;"*",I$9:I$132)</f>
        <v>291818.54</v>
      </c>
      <c r="J137" s="12" t="n">
        <f aca="false">SUMIF($A$9:$A$132,"*"&amp;$A137&amp;"*",J$9:J$132)</f>
        <v>373100</v>
      </c>
      <c r="K137" s="12" t="n">
        <f aca="false">SUMIF($A$9:$A$132,"*"&amp;$A137&amp;"*",K$9:K$132)</f>
        <v>397900</v>
      </c>
      <c r="L137" s="12" t="n">
        <f aca="false">SUMIF($A$9:$A$132,"*"&amp;$A137&amp;"*",L$9:L$132)</f>
        <v>403300</v>
      </c>
      <c r="M137" s="12" t="n">
        <f aca="false">SUMIF($A$9:$A$132,"*"&amp;$A137&amp;"*",M$9:M$132)</f>
        <v>414000</v>
      </c>
      <c r="N137" s="12" t="n">
        <f aca="false">SUMIF($A$9:$A$132,"*"&amp;$A137&amp;"*",N$9:N$132)</f>
        <v>3264812.23</v>
      </c>
      <c r="O137" s="24"/>
      <c r="P137" s="9"/>
      <c r="Q137" s="9"/>
      <c r="R137" s="9"/>
      <c r="S137" s="9"/>
      <c r="T137" s="9"/>
      <c r="U137" s="12" t="n">
        <f aca="false">SUMIF($A$9:$A$132,"*"&amp;$A137&amp;"*",U$9:U$132)</f>
        <v>353174.916666667</v>
      </c>
      <c r="V137" s="12" t="n">
        <f aca="false">SUMIF($A$9:$A$132,"*"&amp;$A137&amp;"*",V$9:V$132)</f>
        <v>349174.916666667</v>
      </c>
      <c r="W137" s="12" t="n">
        <f aca="false">SUMIF($A$9:$A$132,"*"&amp;$A137&amp;"*",W$9:W$132)</f>
        <v>387674.916666667</v>
      </c>
      <c r="X137" s="12" t="n">
        <f aca="false">SUMIF($A$9:$A$132,"*"&amp;$A137&amp;"*",X$9:X$132)</f>
        <v>399424.916666667</v>
      </c>
      <c r="Y137" s="12" t="n">
        <f aca="false">SUMIF($A$9:$A$132,"*"&amp;$A137&amp;"*",Y$9:Y$132)</f>
        <v>429674.916666667</v>
      </c>
      <c r="Z137" s="12" t="n">
        <f aca="false">SUMIF($A$9:$A$132,"*"&amp;$A137&amp;"*",Z$9:Z$132)</f>
        <v>455924.916666667</v>
      </c>
      <c r="AA137" s="12" t="n">
        <f aca="false">SUMIF($A$9:$A$132,"*"&amp;$A137&amp;"*",AA$9:AA$132)</f>
        <v>498924.916666667</v>
      </c>
      <c r="AB137" s="12" t="n">
        <f aca="false">SUMIF($A$9:$A$132,"*"&amp;$A137&amp;"*",AB$9:AB$132)</f>
        <v>541091.583333333</v>
      </c>
      <c r="AC137" s="12" t="n">
        <f aca="false">SUMIF($A$9:$A$132,"*"&amp;$A137&amp;"*",AC$9:AC$132)</f>
        <v>577841.583333333</v>
      </c>
      <c r="AD137" s="12" t="n">
        <f aca="false">SUMIF($A$9:$A$132,"*"&amp;$A137&amp;"*",AD$9:AD$132)</f>
        <v>650084.330833333</v>
      </c>
      <c r="AE137" s="12" t="n">
        <f aca="false">SUMIF($A$9:$A$132,"*"&amp;$A137&amp;"*",AE$9:AE$132)</f>
        <v>695334.330833333</v>
      </c>
      <c r="AF137" s="12" t="n">
        <f aca="false">SUMIF($A$9:$A$132,"*"&amp;$A137&amp;"*",AF$9:AF$132)</f>
        <v>744834.330833333</v>
      </c>
      <c r="AG137" s="12" t="n">
        <f aca="false">SUMIF($A$9:$A$132,"*"&amp;$A137&amp;"*",AG$9:AG$132)</f>
        <v>6083160.57583333</v>
      </c>
      <c r="AH137" s="24"/>
      <c r="AI137" s="9"/>
      <c r="AJ137" s="12"/>
      <c r="AK137" s="9"/>
    </row>
    <row r="138" customFormat="false" ht="13.5" hidden="false" customHeight="true" outlineLevel="0" collapsed="false">
      <c r="A138" s="49"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12"/>
      <c r="S138" s="12"/>
      <c r="T138" s="12"/>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c r="AK138" s="9"/>
    </row>
    <row r="139" customFormat="false" ht="13.5" hidden="false" customHeight="true" outlineLevel="0" collapsed="false">
      <c r="A139" s="49" t="s">
        <v>1389</v>
      </c>
      <c r="B139" s="12" t="n">
        <f aca="false">SUMIF($A$9:$A$132,"*"&amp;$A139&amp;"*",B$9:B$132)</f>
        <v>17961.43</v>
      </c>
      <c r="C139" s="12" t="n">
        <f aca="false">SUMIF($A$9:$A$132,"*"&amp;$A139&amp;"*",C$9:C$132)</f>
        <v>42525.99</v>
      </c>
      <c r="D139" s="12" t="n">
        <f aca="false">SUMIF($A$9:$A$132,"*"&amp;$A139&amp;"*",D$9:D$132)</f>
        <v>11358.86</v>
      </c>
      <c r="E139" s="12" t="n">
        <f aca="false">SUMIF($A$9:$A$132,"*"&amp;$A139&amp;"*",E$9:E$132)</f>
        <v>11489.42</v>
      </c>
      <c r="F139" s="12" t="n">
        <f aca="false">SUMIF($A$9:$A$132,"*"&amp;$A139&amp;"*",F$9:F$132)</f>
        <v>13198.83</v>
      </c>
      <c r="G139" s="12" t="n">
        <f aca="false">SUMIF($A$9:$A$132,"*"&amp;$A139&amp;"*",G$9:G$132)</f>
        <v>12303.74</v>
      </c>
      <c r="H139" s="12" t="n">
        <f aca="false">SUMIF($A$9:$A$132,"*"&amp;$A139&amp;"*",H$9:H$132)</f>
        <v>13522.94</v>
      </c>
      <c r="I139" s="12" t="n">
        <f aca="false">SUMIF($A$9:$A$132,"*"&amp;$A139&amp;"*",I$9:I$132)</f>
        <v>17042.65</v>
      </c>
      <c r="J139" s="12" t="n">
        <f aca="false">SUMIF($A$9:$A$132,"*"&amp;$A139&amp;"*",J$9:J$132)</f>
        <v>16631</v>
      </c>
      <c r="K139" s="12" t="n">
        <f aca="false">SUMIF($A$9:$A$132,"*"&amp;$A139&amp;"*",K$9:K$132)</f>
        <v>17680</v>
      </c>
      <c r="L139" s="12" t="n">
        <f aca="false">SUMIF($A$9:$A$132,"*"&amp;$A139&amp;"*",L$9:L$132)</f>
        <v>17973</v>
      </c>
      <c r="M139" s="12" t="n">
        <f aca="false">SUMIF($A$9:$A$132,"*"&amp;$A139&amp;"*",M$9:M$132)</f>
        <v>18391</v>
      </c>
      <c r="N139" s="12" t="n">
        <f aca="false">SUMIF($A$9:$A$132,"*"&amp;$A139&amp;"*",N$9:N$132)</f>
        <v>210078.86</v>
      </c>
      <c r="O139" s="12"/>
      <c r="P139" s="12"/>
      <c r="Q139" s="12"/>
      <c r="R139" s="12"/>
      <c r="S139" s="12"/>
      <c r="T139" s="12"/>
      <c r="U139" s="12" t="n">
        <f aca="false">SUMIF($A$9:$A$132,"*"&amp;$A139&amp;"*",U$9:U$132)</f>
        <v>18800.781474849</v>
      </c>
      <c r="V139" s="12" t="n">
        <f aca="false">SUMIF($A$9:$A$132,"*"&amp;$A139&amp;"*",V$9:V$132)</f>
        <v>18800.781474849</v>
      </c>
      <c r="W139" s="12" t="n">
        <f aca="false">SUMIF($A$9:$A$132,"*"&amp;$A139&amp;"*",W$9:W$132)</f>
        <v>20738.781474849</v>
      </c>
      <c r="X139" s="12" t="n">
        <f aca="false">SUMIF($A$9:$A$132,"*"&amp;$A139&amp;"*",X$9:X$132)</f>
        <v>21809.781474849</v>
      </c>
      <c r="Y139" s="12" t="n">
        <f aca="false">SUMIF($A$9:$A$132,"*"&amp;$A139&amp;"*",Y$9:Y$132)</f>
        <v>23594.781474849</v>
      </c>
      <c r="Z139" s="12" t="n">
        <f aca="false">SUMIF($A$9:$A$132,"*"&amp;$A139&amp;"*",Z$9:Z$132)</f>
        <v>25379.781474849</v>
      </c>
      <c r="AA139" s="12" t="n">
        <f aca="false">SUMIF($A$9:$A$132,"*"&amp;$A139&amp;"*",AA$9:AA$132)</f>
        <v>28031.781474849</v>
      </c>
      <c r="AB139" s="12" t="n">
        <f aca="false">SUMIF($A$9:$A$132,"*"&amp;$A139&amp;"*",AB$9:AB$132)</f>
        <v>30899.1148081823</v>
      </c>
      <c r="AC139" s="12" t="n">
        <f aca="false">SUMIF($A$9:$A$132,"*"&amp;$A139&amp;"*",AC$9:AC$132)</f>
        <v>33398.1148081823</v>
      </c>
      <c r="AD139" s="12" t="n">
        <f aca="false">SUMIF($A$9:$A$132,"*"&amp;$A139&amp;"*",AD$9:AD$132)</f>
        <v>37754.3282524278</v>
      </c>
      <c r="AE139" s="12" t="n">
        <f aca="false">SUMIF($A$9:$A$132,"*"&amp;$A139&amp;"*",AE$9:AE$132)</f>
        <v>40967.3282524278</v>
      </c>
      <c r="AF139" s="12" t="n">
        <f aca="false">SUMIF($A$9:$A$132,"*"&amp;$A139&amp;"*",AF$9:AF$132)</f>
        <v>44333.3282524278</v>
      </c>
      <c r="AG139" s="12" t="n">
        <f aca="false">SUMIF($A$9:$A$132,"*"&amp;$A139&amp;"*",AG$9:AG$132)</f>
        <v>344508.684697591</v>
      </c>
      <c r="AH139" s="12"/>
      <c r="AI139" s="9"/>
      <c r="AJ139" s="12"/>
      <c r="AK139" s="9"/>
    </row>
    <row r="140" customFormat="false" ht="13.5" hidden="false" customHeight="true" outlineLevel="0" collapsed="false">
      <c r="A140" s="49" t="s">
        <v>1390</v>
      </c>
      <c r="B140" s="12" t="n">
        <f aca="false">SUMIF($A$9:$A$132,"*"&amp;$A140&amp;"*",B$9:B$132)</f>
        <v>68737.22</v>
      </c>
      <c r="C140" s="12" t="n">
        <f aca="false">SUMIF($A$9:$A$132,"*"&amp;$A140&amp;"*",C$9:C$132)</f>
        <v>39332.13</v>
      </c>
      <c r="D140" s="12" t="n">
        <f aca="false">SUMIF($A$9:$A$132,"*"&amp;$A140&amp;"*",D$9:D$132)</f>
        <v>31196.44</v>
      </c>
      <c r="E140" s="12" t="n">
        <f aca="false">SUMIF($A$9:$A$132,"*"&amp;$A140&amp;"*",E$9:E$132)</f>
        <v>37282.34</v>
      </c>
      <c r="F140" s="12" t="n">
        <f aca="false">SUMIF($A$9:$A$132,"*"&amp;$A140&amp;"*",F$9:F$132)</f>
        <v>31197.31</v>
      </c>
      <c r="G140" s="12" t="n">
        <f aca="false">SUMIF($A$9:$A$132,"*"&amp;$A140&amp;"*",G$9:G$132)</f>
        <v>38500.71</v>
      </c>
      <c r="H140" s="12" t="n">
        <f aca="false">SUMIF($A$9:$A$132,"*"&amp;$A140&amp;"*",H$9:H$132)</f>
        <v>19153.61</v>
      </c>
      <c r="I140" s="12" t="n">
        <f aca="false">SUMIF($A$9:$A$132,"*"&amp;$A140&amp;"*",I$9:I$132)</f>
        <v>40999.66</v>
      </c>
      <c r="J140" s="12" t="n">
        <f aca="false">SUMIF($A$9:$A$132,"*"&amp;$A140&amp;"*",J$9:J$132)</f>
        <v>38705</v>
      </c>
      <c r="K140" s="12" t="n">
        <f aca="false">SUMIF($A$9:$A$132,"*"&amp;$A140&amp;"*",K$9:K$132)</f>
        <v>41309</v>
      </c>
      <c r="L140" s="12" t="n">
        <f aca="false">SUMIF($A$9:$A$132,"*"&amp;$A140&amp;"*",L$9:L$132)</f>
        <v>41929</v>
      </c>
      <c r="M140" s="12" t="n">
        <f aca="false">SUMIF($A$9:$A$132,"*"&amp;$A140&amp;"*",M$9:M$132)</f>
        <v>42752</v>
      </c>
      <c r="N140" s="12" t="n">
        <f aca="false">SUMIF($A$9:$A$132,"*"&amp;$A140&amp;"*",N$9:N$132)</f>
        <v>471094.42</v>
      </c>
      <c r="O140" s="12"/>
      <c r="P140" s="12"/>
      <c r="Q140" s="12"/>
      <c r="R140" s="12"/>
      <c r="S140" s="12"/>
      <c r="T140" s="12"/>
      <c r="U140" s="12" t="n">
        <f aca="false">SUMIF($A$9:$A$132,"*"&amp;$A140&amp;"*",U$9:U$132)</f>
        <v>50385.0207963704</v>
      </c>
      <c r="V140" s="12" t="n">
        <f aca="false">SUMIF($A$9:$A$132,"*"&amp;$A140&amp;"*",V$9:V$132)</f>
        <v>50385.0207963704</v>
      </c>
      <c r="W140" s="12" t="n">
        <f aca="false">SUMIF($A$9:$A$132,"*"&amp;$A140&amp;"*",W$9:W$132)</f>
        <v>55059.0207963704</v>
      </c>
      <c r="X140" s="12" t="n">
        <f aca="false">SUMIF($A$9:$A$132,"*"&amp;$A140&amp;"*",X$9:X$132)</f>
        <v>57642.0207963704</v>
      </c>
      <c r="Y140" s="12" t="n">
        <f aca="false">SUMIF($A$9:$A$132,"*"&amp;$A140&amp;"*",Y$9:Y$132)</f>
        <v>61947.0207963704</v>
      </c>
      <c r="Z140" s="12" t="n">
        <f aca="false">SUMIF($A$9:$A$132,"*"&amp;$A140&amp;"*",Z$9:Z$132)</f>
        <v>66252.0207963704</v>
      </c>
      <c r="AA140" s="12" t="n">
        <f aca="false">SUMIF($A$9:$A$132,"*"&amp;$A140&amp;"*",AA$9:AA$132)</f>
        <v>72648.0207963704</v>
      </c>
      <c r="AB140" s="12" t="n">
        <f aca="false">SUMIF($A$9:$A$132,"*"&amp;$A140&amp;"*",AB$9:AB$132)</f>
        <v>79563.3541297038</v>
      </c>
      <c r="AC140" s="12" t="n">
        <f aca="false">SUMIF($A$9:$A$132,"*"&amp;$A140&amp;"*",AC$9:AC$132)</f>
        <v>85590.3541297038</v>
      </c>
      <c r="AD140" s="12" t="n">
        <f aca="false">SUMIF($A$9:$A$132,"*"&amp;$A140&amp;"*",AD$9:AD$132)</f>
        <v>96247.7747535949</v>
      </c>
      <c r="AE140" s="12" t="n">
        <f aca="false">SUMIF($A$9:$A$132,"*"&amp;$A140&amp;"*",AE$9:AE$132)</f>
        <v>103996.774753595</v>
      </c>
      <c r="AF140" s="12" t="n">
        <f aca="false">SUMIF($A$9:$A$132,"*"&amp;$A140&amp;"*",AF$9:AF$132)</f>
        <v>112114.774753595</v>
      </c>
      <c r="AG140" s="12" t="n">
        <f aca="false">SUMIF($A$9:$A$132,"*"&amp;$A140&amp;"*",AG$9:AG$132)</f>
        <v>891831.178094785</v>
      </c>
      <c r="AH140" s="12"/>
      <c r="AI140" s="9"/>
      <c r="AJ140" s="12"/>
      <c r="AK140" s="9"/>
    </row>
    <row r="141" customFormat="false" ht="13.5" hidden="false" customHeight="true" outlineLevel="0" collapsed="false">
      <c r="A141" s="50" t="s">
        <v>1391</v>
      </c>
      <c r="B141" s="24" t="n">
        <f aca="false">IFERROR(SUM(B139:B140)/SUM(B137:B138),"")</f>
        <v>0.903603307177067</v>
      </c>
      <c r="C141" s="24" t="n">
        <f aca="false">IFERROR(SUM(C139:C140)/SUM(C137:C138),"")</f>
        <v>-14.3268651518042</v>
      </c>
      <c r="D141" s="24" t="n">
        <f aca="false">IFERROR(SUM(D139:D140)/SUM(D137:D138),"")</f>
        <v>0.204083658603609</v>
      </c>
      <c r="E141" s="24" t="n">
        <f aca="false">IFERROR(SUM(E139:E140)/SUM(E137:E138),"")</f>
        <v>0.209278347020753</v>
      </c>
      <c r="F141" s="24" t="n">
        <f aca="false">IFERROR(SUM(F139:F140)/SUM(F137:F138),"")</f>
        <v>0.151421948432387</v>
      </c>
      <c r="G141" s="24" t="n">
        <f aca="false">IFERROR(SUM(G139:G140)/SUM(G137:G138),"")</f>
        <v>0.186297364247871</v>
      </c>
      <c r="H141" s="24" t="n">
        <f aca="false">IFERROR(SUM(H139:H140)/SUM(H137:H138),"")</f>
        <v>0.113858637591227</v>
      </c>
      <c r="I141" s="24" t="n">
        <f aca="false">IFERROR(SUM(I139:I140)/SUM(I137:I138),"")</f>
        <v>0.1988986374889</v>
      </c>
      <c r="J141" s="24" t="n">
        <f aca="false">IFERROR(SUM(J139:J140)/SUM(J137:J138),"")</f>
        <v>0.148314124899491</v>
      </c>
      <c r="K141" s="24" t="n">
        <f aca="false">IFERROR(SUM(K139:K140)/SUM(K137:K138),"")</f>
        <v>0.148250816788138</v>
      </c>
      <c r="L141" s="24" t="n">
        <f aca="false">IFERROR(SUM(L139:L140)/SUM(L137:L138),"")</f>
        <v>0.148529630547979</v>
      </c>
      <c r="M141" s="24" t="n">
        <f aca="false">IFERROR(SUM(M139:M140)/SUM(M137:M138),"")</f>
        <v>0.147688405797101</v>
      </c>
      <c r="N141" s="24" t="n">
        <f aca="false">IFERROR(SUM(N139:N140)/SUM(N137:N138),"")</f>
        <v>0.20864087488425</v>
      </c>
      <c r="O141" s="24"/>
      <c r="P141" s="24"/>
      <c r="Q141" s="24"/>
      <c r="R141" s="24"/>
      <c r="S141" s="24"/>
      <c r="T141" s="24"/>
      <c r="U141" s="24" t="n">
        <f aca="false">IFERROR(SUM(U139:U140)/SUM(U137:U138),"")</f>
        <v>0.195896704455142</v>
      </c>
      <c r="V141" s="24" t="n">
        <f aca="false">IFERROR(SUM(V139:V140)/SUM(V137:V138),"")</f>
        <v>0.198140814156093</v>
      </c>
      <c r="W141" s="24" t="n">
        <f aca="false">IFERROR(SUM(W139:W140)/SUM(W137:W138),"")</f>
        <v>0.195518974822899</v>
      </c>
      <c r="X141" s="24" t="n">
        <f aca="false">IFERROR(SUM(X139:X140)/SUM(X137:X138),"")</f>
        <v>0.198915488132966</v>
      </c>
      <c r="Y141" s="24" t="n">
        <f aca="false">IFERROR(SUM(Y139:Y140)/SUM(Y137:Y138),"")</f>
        <v>0.199084933639682</v>
      </c>
      <c r="Z141" s="24" t="n">
        <f aca="false">IFERROR(SUM(Z139:Z140)/SUM(Z137:Z138),"")</f>
        <v>0.200980027459681</v>
      </c>
      <c r="AA141" s="24" t="n">
        <f aca="false">IFERROR(SUM(AA139:AA140)/SUM(AA137:AA138),"")</f>
        <v>0.20179349418719</v>
      </c>
      <c r="AB141" s="24" t="n">
        <f aca="false">IFERROR(SUM(AB139:AB140)/SUM(AB137:AB138),"")</f>
        <v>0.204147453666521</v>
      </c>
      <c r="AC141" s="24" t="n">
        <f aca="false">IFERROR(SUM(AC139:AC140)/SUM(AC137:AC138),"")</f>
        <v>0.20591884068206</v>
      </c>
      <c r="AD141" s="24" t="n">
        <f aca="false">IFERROR(SUM(AD139:AD140)/SUM(AD137:AD138),"")</f>
        <v>0.206130338250496</v>
      </c>
      <c r="AE141" s="24" t="n">
        <f aca="false">IFERROR(SUM(AE139:AE140)/SUM(AE137:AE138),"")</f>
        <v>0.208481152990517</v>
      </c>
      <c r="AF141" s="24" t="n">
        <f aca="false">IFERROR(SUM(AF139:AF140)/SUM(AF137:AF138),"")</f>
        <v>0.210044162211194</v>
      </c>
      <c r="AG141" s="24" t="n">
        <f aca="false">IFERROR(SUM(AG139:AG140)/SUM(AG137:AG138),"")</f>
        <v>0.203239721749908</v>
      </c>
      <c r="AH141" s="24"/>
      <c r="AI141" s="24"/>
      <c r="AJ141" s="24"/>
      <c r="AK141" s="24"/>
    </row>
    <row r="142" customFormat="false" ht="13.5" hidden="false" customHeight="true" outlineLevel="0" collapsed="false">
      <c r="A142" s="49"/>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9"/>
      <c r="AJ142" s="12"/>
      <c r="AK142" s="9"/>
    </row>
    <row r="143" customFormat="false" ht="13.5" hidden="false" customHeight="true" outlineLevel="0" collapsed="false">
      <c r="A143" s="49"/>
      <c r="B143" s="51" t="n">
        <f aca="false">B139/B137</f>
        <v>0.18720023379406</v>
      </c>
      <c r="C143" s="51" t="n">
        <f aca="false">C139/C137</f>
        <v>-7.44292837628048</v>
      </c>
      <c r="D143" s="51" t="n">
        <f aca="false">D139/D137</f>
        <v>0.0544740069125628</v>
      </c>
      <c r="E143" s="51" t="n">
        <f aca="false">E139/E137</f>
        <v>0.0493008008287415</v>
      </c>
      <c r="F143" s="51" t="n">
        <f aca="false">F139/F137</f>
        <v>0.0450172595101251</v>
      </c>
      <c r="G143" s="51" t="n">
        <f aca="false">G139/G137</f>
        <v>0.0451171960800894</v>
      </c>
      <c r="H143" s="51" t="n">
        <f aca="false">H139/H137</f>
        <v>0.0471195253056981</v>
      </c>
      <c r="I143" s="51" t="n">
        <f aca="false">I139/I137</f>
        <v>0.0584015326784926</v>
      </c>
      <c r="J143" s="51" t="n">
        <f aca="false">J139/J137</f>
        <v>0.0445751809166443</v>
      </c>
      <c r="K143" s="51" t="n">
        <f aca="false">K139/K137</f>
        <v>0.0444332746921337</v>
      </c>
      <c r="L143" s="51" t="n">
        <f aca="false">L139/L137</f>
        <v>0.0445648400694272</v>
      </c>
      <c r="M143" s="51" t="n">
        <f aca="false">M139/M137</f>
        <v>0.0444227053140097</v>
      </c>
      <c r="N143" s="51" t="n">
        <f aca="false">N139/N137</f>
        <v>0.0643463835590937</v>
      </c>
      <c r="O143" s="12"/>
      <c r="P143" s="12"/>
      <c r="Q143" s="12"/>
      <c r="R143" s="12"/>
      <c r="S143" s="12"/>
      <c r="T143" s="12"/>
      <c r="U143" s="51"/>
      <c r="V143" s="51"/>
      <c r="W143" s="51"/>
      <c r="X143" s="51"/>
      <c r="Y143" s="51"/>
      <c r="Z143" s="51"/>
      <c r="AA143" s="51"/>
      <c r="AB143" s="51"/>
      <c r="AC143" s="51"/>
      <c r="AD143" s="51"/>
      <c r="AE143" s="51"/>
      <c r="AF143" s="51"/>
      <c r="AG143" s="51"/>
      <c r="AH143" s="12"/>
      <c r="AI143" s="9"/>
      <c r="AJ143" s="51"/>
      <c r="AK143" s="9"/>
    </row>
    <row r="144" customFormat="false" ht="13.5" hidden="false" customHeight="true" outlineLevel="0" collapsed="false">
      <c r="A144" s="52"/>
      <c r="B144" s="12" t="n">
        <f aca="false">B140/B137</f>
        <v>0.716403073383007</v>
      </c>
      <c r="C144" s="12" t="n">
        <f aca="false">C140/C137</f>
        <v>-6.88393677552369</v>
      </c>
      <c r="D144" s="12" t="n">
        <f aca="false">D140/D137</f>
        <v>0.149609651691046</v>
      </c>
      <c r="E144" s="12" t="n">
        <f aca="false">E140/E137</f>
        <v>0.159977546192012</v>
      </c>
      <c r="F144" s="12" t="n">
        <f aca="false">F140/F137</f>
        <v>0.106404688922262</v>
      </c>
      <c r="G144" s="12" t="n">
        <f aca="false">G140/G137</f>
        <v>0.141180168167781</v>
      </c>
      <c r="H144" s="12" t="n">
        <f aca="false">H140/H137</f>
        <v>0.0667391122855291</v>
      </c>
      <c r="I144" s="12" t="n">
        <f aca="false">I140/I137</f>
        <v>0.140497104810407</v>
      </c>
      <c r="J144" s="12" t="n">
        <f aca="false">J140/J137</f>
        <v>0.103738943982846</v>
      </c>
      <c r="K144" s="12" t="n">
        <f aca="false">K140/K137</f>
        <v>0.103817542096004</v>
      </c>
      <c r="L144" s="12" t="n">
        <f aca="false">L140/L137</f>
        <v>0.103964790478552</v>
      </c>
      <c r="M144" s="12" t="n">
        <f aca="false">M140/M137</f>
        <v>0.103265700483092</v>
      </c>
      <c r="N144" s="12" t="n">
        <f aca="false">N140/N137</f>
        <v>0.144294491325157</v>
      </c>
      <c r="O144" s="24"/>
      <c r="P144" s="12"/>
      <c r="Q144" s="12"/>
      <c r="R144" s="12"/>
      <c r="S144" s="12"/>
      <c r="T144" s="12"/>
      <c r="U144" s="12"/>
      <c r="V144" s="12"/>
      <c r="W144" s="12"/>
      <c r="X144" s="12"/>
      <c r="Y144" s="12"/>
      <c r="Z144" s="12"/>
      <c r="AA144" s="12"/>
      <c r="AB144" s="12"/>
      <c r="AC144" s="12"/>
      <c r="AD144" s="12"/>
      <c r="AE144" s="12"/>
      <c r="AF144" s="12"/>
      <c r="AG144" s="12"/>
      <c r="AH144" s="24"/>
      <c r="AI144" s="9"/>
      <c r="AJ144" s="12"/>
      <c r="AK144" s="9"/>
    </row>
    <row r="145" customFormat="false" ht="13.5" hidden="false" customHeight="true" outlineLevel="0" collapsed="false">
      <c r="A145" s="49"/>
      <c r="B145" s="9"/>
      <c r="C145" s="9"/>
      <c r="D145" s="9"/>
      <c r="E145" s="9"/>
      <c r="F145" s="9"/>
      <c r="G145" s="9"/>
      <c r="H145" s="9"/>
      <c r="I145" s="9"/>
      <c r="J145" s="9"/>
      <c r="K145" s="9"/>
      <c r="L145" s="9"/>
      <c r="M145" s="9"/>
      <c r="N145" s="9"/>
      <c r="O145" s="12"/>
      <c r="P145" s="12"/>
      <c r="Q145" s="12"/>
      <c r="R145" s="12"/>
      <c r="S145" s="12"/>
      <c r="T145" s="12"/>
      <c r="U145" s="9"/>
      <c r="V145" s="9"/>
      <c r="W145" s="9"/>
      <c r="X145" s="9"/>
      <c r="Y145" s="9"/>
      <c r="Z145" s="9"/>
      <c r="AA145" s="9"/>
      <c r="AB145" s="9"/>
      <c r="AC145" s="9"/>
      <c r="AD145" s="9"/>
      <c r="AE145" s="9"/>
      <c r="AF145" s="9"/>
      <c r="AG145" s="9"/>
      <c r="AH145" s="12"/>
      <c r="AI145" s="9"/>
      <c r="AJ145" s="9"/>
      <c r="AK145" s="9"/>
    </row>
    <row r="146" customFormat="false" ht="13.5" hidden="false" customHeight="true" outlineLevel="0" collapsed="false">
      <c r="A146" s="49"/>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9"/>
      <c r="AJ146" s="12"/>
      <c r="AK146" s="9"/>
    </row>
    <row r="147" customFormat="false" ht="13.5" hidden="false" customHeight="true" outlineLevel="0" collapsed="false">
      <c r="A147" s="49"/>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9"/>
      <c r="AJ147" s="12"/>
      <c r="AK147" s="9"/>
    </row>
    <row r="148" customFormat="false" ht="13.5" hidden="false" customHeight="true" outlineLevel="0" collapsed="false">
      <c r="A148" s="49"/>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9"/>
      <c r="AJ148" s="12"/>
      <c r="AK148" s="9"/>
    </row>
    <row r="149" customFormat="false" ht="13.5" hidden="false" customHeight="true" outlineLevel="0" collapsed="false">
      <c r="A149" s="49"/>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9"/>
      <c r="AJ149" s="9"/>
      <c r="AK149" s="9"/>
    </row>
    <row r="150" customFormat="false" ht="13.5" hidden="false" customHeight="true" outlineLevel="0" collapsed="false">
      <c r="A150" s="52"/>
      <c r="B150" s="53"/>
      <c r="C150" s="53"/>
      <c r="D150" s="53"/>
      <c r="E150" s="53"/>
      <c r="F150" s="53"/>
      <c r="G150" s="53"/>
      <c r="H150" s="53"/>
      <c r="I150" s="53"/>
      <c r="J150" s="53"/>
      <c r="K150" s="53"/>
      <c r="L150" s="53"/>
      <c r="M150" s="53"/>
      <c r="N150" s="53"/>
      <c r="O150" s="24"/>
      <c r="P150" s="12"/>
      <c r="Q150" s="12"/>
      <c r="R150" s="12"/>
      <c r="S150" s="12"/>
      <c r="T150" s="12"/>
      <c r="U150" s="53"/>
      <c r="V150" s="53"/>
      <c r="W150" s="53"/>
      <c r="X150" s="53"/>
      <c r="Y150" s="53"/>
      <c r="Z150" s="53"/>
      <c r="AA150" s="53"/>
      <c r="AB150" s="53"/>
      <c r="AC150" s="53"/>
      <c r="AD150" s="53"/>
      <c r="AE150" s="53"/>
      <c r="AF150" s="53"/>
      <c r="AG150" s="53"/>
      <c r="AH150" s="24"/>
      <c r="AI150" s="9"/>
      <c r="AJ150" s="53"/>
      <c r="AK150" s="9"/>
    </row>
    <row r="151" customFormat="false" ht="13.5" hidden="false" customHeight="true" outlineLevel="0" collapsed="false">
      <c r="A151" s="9"/>
      <c r="B151" s="12"/>
      <c r="C151" s="24"/>
      <c r="D151" s="24"/>
      <c r="E151" s="24"/>
      <c r="F151" s="24"/>
      <c r="G151" s="24"/>
      <c r="H151" s="24"/>
      <c r="I151" s="24"/>
      <c r="J151" s="24"/>
      <c r="K151" s="24"/>
      <c r="L151" s="24"/>
      <c r="M151" s="24"/>
      <c r="N151" s="24"/>
      <c r="O151" s="12"/>
      <c r="P151" s="12"/>
      <c r="Q151" s="12"/>
      <c r="R151" s="12"/>
      <c r="S151" s="12"/>
      <c r="T151" s="12"/>
      <c r="U151" s="24"/>
      <c r="V151" s="24"/>
      <c r="W151" s="24"/>
      <c r="X151" s="24"/>
      <c r="Y151" s="24"/>
      <c r="Z151" s="24"/>
      <c r="AA151" s="24"/>
      <c r="AB151" s="24"/>
      <c r="AC151" s="24"/>
      <c r="AD151" s="24"/>
      <c r="AE151" s="24"/>
      <c r="AF151" s="24"/>
      <c r="AG151" s="24"/>
      <c r="AH151" s="12"/>
      <c r="AI151" s="9"/>
      <c r="AJ151" s="9"/>
      <c r="AK151" s="9"/>
    </row>
    <row r="152" customFormat="false" ht="13.5" hidden="false" customHeight="true" outlineLevel="0" collapsed="false">
      <c r="A152" s="9"/>
      <c r="B152" s="24"/>
      <c r="C152" s="24"/>
      <c r="D152" s="24"/>
      <c r="E152" s="24"/>
      <c r="F152" s="24"/>
      <c r="G152" s="24"/>
      <c r="H152" s="24"/>
      <c r="I152" s="24"/>
      <c r="J152" s="24"/>
      <c r="K152" s="24"/>
      <c r="L152" s="24"/>
      <c r="M152" s="24"/>
      <c r="N152" s="24"/>
      <c r="O152" s="24"/>
      <c r="P152" s="12"/>
      <c r="Q152" s="12"/>
      <c r="R152" s="12"/>
      <c r="S152" s="12"/>
      <c r="T152" s="12"/>
      <c r="U152" s="24"/>
      <c r="V152" s="24"/>
      <c r="W152" s="24"/>
      <c r="X152" s="24"/>
      <c r="Y152" s="24"/>
      <c r="Z152" s="24"/>
      <c r="AA152" s="24"/>
      <c r="AB152" s="24"/>
      <c r="AC152" s="24"/>
      <c r="AD152" s="24"/>
      <c r="AE152" s="24"/>
      <c r="AF152" s="24"/>
      <c r="AG152" s="24"/>
      <c r="AH152" s="12"/>
      <c r="AI152" s="9"/>
      <c r="AJ152" s="9"/>
      <c r="AK152" s="9"/>
    </row>
    <row r="153" customFormat="false" ht="13.5" hidden="false" customHeight="true" outlineLevel="0" collapsed="false">
      <c r="A153" s="9"/>
      <c r="B153" s="24"/>
      <c r="C153" s="24"/>
      <c r="D153" s="24"/>
      <c r="E153" s="24"/>
      <c r="F153" s="24"/>
      <c r="G153" s="24"/>
      <c r="H153" s="24"/>
      <c r="I153" s="24"/>
      <c r="J153" s="24"/>
      <c r="K153" s="24"/>
      <c r="L153" s="24"/>
      <c r="M153" s="24"/>
      <c r="N153" s="24"/>
      <c r="O153" s="24"/>
      <c r="P153" s="12"/>
      <c r="Q153" s="12"/>
      <c r="R153" s="12"/>
      <c r="S153" s="12"/>
      <c r="T153" s="12"/>
      <c r="U153" s="24"/>
      <c r="V153" s="24"/>
      <c r="W153" s="24"/>
      <c r="X153" s="24"/>
      <c r="Y153" s="24"/>
      <c r="Z153" s="24"/>
      <c r="AA153" s="24"/>
      <c r="AB153" s="24"/>
      <c r="AC153" s="24"/>
      <c r="AD153" s="24"/>
      <c r="AE153" s="24"/>
      <c r="AF153" s="24"/>
      <c r="AG153" s="24"/>
      <c r="AH153" s="12"/>
      <c r="AI153" s="9"/>
      <c r="AJ153" s="9"/>
      <c r="AK153" s="9"/>
    </row>
    <row r="154" customFormat="false" ht="13.5" hidden="false" customHeight="true" outlineLevel="0" collapsed="false">
      <c r="A154" s="23"/>
      <c r="B154" s="12"/>
      <c r="C154" s="12"/>
      <c r="D154" s="12"/>
      <c r="E154" s="12"/>
      <c r="F154" s="12"/>
      <c r="G154" s="12"/>
      <c r="H154" s="12"/>
      <c r="I154" s="12"/>
      <c r="J154" s="12"/>
      <c r="K154" s="12"/>
      <c r="L154" s="12"/>
      <c r="M154" s="12"/>
      <c r="N154" s="12"/>
      <c r="O154" s="24"/>
      <c r="P154" s="12"/>
      <c r="Q154" s="12"/>
      <c r="R154" s="12"/>
      <c r="S154" s="12"/>
      <c r="T154" s="12"/>
      <c r="U154" s="12"/>
      <c r="V154" s="12"/>
      <c r="W154" s="12"/>
      <c r="X154" s="12"/>
      <c r="Y154" s="12"/>
      <c r="Z154" s="12"/>
      <c r="AA154" s="12"/>
      <c r="AB154" s="12"/>
      <c r="AC154" s="12"/>
      <c r="AD154" s="12"/>
      <c r="AE154" s="12"/>
      <c r="AF154" s="12"/>
      <c r="AG154" s="12"/>
      <c r="AH154" s="12"/>
      <c r="AI154" s="9"/>
      <c r="AJ154" s="12"/>
      <c r="AK154" s="9"/>
    </row>
    <row r="155" customFormat="false" ht="13.5" hidden="false" customHeight="true" outlineLevel="0" collapsed="false">
      <c r="A155" s="23"/>
      <c r="B155" s="12"/>
      <c r="C155" s="12"/>
      <c r="D155" s="12"/>
      <c r="E155" s="12"/>
      <c r="F155" s="12"/>
      <c r="G155" s="12"/>
      <c r="H155" s="12"/>
      <c r="I155" s="12"/>
      <c r="J155" s="12"/>
      <c r="K155" s="12"/>
      <c r="L155" s="12"/>
      <c r="M155" s="12"/>
      <c r="N155" s="12"/>
      <c r="O155" s="24"/>
      <c r="P155" s="12"/>
      <c r="Q155" s="12"/>
      <c r="R155" s="12"/>
      <c r="S155" s="12"/>
      <c r="T155" s="12"/>
      <c r="U155" s="12"/>
      <c r="V155" s="12"/>
      <c r="W155" s="12"/>
      <c r="X155" s="12"/>
      <c r="Y155" s="12"/>
      <c r="Z155" s="12"/>
      <c r="AA155" s="12"/>
      <c r="AB155" s="12"/>
      <c r="AC155" s="12"/>
      <c r="AD155" s="12"/>
      <c r="AE155" s="12"/>
      <c r="AF155" s="12"/>
      <c r="AG155" s="12"/>
      <c r="AH155" s="12"/>
      <c r="AI155" s="9"/>
      <c r="AJ155" s="12"/>
      <c r="AK155" s="9"/>
    </row>
    <row r="156" customFormat="false" ht="13.5" hidden="false" customHeight="true" outlineLevel="0" collapsed="false">
      <c r="A156" s="23"/>
      <c r="B156" s="12"/>
      <c r="C156" s="12"/>
      <c r="D156" s="12"/>
      <c r="E156" s="12"/>
      <c r="F156" s="12"/>
      <c r="G156" s="12"/>
      <c r="H156" s="12"/>
      <c r="I156" s="12"/>
      <c r="J156" s="12"/>
      <c r="K156" s="12"/>
      <c r="L156" s="12"/>
      <c r="M156" s="12"/>
      <c r="N156" s="12"/>
      <c r="O156" s="24"/>
      <c r="P156" s="12"/>
      <c r="Q156" s="12"/>
      <c r="R156" s="12"/>
      <c r="S156" s="12"/>
      <c r="T156" s="12"/>
      <c r="U156" s="12"/>
      <c r="V156" s="12"/>
      <c r="W156" s="12"/>
      <c r="X156" s="12"/>
      <c r="Y156" s="12"/>
      <c r="Z156" s="12"/>
      <c r="AA156" s="12"/>
      <c r="AB156" s="12"/>
      <c r="AC156" s="12"/>
      <c r="AD156" s="12"/>
      <c r="AE156" s="12"/>
      <c r="AF156" s="12"/>
      <c r="AG156" s="12"/>
      <c r="AH156" s="12"/>
      <c r="AI156" s="9"/>
      <c r="AJ156" s="9"/>
      <c r="AK156" s="9"/>
    </row>
    <row r="157" customFormat="false" ht="13.5" hidden="false" customHeight="true" outlineLevel="0" collapsed="false">
      <c r="A157" s="23"/>
      <c r="B157" s="12"/>
      <c r="C157" s="12"/>
      <c r="D157" s="12"/>
      <c r="E157" s="12"/>
      <c r="F157" s="12"/>
      <c r="G157" s="12"/>
      <c r="H157" s="12"/>
      <c r="I157" s="12"/>
      <c r="J157" s="12"/>
      <c r="K157" s="12"/>
      <c r="L157" s="12"/>
      <c r="M157" s="12"/>
      <c r="N157" s="12"/>
      <c r="O157" s="24"/>
      <c r="P157" s="12"/>
      <c r="Q157" s="12"/>
      <c r="R157" s="12"/>
      <c r="S157" s="12"/>
      <c r="T157" s="12"/>
      <c r="U157" s="12"/>
      <c r="V157" s="12"/>
      <c r="W157" s="12"/>
      <c r="X157" s="12"/>
      <c r="Y157" s="12"/>
      <c r="Z157" s="12"/>
      <c r="AA157" s="12"/>
      <c r="AB157" s="12"/>
      <c r="AC157" s="12"/>
      <c r="AD157" s="12"/>
      <c r="AE157" s="12"/>
      <c r="AF157" s="12"/>
      <c r="AG157" s="12"/>
      <c r="AH157" s="12"/>
      <c r="AI157" s="9"/>
      <c r="AJ157" s="9"/>
      <c r="AK157" s="9"/>
    </row>
    <row r="158" customFormat="false" ht="13.5" hidden="false" customHeight="true" outlineLevel="0" collapsed="false">
      <c r="A158" s="9"/>
      <c r="B158" s="12"/>
      <c r="C158" s="12"/>
      <c r="D158" s="12"/>
      <c r="E158" s="12"/>
      <c r="F158" s="12"/>
      <c r="G158" s="12"/>
      <c r="H158" s="12"/>
      <c r="I158" s="12"/>
      <c r="J158" s="12"/>
      <c r="K158" s="12"/>
      <c r="L158" s="12"/>
      <c r="M158" s="12"/>
      <c r="N158" s="12"/>
      <c r="O158" s="24"/>
      <c r="P158" s="12"/>
      <c r="Q158" s="12"/>
      <c r="R158" s="12"/>
      <c r="S158" s="12"/>
      <c r="T158" s="12"/>
      <c r="U158" s="12"/>
      <c r="V158" s="12"/>
      <c r="W158" s="12"/>
      <c r="X158" s="12"/>
      <c r="Y158" s="12"/>
      <c r="Z158" s="12"/>
      <c r="AA158" s="12"/>
      <c r="AB158" s="12"/>
      <c r="AC158" s="12"/>
      <c r="AD158" s="12"/>
      <c r="AE158" s="12"/>
      <c r="AF158" s="12"/>
      <c r="AG158" s="12"/>
      <c r="AH158" s="12"/>
      <c r="AI158" s="9"/>
      <c r="AJ158" s="9"/>
      <c r="AK158" s="9"/>
    </row>
    <row r="159" customFormat="false" ht="13.5" hidden="false" customHeight="true" outlineLevel="0" collapsed="false">
      <c r="A159" s="9"/>
      <c r="B159" s="24"/>
      <c r="C159" s="24"/>
      <c r="D159" s="24"/>
      <c r="E159" s="24"/>
      <c r="F159" s="24"/>
      <c r="G159" s="24"/>
      <c r="H159" s="24"/>
      <c r="I159" s="24"/>
      <c r="J159" s="24"/>
      <c r="K159" s="24"/>
      <c r="L159" s="24"/>
      <c r="M159" s="24"/>
      <c r="N159" s="24"/>
      <c r="O159" s="24"/>
      <c r="P159" s="12"/>
      <c r="Q159" s="12"/>
      <c r="R159" s="12"/>
      <c r="S159" s="12"/>
      <c r="T159" s="12"/>
      <c r="U159" s="24"/>
      <c r="V159" s="24"/>
      <c r="W159" s="24"/>
      <c r="X159" s="24"/>
      <c r="Y159" s="24"/>
      <c r="Z159" s="24"/>
      <c r="AA159" s="24"/>
      <c r="AB159" s="24"/>
      <c r="AC159" s="24"/>
      <c r="AD159" s="24"/>
      <c r="AE159" s="24"/>
      <c r="AF159" s="24"/>
      <c r="AG159" s="24"/>
      <c r="AH159" s="12"/>
      <c r="AI159" s="9"/>
      <c r="AJ159" s="9"/>
      <c r="AK159" s="9"/>
    </row>
    <row r="160" customFormat="false" ht="13.5" hidden="false" customHeight="true" outlineLevel="0" collapsed="false">
      <c r="A160" s="9"/>
      <c r="B160" s="12"/>
      <c r="C160" s="12"/>
      <c r="D160" s="12"/>
      <c r="E160" s="12"/>
      <c r="F160" s="12"/>
      <c r="G160" s="12"/>
      <c r="H160" s="12"/>
      <c r="I160" s="12"/>
      <c r="J160" s="12"/>
      <c r="K160" s="12"/>
      <c r="L160" s="12"/>
      <c r="M160" s="12"/>
      <c r="N160" s="12"/>
      <c r="O160" s="24"/>
      <c r="P160" s="12"/>
      <c r="Q160" s="12"/>
      <c r="R160" s="12"/>
      <c r="S160" s="12"/>
      <c r="T160" s="12"/>
      <c r="U160" s="12"/>
      <c r="V160" s="12"/>
      <c r="W160" s="12"/>
      <c r="X160" s="12"/>
      <c r="Y160" s="12"/>
      <c r="Z160" s="12"/>
      <c r="AA160" s="12"/>
      <c r="AB160" s="12"/>
      <c r="AC160" s="12"/>
      <c r="AD160" s="12"/>
      <c r="AE160" s="12"/>
      <c r="AF160" s="12"/>
      <c r="AG160" s="12"/>
      <c r="AH160" s="12"/>
      <c r="AI160" s="9"/>
      <c r="AJ160" s="9"/>
      <c r="AK160" s="9"/>
    </row>
    <row r="161" customFormat="false" ht="13.5" hidden="false" customHeight="true" outlineLevel="0" collapsed="false">
      <c r="A161" s="9"/>
      <c r="B161" s="24"/>
      <c r="C161" s="24"/>
      <c r="D161" s="24"/>
      <c r="E161" s="24"/>
      <c r="F161" s="24"/>
      <c r="G161" s="24"/>
      <c r="H161" s="24"/>
      <c r="I161" s="24"/>
      <c r="J161" s="24"/>
      <c r="K161" s="24"/>
      <c r="L161" s="24"/>
      <c r="M161" s="24"/>
      <c r="N161" s="24"/>
      <c r="O161" s="24"/>
      <c r="P161" s="12"/>
      <c r="Q161" s="12"/>
      <c r="R161" s="12"/>
      <c r="S161" s="12"/>
      <c r="T161" s="12"/>
      <c r="U161" s="24"/>
      <c r="V161" s="24"/>
      <c r="W161" s="24"/>
      <c r="X161" s="24"/>
      <c r="Y161" s="24"/>
      <c r="Z161" s="24"/>
      <c r="AA161" s="24"/>
      <c r="AB161" s="24"/>
      <c r="AC161" s="24"/>
      <c r="AD161" s="24"/>
      <c r="AE161" s="24"/>
      <c r="AF161" s="24"/>
      <c r="AG161" s="24"/>
      <c r="AH161" s="12"/>
      <c r="AI161" s="9"/>
      <c r="AJ161" s="9"/>
      <c r="AK161" s="9"/>
    </row>
    <row r="162" customFormat="false" ht="13.5" hidden="false" customHeight="true" outlineLevel="0" collapsed="false">
      <c r="A162" s="9"/>
      <c r="B162" s="24"/>
      <c r="C162" s="24"/>
      <c r="D162" s="24"/>
      <c r="E162" s="24"/>
      <c r="F162" s="24"/>
      <c r="G162" s="24"/>
      <c r="H162" s="24"/>
      <c r="I162" s="24"/>
      <c r="J162" s="24"/>
      <c r="K162" s="24"/>
      <c r="L162" s="24"/>
      <c r="M162" s="24"/>
      <c r="N162" s="24"/>
      <c r="O162" s="24"/>
      <c r="P162" s="9"/>
      <c r="Q162" s="9"/>
      <c r="R162" s="9"/>
      <c r="S162" s="9"/>
      <c r="T162" s="9"/>
      <c r="U162" s="24"/>
      <c r="V162" s="24"/>
      <c r="W162" s="24"/>
      <c r="X162" s="24"/>
      <c r="Y162" s="24"/>
      <c r="Z162" s="24"/>
      <c r="AA162" s="24"/>
      <c r="AB162" s="24"/>
      <c r="AC162" s="24"/>
      <c r="AD162" s="24"/>
      <c r="AE162" s="24"/>
      <c r="AF162" s="24"/>
      <c r="AG162" s="24"/>
      <c r="AH162" s="9"/>
      <c r="AI162" s="9"/>
      <c r="AJ162" s="9"/>
      <c r="AK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9"/>
      <c r="S163" s="9"/>
      <c r="T163" s="9"/>
      <c r="U163" s="9"/>
      <c r="V163" s="9"/>
      <c r="W163" s="9"/>
      <c r="X163" s="9"/>
      <c r="Y163" s="9"/>
      <c r="Z163" s="9"/>
      <c r="AA163" s="9"/>
      <c r="AB163" s="9"/>
      <c r="AC163" s="9"/>
      <c r="AD163" s="9"/>
      <c r="AE163" s="9"/>
      <c r="AF163" s="9"/>
      <c r="AG163" s="9"/>
      <c r="AH163" s="9"/>
      <c r="AI163" s="9"/>
      <c r="AJ163" s="9"/>
      <c r="AK163" s="9"/>
    </row>
    <row r="164" customFormat="false" ht="13.5" hidden="false" customHeight="true" outlineLevel="0" collapsed="false">
      <c r="A164" s="9"/>
      <c r="B164" s="24"/>
      <c r="C164" s="24"/>
      <c r="D164" s="24"/>
      <c r="E164" s="24"/>
      <c r="F164" s="24"/>
      <c r="G164" s="24"/>
      <c r="H164" s="24"/>
      <c r="I164" s="24"/>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c r="AK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c r="AK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c r="AK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c r="AK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c r="AK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c r="AK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c r="AK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c r="AK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c r="AK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c r="AK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c r="AK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c r="AK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c r="AK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c r="AK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c r="AK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c r="AK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c r="AK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c r="AK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c r="AK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c r="AK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c r="AK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c r="AK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c r="AK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c r="AK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c r="AK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c r="AK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c r="AK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c r="AK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c r="AK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c r="AK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c r="AK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c r="AK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c r="AK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c r="AK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c r="AK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c r="AK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c r="AK200" s="9"/>
    </row>
    <row r="201" customFormat="false" ht="13.5" hidden="false" customHeight="true" outlineLevel="0" collapsed="false">
      <c r="A201" s="9"/>
      <c r="B201" s="9"/>
      <c r="C201" s="9"/>
      <c r="D201" s="9"/>
      <c r="E201" s="9"/>
      <c r="F201" s="9"/>
      <c r="G201" s="9"/>
      <c r="H201" s="9"/>
      <c r="I201" s="9"/>
      <c r="J201" s="9"/>
      <c r="K201" s="9"/>
      <c r="L201" s="9"/>
      <c r="M201" s="9"/>
      <c r="N201" s="9"/>
      <c r="O201" s="24"/>
      <c r="P201" s="9"/>
      <c r="Q201" s="9"/>
      <c r="R201" s="9"/>
      <c r="S201" s="9"/>
      <c r="T201" s="9"/>
      <c r="U201" s="9"/>
      <c r="V201" s="9"/>
      <c r="W201" s="9"/>
      <c r="X201" s="9"/>
      <c r="Y201" s="9"/>
      <c r="Z201" s="9"/>
      <c r="AA201" s="9"/>
      <c r="AB201" s="9"/>
      <c r="AC201" s="9"/>
      <c r="AD201" s="9"/>
      <c r="AE201" s="9"/>
      <c r="AF201" s="9"/>
      <c r="AG201" s="9"/>
      <c r="AH201" s="9"/>
      <c r="AI201" s="9"/>
      <c r="AJ201" s="9"/>
      <c r="AK201" s="9"/>
    </row>
    <row r="202" customFormat="false" ht="13.5" hidden="false" customHeight="true" outlineLevel="0" collapsed="false">
      <c r="A202" s="9"/>
      <c r="B202" s="9"/>
      <c r="C202" s="9"/>
      <c r="D202" s="9"/>
      <c r="E202" s="9"/>
      <c r="F202" s="9"/>
      <c r="G202" s="9"/>
      <c r="H202" s="9"/>
      <c r="I202" s="9"/>
      <c r="J202" s="9"/>
      <c r="K202" s="9"/>
      <c r="L202" s="9"/>
      <c r="M202" s="9"/>
      <c r="N202" s="9"/>
      <c r="O202" s="24"/>
      <c r="P202" s="9"/>
      <c r="Q202" s="9"/>
      <c r="R202" s="9"/>
      <c r="S202" s="9"/>
      <c r="T202" s="9"/>
      <c r="U202" s="9"/>
      <c r="V202" s="9"/>
      <c r="W202" s="9"/>
      <c r="X202" s="9"/>
      <c r="Y202" s="9"/>
      <c r="Z202" s="9"/>
      <c r="AA202" s="9"/>
      <c r="AB202" s="9"/>
      <c r="AC202" s="9"/>
      <c r="AD202" s="9"/>
      <c r="AE202" s="9"/>
      <c r="AF202" s="9"/>
      <c r="AG202" s="9"/>
      <c r="AH202" s="9"/>
      <c r="AI202" s="9"/>
      <c r="AJ202" s="9"/>
      <c r="AK202" s="9"/>
    </row>
    <row r="203" customFormat="false" ht="13.5" hidden="false" customHeight="true" outlineLevel="0" collapsed="false">
      <c r="A203" s="9"/>
      <c r="B203" s="9"/>
      <c r="C203" s="9"/>
      <c r="D203" s="9"/>
      <c r="E203" s="9"/>
      <c r="F203" s="9"/>
      <c r="G203" s="9"/>
      <c r="H203" s="9"/>
      <c r="I203" s="9"/>
      <c r="J203" s="9"/>
      <c r="K203" s="9"/>
      <c r="L203" s="9"/>
      <c r="M203" s="9"/>
      <c r="N203" s="9"/>
      <c r="O203" s="24"/>
      <c r="P203" s="9"/>
      <c r="Q203" s="9"/>
      <c r="R203" s="9"/>
      <c r="S203" s="9"/>
      <c r="T203" s="9"/>
      <c r="U203" s="9"/>
      <c r="V203" s="9"/>
      <c r="W203" s="9"/>
      <c r="X203" s="9"/>
      <c r="Y203" s="9"/>
      <c r="Z203" s="9"/>
      <c r="AA203" s="9"/>
      <c r="AB203" s="9"/>
      <c r="AC203" s="9"/>
      <c r="AD203" s="9"/>
      <c r="AE203" s="9"/>
      <c r="AF203" s="9"/>
      <c r="AG203" s="9"/>
      <c r="AH203" s="9"/>
      <c r="AI203" s="9"/>
      <c r="AJ203" s="9"/>
      <c r="AK203" s="9"/>
    </row>
    <row r="204" customFormat="false" ht="13.5" hidden="false" customHeight="true" outlineLevel="0" collapsed="false">
      <c r="A204" s="9"/>
      <c r="B204" s="9"/>
      <c r="C204" s="9"/>
      <c r="D204" s="9"/>
      <c r="E204" s="9"/>
      <c r="F204" s="9"/>
      <c r="G204" s="9"/>
      <c r="H204" s="9"/>
      <c r="I204" s="9"/>
      <c r="J204" s="9"/>
      <c r="K204" s="9"/>
      <c r="L204" s="9"/>
      <c r="M204" s="9"/>
      <c r="N204" s="9"/>
      <c r="O204" s="24"/>
      <c r="P204" s="9"/>
      <c r="Q204" s="9"/>
      <c r="R204" s="9"/>
      <c r="S204" s="9"/>
      <c r="T204" s="9"/>
      <c r="U204" s="9"/>
      <c r="V204" s="9"/>
      <c r="W204" s="9"/>
      <c r="X204" s="9"/>
      <c r="Y204" s="9"/>
      <c r="Z204" s="9"/>
      <c r="AA204" s="9"/>
      <c r="AB204" s="9"/>
      <c r="AC204" s="9"/>
      <c r="AD204" s="9"/>
      <c r="AE204" s="9"/>
      <c r="AF204" s="9"/>
      <c r="AG204" s="9"/>
      <c r="AH204" s="9"/>
      <c r="AI204" s="9"/>
      <c r="AJ204" s="9"/>
      <c r="AK204" s="9"/>
    </row>
    <row r="205" customFormat="false" ht="13.5" hidden="false" customHeight="true" outlineLevel="0" collapsed="false">
      <c r="A205" s="9"/>
      <c r="B205" s="9"/>
      <c r="C205" s="9"/>
      <c r="D205" s="9"/>
      <c r="E205" s="9"/>
      <c r="F205" s="9"/>
      <c r="G205" s="9"/>
      <c r="H205" s="9"/>
      <c r="I205" s="9"/>
      <c r="J205" s="9"/>
      <c r="K205" s="9"/>
      <c r="L205" s="9"/>
      <c r="M205" s="9"/>
      <c r="N205" s="9"/>
      <c r="O205" s="24"/>
      <c r="P205" s="9"/>
      <c r="Q205" s="9"/>
      <c r="R205" s="9"/>
      <c r="S205" s="9"/>
      <c r="T205" s="9"/>
      <c r="U205" s="9"/>
      <c r="V205" s="9"/>
      <c r="W205" s="9"/>
      <c r="X205" s="9"/>
      <c r="Y205" s="9"/>
      <c r="Z205" s="9"/>
      <c r="AA205" s="9"/>
      <c r="AB205" s="9"/>
      <c r="AC205" s="9"/>
      <c r="AD205" s="9"/>
      <c r="AE205" s="9"/>
      <c r="AF205" s="9"/>
      <c r="AG205" s="9"/>
      <c r="AH205" s="9"/>
      <c r="AI205" s="9"/>
      <c r="AJ205" s="9"/>
      <c r="AK205" s="9"/>
    </row>
    <row r="206" customFormat="false" ht="13.5" hidden="false" customHeight="true" outlineLevel="0" collapsed="false">
      <c r="A206" s="9"/>
      <c r="B206" s="9"/>
      <c r="C206" s="9"/>
      <c r="D206" s="9"/>
      <c r="E206" s="9"/>
      <c r="F206" s="9"/>
      <c r="G206" s="9"/>
      <c r="H206" s="9"/>
      <c r="I206" s="9"/>
      <c r="J206" s="9"/>
      <c r="K206" s="9"/>
      <c r="L206" s="9"/>
      <c r="M206" s="9"/>
      <c r="N206" s="9"/>
      <c r="O206" s="24"/>
      <c r="P206" s="9"/>
      <c r="Q206" s="9"/>
      <c r="R206" s="9"/>
      <c r="S206" s="9"/>
      <c r="T206" s="9"/>
      <c r="U206" s="9"/>
      <c r="V206" s="9"/>
      <c r="W206" s="9"/>
      <c r="X206" s="9"/>
      <c r="Y206" s="9"/>
      <c r="Z206" s="9"/>
      <c r="AA206" s="9"/>
      <c r="AB206" s="9"/>
      <c r="AC206" s="9"/>
      <c r="AD206" s="9"/>
      <c r="AE206" s="9"/>
      <c r="AF206" s="9"/>
      <c r="AG206" s="9"/>
      <c r="AH206" s="9"/>
      <c r="AI206" s="9"/>
      <c r="AJ206" s="9"/>
      <c r="AK206" s="9"/>
    </row>
    <row r="207" customFormat="false" ht="13.5" hidden="false" customHeight="true" outlineLevel="0" collapsed="false">
      <c r="A207" s="9"/>
      <c r="B207" s="9"/>
      <c r="C207" s="9"/>
      <c r="D207" s="9"/>
      <c r="E207" s="9"/>
      <c r="F207" s="9"/>
      <c r="G207" s="9"/>
      <c r="H207" s="9"/>
      <c r="I207" s="9"/>
      <c r="J207" s="9"/>
      <c r="K207" s="9"/>
      <c r="L207" s="9"/>
      <c r="M207" s="9"/>
      <c r="N207" s="9"/>
      <c r="O207" s="24"/>
      <c r="P207" s="9"/>
      <c r="Q207" s="9"/>
      <c r="R207" s="9"/>
      <c r="S207" s="9"/>
      <c r="T207" s="9"/>
      <c r="U207" s="9"/>
      <c r="V207" s="9"/>
      <c r="W207" s="9"/>
      <c r="X207" s="9"/>
      <c r="Y207" s="9"/>
      <c r="Z207" s="9"/>
      <c r="AA207" s="9"/>
      <c r="AB207" s="9"/>
      <c r="AC207" s="9"/>
      <c r="AD207" s="9"/>
      <c r="AE207" s="9"/>
      <c r="AF207" s="9"/>
      <c r="AG207" s="9"/>
      <c r="AH207" s="9"/>
      <c r="AI207" s="9"/>
      <c r="AJ207" s="9"/>
      <c r="AK207" s="9"/>
    </row>
    <row r="208" customFormat="false" ht="13.5" hidden="false" customHeight="true" outlineLevel="0" collapsed="false">
      <c r="A208" s="9"/>
      <c r="B208" s="9"/>
      <c r="C208" s="9"/>
      <c r="D208" s="9"/>
      <c r="E208" s="9"/>
      <c r="F208" s="9"/>
      <c r="G208" s="9"/>
      <c r="H208" s="9"/>
      <c r="I208" s="9"/>
      <c r="J208" s="9"/>
      <c r="K208" s="9"/>
      <c r="L208" s="9"/>
      <c r="M208" s="9"/>
      <c r="N208" s="9"/>
      <c r="O208" s="24"/>
      <c r="P208" s="9"/>
      <c r="Q208" s="9"/>
      <c r="R208" s="9"/>
      <c r="S208" s="9"/>
      <c r="T208" s="9"/>
      <c r="U208" s="9"/>
      <c r="V208" s="9"/>
      <c r="W208" s="9"/>
      <c r="X208" s="9"/>
      <c r="Y208" s="9"/>
      <c r="Z208" s="9"/>
      <c r="AA208" s="9"/>
      <c r="AB208" s="9"/>
      <c r="AC208" s="9"/>
      <c r="AD208" s="9"/>
      <c r="AE208" s="9"/>
      <c r="AF208" s="9"/>
      <c r="AG208" s="9"/>
      <c r="AH208" s="9"/>
      <c r="AI208" s="9"/>
      <c r="AJ208" s="9"/>
      <c r="AK208" s="9"/>
    </row>
    <row r="209" customFormat="false" ht="13.5" hidden="false" customHeight="true" outlineLevel="0" collapsed="false">
      <c r="A209" s="9"/>
      <c r="B209" s="9"/>
      <c r="C209" s="9"/>
      <c r="D209" s="9"/>
      <c r="E209" s="9"/>
      <c r="F209" s="9"/>
      <c r="G209" s="9"/>
      <c r="H209" s="9"/>
      <c r="I209" s="9"/>
      <c r="J209" s="9"/>
      <c r="K209" s="9"/>
      <c r="L209" s="9"/>
      <c r="M209" s="9"/>
      <c r="N209" s="9"/>
      <c r="O209" s="24"/>
      <c r="P209" s="9"/>
      <c r="Q209" s="9"/>
      <c r="R209" s="9"/>
      <c r="S209" s="9"/>
      <c r="T209" s="9"/>
      <c r="U209" s="9"/>
      <c r="V209" s="9"/>
      <c r="W209" s="9"/>
      <c r="X209" s="9"/>
      <c r="Y209" s="9"/>
      <c r="Z209" s="9"/>
      <c r="AA209" s="9"/>
      <c r="AB209" s="9"/>
      <c r="AC209" s="9"/>
      <c r="AD209" s="9"/>
      <c r="AE209" s="9"/>
      <c r="AF209" s="9"/>
      <c r="AG209" s="9"/>
      <c r="AH209" s="9"/>
      <c r="AI209" s="9"/>
      <c r="AJ209" s="9"/>
      <c r="AK209" s="9"/>
    </row>
    <row r="210" customFormat="false" ht="13.5" hidden="false" customHeight="true" outlineLevel="0" collapsed="false">
      <c r="A210" s="9"/>
      <c r="B210" s="9"/>
      <c r="C210" s="9"/>
      <c r="D210" s="9"/>
      <c r="E210" s="9"/>
      <c r="F210" s="9"/>
      <c r="G210" s="9"/>
      <c r="H210" s="9"/>
      <c r="I210" s="9"/>
      <c r="J210" s="9"/>
      <c r="K210" s="9"/>
      <c r="L210" s="9"/>
      <c r="M210" s="9"/>
      <c r="N210" s="9"/>
      <c r="O210" s="24"/>
      <c r="P210" s="9"/>
      <c r="Q210" s="9"/>
      <c r="R210" s="9"/>
      <c r="S210" s="9"/>
      <c r="T210" s="9"/>
      <c r="U210" s="9"/>
      <c r="V210" s="9"/>
      <c r="W210" s="9"/>
      <c r="X210" s="9"/>
      <c r="Y210" s="9"/>
      <c r="Z210" s="9"/>
      <c r="AA210" s="9"/>
      <c r="AB210" s="9"/>
      <c r="AC210" s="9"/>
      <c r="AD210" s="9"/>
      <c r="AE210" s="9"/>
      <c r="AF210" s="9"/>
      <c r="AG210" s="9"/>
      <c r="AH210" s="9"/>
      <c r="AI210" s="9"/>
      <c r="AJ210" s="9"/>
      <c r="AK210" s="9"/>
    </row>
    <row r="211" customFormat="false" ht="13.5" hidden="false" customHeight="true" outlineLevel="0" collapsed="false">
      <c r="A211" s="9"/>
      <c r="B211" s="9"/>
      <c r="C211" s="9"/>
      <c r="D211" s="9"/>
      <c r="E211" s="9"/>
      <c r="F211" s="9"/>
      <c r="G211" s="9"/>
      <c r="H211" s="9"/>
      <c r="I211" s="9"/>
      <c r="J211" s="9"/>
      <c r="K211" s="9"/>
      <c r="L211" s="9"/>
      <c r="M211" s="9"/>
      <c r="N211" s="9"/>
      <c r="O211" s="24"/>
      <c r="P211" s="9"/>
      <c r="Q211" s="9"/>
      <c r="R211" s="9"/>
      <c r="S211" s="9"/>
      <c r="T211" s="9"/>
      <c r="U211" s="9"/>
      <c r="V211" s="9"/>
      <c r="W211" s="9"/>
      <c r="X211" s="9"/>
      <c r="Y211" s="9"/>
      <c r="Z211" s="9"/>
      <c r="AA211" s="9"/>
      <c r="AB211" s="9"/>
      <c r="AC211" s="9"/>
      <c r="AD211" s="9"/>
      <c r="AE211" s="9"/>
      <c r="AF211" s="9"/>
      <c r="AG211" s="9"/>
      <c r="AH211" s="9"/>
      <c r="AI211" s="9"/>
      <c r="AJ211" s="9"/>
      <c r="AK211" s="9"/>
    </row>
    <row r="212" customFormat="false" ht="13.5" hidden="false" customHeight="true" outlineLevel="0" collapsed="false">
      <c r="A212" s="9"/>
      <c r="B212" s="9"/>
      <c r="C212" s="9"/>
      <c r="D212" s="9"/>
      <c r="E212" s="9"/>
      <c r="F212" s="9"/>
      <c r="G212" s="9"/>
      <c r="H212" s="9"/>
      <c r="I212" s="9"/>
      <c r="J212" s="9"/>
      <c r="K212" s="9"/>
      <c r="L212" s="9"/>
      <c r="M212" s="9"/>
      <c r="N212" s="9"/>
      <c r="O212" s="24"/>
      <c r="P212" s="9"/>
      <c r="Q212" s="9"/>
      <c r="R212" s="9"/>
      <c r="S212" s="9"/>
      <c r="T212" s="9"/>
      <c r="U212" s="9"/>
      <c r="V212" s="9"/>
      <c r="W212" s="9"/>
      <c r="X212" s="9"/>
      <c r="Y212" s="9"/>
      <c r="Z212" s="9"/>
      <c r="AA212" s="9"/>
      <c r="AB212" s="9"/>
      <c r="AC212" s="9"/>
      <c r="AD212" s="9"/>
      <c r="AE212" s="9"/>
      <c r="AF212" s="9"/>
      <c r="AG212" s="9"/>
      <c r="AH212" s="9"/>
      <c r="AI212" s="9"/>
      <c r="AJ212" s="9"/>
      <c r="AK212" s="9"/>
    </row>
    <row r="213" customFormat="false" ht="13.5" hidden="false" customHeight="true" outlineLevel="0" collapsed="false">
      <c r="A213" s="9"/>
      <c r="B213" s="9"/>
      <c r="C213" s="9"/>
      <c r="D213" s="9"/>
      <c r="E213" s="9"/>
      <c r="F213" s="9"/>
      <c r="G213" s="9"/>
      <c r="H213" s="9"/>
      <c r="I213" s="9"/>
      <c r="J213" s="9"/>
      <c r="K213" s="9"/>
      <c r="L213" s="9"/>
      <c r="M213" s="9"/>
      <c r="N213" s="9"/>
      <c r="O213" s="24"/>
      <c r="P213" s="9"/>
      <c r="Q213" s="9"/>
      <c r="R213" s="9"/>
      <c r="S213" s="9"/>
      <c r="T213" s="9"/>
      <c r="U213" s="9"/>
      <c r="V213" s="9"/>
      <c r="W213" s="9"/>
      <c r="X213" s="9"/>
      <c r="Y213" s="9"/>
      <c r="Z213" s="9"/>
      <c r="AA213" s="9"/>
      <c r="AB213" s="9"/>
      <c r="AC213" s="9"/>
      <c r="AD213" s="9"/>
      <c r="AE213" s="9"/>
      <c r="AF213" s="9"/>
      <c r="AG213" s="9"/>
      <c r="AH213" s="9"/>
      <c r="AI213" s="9"/>
      <c r="AJ213" s="9"/>
      <c r="AK213" s="9"/>
    </row>
    <row r="214" customFormat="false" ht="13.5" hidden="false" customHeight="true" outlineLevel="0" collapsed="false">
      <c r="A214" s="9"/>
      <c r="B214" s="9"/>
      <c r="C214" s="9"/>
      <c r="D214" s="9"/>
      <c r="E214" s="9"/>
      <c r="F214" s="9"/>
      <c r="G214" s="9"/>
      <c r="H214" s="9"/>
      <c r="I214" s="9"/>
      <c r="J214" s="9"/>
      <c r="K214" s="9"/>
      <c r="L214" s="9"/>
      <c r="M214" s="9"/>
      <c r="N214" s="9"/>
      <c r="O214" s="24"/>
      <c r="P214" s="9"/>
      <c r="Q214" s="9"/>
      <c r="R214" s="9"/>
      <c r="S214" s="9"/>
      <c r="T214" s="9"/>
      <c r="U214" s="9"/>
      <c r="V214" s="9"/>
      <c r="W214" s="9"/>
      <c r="X214" s="9"/>
      <c r="Y214" s="9"/>
      <c r="Z214" s="9"/>
      <c r="AA214" s="9"/>
      <c r="AB214" s="9"/>
      <c r="AC214" s="9"/>
      <c r="AD214" s="9"/>
      <c r="AE214" s="9"/>
      <c r="AF214" s="9"/>
      <c r="AG214" s="9"/>
      <c r="AH214" s="9"/>
      <c r="AI214" s="9"/>
      <c r="AJ214" s="9"/>
      <c r="AK214" s="9"/>
    </row>
    <row r="215" customFormat="false" ht="13.5" hidden="false" customHeight="true" outlineLevel="0" collapsed="false">
      <c r="A215" s="9"/>
      <c r="B215" s="9"/>
      <c r="C215" s="9"/>
      <c r="D215" s="9"/>
      <c r="E215" s="9"/>
      <c r="F215" s="9"/>
      <c r="G215" s="9"/>
      <c r="H215" s="9"/>
      <c r="I215" s="9"/>
      <c r="J215" s="9"/>
      <c r="K215" s="9"/>
      <c r="L215" s="9"/>
      <c r="M215" s="9"/>
      <c r="N215" s="9"/>
      <c r="O215" s="24"/>
      <c r="P215" s="9"/>
      <c r="Q215" s="9"/>
      <c r="R215" s="9"/>
      <c r="S215" s="9"/>
      <c r="T215" s="9"/>
      <c r="U215" s="9"/>
      <c r="V215" s="9"/>
      <c r="W215" s="9"/>
      <c r="X215" s="9"/>
      <c r="Y215" s="9"/>
      <c r="Z215" s="9"/>
      <c r="AA215" s="9"/>
      <c r="AB215" s="9"/>
      <c r="AC215" s="9"/>
      <c r="AD215" s="9"/>
      <c r="AE215" s="9"/>
      <c r="AF215" s="9"/>
      <c r="AG215" s="9"/>
      <c r="AH215" s="9"/>
      <c r="AI215" s="9"/>
      <c r="AJ215" s="9"/>
      <c r="AK215" s="9"/>
    </row>
    <row r="216" customFormat="false" ht="13.5" hidden="false" customHeight="true" outlineLevel="0" collapsed="false">
      <c r="A216" s="9"/>
      <c r="B216" s="9"/>
      <c r="C216" s="9"/>
      <c r="D216" s="9"/>
      <c r="E216" s="9"/>
      <c r="F216" s="9"/>
      <c r="G216" s="9"/>
      <c r="H216" s="9"/>
      <c r="I216" s="9"/>
      <c r="J216" s="9"/>
      <c r="K216" s="9"/>
      <c r="L216" s="9"/>
      <c r="M216" s="9"/>
      <c r="N216" s="9"/>
      <c r="O216" s="24"/>
      <c r="P216" s="9"/>
      <c r="Q216" s="9"/>
      <c r="R216" s="9"/>
      <c r="S216" s="9"/>
      <c r="T216" s="9"/>
      <c r="U216" s="9"/>
      <c r="V216" s="9"/>
      <c r="W216" s="9"/>
      <c r="X216" s="9"/>
      <c r="Y216" s="9"/>
      <c r="Z216" s="9"/>
      <c r="AA216" s="9"/>
      <c r="AB216" s="9"/>
      <c r="AC216" s="9"/>
      <c r="AD216" s="9"/>
      <c r="AE216" s="9"/>
      <c r="AF216" s="9"/>
      <c r="AG216" s="9"/>
      <c r="AH216" s="9"/>
      <c r="AI216" s="9"/>
      <c r="AJ216" s="9"/>
      <c r="AK216" s="9"/>
    </row>
    <row r="217" customFormat="false" ht="13.5" hidden="false" customHeight="true" outlineLevel="0" collapsed="false">
      <c r="A217" s="9"/>
      <c r="B217" s="9"/>
      <c r="C217" s="9"/>
      <c r="D217" s="9"/>
      <c r="E217" s="9"/>
      <c r="F217" s="9"/>
      <c r="G217" s="9"/>
      <c r="H217" s="9"/>
      <c r="I217" s="9"/>
      <c r="J217" s="9"/>
      <c r="K217" s="9"/>
      <c r="L217" s="9"/>
      <c r="M217" s="9"/>
      <c r="N217" s="9"/>
      <c r="O217" s="24"/>
      <c r="P217" s="9"/>
      <c r="Q217" s="9"/>
      <c r="R217" s="9"/>
      <c r="S217" s="9"/>
      <c r="T217" s="9"/>
      <c r="U217" s="9"/>
      <c r="V217" s="9"/>
      <c r="W217" s="9"/>
      <c r="X217" s="9"/>
      <c r="Y217" s="9"/>
      <c r="Z217" s="9"/>
      <c r="AA217" s="9"/>
      <c r="AB217" s="9"/>
      <c r="AC217" s="9"/>
      <c r="AD217" s="9"/>
      <c r="AE217" s="9"/>
      <c r="AF217" s="9"/>
      <c r="AG217" s="9"/>
      <c r="AH217" s="9"/>
      <c r="AI217" s="9"/>
      <c r="AJ217" s="9"/>
      <c r="AK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6" width="47.88"/>
    <col collapsed="false" customWidth="true" hidden="false" outlineLevel="1" max="13" min="2" style="6" width="9.88"/>
    <col collapsed="false" customWidth="true" hidden="false" outlineLevel="0" max="14" min="14" style="6" width="12.5"/>
    <col collapsed="false" customWidth="true" hidden="false" outlineLevel="0" max="15" min="15" style="6" width="11.12"/>
    <col collapsed="false" customWidth="true" hidden="false" outlineLevel="0" max="16" min="16" style="6" width="5.38"/>
    <col collapsed="false" customWidth="true" hidden="false" outlineLevel="0" max="17" min="17" style="6" width="5"/>
    <col collapsed="false" customWidth="true" hidden="false" outlineLevel="0" max="18" min="18" style="6" width="13.13"/>
    <col collapsed="false" customWidth="true" hidden="false" outlineLevel="0" max="19" min="19" style="6" width="12"/>
    <col collapsed="false" customWidth="true" hidden="false" outlineLevel="0" max="20" min="20" style="6" width="11.12"/>
    <col collapsed="false" customWidth="true" hidden="false" outlineLevel="1" max="32" min="21" style="6" width="9.88"/>
    <col collapsed="false" customWidth="true" hidden="false" outlineLevel="0" max="33" min="33" style="6" width="12.5"/>
    <col collapsed="false" customWidth="true" hidden="false" outlineLevel="0" max="34" min="34" style="6" width="11.12"/>
    <col collapsed="false" customWidth="true" hidden="false" outlineLevel="0" max="35" min="35" style="6" width="6.51"/>
    <col collapsed="false" customWidth="true" hidden="false" outlineLevel="0" max="36" min="36" style="6" width="11.5"/>
  </cols>
  <sheetData>
    <row r="1" customFormat="false" ht="13.5" hidden="false" customHeight="true" outlineLevel="0" collapsed="false">
      <c r="A1" s="54" t="s">
        <v>1392</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376</v>
      </c>
      <c r="C24" s="12" t="n">
        <v>850.7</v>
      </c>
      <c r="D24" s="12" t="n">
        <v>783.62</v>
      </c>
      <c r="E24" s="12" t="n">
        <v>1861.07</v>
      </c>
      <c r="F24" s="12" t="n">
        <v>0</v>
      </c>
      <c r="G24" s="12" t="n">
        <v>0</v>
      </c>
      <c r="H24" s="12" t="n">
        <v>0</v>
      </c>
      <c r="I24" s="12" t="n">
        <v>0</v>
      </c>
      <c r="J24" s="64" t="n">
        <v>0</v>
      </c>
      <c r="K24" s="64" t="n">
        <v>0</v>
      </c>
      <c r="L24" s="64" t="n">
        <v>0</v>
      </c>
      <c r="M24" s="64" t="n">
        <v>0</v>
      </c>
      <c r="N24" s="12" t="n">
        <f aca="false">SUM(B24:M24)</f>
        <v>3871.39</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3871.39</v>
      </c>
    </row>
    <row r="25" customFormat="false" ht="13.5" hidden="false" customHeight="true" outlineLevel="0" collapsed="false">
      <c r="A25" s="23" t="s">
        <v>1280</v>
      </c>
      <c r="B25" s="12" t="n">
        <v>0</v>
      </c>
      <c r="C25" s="12" t="n">
        <v>0</v>
      </c>
      <c r="D25" s="12" t="n">
        <v>0</v>
      </c>
      <c r="E25" s="12" t="n">
        <v>261.8</v>
      </c>
      <c r="F25" s="12" t="n">
        <v>0</v>
      </c>
      <c r="G25" s="12" t="n">
        <v>0</v>
      </c>
      <c r="H25" s="12" t="n">
        <v>0</v>
      </c>
      <c r="I25" s="12" t="n">
        <v>0</v>
      </c>
      <c r="J25" s="64" t="n">
        <v>0</v>
      </c>
      <c r="K25" s="64" t="n">
        <v>0</v>
      </c>
      <c r="L25" s="64" t="n">
        <v>0</v>
      </c>
      <c r="M25" s="64" t="n">
        <v>0</v>
      </c>
      <c r="N25" s="12" t="n">
        <f aca="false">SUM(B25:M25)</f>
        <v>261.8</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261.8</v>
      </c>
    </row>
    <row r="26" customFormat="false" ht="13.5" hidden="false" customHeight="true" outlineLevel="0" collapsed="false">
      <c r="A26" s="23" t="s">
        <v>1281</v>
      </c>
      <c r="B26" s="12" t="n">
        <v>0</v>
      </c>
      <c r="C26" s="12" t="n">
        <v>0</v>
      </c>
      <c r="D26" s="12" t="n">
        <v>0</v>
      </c>
      <c r="E26" s="12" t="n">
        <v>348.38</v>
      </c>
      <c r="F26" s="12" t="n">
        <v>79.47</v>
      </c>
      <c r="G26" s="12" t="n">
        <v>0</v>
      </c>
      <c r="H26" s="12" t="n">
        <v>0</v>
      </c>
      <c r="I26" s="12" t="n">
        <v>250</v>
      </c>
      <c r="J26" s="64" t="n">
        <v>0</v>
      </c>
      <c r="K26" s="64" t="n">
        <v>0</v>
      </c>
      <c r="L26" s="64" t="n">
        <v>0</v>
      </c>
      <c r="M26" s="64" t="n">
        <v>0</v>
      </c>
      <c r="N26" s="12" t="n">
        <f aca="false">SUM(B26:M26)</f>
        <v>677.85</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677.85</v>
      </c>
    </row>
    <row r="27" customFormat="false" ht="13.5" hidden="false" customHeight="true" outlineLevel="0" collapsed="false">
      <c r="A27" s="26" t="s">
        <v>1282</v>
      </c>
      <c r="B27" s="27" t="n">
        <f aca="false">SUM(B24:B26)</f>
        <v>376</v>
      </c>
      <c r="C27" s="27" t="n">
        <f aca="false">SUM(C24:C26)</f>
        <v>850.7</v>
      </c>
      <c r="D27" s="27" t="n">
        <f aca="false">SUM(D24:D26)</f>
        <v>783.62</v>
      </c>
      <c r="E27" s="27" t="n">
        <f aca="false">SUM(E24:E26)</f>
        <v>2471.25</v>
      </c>
      <c r="F27" s="27" t="n">
        <f aca="false">SUM(F24:F26)</f>
        <v>79.47</v>
      </c>
      <c r="G27" s="27" t="n">
        <f aca="false">SUM(G24:G26)</f>
        <v>0</v>
      </c>
      <c r="H27" s="27" t="n">
        <f aca="false">SUM(H24:H26)</f>
        <v>0</v>
      </c>
      <c r="I27" s="27" t="n">
        <f aca="false">SUM(I24:I26)</f>
        <v>250</v>
      </c>
      <c r="J27" s="27" t="n">
        <f aca="false">SUM(J24:J26)</f>
        <v>0</v>
      </c>
      <c r="K27" s="27" t="n">
        <f aca="false">SUM(K24:K26)</f>
        <v>0</v>
      </c>
      <c r="L27" s="27" t="n">
        <f aca="false">SUM(L24:L26)</f>
        <v>0</v>
      </c>
      <c r="M27" s="27" t="n">
        <f aca="false">SUM(M24:M26)</f>
        <v>0</v>
      </c>
      <c r="N27" s="27" t="n">
        <f aca="false">SUM(B27:M27)</f>
        <v>4811.04</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4811.04</v>
      </c>
    </row>
    <row r="28" customFormat="false" ht="13.5" hidden="false" customHeight="true" outlineLevel="0" collapsed="false">
      <c r="A28" s="23" t="s">
        <v>1283</v>
      </c>
      <c r="B28" s="12" t="n">
        <v>0</v>
      </c>
      <c r="C28" s="12" t="n">
        <v>0</v>
      </c>
      <c r="D28" s="12" t="n">
        <v>0</v>
      </c>
      <c r="E28" s="12" t="n">
        <v>2186.18</v>
      </c>
      <c r="F28" s="12" t="n">
        <v>0</v>
      </c>
      <c r="G28" s="12" t="n">
        <v>0</v>
      </c>
      <c r="H28" s="12" t="n">
        <v>117.53</v>
      </c>
      <c r="I28" s="12" t="n">
        <v>0</v>
      </c>
      <c r="J28" s="64" t="n">
        <v>0</v>
      </c>
      <c r="K28" s="64" t="n">
        <v>0</v>
      </c>
      <c r="L28" s="64" t="n">
        <v>0</v>
      </c>
      <c r="M28" s="64" t="n">
        <v>0</v>
      </c>
      <c r="N28" s="12" t="n">
        <f aca="false">SUM(B28:M28)</f>
        <v>2303.71</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2303.71</v>
      </c>
    </row>
    <row r="29" customFormat="false" ht="13.5" hidden="false" customHeight="true" outlineLevel="0" collapsed="false">
      <c r="A29" s="23" t="s">
        <v>1284</v>
      </c>
      <c r="B29" s="12" t="n">
        <v>7000</v>
      </c>
      <c r="C29" s="12" t="n">
        <v>5000.95</v>
      </c>
      <c r="D29" s="12" t="n">
        <v>3522.7</v>
      </c>
      <c r="E29" s="12" t="n">
        <v>3294.47</v>
      </c>
      <c r="F29" s="12" t="n">
        <v>0</v>
      </c>
      <c r="G29" s="12" t="n">
        <v>122.59</v>
      </c>
      <c r="H29" s="12" t="n">
        <v>0</v>
      </c>
      <c r="I29" s="12" t="n">
        <v>3240.99</v>
      </c>
      <c r="J29" s="64" t="n">
        <v>15000</v>
      </c>
      <c r="K29" s="64" t="n">
        <v>10000</v>
      </c>
      <c r="L29" s="64" t="n">
        <v>5000</v>
      </c>
      <c r="M29" s="64" t="n">
        <v>5000</v>
      </c>
      <c r="N29" s="12" t="n">
        <f aca="false">SUM(B29:M29)</f>
        <v>57181.7</v>
      </c>
      <c r="O29" s="24" t="str">
        <f aca="false">IFERROR(N29/N$16,"")</f>
        <v/>
      </c>
      <c r="P29" s="12"/>
      <c r="Q29" s="12"/>
      <c r="R29" s="60" t="s">
        <v>1398</v>
      </c>
      <c r="S29" s="61" t="n">
        <v>0</v>
      </c>
      <c r="T29" s="62" t="n">
        <v>0.05</v>
      </c>
      <c r="U29" s="65" t="n">
        <f aca="false">'Fld Maint Budget'!B89</f>
        <v>45000</v>
      </c>
      <c r="V29" s="65" t="n">
        <f aca="false">'Fld Maint Budget'!C89</f>
        <v>20000</v>
      </c>
      <c r="W29" s="65" t="n">
        <f aca="false">'Fld Maint Budget'!D89</f>
        <v>0</v>
      </c>
      <c r="X29" s="65" t="n">
        <f aca="false">'Fld Maint Budget'!E89</f>
        <v>60000</v>
      </c>
      <c r="Y29" s="65" t="n">
        <f aca="false">'Fld Maint Budget'!F89</f>
        <v>45000</v>
      </c>
      <c r="Z29" s="65" t="n">
        <f aca="false">'Fld Maint Budget'!G89</f>
        <v>70000</v>
      </c>
      <c r="AA29" s="65" t="n">
        <f aca="false">'Fld Maint Budget'!H89</f>
        <v>55000</v>
      </c>
      <c r="AB29" s="65" t="n">
        <f aca="false">'Fld Maint Budget'!I89</f>
        <v>65000</v>
      </c>
      <c r="AC29" s="65" t="n">
        <f aca="false">'Fld Maint Budget'!J89</f>
        <v>90000</v>
      </c>
      <c r="AD29" s="65" t="n">
        <f aca="false">'Fld Maint Budget'!K89</f>
        <v>90000</v>
      </c>
      <c r="AE29" s="65" t="n">
        <f aca="false">'Fld Maint Budget'!L89</f>
        <v>115000</v>
      </c>
      <c r="AF29" s="65" t="n">
        <f aca="false">'Fld Maint Budget'!M89</f>
        <v>110000</v>
      </c>
      <c r="AG29" s="12" t="n">
        <f aca="false">SUM(U29:AF29)</f>
        <v>765000</v>
      </c>
      <c r="AH29" s="24" t="str">
        <f aca="false">IFERROR(AG29/AG$16,"")</f>
        <v/>
      </c>
      <c r="AI29" s="9"/>
      <c r="AJ29" s="12" t="n">
        <f aca="false">N29-AG29</f>
        <v>-707818.3</v>
      </c>
    </row>
    <row r="30" customFormat="false" ht="13.5" hidden="false" customHeight="true" outlineLevel="0" collapsed="false">
      <c r="A30" s="23" t="s">
        <v>1285</v>
      </c>
      <c r="B30" s="12" t="n">
        <v>0</v>
      </c>
      <c r="C30" s="12" t="n">
        <v>0</v>
      </c>
      <c r="D30" s="12" t="n">
        <v>0</v>
      </c>
      <c r="E30" s="12" t="n">
        <v>0</v>
      </c>
      <c r="F30" s="12" t="n">
        <v>0</v>
      </c>
      <c r="G30" s="12" t="n">
        <v>0</v>
      </c>
      <c r="H30" s="12" t="n">
        <v>911.81</v>
      </c>
      <c r="I30" s="12" t="n">
        <v>1772.23</v>
      </c>
      <c r="J30" s="64" t="n">
        <v>0</v>
      </c>
      <c r="K30" s="64" t="n">
        <v>0</v>
      </c>
      <c r="L30" s="64" t="n">
        <v>0</v>
      </c>
      <c r="M30" s="64" t="n">
        <v>0</v>
      </c>
      <c r="N30" s="12" t="n">
        <f aca="false">SUM(B30:M30)</f>
        <v>2684.04</v>
      </c>
      <c r="O30" s="24" t="str">
        <f aca="false">IFERROR(N30/N$16,"")</f>
        <v/>
      </c>
      <c r="P30" s="12"/>
      <c r="Q30" s="12"/>
      <c r="R30" s="60" t="s">
        <v>1398</v>
      </c>
      <c r="S30" s="61" t="n">
        <v>0</v>
      </c>
      <c r="T30" s="62" t="n">
        <v>0.05</v>
      </c>
      <c r="U30" s="65" t="n">
        <f aca="false">'Fld Maint Budget'!B90</f>
        <v>2279.7</v>
      </c>
      <c r="V30" s="65" t="n">
        <f aca="false">'Fld Maint Budget'!C90</f>
        <v>1519.8</v>
      </c>
      <c r="W30" s="65" t="n">
        <f aca="false">'Fld Maint Budget'!D90</f>
        <v>0</v>
      </c>
      <c r="X30" s="65" t="n">
        <f aca="false">'Fld Maint Budget'!E90</f>
        <v>3495.54</v>
      </c>
      <c r="Y30" s="65" t="n">
        <f aca="false">'Fld Maint Budget'!F90</f>
        <v>2735.64</v>
      </c>
      <c r="Z30" s="65" t="n">
        <f aca="false">'Fld Maint Budget'!G90</f>
        <v>3951.48</v>
      </c>
      <c r="AA30" s="65" t="n">
        <f aca="false">'Fld Maint Budget'!H90</f>
        <v>3495.54</v>
      </c>
      <c r="AB30" s="65" t="n">
        <f aca="false">'Fld Maint Budget'!I90</f>
        <v>4255.44</v>
      </c>
      <c r="AC30" s="65" t="n">
        <f aca="false">'Fld Maint Budget'!J90</f>
        <v>5471.28</v>
      </c>
      <c r="AD30" s="65" t="n">
        <f aca="false">'Fld Maint Budget'!K90</f>
        <v>5471.28</v>
      </c>
      <c r="AE30" s="65" t="n">
        <f aca="false">'Fld Maint Budget'!L90</f>
        <v>6687.12</v>
      </c>
      <c r="AF30" s="65" t="n">
        <f aca="false">'Fld Maint Budget'!M90</f>
        <v>6991.08</v>
      </c>
      <c r="AG30" s="12" t="n">
        <f aca="false">SUM(U30:AF30)</f>
        <v>46353.9</v>
      </c>
      <c r="AH30" s="24" t="str">
        <f aca="false">IFERROR(AG30/AG$16,"")</f>
        <v/>
      </c>
      <c r="AI30" s="9"/>
      <c r="AJ30" s="12" t="n">
        <f aca="false">N30-AG30</f>
        <v>-43669.86</v>
      </c>
    </row>
    <row r="31" customFormat="false" ht="13.5" hidden="false" customHeight="true" outlineLevel="0" collapsed="false">
      <c r="A31" s="23" t="s">
        <v>1286</v>
      </c>
      <c r="B31" s="12" t="n">
        <v>0</v>
      </c>
      <c r="C31" s="12" t="n">
        <v>0</v>
      </c>
      <c r="D31" s="12" t="n">
        <v>0</v>
      </c>
      <c r="E31" s="12" t="n">
        <v>0</v>
      </c>
      <c r="F31" s="12" t="n">
        <v>0</v>
      </c>
      <c r="G31" s="12" t="n">
        <v>20.14</v>
      </c>
      <c r="H31" s="12" t="n">
        <v>0</v>
      </c>
      <c r="I31" s="12" t="n">
        <v>528.6</v>
      </c>
      <c r="J31" s="64" t="n">
        <v>0</v>
      </c>
      <c r="K31" s="64" t="n">
        <v>0</v>
      </c>
      <c r="L31" s="64" t="n">
        <v>0</v>
      </c>
      <c r="M31" s="64" t="n">
        <v>0</v>
      </c>
      <c r="N31" s="12" t="n">
        <f aca="false">SUM(B31:M31)</f>
        <v>548.74</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548.74</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1292</v>
      </c>
      <c r="B37" s="27" t="n">
        <f aca="false">B19+B22+B27+B28+B29+B30+B31+B36+B20+B21</f>
        <v>7376</v>
      </c>
      <c r="C37" s="27" t="n">
        <f aca="false">C19+C22+C27+C28+C29+C30+C31+C36+C20+C21</f>
        <v>5851.65</v>
      </c>
      <c r="D37" s="27" t="n">
        <f aca="false">D19+D22+D27+D28+D29+D30+D31+D36+D20+D21</f>
        <v>4306.32</v>
      </c>
      <c r="E37" s="27" t="n">
        <f aca="false">E19+E22+E27+E28+E29+E30+E31+E36+E20+E21</f>
        <v>7951.9</v>
      </c>
      <c r="F37" s="27" t="n">
        <f aca="false">F19+F22+F27+F28+F29+F30+F31+F36+F20+F21</f>
        <v>79.47</v>
      </c>
      <c r="G37" s="27" t="n">
        <f aca="false">G19+G22+G27+G28+G29+G30+G31+G36+G20+G21</f>
        <v>142.73</v>
      </c>
      <c r="H37" s="27" t="n">
        <f aca="false">H19+H22+H27+H28+H29+H30+H31+H36+H20+H21</f>
        <v>1029.34</v>
      </c>
      <c r="I37" s="27" t="n">
        <f aca="false">I19+I22+I27+I28+I29+I30+I31+I36+I20+I21</f>
        <v>5791.82</v>
      </c>
      <c r="J37" s="27" t="n">
        <f aca="false">J19+J22+J27+J28+J29+J30+J31+J36+J20+J21</f>
        <v>15000</v>
      </c>
      <c r="K37" s="27" t="n">
        <f aca="false">K19+K22+K27+K28+K29+K30+K31+K36+K20+K21</f>
        <v>10000</v>
      </c>
      <c r="L37" s="27" t="n">
        <f aca="false">L19+L22+L27+L28+L29+L30+L31+L36+L20+L21</f>
        <v>5000</v>
      </c>
      <c r="M37" s="27" t="n">
        <f aca="false">M19+M22+M27+M28+M29+M30+M31+M36+M20+M21</f>
        <v>5000</v>
      </c>
      <c r="N37" s="27" t="n">
        <f aca="false">SUM(B37:M37)</f>
        <v>67529.23</v>
      </c>
      <c r="O37" s="28" t="str">
        <f aca="false">IFERROR(N37/N$16,"")</f>
        <v/>
      </c>
      <c r="P37" s="12"/>
      <c r="Q37" s="12"/>
      <c r="R37" s="63"/>
      <c r="S37" s="63"/>
      <c r="T37" s="63"/>
      <c r="U37" s="27" t="n">
        <f aca="false">U19+U22+U27+U28+U29+U30+U31+U36+U20+U21</f>
        <v>47279.7</v>
      </c>
      <c r="V37" s="27" t="n">
        <f aca="false">V19+V22+V27+V28+V29+V30+V31+V36+V20+V21</f>
        <v>21519.8</v>
      </c>
      <c r="W37" s="27" t="n">
        <f aca="false">W19+W22+W27+W28+W29+W30+W31+W36+W20+W21</f>
        <v>0</v>
      </c>
      <c r="X37" s="27" t="n">
        <f aca="false">X19+X22+X27+X28+X29+X30+X31+X36+X20+X21</f>
        <v>63495.54</v>
      </c>
      <c r="Y37" s="27" t="n">
        <f aca="false">Y19+Y22+Y27+Y28+Y29+Y30+Y31+Y36+Y20+Y21</f>
        <v>47735.64</v>
      </c>
      <c r="Z37" s="27" t="n">
        <f aca="false">Z19+Z22+Z27+Z28+Z29+Z30+Z31+Z36+Z20+Z21</f>
        <v>73951.48</v>
      </c>
      <c r="AA37" s="27" t="n">
        <f aca="false">AA19+AA22+AA27+AA28+AA29+AA30+AA31+AA36+AA20+AA21</f>
        <v>58495.54</v>
      </c>
      <c r="AB37" s="27" t="n">
        <f aca="false">AB19+AB22+AB27+AB28+AB29+AB30+AB31+AB36+AB20+AB21</f>
        <v>69255.44</v>
      </c>
      <c r="AC37" s="27" t="n">
        <f aca="false">AC19+AC22+AC27+AC28+AC29+AC30+AC31+AC36+AC20+AC21</f>
        <v>95471.28</v>
      </c>
      <c r="AD37" s="27" t="n">
        <f aca="false">AD19+AD22+AD27+AD28+AD29+AD30+AD31+AD36+AD20+AD21</f>
        <v>95471.28</v>
      </c>
      <c r="AE37" s="27" t="n">
        <f aca="false">AE19+AE22+AE27+AE28+AE29+AE30+AE31+AE36+AE20+AE21</f>
        <v>121687.12</v>
      </c>
      <c r="AF37" s="27" t="n">
        <f aca="false">AF19+AF22+AF27+AF28+AF29+AF30+AF31+AF36+AF20+AF21</f>
        <v>116991.08</v>
      </c>
      <c r="AG37" s="27" t="n">
        <f aca="false">SUM(U37:AF37)</f>
        <v>811353.9</v>
      </c>
      <c r="AH37" s="28" t="str">
        <f aca="false">IFERROR(AG37/AG$16,"")</f>
        <v/>
      </c>
      <c r="AI37" s="9"/>
      <c r="AJ37" s="27" t="n">
        <f aca="false">N37-AG37</f>
        <v>-743824.67</v>
      </c>
    </row>
    <row r="38" customFormat="false" ht="13.5" hidden="false" customHeight="true" outlineLevel="0" collapsed="false">
      <c r="A38" s="23" t="s">
        <v>1293</v>
      </c>
      <c r="B38" s="12" t="n">
        <v>0</v>
      </c>
      <c r="C38" s="12" t="n">
        <v>0</v>
      </c>
      <c r="D38" s="12" t="n">
        <v>0</v>
      </c>
      <c r="E38" s="12" t="n">
        <v>0</v>
      </c>
      <c r="F38" s="12" t="n">
        <v>0</v>
      </c>
      <c r="G38" s="12" t="n">
        <v>-352.47</v>
      </c>
      <c r="H38" s="12" t="n">
        <v>0</v>
      </c>
      <c r="I38" s="12" t="n">
        <v>0</v>
      </c>
      <c r="J38" s="64" t="n">
        <v>0</v>
      </c>
      <c r="K38" s="64" t="n">
        <v>0</v>
      </c>
      <c r="L38" s="64" t="n">
        <v>0</v>
      </c>
      <c r="M38" s="64" t="n">
        <v>0</v>
      </c>
      <c r="N38" s="12" t="n">
        <f aca="false">SUM(B38:M38)</f>
        <v>-352.47</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-352.47</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19808</v>
      </c>
      <c r="G44" s="12" t="n">
        <v>10009</v>
      </c>
      <c r="H44" s="12" t="n">
        <v>10968.52</v>
      </c>
      <c r="I44" s="12" t="n">
        <v>6116.47</v>
      </c>
      <c r="J44" s="64" t="n">
        <v>40350</v>
      </c>
      <c r="K44" s="64" t="n">
        <v>44270</v>
      </c>
      <c r="L44" s="64" t="n">
        <v>48190</v>
      </c>
      <c r="M44" s="64" t="n">
        <v>52110</v>
      </c>
      <c r="N44" s="12" t="n">
        <f aca="false">SUM(B44:M44)</f>
        <v>231821.99</v>
      </c>
      <c r="O44" s="24" t="str">
        <f aca="false">IFERROR(N44/N$16,"")</f>
        <v/>
      </c>
      <c r="P44" s="12"/>
      <c r="Q44" s="12"/>
      <c r="R44" s="60" t="s">
        <v>1398</v>
      </c>
      <c r="S44" s="61"/>
      <c r="T44" s="62" t="n">
        <v>0.05</v>
      </c>
      <c r="U44" s="65" t="n">
        <f aca="false">'Fld Maint Budget'!B91</f>
        <v>37614</v>
      </c>
      <c r="V44" s="65" t="n">
        <f aca="false">'Fld Maint Budget'!C91</f>
        <v>37614</v>
      </c>
      <c r="W44" s="65" t="n">
        <f aca="false">'Fld Maint Budget'!D91</f>
        <v>50004</v>
      </c>
      <c r="X44" s="65" t="n">
        <f aca="false">'Fld Maint Budget'!E91</f>
        <v>50004</v>
      </c>
      <c r="Y44" s="65" t="n">
        <f aca="false">'Fld Maint Budget'!F91</f>
        <v>50004</v>
      </c>
      <c r="Z44" s="65" t="n">
        <f aca="false">'Fld Maint Budget'!G91</f>
        <v>50004</v>
      </c>
      <c r="AA44" s="65" t="n">
        <f aca="false">'Fld Maint Budget'!H91</f>
        <v>50004</v>
      </c>
      <c r="AB44" s="65" t="n">
        <f aca="false">'Fld Maint Budget'!I91</f>
        <v>50004</v>
      </c>
      <c r="AC44" s="65" t="n">
        <f aca="false">'Fld Maint Budget'!J91</f>
        <v>50004</v>
      </c>
      <c r="AD44" s="65" t="n">
        <f aca="false">'Fld Maint Budget'!K91</f>
        <v>50004</v>
      </c>
      <c r="AE44" s="65" t="n">
        <f aca="false">'Fld Maint Budget'!L91</f>
        <v>50004</v>
      </c>
      <c r="AF44" s="65" t="n">
        <f aca="false">'Fld Maint Budget'!M91</f>
        <v>50004</v>
      </c>
      <c r="AG44" s="12" t="n">
        <f aca="false">SUM(U44:AF44)</f>
        <v>575268</v>
      </c>
      <c r="AH44" s="24" t="str">
        <f aca="false">IFERROR(AG44/AG$16,"")</f>
        <v/>
      </c>
      <c r="AI44" s="9"/>
      <c r="AJ44" s="12" t="n">
        <f aca="false">N44-AG44</f>
        <v>-343446.01</v>
      </c>
    </row>
    <row r="45" customFormat="false" ht="13.5" hidden="false" customHeight="true" outlineLevel="0" collapsed="false">
      <c r="A45" s="23" t="s">
        <v>1300</v>
      </c>
      <c r="B45" s="12" t="n">
        <v>5823.29</v>
      </c>
      <c r="C45" s="12" t="n">
        <v>256.47</v>
      </c>
      <c r="D45" s="12" t="n">
        <v>1327.17</v>
      </c>
      <c r="E45" s="12" t="n">
        <v>6164.18</v>
      </c>
      <c r="F45" s="12" t="n">
        <v>4983.81</v>
      </c>
      <c r="G45" s="12" t="n">
        <v>7888.65</v>
      </c>
      <c r="H45" s="12" t="n">
        <v>14179.16</v>
      </c>
      <c r="I45" s="12" t="n">
        <v>11260.12</v>
      </c>
      <c r="J45" s="64" t="n">
        <v>5750</v>
      </c>
      <c r="K45" s="64" t="n">
        <v>6000</v>
      </c>
      <c r="L45" s="64" t="n">
        <v>6250</v>
      </c>
      <c r="M45" s="64" t="n">
        <v>6500</v>
      </c>
      <c r="N45" s="12" t="n">
        <f aca="false">SUM(B45:M45)</f>
        <v>76382.85</v>
      </c>
      <c r="O45" s="24" t="str">
        <f aca="false">IFERROR(N45/N$16,"")</f>
        <v/>
      </c>
      <c r="P45" s="12"/>
      <c r="Q45" s="12"/>
      <c r="R45" s="60" t="s">
        <v>1398</v>
      </c>
      <c r="S45" s="61" t="n">
        <v>0</v>
      </c>
      <c r="T45" s="62" t="n">
        <v>0.05</v>
      </c>
      <c r="U45" s="65" t="n">
        <f aca="false">'Fld Maint Budget'!B92</f>
        <v>5185.82172977143</v>
      </c>
      <c r="V45" s="65" t="n">
        <f aca="false">'Fld Maint Budget'!C92</f>
        <v>5561.35943592</v>
      </c>
      <c r="W45" s="65" t="n">
        <f aca="false">'Fld Maint Budget'!D92</f>
        <v>5561.35943592</v>
      </c>
      <c r="X45" s="65" t="n">
        <f aca="false">'Fld Maint Budget'!E92</f>
        <v>6594.08812782857</v>
      </c>
      <c r="Y45" s="65" t="n">
        <f aca="false">'Fld Maint Budget'!F92</f>
        <v>7251.27911358857</v>
      </c>
      <c r="Z45" s="65" t="n">
        <f aca="false">'Fld Maint Budget'!G92</f>
        <v>8190.12337896</v>
      </c>
      <c r="AA45" s="65" t="n">
        <f aca="false">'Fld Maint Budget'!H92</f>
        <v>9035.08321779429</v>
      </c>
      <c r="AB45" s="65" t="n">
        <f aca="false">'Fld Maint Budget'!I92</f>
        <v>10067.8119097029</v>
      </c>
      <c r="AC45" s="65" t="n">
        <f aca="false">'Fld Maint Budget'!J92</f>
        <v>11382.1938812229</v>
      </c>
      <c r="AD45" s="65" t="n">
        <f aca="false">'Fld Maint Budget'!K92</f>
        <v>12696.5758527429</v>
      </c>
      <c r="AE45" s="65" t="n">
        <f aca="false">'Fld Maint Budget'!L92</f>
        <v>14292.6111038743</v>
      </c>
      <c r="AF45" s="65" t="n">
        <f aca="false">'Fld Maint Budget'!M92</f>
        <v>15982.5307815429</v>
      </c>
      <c r="AG45" s="12" t="n">
        <f aca="false">SUM(U45:AF45)</f>
        <v>111800.837968869</v>
      </c>
      <c r="AH45" s="24" t="str">
        <f aca="false">IFERROR(AG45/AG$16,"")</f>
        <v/>
      </c>
      <c r="AI45" s="9"/>
      <c r="AJ45" s="12" t="n">
        <f aca="false">N45-AG45</f>
        <v>-35417.9879688686</v>
      </c>
    </row>
    <row r="46" customFormat="false" ht="13.5" hidden="false" customHeight="true" outlineLevel="0" collapsed="false">
      <c r="A46" s="23" t="s">
        <v>1301</v>
      </c>
      <c r="B46" s="12" t="n">
        <v>1378.29</v>
      </c>
      <c r="C46" s="12" t="n">
        <v>1054.59</v>
      </c>
      <c r="D46" s="12" t="n">
        <v>2655.82</v>
      </c>
      <c r="E46" s="12" t="n">
        <v>0</v>
      </c>
      <c r="F46" s="12" t="n">
        <v>1059.27</v>
      </c>
      <c r="G46" s="12" t="n">
        <v>334.92</v>
      </c>
      <c r="H46" s="12" t="n">
        <v>1237.14</v>
      </c>
      <c r="I46" s="12" t="n">
        <v>9400.74</v>
      </c>
      <c r="J46" s="64" t="n">
        <v>1500</v>
      </c>
      <c r="K46" s="64" t="n">
        <v>1500</v>
      </c>
      <c r="L46" s="64" t="n">
        <v>1500</v>
      </c>
      <c r="M46" s="64" t="n">
        <v>1500</v>
      </c>
      <c r="N46" s="12" t="n">
        <f aca="false">SUM(B46:M46)</f>
        <v>23120.77</v>
      </c>
      <c r="O46" s="24" t="str">
        <f aca="false">IFERROR(N46/N$16,"")</f>
        <v/>
      </c>
      <c r="P46" s="12"/>
      <c r="Q46" s="12"/>
      <c r="R46" s="60" t="s">
        <v>1398</v>
      </c>
      <c r="S46" s="61" t="n">
        <v>0</v>
      </c>
      <c r="T46" s="62" t="n">
        <v>0.05</v>
      </c>
      <c r="U46" s="65" t="n">
        <f aca="false">'Fld Maint Budget'!B93</f>
        <v>14024.02</v>
      </c>
      <c r="V46" s="65" t="n">
        <f aca="false">'Fld Maint Budget'!C93</f>
        <v>9524.02</v>
      </c>
      <c r="W46" s="65" t="n">
        <f aca="false">'Fld Maint Budget'!D93</f>
        <v>551.6</v>
      </c>
      <c r="X46" s="65" t="n">
        <f aca="false">'Fld Maint Budget'!E93</f>
        <v>21334.34</v>
      </c>
      <c r="Y46" s="65" t="n">
        <f aca="false">'Fld Maint Budget'!F93</f>
        <v>16972.24</v>
      </c>
      <c r="Z46" s="65" t="n">
        <f aca="false">'Fld Maint Budget'!G93</f>
        <v>24310.14</v>
      </c>
      <c r="AA46" s="65" t="n">
        <f aca="false">'Fld Maint Budget'!H93</f>
        <v>21775.62</v>
      </c>
      <c r="AB46" s="65" t="n">
        <f aca="false">'Fld Maint Budget'!I93</f>
        <v>26468.68</v>
      </c>
      <c r="AC46" s="65" t="n">
        <f aca="false">'Fld Maint Budget'!J93</f>
        <v>33861.74</v>
      </c>
      <c r="AD46" s="65" t="n">
        <f aca="false">'Fld Maint Budget'!K93</f>
        <v>34109.96</v>
      </c>
      <c r="AE46" s="65" t="n">
        <f aca="false">'Fld Maint Budget'!L93</f>
        <v>41558.18</v>
      </c>
      <c r="AF46" s="65" t="n">
        <f aca="false">'Fld Maint Budget'!M93</f>
        <v>43578.82</v>
      </c>
      <c r="AG46" s="12" t="n">
        <f aca="false">SUM(U46:AF46)</f>
        <v>288069.36</v>
      </c>
      <c r="AH46" s="24" t="str">
        <f aca="false">IFERROR(AG46/AG$16,"")</f>
        <v/>
      </c>
      <c r="AI46" s="9"/>
      <c r="AJ46" s="12" t="n">
        <f aca="false">N46-AG46</f>
        <v>-264948.59</v>
      </c>
    </row>
    <row r="47" customFormat="false" ht="13.5" hidden="false" customHeight="true" outlineLevel="0" collapsed="false">
      <c r="A47" s="23" t="s">
        <v>1302</v>
      </c>
      <c r="B47" s="12" t="n">
        <v>13329.1</v>
      </c>
      <c r="C47" s="12" t="n">
        <v>5064.23</v>
      </c>
      <c r="D47" s="12" t="n">
        <v>58626.27</v>
      </c>
      <c r="E47" s="12" t="n">
        <v>12810.6</v>
      </c>
      <c r="F47" s="12" t="n">
        <v>28158.41</v>
      </c>
      <c r="G47" s="12" t="n">
        <v>19000.31</v>
      </c>
      <c r="H47" s="12" t="n">
        <v>10810.67</v>
      </c>
      <c r="I47" s="12" t="n">
        <v>-8095.66</v>
      </c>
      <c r="J47" s="64" t="n">
        <v>28000</v>
      </c>
      <c r="K47" s="64" t="n">
        <v>28000</v>
      </c>
      <c r="L47" s="64" t="n">
        <v>30000</v>
      </c>
      <c r="M47" s="64" t="n">
        <v>30000</v>
      </c>
      <c r="N47" s="12" t="n">
        <f aca="false">SUM(B47:M47)</f>
        <v>255703.93</v>
      </c>
      <c r="O47" s="24" t="str">
        <f aca="false">IFERROR(N47/N$16,"")</f>
        <v/>
      </c>
      <c r="P47" s="12"/>
      <c r="Q47" s="12"/>
      <c r="R47" s="60" t="s">
        <v>1398</v>
      </c>
      <c r="S47" s="61" t="n">
        <v>0</v>
      </c>
      <c r="T47" s="62" t="n">
        <v>0.05</v>
      </c>
      <c r="U47" s="65" t="n">
        <f aca="false">'Fld Maint Budget'!B94</f>
        <v>48713.6175428571</v>
      </c>
      <c r="V47" s="65" t="n">
        <f aca="false">'Fld Maint Budget'!C94</f>
        <v>55799.23464</v>
      </c>
      <c r="W47" s="65" t="n">
        <f aca="false">'Fld Maint Budget'!D94</f>
        <v>55799.23464</v>
      </c>
      <c r="X47" s="65" t="n">
        <f aca="false">'Fld Maint Budget'!E94</f>
        <v>75284.6816571429</v>
      </c>
      <c r="Y47" s="65" t="n">
        <f aca="false">'Fld Maint Budget'!F94</f>
        <v>87684.5115771429</v>
      </c>
      <c r="Z47" s="65" t="n">
        <f aca="false">'Fld Maint Budget'!G94</f>
        <v>105398.55432</v>
      </c>
      <c r="AA47" s="65" t="n">
        <f aca="false">'Fld Maint Budget'!H94</f>
        <v>121341.192788571</v>
      </c>
      <c r="AB47" s="65" t="n">
        <f aca="false">'Fld Maint Budget'!I94</f>
        <v>140826.639805714</v>
      </c>
      <c r="AC47" s="65" t="n">
        <f aca="false">'Fld Maint Budget'!J94</f>
        <v>165626.299645714</v>
      </c>
      <c r="AD47" s="65" t="n">
        <f aca="false">'Fld Maint Budget'!K94</f>
        <v>190425.959485714</v>
      </c>
      <c r="AE47" s="65" t="n">
        <f aca="false">'Fld Maint Budget'!L94</f>
        <v>220539.832148571</v>
      </c>
      <c r="AF47" s="65" t="n">
        <f aca="false">'Fld Maint Budget'!M94</f>
        <v>252425.109085714</v>
      </c>
      <c r="AG47" s="12" t="n">
        <f aca="false">SUM(U47:AF47)</f>
        <v>1519864.86733714</v>
      </c>
      <c r="AH47" s="24" t="str">
        <f aca="false">IFERROR(AG47/AG$16,"")</f>
        <v/>
      </c>
      <c r="AI47" s="9"/>
      <c r="AJ47" s="12" t="n">
        <f aca="false">N47-AG47</f>
        <v>-1264160.93733714</v>
      </c>
    </row>
    <row r="48" customFormat="false" ht="13.5" hidden="false" customHeight="true" outlineLevel="0" collapsed="false">
      <c r="A48" s="23" t="s">
        <v>1303</v>
      </c>
      <c r="B48" s="12" t="n">
        <v>1000</v>
      </c>
      <c r="C48" s="12" t="n">
        <v>3800</v>
      </c>
      <c r="D48" s="12" t="n">
        <v>4120</v>
      </c>
      <c r="E48" s="12" t="n">
        <v>2500</v>
      </c>
      <c r="F48" s="12" t="n">
        <v>2680</v>
      </c>
      <c r="G48" s="12" t="n">
        <v>2560</v>
      </c>
      <c r="H48" s="12" t="n">
        <v>1240</v>
      </c>
      <c r="I48" s="12" t="n">
        <v>1060</v>
      </c>
      <c r="J48" s="64" t="n">
        <v>3000</v>
      </c>
      <c r="K48" s="64" t="n">
        <v>3000</v>
      </c>
      <c r="L48" s="64" t="n">
        <v>3000</v>
      </c>
      <c r="M48" s="64" t="n">
        <v>3000</v>
      </c>
      <c r="N48" s="12" t="n">
        <f aca="false">SUM(B48:M48)</f>
        <v>30960</v>
      </c>
      <c r="O48" s="24" t="str">
        <f aca="false">IFERROR(N48/N$16,"")</f>
        <v/>
      </c>
      <c r="P48" s="12"/>
      <c r="Q48" s="12"/>
      <c r="R48" s="60" t="s">
        <v>1398</v>
      </c>
      <c r="S48" s="61" t="n">
        <v>0</v>
      </c>
      <c r="T48" s="62" t="n">
        <v>0.05</v>
      </c>
      <c r="U48" s="65" t="n">
        <f aca="false">'Fld Maint Budget'!B95</f>
        <v>3000</v>
      </c>
      <c r="V48" s="65" t="n">
        <f aca="false">'Fld Maint Budget'!C95</f>
        <v>3000</v>
      </c>
      <c r="W48" s="65" t="n">
        <f aca="false">'Fld Maint Budget'!D95</f>
        <v>3000</v>
      </c>
      <c r="X48" s="65" t="n">
        <f aca="false">'Fld Maint Budget'!E95</f>
        <v>3000</v>
      </c>
      <c r="Y48" s="65" t="n">
        <f aca="false">'Fld Maint Budget'!F95</f>
        <v>3000</v>
      </c>
      <c r="Z48" s="65" t="n">
        <f aca="false">'Fld Maint Budget'!G95</f>
        <v>3000</v>
      </c>
      <c r="AA48" s="65" t="n">
        <f aca="false">'Fld Maint Budget'!H95</f>
        <v>3000</v>
      </c>
      <c r="AB48" s="65" t="n">
        <f aca="false">'Fld Maint Budget'!I95</f>
        <v>3000</v>
      </c>
      <c r="AC48" s="65" t="n">
        <f aca="false">'Fld Maint Budget'!J95</f>
        <v>3000</v>
      </c>
      <c r="AD48" s="65" t="n">
        <f aca="false">'Fld Maint Budget'!K95</f>
        <v>3000</v>
      </c>
      <c r="AE48" s="65" t="n">
        <f aca="false">'Fld Maint Budget'!L95</f>
        <v>3000</v>
      </c>
      <c r="AF48" s="65" t="n">
        <f aca="false">'Fld Maint Budget'!M95</f>
        <v>3000</v>
      </c>
      <c r="AG48" s="12" t="n">
        <f aca="false">SUM(U48:AF48)</f>
        <v>36000</v>
      </c>
      <c r="AH48" s="24" t="str">
        <f aca="false">IFERROR(AG48/AG$16,"")</f>
        <v/>
      </c>
      <c r="AI48" s="9"/>
      <c r="AJ48" s="12" t="n">
        <f aca="false">N48-AG48</f>
        <v>-5040</v>
      </c>
    </row>
    <row r="49" customFormat="false" ht="13.5" hidden="false" customHeight="true" outlineLevel="0" collapsed="false">
      <c r="A49" s="23" t="s">
        <v>1304</v>
      </c>
      <c r="B49" s="12" t="n">
        <v>1900.25</v>
      </c>
      <c r="C49" s="12" t="n">
        <v>1371.12</v>
      </c>
      <c r="D49" s="12" t="n">
        <v>616.4</v>
      </c>
      <c r="E49" s="12" t="n">
        <v>579.5</v>
      </c>
      <c r="F49" s="12" t="n">
        <v>7011.68</v>
      </c>
      <c r="G49" s="12" t="n">
        <v>4314.54</v>
      </c>
      <c r="H49" s="12" t="n">
        <v>2792.06</v>
      </c>
      <c r="I49" s="12" t="n">
        <v>8642.38</v>
      </c>
      <c r="J49" s="64" t="n">
        <v>5000</v>
      </c>
      <c r="K49" s="64" t="n">
        <v>5000</v>
      </c>
      <c r="L49" s="64" t="n">
        <v>4000</v>
      </c>
      <c r="M49" s="64" t="n">
        <v>4000</v>
      </c>
      <c r="N49" s="12" t="n">
        <f aca="false">SUM(B49:M49)</f>
        <v>45227.93</v>
      </c>
      <c r="O49" s="24" t="str">
        <f aca="false">IFERROR(N49/N$16,"")</f>
        <v/>
      </c>
      <c r="P49" s="12"/>
      <c r="Q49" s="12"/>
      <c r="R49" s="60" t="s">
        <v>1398</v>
      </c>
      <c r="S49" s="61" t="n">
        <v>0</v>
      </c>
      <c r="T49" s="62" t="n">
        <v>0.05</v>
      </c>
      <c r="U49" s="65" t="n">
        <f aca="false">'Fld Maint Budget'!B96</f>
        <v>3992</v>
      </c>
      <c r="V49" s="65" t="n">
        <f aca="false">'Fld Maint Budget'!C96</f>
        <v>3992</v>
      </c>
      <c r="W49" s="65" t="n">
        <f aca="false">'Fld Maint Budget'!D96</f>
        <v>3992</v>
      </c>
      <c r="X49" s="65" t="n">
        <f aca="false">'Fld Maint Budget'!E96</f>
        <v>3992</v>
      </c>
      <c r="Y49" s="65" t="n">
        <f aca="false">'Fld Maint Budget'!F96</f>
        <v>3992</v>
      </c>
      <c r="Z49" s="65" t="n">
        <f aca="false">'Fld Maint Budget'!G96</f>
        <v>3992</v>
      </c>
      <c r="AA49" s="65" t="n">
        <f aca="false">'Fld Maint Budget'!H96</f>
        <v>3992</v>
      </c>
      <c r="AB49" s="65" t="n">
        <f aca="false">'Fld Maint Budget'!I96</f>
        <v>3992</v>
      </c>
      <c r="AC49" s="65" t="n">
        <f aca="false">'Fld Maint Budget'!J96</f>
        <v>3992</v>
      </c>
      <c r="AD49" s="65" t="n">
        <f aca="false">'Fld Maint Budget'!K96</f>
        <v>3992</v>
      </c>
      <c r="AE49" s="65" t="n">
        <f aca="false">'Fld Maint Budget'!L96</f>
        <v>3992</v>
      </c>
      <c r="AF49" s="65" t="n">
        <f aca="false">'Fld Maint Budget'!M96</f>
        <v>3992</v>
      </c>
      <c r="AG49" s="12" t="n">
        <f aca="false">SUM(U49:AF49)</f>
        <v>47904</v>
      </c>
      <c r="AH49" s="24" t="str">
        <f aca="false">IFERROR(AG49/AG$16,"")</f>
        <v/>
      </c>
      <c r="AI49" s="9"/>
      <c r="AJ49" s="12" t="n">
        <f aca="false">N49-AG49</f>
        <v>-2676.07</v>
      </c>
    </row>
    <row r="50" customFormat="false" ht="13.5" hidden="false" customHeight="true" outlineLevel="0" collapsed="false">
      <c r="A50" s="23" t="s">
        <v>1305</v>
      </c>
      <c r="B50" s="12" t="n">
        <v>0</v>
      </c>
      <c r="C50" s="12" t="n">
        <v>121.5</v>
      </c>
      <c r="D50" s="12" t="n">
        <v>0</v>
      </c>
      <c r="E50" s="12" t="n">
        <v>0</v>
      </c>
      <c r="F50" s="12" t="n">
        <v>18.64</v>
      </c>
      <c r="G50" s="12" t="n">
        <v>0</v>
      </c>
      <c r="H50" s="12" t="n">
        <v>0</v>
      </c>
      <c r="I50" s="12" t="n">
        <v>0</v>
      </c>
      <c r="J50" s="64" t="n">
        <v>150</v>
      </c>
      <c r="K50" s="64" t="n">
        <v>150</v>
      </c>
      <c r="L50" s="64" t="n">
        <v>150</v>
      </c>
      <c r="M50" s="64" t="n">
        <v>150</v>
      </c>
      <c r="N50" s="12" t="n">
        <f aca="false">SUM(B50:M50)</f>
        <v>740.14</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740.14</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41771.03</v>
      </c>
      <c r="C52" s="12" t="n">
        <v>27453.8</v>
      </c>
      <c r="D52" s="12" t="n">
        <v>55703.48</v>
      </c>
      <c r="E52" s="12" t="n">
        <v>77202.08</v>
      </c>
      <c r="F52" s="12" t="n">
        <v>72865.8</v>
      </c>
      <c r="G52" s="12" t="n">
        <v>64701.68</v>
      </c>
      <c r="H52" s="12" t="n">
        <v>82139.24</v>
      </c>
      <c r="I52" s="12" t="n">
        <v>79454.55</v>
      </c>
      <c r="J52" s="64" t="n">
        <v>90000</v>
      </c>
      <c r="K52" s="64" t="n">
        <v>92700</v>
      </c>
      <c r="L52" s="64" t="n">
        <v>95800</v>
      </c>
      <c r="M52" s="64" t="n">
        <v>96900</v>
      </c>
      <c r="N52" s="12" t="n">
        <f aca="false">SUM(B52:M52)</f>
        <v>876691.66</v>
      </c>
      <c r="O52" s="24" t="str">
        <f aca="false">IFERROR(N52/N$16,"")</f>
        <v/>
      </c>
      <c r="P52" s="12"/>
      <c r="Q52" s="12"/>
      <c r="R52" s="67"/>
      <c r="S52" s="67"/>
      <c r="T52" s="67"/>
      <c r="U52" s="67" t="n">
        <f aca="false">'Fld Ops Payroll'!F21+'Fld Ops Payroll'!F31+'Fld Ops Payroll'!F43+'Fld Ops Payroll'!F56+'Fld Ops Payroll'!F69+'Fld Ops Payroll'!F76+'Fld Ops Payroll'!F77+'Fld Ops Payroll'!F34+'Fld Ops Payroll'!F46+'Fld Ops Payroll'!F59+'Fld Ops Payroll'!F72</f>
        <v>120126.25</v>
      </c>
      <c r="V52" s="67" t="n">
        <f aca="false">'Fld Ops Payroll'!G21+'Fld Ops Payroll'!G31+'Fld Ops Payroll'!G43+'Fld Ops Payroll'!G56+'Fld Ops Payroll'!G69+'Fld Ops Payroll'!G76+'Fld Ops Payroll'!G77+'Fld Ops Payroll'!G34+'Fld Ops Payroll'!G46+'Fld Ops Payroll'!G59+'Fld Ops Payroll'!G72</f>
        <v>116126.25</v>
      </c>
      <c r="W52" s="67" t="n">
        <f aca="false">'Fld Ops Payroll'!H21+'Fld Ops Payroll'!H31+'Fld Ops Payroll'!H43+'Fld Ops Payroll'!H56+'Fld Ops Payroll'!H69+'Fld Ops Payroll'!H76+'Fld Ops Payroll'!H77+'Fld Ops Payroll'!H34+'Fld Ops Payroll'!H46+'Fld Ops Payroll'!H59+'Fld Ops Payroll'!H72</f>
        <v>154626.25</v>
      </c>
      <c r="X52" s="67" t="n">
        <f aca="false">'Fld Ops Payroll'!I21+'Fld Ops Payroll'!I31+'Fld Ops Payroll'!I43+'Fld Ops Payroll'!I56+'Fld Ops Payroll'!I69+'Fld Ops Payroll'!I76+'Fld Ops Payroll'!I77+'Fld Ops Payroll'!I34+'Fld Ops Payroll'!I46+'Fld Ops Payroll'!I59+'Fld Ops Payroll'!I72</f>
        <v>166376.25</v>
      </c>
      <c r="Y52" s="67" t="n">
        <f aca="false">'Fld Ops Payroll'!J21+'Fld Ops Payroll'!J31+'Fld Ops Payroll'!J43+'Fld Ops Payroll'!J56+'Fld Ops Payroll'!J69+'Fld Ops Payroll'!J76+'Fld Ops Payroll'!J77+'Fld Ops Payroll'!J34+'Fld Ops Payroll'!J46+'Fld Ops Payroll'!J59+'Fld Ops Payroll'!J72</f>
        <v>196626.25</v>
      </c>
      <c r="Z52" s="67" t="n">
        <f aca="false">'Fld Ops Payroll'!K21+'Fld Ops Payroll'!K31+'Fld Ops Payroll'!K43+'Fld Ops Payroll'!K56+'Fld Ops Payroll'!K69+'Fld Ops Payroll'!K76+'Fld Ops Payroll'!K77+'Fld Ops Payroll'!K34+'Fld Ops Payroll'!K46+'Fld Ops Payroll'!K59+'Fld Ops Payroll'!K72</f>
        <v>222876.25</v>
      </c>
      <c r="AA52" s="67" t="n">
        <f aca="false">'Fld Ops Payroll'!L21+'Fld Ops Payroll'!L31+'Fld Ops Payroll'!L43+'Fld Ops Payroll'!L56+'Fld Ops Payroll'!L69+'Fld Ops Payroll'!L76+'Fld Ops Payroll'!L77+'Fld Ops Payroll'!L34+'Fld Ops Payroll'!L46+'Fld Ops Payroll'!L59+'Fld Ops Payroll'!L72</f>
        <v>265876.25</v>
      </c>
      <c r="AB52" s="67" t="n">
        <f aca="false">'Fld Ops Payroll'!M21+'Fld Ops Payroll'!M31+'Fld Ops Payroll'!M43+'Fld Ops Payroll'!M56+'Fld Ops Payroll'!M69+'Fld Ops Payroll'!M76+'Fld Ops Payroll'!M77+'Fld Ops Payroll'!M34+'Fld Ops Payroll'!M46+'Fld Ops Payroll'!M59+'Fld Ops Payroll'!M72</f>
        <v>302626.25</v>
      </c>
      <c r="AC52" s="67" t="n">
        <f aca="false">'Fld Ops Payroll'!N21+'Fld Ops Payroll'!N31+'Fld Ops Payroll'!N43+'Fld Ops Payroll'!N56+'Fld Ops Payroll'!N69+'Fld Ops Payroll'!N76+'Fld Ops Payroll'!N77+'Fld Ops Payroll'!N34+'Fld Ops Payroll'!N46+'Fld Ops Payroll'!N59+'Fld Ops Payroll'!N72</f>
        <v>339376.25</v>
      </c>
      <c r="AD52" s="67" t="n">
        <f aca="false">'Fld Ops Payroll'!O21+'Fld Ops Payroll'!O31+'Fld Ops Payroll'!O43+'Fld Ops Payroll'!O56+'Fld Ops Payroll'!O69+'Fld Ops Payroll'!O76+'Fld Ops Payroll'!O77+'Fld Ops Payroll'!O34+'Fld Ops Payroll'!O46+'Fld Ops Payroll'!O59+'Fld Ops Payroll'!O72</f>
        <v>404465.0375</v>
      </c>
      <c r="AE52" s="67" t="n">
        <f aca="false">'Fld Ops Payroll'!P21+'Fld Ops Payroll'!P31+'Fld Ops Payroll'!P43+'Fld Ops Payroll'!P56+'Fld Ops Payroll'!P69+'Fld Ops Payroll'!P76+'Fld Ops Payroll'!P77+'Fld Ops Payroll'!P34+'Fld Ops Payroll'!P46+'Fld Ops Payroll'!P59+'Fld Ops Payroll'!P72</f>
        <v>449715.0375</v>
      </c>
      <c r="AF52" s="67" t="n">
        <f aca="false">'Fld Ops Payroll'!Q21+'Fld Ops Payroll'!Q31+'Fld Ops Payroll'!Q43+'Fld Ops Payroll'!Q56+'Fld Ops Payroll'!Q69+'Fld Ops Payroll'!Q76+'Fld Ops Payroll'!Q77+'Fld Ops Payroll'!Q34+'Fld Ops Payroll'!Q46+'Fld Ops Payroll'!Q59+'Fld Ops Payroll'!Q72</f>
        <v>499215.0375</v>
      </c>
      <c r="AG52" s="12" t="n">
        <f aca="false">SUM(U52:AF52)</f>
        <v>3238031.3625</v>
      </c>
      <c r="AH52" s="24" t="str">
        <f aca="false">IFERROR(AG52/AG$16,"")</f>
        <v/>
      </c>
      <c r="AI52" s="9"/>
      <c r="AJ52" s="12" t="n">
        <f aca="false">N52-AG52</f>
        <v>-2361339.7025</v>
      </c>
    </row>
    <row r="53" customFormat="false" ht="13.5" hidden="false" customHeight="true" outlineLevel="0" collapsed="false">
      <c r="A53" s="23" t="s">
        <v>1308</v>
      </c>
      <c r="B53" s="12" t="n">
        <v>3714.57</v>
      </c>
      <c r="C53" s="12" t="n">
        <v>3251.23</v>
      </c>
      <c r="D53" s="12" t="n">
        <v>3711.25</v>
      </c>
      <c r="E53" s="12" t="n">
        <v>5152.42</v>
      </c>
      <c r="F53" s="12" t="n">
        <v>4827.71</v>
      </c>
      <c r="G53" s="12" t="n">
        <v>4403.72</v>
      </c>
      <c r="H53" s="12" t="n">
        <v>5573.24</v>
      </c>
      <c r="I53" s="12" t="n">
        <v>5853.77</v>
      </c>
      <c r="J53" s="64" t="n">
        <v>5850</v>
      </c>
      <c r="K53" s="64" t="n">
        <v>6026</v>
      </c>
      <c r="L53" s="64" t="n">
        <v>6227</v>
      </c>
      <c r="M53" s="64" t="n">
        <v>6299</v>
      </c>
      <c r="N53" s="12" t="n">
        <f aca="false">SUM(B53:M53)</f>
        <v>60889.91</v>
      </c>
      <c r="O53" s="24" t="str">
        <f aca="false">IFERROR(N53/N$16,"")</f>
        <v/>
      </c>
      <c r="P53" s="12"/>
      <c r="Q53" s="12"/>
      <c r="R53" s="67"/>
      <c r="S53" s="67"/>
      <c r="T53" s="67"/>
      <c r="U53" s="67" t="n">
        <f aca="false">'Fld Ops Payroll'!F22+'Fld Ops Payroll'!F32+'Fld Ops Payroll'!F44+'Fld Ops Payroll'!F57+'Fld Ops Payroll'!F70+'Fld Ops Payroll'!F78</f>
        <v>7896.585</v>
      </c>
      <c r="V53" s="67" t="n">
        <f aca="false">'Fld Ops Payroll'!G22+'Fld Ops Payroll'!G32+'Fld Ops Payroll'!G44+'Fld Ops Payroll'!G57+'Fld Ops Payroll'!G70+'Fld Ops Payroll'!G78</f>
        <v>7896.585</v>
      </c>
      <c r="W53" s="67" t="n">
        <f aca="false">'Fld Ops Payroll'!H22+'Fld Ops Payroll'!H32+'Fld Ops Payroll'!H44+'Fld Ops Payroll'!H57+'Fld Ops Payroll'!H70+'Fld Ops Payroll'!H78</f>
        <v>9834.585</v>
      </c>
      <c r="X53" s="67" t="n">
        <f aca="false">'Fld Ops Payroll'!I22+'Fld Ops Payroll'!I32+'Fld Ops Payroll'!I44+'Fld Ops Payroll'!I57+'Fld Ops Payroll'!I70+'Fld Ops Payroll'!I78</f>
        <v>10905.585</v>
      </c>
      <c r="Y53" s="67" t="n">
        <f aca="false">'Fld Ops Payroll'!J22+'Fld Ops Payroll'!J32+'Fld Ops Payroll'!J44+'Fld Ops Payroll'!J57+'Fld Ops Payroll'!J70+'Fld Ops Payroll'!J78</f>
        <v>12690.585</v>
      </c>
      <c r="Z53" s="67" t="n">
        <f aca="false">'Fld Ops Payroll'!K22+'Fld Ops Payroll'!K32+'Fld Ops Payroll'!K44+'Fld Ops Payroll'!K57+'Fld Ops Payroll'!K70+'Fld Ops Payroll'!K78</f>
        <v>14475.585</v>
      </c>
      <c r="AA53" s="67" t="n">
        <f aca="false">'Fld Ops Payroll'!L22+'Fld Ops Payroll'!L32+'Fld Ops Payroll'!L44+'Fld Ops Payroll'!L57+'Fld Ops Payroll'!L70+'Fld Ops Payroll'!L78</f>
        <v>17127.585</v>
      </c>
      <c r="AB53" s="67" t="n">
        <f aca="false">'Fld Ops Payroll'!M22+'Fld Ops Payroll'!M32+'Fld Ops Payroll'!M44+'Fld Ops Payroll'!M57+'Fld Ops Payroll'!M70+'Fld Ops Payroll'!M78</f>
        <v>19626.585</v>
      </c>
      <c r="AC53" s="67" t="n">
        <f aca="false">'Fld Ops Payroll'!N22+'Fld Ops Payroll'!N32+'Fld Ops Payroll'!N44+'Fld Ops Payroll'!N57+'Fld Ops Payroll'!N70+'Fld Ops Payroll'!N78</f>
        <v>22125.585</v>
      </c>
      <c r="AD53" s="67" t="n">
        <f aca="false">'Fld Ops Payroll'!O22+'Fld Ops Payroll'!O32+'Fld Ops Payroll'!O44+'Fld Ops Payroll'!O57+'Fld Ops Payroll'!O70+'Fld Ops Payroll'!O78</f>
        <v>26143.62255</v>
      </c>
      <c r="AE53" s="67" t="n">
        <f aca="false">'Fld Ops Payroll'!P22+'Fld Ops Payroll'!P32+'Fld Ops Payroll'!P44+'Fld Ops Payroll'!P57+'Fld Ops Payroll'!P70+'Fld Ops Payroll'!P78</f>
        <v>29356.62255</v>
      </c>
      <c r="AF53" s="67" t="n">
        <f aca="false">'Fld Ops Payroll'!Q22+'Fld Ops Payroll'!Q32+'Fld Ops Payroll'!Q44+'Fld Ops Payroll'!Q57+'Fld Ops Payroll'!Q70+'Fld Ops Payroll'!Q78</f>
        <v>32722.62255</v>
      </c>
      <c r="AG53" s="12" t="n">
        <f aca="false">SUM(U53:AF53)</f>
        <v>210802.13265</v>
      </c>
      <c r="AH53" s="24" t="str">
        <f aca="false">IFERROR(AG53/AG$16,"")</f>
        <v/>
      </c>
      <c r="AI53" s="9"/>
      <c r="AJ53" s="12" t="n">
        <f aca="false">N53-AG53</f>
        <v>-149912.22265</v>
      </c>
    </row>
    <row r="54" customFormat="false" ht="13.5" hidden="false" customHeight="true" outlineLevel="0" collapsed="false">
      <c r="A54" s="23" t="s">
        <v>1309</v>
      </c>
      <c r="B54" s="12" t="n">
        <v>30690.72</v>
      </c>
      <c r="C54" s="12" t="n">
        <v>21236.59</v>
      </c>
      <c r="D54" s="12" t="n">
        <v>9448.65</v>
      </c>
      <c r="E54" s="12" t="n">
        <v>12493.8</v>
      </c>
      <c r="F54" s="12" t="n">
        <v>12115.76</v>
      </c>
      <c r="G54" s="12" t="n">
        <v>16324.25</v>
      </c>
      <c r="H54" s="12" t="n">
        <v>13014.13</v>
      </c>
      <c r="I54" s="12" t="n">
        <v>17324.26</v>
      </c>
      <c r="J54" s="64" t="n">
        <v>10800</v>
      </c>
      <c r="K54" s="64" t="n">
        <v>11124</v>
      </c>
      <c r="L54" s="64" t="n">
        <v>11496</v>
      </c>
      <c r="M54" s="64" t="n">
        <v>11628</v>
      </c>
      <c r="N54" s="12" t="n">
        <f aca="false">SUM(B54:M54)</f>
        <v>177696.16</v>
      </c>
      <c r="O54" s="24" t="str">
        <f aca="false">IFERROR(N54/N$16,"")</f>
        <v/>
      </c>
      <c r="P54" s="12"/>
      <c r="Q54" s="12"/>
      <c r="R54" s="67"/>
      <c r="S54" s="67"/>
      <c r="T54" s="67"/>
      <c r="U54" s="67" t="n">
        <f aca="false">'Fld Ops Payroll'!F23+'Fld Ops Payroll'!F33+'Fld Ops Payroll'!F45+'Fld Ops Payroll'!F58+'Fld Ops Payroll'!F71+'Fld Ops Payroll'!F79</f>
        <v>19044.705</v>
      </c>
      <c r="V54" s="67" t="n">
        <f aca="false">'Fld Ops Payroll'!G23+'Fld Ops Payroll'!G33+'Fld Ops Payroll'!G45+'Fld Ops Payroll'!G58+'Fld Ops Payroll'!G71+'Fld Ops Payroll'!G79</f>
        <v>19044.705</v>
      </c>
      <c r="W54" s="67" t="n">
        <f aca="false">'Fld Ops Payroll'!H23+'Fld Ops Payroll'!H33+'Fld Ops Payroll'!H45+'Fld Ops Payroll'!H58+'Fld Ops Payroll'!H71+'Fld Ops Payroll'!H79</f>
        <v>23718.705</v>
      </c>
      <c r="X54" s="67" t="n">
        <f aca="false">'Fld Ops Payroll'!I23+'Fld Ops Payroll'!I33+'Fld Ops Payroll'!I45+'Fld Ops Payroll'!I58+'Fld Ops Payroll'!I71+'Fld Ops Payroll'!I79</f>
        <v>26301.705</v>
      </c>
      <c r="Y54" s="67" t="n">
        <f aca="false">'Fld Ops Payroll'!J23+'Fld Ops Payroll'!J33+'Fld Ops Payroll'!J45+'Fld Ops Payroll'!J58+'Fld Ops Payroll'!J71+'Fld Ops Payroll'!J79</f>
        <v>30606.705</v>
      </c>
      <c r="Z54" s="67" t="n">
        <f aca="false">'Fld Ops Payroll'!K23+'Fld Ops Payroll'!K33+'Fld Ops Payroll'!K45+'Fld Ops Payroll'!K58+'Fld Ops Payroll'!K71+'Fld Ops Payroll'!K79</f>
        <v>34911.705</v>
      </c>
      <c r="AA54" s="67" t="n">
        <f aca="false">'Fld Ops Payroll'!L23+'Fld Ops Payroll'!L33+'Fld Ops Payroll'!L45+'Fld Ops Payroll'!L58+'Fld Ops Payroll'!L71+'Fld Ops Payroll'!L79</f>
        <v>41307.705</v>
      </c>
      <c r="AB54" s="67" t="n">
        <f aca="false">'Fld Ops Payroll'!M23+'Fld Ops Payroll'!M33+'Fld Ops Payroll'!M45+'Fld Ops Payroll'!M58+'Fld Ops Payroll'!M71+'Fld Ops Payroll'!M79</f>
        <v>47334.705</v>
      </c>
      <c r="AC54" s="67" t="n">
        <f aca="false">'Fld Ops Payroll'!N23+'Fld Ops Payroll'!N33+'Fld Ops Payroll'!N45+'Fld Ops Payroll'!N58+'Fld Ops Payroll'!N71+'Fld Ops Payroll'!N79</f>
        <v>53361.705</v>
      </c>
      <c r="AD54" s="67" t="n">
        <f aca="false">'Fld Ops Payroll'!O23+'Fld Ops Payroll'!O33+'Fld Ops Payroll'!O45+'Fld Ops Payroll'!O58+'Fld Ops Payroll'!O71+'Fld Ops Payroll'!O79</f>
        <v>63052.26615</v>
      </c>
      <c r="AE54" s="67" t="n">
        <f aca="false">'Fld Ops Payroll'!P23+'Fld Ops Payroll'!P33+'Fld Ops Payroll'!P45+'Fld Ops Payroll'!P58+'Fld Ops Payroll'!P71+'Fld Ops Payroll'!P79</f>
        <v>70801.26615</v>
      </c>
      <c r="AF54" s="67" t="n">
        <f aca="false">'Fld Ops Payroll'!Q23+'Fld Ops Payroll'!Q33+'Fld Ops Payroll'!Q45+'Fld Ops Payroll'!Q58+'Fld Ops Payroll'!Q71+'Fld Ops Payroll'!Q79</f>
        <v>78919.26615</v>
      </c>
      <c r="AG54" s="12" t="n">
        <f aca="false">SUM(U54:AF54)</f>
        <v>508405.14345</v>
      </c>
      <c r="AH54" s="24" t="str">
        <f aca="false">IFERROR(AG54/AG$16,"")</f>
        <v/>
      </c>
      <c r="AI54" s="9"/>
      <c r="AJ54" s="12" t="n">
        <f aca="false">N54-AG54</f>
        <v>-330708.98345</v>
      </c>
    </row>
    <row r="55" customFormat="false" ht="13.5" hidden="false" customHeight="true" outlineLevel="0" collapsed="false">
      <c r="A55" s="26" t="s">
        <v>1310</v>
      </c>
      <c r="B55" s="27" t="n">
        <f aca="false">SUM(B52:B54)</f>
        <v>76176.32</v>
      </c>
      <c r="C55" s="27" t="n">
        <f aca="false">SUM(C52:C54)</f>
        <v>51941.62</v>
      </c>
      <c r="D55" s="27" t="n">
        <f aca="false">SUM(D52:D54)</f>
        <v>68863.38</v>
      </c>
      <c r="E55" s="27" t="n">
        <f aca="false">SUM(E52:E54)</f>
        <v>94848.3</v>
      </c>
      <c r="F55" s="27" t="n">
        <f aca="false">SUM(F52:F54)</f>
        <v>89809.27</v>
      </c>
      <c r="G55" s="27" t="n">
        <f aca="false">SUM(G52:G54)</f>
        <v>85429.65</v>
      </c>
      <c r="H55" s="27" t="n">
        <f aca="false">SUM(H52:H54)</f>
        <v>100726.61</v>
      </c>
      <c r="I55" s="27" t="n">
        <f aca="false">SUM(I52:I54)</f>
        <v>102632.58</v>
      </c>
      <c r="J55" s="27" t="n">
        <f aca="false">SUM(J52:J54)</f>
        <v>106650</v>
      </c>
      <c r="K55" s="27" t="n">
        <f aca="false">SUM(K52:K54)</f>
        <v>109850</v>
      </c>
      <c r="L55" s="27" t="n">
        <f aca="false">SUM(L52:L54)</f>
        <v>113523</v>
      </c>
      <c r="M55" s="27" t="n">
        <f aca="false">SUM(M52:M54)</f>
        <v>114827</v>
      </c>
      <c r="N55" s="27" t="n">
        <f aca="false">SUM(B55:M55)</f>
        <v>1115277.73</v>
      </c>
      <c r="O55" s="28" t="str">
        <f aca="false">IFERROR(N55/N$16,"")</f>
        <v/>
      </c>
      <c r="P55" s="12"/>
      <c r="Q55" s="12"/>
      <c r="R55" s="68"/>
      <c r="S55" s="68"/>
      <c r="T55" s="68"/>
      <c r="U55" s="27" t="n">
        <f aca="false">SUM(U52:U54)</f>
        <v>147067.54</v>
      </c>
      <c r="V55" s="27" t="n">
        <f aca="false">SUM(V52:V54)</f>
        <v>143067.54</v>
      </c>
      <c r="W55" s="27" t="n">
        <f aca="false">SUM(W52:W54)</f>
        <v>188179.54</v>
      </c>
      <c r="X55" s="27" t="n">
        <f aca="false">SUM(X52:X54)</f>
        <v>203583.54</v>
      </c>
      <c r="Y55" s="27" t="n">
        <f aca="false">SUM(Y52:Y54)</f>
        <v>239923.54</v>
      </c>
      <c r="Z55" s="27" t="n">
        <f aca="false">SUM(Z52:Z54)</f>
        <v>272263.54</v>
      </c>
      <c r="AA55" s="27" t="n">
        <f aca="false">SUM(AA52:AA54)</f>
        <v>324311.54</v>
      </c>
      <c r="AB55" s="27" t="n">
        <f aca="false">SUM(AB52:AB54)</f>
        <v>369587.54</v>
      </c>
      <c r="AC55" s="27" t="n">
        <f aca="false">SUM(AC52:AC54)</f>
        <v>414863.54</v>
      </c>
      <c r="AD55" s="27" t="n">
        <f aca="false">SUM(AD52:AD54)</f>
        <v>493660.9262</v>
      </c>
      <c r="AE55" s="27" t="n">
        <f aca="false">SUM(AE52:AE54)</f>
        <v>549872.9262</v>
      </c>
      <c r="AF55" s="27" t="n">
        <f aca="false">SUM(AF52:AF54)</f>
        <v>610856.9262</v>
      </c>
      <c r="AG55" s="27" t="n">
        <f aca="false">SUM(U55:AF55)</f>
        <v>3957238.6386</v>
      </c>
      <c r="AH55" s="28" t="str">
        <f aca="false">IFERROR(AG55/AG$16,"")</f>
        <v/>
      </c>
      <c r="AI55" s="9"/>
      <c r="AJ55" s="27" t="n">
        <f aca="false">N55-AG55</f>
        <v>-2841960.9086</v>
      </c>
    </row>
    <row r="56" customFormat="false" ht="13.5" hidden="false" customHeight="true" outlineLevel="0" collapsed="false">
      <c r="A56" s="26" t="s">
        <v>1311</v>
      </c>
      <c r="B56" s="27" t="n">
        <f aca="false">B44+B45+B46+B47+B48+B49+B50+B55</f>
        <v>99607.25</v>
      </c>
      <c r="C56" s="27" t="n">
        <f aca="false">C44+C45+C46+C47+C48+C49+C50+C55</f>
        <v>63609.53</v>
      </c>
      <c r="D56" s="27" t="n">
        <f aca="false">D44+D45+D46+D47+D48+D49+D50+D55</f>
        <v>136209.04</v>
      </c>
      <c r="E56" s="27" t="n">
        <f aca="false">E44+E45+E46+E47+E48+E49+E50+E55</f>
        <v>116902.58</v>
      </c>
      <c r="F56" s="27" t="n">
        <f aca="false">F44+F45+F46+F47+F48+F49+F50+F55</f>
        <v>153529.08</v>
      </c>
      <c r="G56" s="27" t="n">
        <f aca="false">G44+G45+G46+G47+G48+G49+G50+G55</f>
        <v>129537.07</v>
      </c>
      <c r="H56" s="27" t="n">
        <f aca="false">H44+H45+H46+H47+H48+H49+H50+H55</f>
        <v>141954.16</v>
      </c>
      <c r="I56" s="27" t="n">
        <f aca="false">I44+I45+I46+I47+I48+I49+I50+I55</f>
        <v>131016.63</v>
      </c>
      <c r="J56" s="27" t="n">
        <f aca="false">J44+J45+J46+J47+J48+J49+J50+J55</f>
        <v>190400</v>
      </c>
      <c r="K56" s="27" t="n">
        <f aca="false">K44+K45+K46+K47+K48+K49+K50+K55</f>
        <v>197770</v>
      </c>
      <c r="L56" s="27" t="n">
        <f aca="false">L44+L45+L46+L47+L48+L49+L50+L55</f>
        <v>206613</v>
      </c>
      <c r="M56" s="27" t="n">
        <f aca="false">M44+M45+M46+M47+M48+M49+M50+M55</f>
        <v>212087</v>
      </c>
      <c r="N56" s="27" t="n">
        <f aca="false">SUM(B56:M56)</f>
        <v>1779235.34</v>
      </c>
      <c r="O56" s="28" t="str">
        <f aca="false">IFERROR(N56/N$16,"")</f>
        <v/>
      </c>
      <c r="P56" s="12"/>
      <c r="Q56" s="12"/>
      <c r="R56" s="63"/>
      <c r="S56" s="63"/>
      <c r="T56" s="63"/>
      <c r="U56" s="27" t="n">
        <f aca="false">U44+U45+U46+U47+U48+U49+U50+U55</f>
        <v>259596.999272629</v>
      </c>
      <c r="V56" s="27" t="n">
        <f aca="false">V44+V45+V46+V47+V48+V49+V50+V55</f>
        <v>258558.15407592</v>
      </c>
      <c r="W56" s="27" t="n">
        <f aca="false">W44+W45+W46+W47+W48+W49+W50+W55</f>
        <v>307087.73407592</v>
      </c>
      <c r="X56" s="27" t="n">
        <f aca="false">X44+X45+X46+X47+X48+X49+X50+X55</f>
        <v>363792.649784971</v>
      </c>
      <c r="Y56" s="27" t="n">
        <f aca="false">Y44+Y45+Y46+Y47+Y48+Y49+Y50+Y55</f>
        <v>408827.570690731</v>
      </c>
      <c r="Z56" s="27" t="n">
        <f aca="false">Z44+Z45+Z46+Z47+Z48+Z49+Z50+Z55</f>
        <v>467158.35769896</v>
      </c>
      <c r="AA56" s="27" t="n">
        <f aca="false">AA44+AA45+AA46+AA47+AA48+AA49+AA50+AA55</f>
        <v>533459.436006366</v>
      </c>
      <c r="AB56" s="27" t="n">
        <f aca="false">AB44+AB45+AB46+AB47+AB48+AB49+AB50+AB55</f>
        <v>603946.671715417</v>
      </c>
      <c r="AC56" s="27" t="n">
        <f aca="false">AC44+AC45+AC46+AC47+AC48+AC49+AC50+AC55</f>
        <v>682729.773526937</v>
      </c>
      <c r="AD56" s="27" t="n">
        <f aca="false">AD44+AD45+AD46+AD47+AD48+AD49+AD50+AD55</f>
        <v>787889.421538457</v>
      </c>
      <c r="AE56" s="27" t="n">
        <f aca="false">AE44+AE45+AE46+AE47+AE48+AE49+AE50+AE55</f>
        <v>883259.549452446</v>
      </c>
      <c r="AF56" s="27" t="n">
        <f aca="false">AF44+AF45+AF46+AF47+AF48+AF49+AF50+AF55</f>
        <v>979839.386067257</v>
      </c>
      <c r="AG56" s="27" t="n">
        <f aca="false">SUM(U56:AF56)</f>
        <v>6536145.70390601</v>
      </c>
      <c r="AH56" s="28" t="str">
        <f aca="false">IFERROR(AG56/AG$16,"")</f>
        <v/>
      </c>
      <c r="AI56" s="9"/>
      <c r="AJ56" s="27" t="n">
        <f aca="false">N56-AG56</f>
        <v>-4756910.36390601</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10955.85</v>
      </c>
      <c r="C58" s="12" t="n">
        <v>11156.17</v>
      </c>
      <c r="D58" s="12" t="n">
        <v>11961.24</v>
      </c>
      <c r="E58" s="12" t="n">
        <v>7055.46</v>
      </c>
      <c r="F58" s="12" t="n">
        <v>12334.88</v>
      </c>
      <c r="G58" s="12" t="n">
        <v>13838.18</v>
      </c>
      <c r="H58" s="12" t="n">
        <v>17445.88</v>
      </c>
      <c r="I58" s="12" t="n">
        <v>13679.97</v>
      </c>
      <c r="J58" s="64" t="n">
        <v>5208</v>
      </c>
      <c r="K58" s="64" t="n">
        <v>5208</v>
      </c>
      <c r="L58" s="64" t="n">
        <v>5208</v>
      </c>
      <c r="M58" s="64" t="n">
        <v>5208</v>
      </c>
      <c r="N58" s="12" t="n">
        <f aca="false">SUM(B58:M58)</f>
        <v>119259.63</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119259.63</v>
      </c>
    </row>
    <row r="59" customFormat="false" ht="13.5" hidden="false" customHeight="true" outlineLevel="0" collapsed="false">
      <c r="A59" s="23" t="s">
        <v>1314</v>
      </c>
      <c r="B59" s="12" t="n">
        <v>0</v>
      </c>
      <c r="C59" s="12" t="n">
        <v>0</v>
      </c>
      <c r="D59" s="12" t="n">
        <v>0</v>
      </c>
      <c r="E59" s="12" t="n">
        <v>0</v>
      </c>
      <c r="F59" s="12" t="n">
        <v>0</v>
      </c>
      <c r="G59" s="12" t="n">
        <v>0</v>
      </c>
      <c r="H59" s="12" t="n">
        <v>1861.34</v>
      </c>
      <c r="I59" s="12" t="n">
        <v>0</v>
      </c>
      <c r="J59" s="64" t="n">
        <v>0</v>
      </c>
      <c r="K59" s="64" t="n">
        <v>0</v>
      </c>
      <c r="L59" s="64" t="n">
        <v>0</v>
      </c>
      <c r="M59" s="64" t="n">
        <v>0</v>
      </c>
      <c r="N59" s="12" t="n">
        <f aca="false">SUM(B59:M59)</f>
        <v>1861.34</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1861.34</v>
      </c>
    </row>
    <row r="60" customFormat="false" ht="13.5" hidden="false" customHeight="true" outlineLevel="0" collapsed="false">
      <c r="A60" s="23" t="s">
        <v>1315</v>
      </c>
      <c r="B60" s="12" t="n">
        <v>0</v>
      </c>
      <c r="C60" s="12" t="n">
        <v>47.22</v>
      </c>
      <c r="D60" s="12" t="n">
        <v>0</v>
      </c>
      <c r="E60" s="12" t="n">
        <v>0</v>
      </c>
      <c r="F60" s="12" t="n">
        <v>0</v>
      </c>
      <c r="G60" s="12" t="n">
        <v>0</v>
      </c>
      <c r="H60" s="12" t="n">
        <v>0</v>
      </c>
      <c r="I60" s="12" t="n">
        <v>0</v>
      </c>
      <c r="J60" s="64" t="n">
        <v>0</v>
      </c>
      <c r="K60" s="64" t="n">
        <v>0</v>
      </c>
      <c r="L60" s="64" t="n">
        <v>0</v>
      </c>
      <c r="M60" s="64" t="n">
        <v>0</v>
      </c>
      <c r="N60" s="12" t="n">
        <f aca="false">SUM(B60:M60)</f>
        <v>47.22</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47.22</v>
      </c>
    </row>
    <row r="61" customFormat="false" ht="13.5" hidden="false" customHeight="true" outlineLevel="0" collapsed="false">
      <c r="A61" s="26" t="s">
        <v>1316</v>
      </c>
      <c r="B61" s="32" t="n">
        <f aca="false">SUM(B58:B60)</f>
        <v>10955.85</v>
      </c>
      <c r="C61" s="32" t="n">
        <f aca="false">SUM(C58:C60)</f>
        <v>11203.39</v>
      </c>
      <c r="D61" s="32" t="n">
        <f aca="false">SUM(D58:D60)</f>
        <v>11961.24</v>
      </c>
      <c r="E61" s="32" t="n">
        <f aca="false">SUM(E58:E60)</f>
        <v>7055.46</v>
      </c>
      <c r="F61" s="32" t="n">
        <f aca="false">SUM(F58:F60)</f>
        <v>12334.88</v>
      </c>
      <c r="G61" s="32" t="n">
        <f aca="false">SUM(G58:G60)</f>
        <v>13838.18</v>
      </c>
      <c r="H61" s="32" t="n">
        <f aca="false">SUM(H58:H60)</f>
        <v>19307.22</v>
      </c>
      <c r="I61" s="32" t="n">
        <f aca="false">SUM(I58:I60)</f>
        <v>13679.97</v>
      </c>
      <c r="J61" s="32" t="n">
        <f aca="false">SUM(J58:J60)</f>
        <v>5208</v>
      </c>
      <c r="K61" s="32" t="n">
        <f aca="false">SUM(K58:K60)</f>
        <v>5208</v>
      </c>
      <c r="L61" s="32" t="n">
        <f aca="false">SUM(L58:L60)</f>
        <v>5208</v>
      </c>
      <c r="M61" s="32" t="n">
        <f aca="false">SUM(M58:M60)</f>
        <v>5208</v>
      </c>
      <c r="N61" s="32" t="n">
        <f aca="false">SUM(B61:M61)</f>
        <v>121168.19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121168.19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117939.1</v>
      </c>
      <c r="C63" s="27" t="n">
        <f aca="false">C37+C38+C39+C40+C41+C42+C56+C61+C62</f>
        <v>80664.57</v>
      </c>
      <c r="D63" s="27" t="n">
        <f aca="false">D37+D38+D39+D40+D41+D42+D56+D61+D62</f>
        <v>152476.6</v>
      </c>
      <c r="E63" s="27" t="n">
        <f aca="false">E37+E38+E39+E40+E41+E42+E56+E61+E62</f>
        <v>131909.94</v>
      </c>
      <c r="F63" s="27" t="n">
        <f aca="false">F37+F38+F39+F40+F41+F42+F56+F61+F62</f>
        <v>165943.43</v>
      </c>
      <c r="G63" s="27" t="n">
        <f aca="false">G37+G38+G39+G40+G41+G42+G56+G61+G62</f>
        <v>143165.51</v>
      </c>
      <c r="H63" s="27" t="n">
        <f aca="false">H37+H38+H39+H40+H41+H42+H56+H61+H62</f>
        <v>162290.72</v>
      </c>
      <c r="I63" s="27" t="n">
        <f aca="false">I37+I38+I39+I40+I41+I42+I56+I61+I62</f>
        <v>150488.42</v>
      </c>
      <c r="J63" s="27" t="n">
        <f aca="false">J37+J38+J39+J40+J41+J42+J56+J61+J62</f>
        <v>210608</v>
      </c>
      <c r="K63" s="27" t="n">
        <f aca="false">K37+K38+K39+K40+K41+K42+K56+K61+K62</f>
        <v>212978</v>
      </c>
      <c r="L63" s="27" t="n">
        <f aca="false">L37+L38+L39+L40+L41+L42+L56+L61+L62</f>
        <v>216821</v>
      </c>
      <c r="M63" s="27" t="n">
        <f aca="false">M37+M38+M39+M40+M41+M42+M56+M61+M62</f>
        <v>222295</v>
      </c>
      <c r="N63" s="27" t="n">
        <f aca="false">SUM(B63:M63)</f>
        <v>1967580.29</v>
      </c>
      <c r="O63" s="28" t="str">
        <f aca="false">IFERROR(N63/N$16,"")</f>
        <v/>
      </c>
      <c r="P63" s="12"/>
      <c r="Q63" s="12"/>
      <c r="R63" s="63"/>
      <c r="S63" s="63"/>
      <c r="T63" s="63"/>
      <c r="U63" s="27" t="n">
        <f aca="false">U37+U38+U39+U40+U41+U42+U56+U61+U62</f>
        <v>306876.699272629</v>
      </c>
      <c r="V63" s="27" t="n">
        <f aca="false">V37+V38+V39+V40+V41+V42+V56+V61+V62</f>
        <v>280077.95407592</v>
      </c>
      <c r="W63" s="27" t="n">
        <f aca="false">W37+W38+W39+W40+W41+W42+W56+W61+W62</f>
        <v>307087.73407592</v>
      </c>
      <c r="X63" s="27" t="n">
        <f aca="false">X37+X38+X39+X40+X41+X42+X56+X61+X62</f>
        <v>427288.189784971</v>
      </c>
      <c r="Y63" s="27" t="n">
        <f aca="false">Y37+Y38+Y39+Y40+Y41+Y42+Y56+Y61+Y62</f>
        <v>456563.210690731</v>
      </c>
      <c r="Z63" s="27" t="n">
        <f aca="false">Z37+Z38+Z39+Z40+Z41+Z42+Z56+Z61+Z62</f>
        <v>541109.83769896</v>
      </c>
      <c r="AA63" s="27" t="n">
        <f aca="false">AA37+AA38+AA39+AA40+AA41+AA42+AA56+AA61+AA62</f>
        <v>591954.976006366</v>
      </c>
      <c r="AB63" s="27" t="n">
        <f aca="false">AB37+AB38+AB39+AB40+AB41+AB42+AB56+AB61+AB62</f>
        <v>673202.111715417</v>
      </c>
      <c r="AC63" s="27" t="n">
        <f aca="false">AC37+AC38+AC39+AC40+AC41+AC42+AC56+AC61+AC62</f>
        <v>778201.053526937</v>
      </c>
      <c r="AD63" s="27" t="n">
        <f aca="false">AD37+AD38+AD39+AD40+AD41+AD42+AD56+AD61+AD62</f>
        <v>883360.701538457</v>
      </c>
      <c r="AE63" s="27" t="n">
        <f aca="false">AE37+AE38+AE39+AE40+AE41+AE42+AE56+AE61+AE62</f>
        <v>1004946.66945245</v>
      </c>
      <c r="AF63" s="27" t="n">
        <f aca="false">AF37+AF38+AF39+AF40+AF41+AF42+AF56+AF61+AF62</f>
        <v>1096830.46606726</v>
      </c>
      <c r="AG63" s="27" t="n">
        <f aca="false">SUM(U63:AF63)</f>
        <v>7347499.60390601</v>
      </c>
      <c r="AH63" s="28" t="str">
        <f aca="false">IFERROR(AG63/AG$16,"")</f>
        <v/>
      </c>
      <c r="AI63" s="9"/>
      <c r="AJ63" s="27" t="n">
        <f aca="false">N63-AG63</f>
        <v>-5379919.31390601</v>
      </c>
    </row>
    <row r="64" customFormat="false" ht="13.5" hidden="false" customHeight="true" outlineLevel="0" collapsed="false">
      <c r="A64" s="69" t="s">
        <v>19</v>
      </c>
      <c r="B64" s="27" t="n">
        <f aca="false">B16-B63</f>
        <v>-117939.1</v>
      </c>
      <c r="C64" s="27" t="n">
        <f aca="false">C16-C63</f>
        <v>-80664.57</v>
      </c>
      <c r="D64" s="27" t="n">
        <f aca="false">D16-D63</f>
        <v>-152476.6</v>
      </c>
      <c r="E64" s="27" t="n">
        <f aca="false">E16-E63</f>
        <v>-131909.94</v>
      </c>
      <c r="F64" s="27" t="n">
        <f aca="false">F16-F63</f>
        <v>-165943.43</v>
      </c>
      <c r="G64" s="27" t="n">
        <f aca="false">G16-G63</f>
        <v>-143165.51</v>
      </c>
      <c r="H64" s="27" t="n">
        <f aca="false">H16-H63</f>
        <v>-162290.72</v>
      </c>
      <c r="I64" s="27" t="n">
        <f aca="false">I16-I63</f>
        <v>-150488.42</v>
      </c>
      <c r="J64" s="27" t="n">
        <f aca="false">J16-J63</f>
        <v>-210608</v>
      </c>
      <c r="K64" s="27" t="n">
        <f aca="false">K16-K63</f>
        <v>-212978</v>
      </c>
      <c r="L64" s="27" t="n">
        <f aca="false">L16-L63</f>
        <v>-216821</v>
      </c>
      <c r="M64" s="27" t="n">
        <f aca="false">M16-M63</f>
        <v>-222295</v>
      </c>
      <c r="N64" s="27" t="n">
        <f aca="false">SUM(B64:M64)</f>
        <v>-1967580.29</v>
      </c>
      <c r="O64" s="28" t="str">
        <f aca="false">IFERROR(N64/N$16,"")</f>
        <v/>
      </c>
      <c r="P64" s="12"/>
      <c r="Q64" s="12"/>
      <c r="R64" s="63"/>
      <c r="S64" s="63"/>
      <c r="T64" s="63"/>
      <c r="U64" s="27" t="n">
        <f aca="false">U16-U63</f>
        <v>-306876.699272629</v>
      </c>
      <c r="V64" s="27" t="n">
        <f aca="false">V16-V63</f>
        <v>-280077.95407592</v>
      </c>
      <c r="W64" s="27" t="n">
        <f aca="false">W16-W63</f>
        <v>-307087.73407592</v>
      </c>
      <c r="X64" s="27" t="n">
        <f aca="false">X16-X63</f>
        <v>-427288.189784971</v>
      </c>
      <c r="Y64" s="27" t="n">
        <f aca="false">Y16-Y63</f>
        <v>-456563.210690731</v>
      </c>
      <c r="Z64" s="27" t="n">
        <f aca="false">Z16-Z63</f>
        <v>-541109.83769896</v>
      </c>
      <c r="AA64" s="27" t="n">
        <f aca="false">AA16-AA63</f>
        <v>-591954.976006366</v>
      </c>
      <c r="AB64" s="27" t="n">
        <f aca="false">AB16-AB63</f>
        <v>-673202.111715417</v>
      </c>
      <c r="AC64" s="27" t="n">
        <f aca="false">AC16-AC63</f>
        <v>-778201.053526937</v>
      </c>
      <c r="AD64" s="27" t="n">
        <f aca="false">AD16-AD63</f>
        <v>-883360.701538457</v>
      </c>
      <c r="AE64" s="27" t="n">
        <f aca="false">AE16-AE63</f>
        <v>-1004946.66945245</v>
      </c>
      <c r="AF64" s="27" t="n">
        <f aca="false">AF16-AF63</f>
        <v>-1096830.46606726</v>
      </c>
      <c r="AG64" s="27" t="n">
        <f aca="false">SUM(U64:AF64)</f>
        <v>-7347499.60390601</v>
      </c>
      <c r="AH64" s="28" t="str">
        <f aca="false">IFERROR(AG64/AG$16,"")</f>
        <v/>
      </c>
      <c r="AI64" s="9"/>
      <c r="AJ64" s="27" t="n">
        <f aca="false">AG64-N64</f>
        <v>-5379919.31390601</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70"/>
      <c r="K66" s="70"/>
      <c r="L66" s="70"/>
      <c r="M66" s="70"/>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28787.31</v>
      </c>
      <c r="C67" s="12" t="n">
        <v>8716.01</v>
      </c>
      <c r="D67" s="12" t="n">
        <v>13071.44</v>
      </c>
      <c r="E67" s="12" t="n">
        <v>0</v>
      </c>
      <c r="F67" s="12" t="n">
        <v>0</v>
      </c>
      <c r="G67" s="12" t="n">
        <v>0</v>
      </c>
      <c r="H67" s="12" t="n">
        <v>0</v>
      </c>
      <c r="I67" s="12" t="n">
        <v>0</v>
      </c>
      <c r="J67" s="64" t="n">
        <v>0</v>
      </c>
      <c r="K67" s="64" t="n">
        <v>0</v>
      </c>
      <c r="L67" s="64" t="n">
        <v>0</v>
      </c>
      <c r="M67" s="64" t="n">
        <v>0</v>
      </c>
      <c r="N67" s="12" t="n">
        <f aca="false">SUM(B67:M67)</f>
        <v>50574.76</v>
      </c>
      <c r="O67" s="24" t="str">
        <f aca="false">IFERROR(N67/N$16,"")</f>
        <v/>
      </c>
      <c r="P67" s="12"/>
      <c r="Q67" s="12"/>
      <c r="R67" s="63"/>
      <c r="S67" s="63"/>
      <c r="T67" s="63"/>
      <c r="U67" s="66"/>
      <c r="V67" s="66"/>
      <c r="W67" s="66"/>
      <c r="X67" s="66"/>
      <c r="Y67" s="66"/>
      <c r="Z67" s="66"/>
      <c r="AA67" s="66"/>
      <c r="AB67" s="66"/>
      <c r="AC67" s="66"/>
      <c r="AD67" s="66"/>
      <c r="AE67" s="66"/>
      <c r="AF67" s="66"/>
      <c r="AG67" s="12" t="n">
        <f aca="false">SUM(U67:AF67)</f>
        <v>0</v>
      </c>
      <c r="AH67" s="24" t="str">
        <f aca="false">IFERROR(AG67/AG$16,"")</f>
        <v/>
      </c>
      <c r="AI67" s="9"/>
      <c r="AJ67" s="12" t="n">
        <f aca="false">N67-AG67</f>
        <v>50574.76</v>
      </c>
    </row>
    <row r="68" customFormat="false" ht="13.5" hidden="false" customHeight="true" outlineLevel="0" collapsed="false">
      <c r="A68" s="23" t="s">
        <v>1322</v>
      </c>
      <c r="B68" s="12" t="n">
        <v>2063.17</v>
      </c>
      <c r="C68" s="12" t="n">
        <v>0</v>
      </c>
      <c r="D68" s="12" t="n">
        <v>1025.96</v>
      </c>
      <c r="E68" s="12" t="n">
        <v>0</v>
      </c>
      <c r="F68" s="12" t="n">
        <v>0</v>
      </c>
      <c r="G68" s="12" t="n">
        <v>0</v>
      </c>
      <c r="H68" s="12" t="n">
        <v>0</v>
      </c>
      <c r="I68" s="12" t="n">
        <v>0</v>
      </c>
      <c r="J68" s="64" t="n">
        <v>0</v>
      </c>
      <c r="K68" s="64" t="n">
        <v>0</v>
      </c>
      <c r="L68" s="64" t="n">
        <v>0</v>
      </c>
      <c r="M68" s="64" t="n">
        <v>0</v>
      </c>
      <c r="N68" s="12" t="n">
        <f aca="false">SUM(B68:M68)</f>
        <v>3089.13</v>
      </c>
      <c r="O68" s="24" t="str">
        <f aca="false">IFERROR(N68/N$16,"")</f>
        <v/>
      </c>
      <c r="P68" s="12"/>
      <c r="Q68" s="12"/>
      <c r="R68" s="63"/>
      <c r="S68" s="63"/>
      <c r="T68" s="63"/>
      <c r="U68" s="66"/>
      <c r="V68" s="66"/>
      <c r="W68" s="66"/>
      <c r="X68" s="66"/>
      <c r="Y68" s="66"/>
      <c r="Z68" s="66"/>
      <c r="AA68" s="66"/>
      <c r="AB68" s="66"/>
      <c r="AC68" s="66"/>
      <c r="AD68" s="66"/>
      <c r="AE68" s="66"/>
      <c r="AF68" s="66"/>
      <c r="AG68" s="12" t="n">
        <f aca="false">SUM(U68:AF68)</f>
        <v>0</v>
      </c>
      <c r="AH68" s="24" t="str">
        <f aca="false">IFERROR(AG68/AG$16,"")</f>
        <v/>
      </c>
      <c r="AI68" s="9"/>
      <c r="AJ68" s="12" t="n">
        <f aca="false">N68-AG68</f>
        <v>3089.13</v>
      </c>
    </row>
    <row r="69" customFormat="false" ht="13.5" hidden="false" customHeight="true" outlineLevel="0" collapsed="false">
      <c r="A69" s="23" t="s">
        <v>1323</v>
      </c>
      <c r="B69" s="12" t="n">
        <v>167.72</v>
      </c>
      <c r="C69" s="12" t="n">
        <v>413.16</v>
      </c>
      <c r="D69" s="12" t="n">
        <v>-353.62</v>
      </c>
      <c r="E69" s="12" t="n">
        <v>0</v>
      </c>
      <c r="F69" s="12" t="n">
        <v>0</v>
      </c>
      <c r="G69" s="12" t="n">
        <v>0</v>
      </c>
      <c r="H69" s="12" t="n">
        <v>0</v>
      </c>
      <c r="I69" s="12" t="n">
        <v>0</v>
      </c>
      <c r="J69" s="64" t="n">
        <v>0</v>
      </c>
      <c r="K69" s="64" t="n">
        <v>0</v>
      </c>
      <c r="L69" s="64" t="n">
        <v>0</v>
      </c>
      <c r="M69" s="64" t="n">
        <v>0</v>
      </c>
      <c r="N69" s="12" t="n">
        <f aca="false">SUM(B69:M69)</f>
        <v>227.26</v>
      </c>
      <c r="O69" s="24" t="str">
        <f aca="false">IFERROR(N69/N$16,"")</f>
        <v/>
      </c>
      <c r="P69" s="12"/>
      <c r="Q69" s="12"/>
      <c r="R69" s="63"/>
      <c r="S69" s="63"/>
      <c r="T69" s="63"/>
      <c r="U69" s="66"/>
      <c r="V69" s="66"/>
      <c r="W69" s="66"/>
      <c r="X69" s="66"/>
      <c r="Y69" s="66"/>
      <c r="Z69" s="66"/>
      <c r="AA69" s="66"/>
      <c r="AB69" s="66"/>
      <c r="AC69" s="66"/>
      <c r="AD69" s="66"/>
      <c r="AE69" s="66"/>
      <c r="AF69" s="66"/>
      <c r="AG69" s="12" t="n">
        <f aca="false">SUM(U69:AF69)</f>
        <v>0</v>
      </c>
      <c r="AH69" s="24" t="str">
        <f aca="false">IFERROR(AG69/AG$16,"")</f>
        <v/>
      </c>
      <c r="AI69" s="9"/>
      <c r="AJ69" s="12" t="n">
        <f aca="false">N69-AG69</f>
        <v>227.26</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31018.2</v>
      </c>
      <c r="C73" s="27" t="n">
        <f aca="false">SUM(C67:C72)</f>
        <v>9129.17</v>
      </c>
      <c r="D73" s="27" t="n">
        <f aca="false">SUM(D67:D72)</f>
        <v>13743.78</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53891.15</v>
      </c>
      <c r="O73" s="28" t="str">
        <f aca="false">IFERROR(N73/N$16,"")</f>
        <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str">
        <f aca="false">IFERROR(AG73/AG$16,"")</f>
        <v/>
      </c>
      <c r="AI73" s="9"/>
      <c r="AJ73" s="27" t="n">
        <f aca="false">N73-AG73</f>
        <v>53891.15</v>
      </c>
    </row>
    <row r="74" customFormat="false" ht="13.5" hidden="false" customHeight="true" outlineLevel="0" collapsed="false">
      <c r="A74" s="23" t="s">
        <v>1328</v>
      </c>
      <c r="B74" s="12" t="n">
        <v>11.96</v>
      </c>
      <c r="C74" s="12" t="n">
        <v>9.99</v>
      </c>
      <c r="D74" s="12" t="n">
        <v>960.43</v>
      </c>
      <c r="E74" s="12" t="n">
        <v>1228.86</v>
      </c>
      <c r="F74" s="12" t="n">
        <v>2504.31</v>
      </c>
      <c r="G74" s="12" t="n">
        <v>3441.65</v>
      </c>
      <c r="H74" s="12" t="n">
        <v>8082.14</v>
      </c>
      <c r="I74" s="12" t="n">
        <v>666.92</v>
      </c>
      <c r="J74" s="64" t="n">
        <v>2500</v>
      </c>
      <c r="K74" s="64" t="n">
        <v>2500</v>
      </c>
      <c r="L74" s="64" t="n">
        <v>2500</v>
      </c>
      <c r="M74" s="64" t="n">
        <v>2500</v>
      </c>
      <c r="N74" s="12" t="n">
        <f aca="false">SUM(B74:M74)</f>
        <v>26906.26</v>
      </c>
      <c r="O74" s="24" t="str">
        <f aca="false">IFERROR(N74/N$16,"")</f>
        <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26906.26</v>
      </c>
    </row>
    <row r="75" customFormat="false" ht="13.5" hidden="false" customHeight="true" outlineLevel="0" collapsed="false">
      <c r="A75" s="23" t="s">
        <v>1329</v>
      </c>
      <c r="B75" s="12" t="n">
        <v>0</v>
      </c>
      <c r="C75" s="12" t="n">
        <v>0</v>
      </c>
      <c r="D75" s="12" t="n">
        <v>0</v>
      </c>
      <c r="E75" s="12" t="n">
        <v>139.29</v>
      </c>
      <c r="F75" s="12" t="n">
        <v>0</v>
      </c>
      <c r="G75" s="12" t="n">
        <v>-147.89</v>
      </c>
      <c r="H75" s="12" t="n">
        <v>0</v>
      </c>
      <c r="I75" s="12" t="n">
        <v>0</v>
      </c>
      <c r="J75" s="64" t="n">
        <v>150</v>
      </c>
      <c r="K75" s="64" t="n">
        <v>150</v>
      </c>
      <c r="L75" s="64" t="n">
        <v>150</v>
      </c>
      <c r="M75" s="64" t="n">
        <v>150</v>
      </c>
      <c r="N75" s="12" t="n">
        <f aca="false">SUM(B75:M75)</f>
        <v>591.4</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591.4</v>
      </c>
    </row>
    <row r="76" customFormat="false" ht="13.5" hidden="false" customHeight="true" outlineLevel="0" collapsed="false">
      <c r="A76" s="23" t="s">
        <v>1330</v>
      </c>
      <c r="B76" s="12" t="n">
        <v>0</v>
      </c>
      <c r="C76" s="12" t="n">
        <v>0</v>
      </c>
      <c r="D76" s="12" t="n">
        <v>256.68</v>
      </c>
      <c r="E76" s="12" t="n">
        <v>655.57</v>
      </c>
      <c r="F76" s="12" t="n">
        <v>0</v>
      </c>
      <c r="G76" s="12" t="n">
        <v>0</v>
      </c>
      <c r="H76" s="12" t="n">
        <v>0</v>
      </c>
      <c r="I76" s="12" t="n">
        <v>0</v>
      </c>
      <c r="J76" s="64" t="n">
        <v>200</v>
      </c>
      <c r="K76" s="64" t="n">
        <v>200</v>
      </c>
      <c r="L76" s="64" t="n">
        <v>200</v>
      </c>
      <c r="M76" s="64" t="n">
        <v>200</v>
      </c>
      <c r="N76" s="12" t="n">
        <f aca="false">SUM(B76:M76)</f>
        <v>1712.25</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1712.25</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0</v>
      </c>
      <c r="E79" s="12" t="n">
        <v>0</v>
      </c>
      <c r="F79" s="12" t="n">
        <v>0</v>
      </c>
      <c r="G79" s="12" t="n">
        <v>2900</v>
      </c>
      <c r="H79" s="12" t="n">
        <v>0</v>
      </c>
      <c r="I79" s="12" t="n">
        <v>0</v>
      </c>
      <c r="J79" s="64" t="n">
        <v>0</v>
      </c>
      <c r="K79" s="64" t="n">
        <v>0</v>
      </c>
      <c r="L79" s="64" t="n">
        <v>0</v>
      </c>
      <c r="M79" s="64" t="n">
        <v>0</v>
      </c>
      <c r="N79" s="12" t="n">
        <f aca="false">SUM(B79:M79)</f>
        <v>2900</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2900</v>
      </c>
    </row>
    <row r="80" customFormat="false" ht="13.5" hidden="false" customHeight="true" outlineLevel="0" collapsed="false">
      <c r="A80" s="23" t="s">
        <v>1334</v>
      </c>
      <c r="B80" s="12" t="n">
        <v>0</v>
      </c>
      <c r="C80" s="12" t="n">
        <v>0</v>
      </c>
      <c r="D80" s="12" t="n">
        <v>0</v>
      </c>
      <c r="E80" s="12" t="n">
        <v>0</v>
      </c>
      <c r="F80" s="12" t="n">
        <v>0</v>
      </c>
      <c r="G80" s="12" t="n">
        <v>0</v>
      </c>
      <c r="H80" s="12" t="n">
        <v>0</v>
      </c>
      <c r="I80" s="12" t="n">
        <v>0</v>
      </c>
      <c r="J80" s="64" t="n">
        <v>0</v>
      </c>
      <c r="K80" s="64" t="n">
        <v>0</v>
      </c>
      <c r="L80" s="64" t="n">
        <v>0</v>
      </c>
      <c r="M80" s="64" t="n">
        <v>0</v>
      </c>
      <c r="N80" s="12" t="n">
        <f aca="false">SUM(B80:M80)</f>
        <v>0</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0</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31320</v>
      </c>
      <c r="H89" s="12" t="n">
        <v>-8375</v>
      </c>
      <c r="I89" s="12" t="n">
        <v>-8375</v>
      </c>
      <c r="J89" s="64" t="n">
        <v>0</v>
      </c>
      <c r="K89" s="64" t="n">
        <v>0</v>
      </c>
      <c r="L89" s="64" t="n">
        <v>0</v>
      </c>
      <c r="M89" s="64" t="n">
        <v>0</v>
      </c>
      <c r="N89" s="12" t="n">
        <f aca="false">SUM(B89:M89)</f>
        <v>14570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14570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11217.74</v>
      </c>
      <c r="D91" s="12" t="n">
        <v>22578.69</v>
      </c>
      <c r="E91" s="12" t="n">
        <v>2247.84</v>
      </c>
      <c r="F91" s="12" t="n">
        <v>0</v>
      </c>
      <c r="G91" s="12" t="n">
        <v>0</v>
      </c>
      <c r="H91" s="12" t="n">
        <v>8883.71</v>
      </c>
      <c r="I91" s="12" t="n">
        <v>14805.67</v>
      </c>
      <c r="J91" s="64" t="n">
        <v>0</v>
      </c>
      <c r="K91" s="64" t="n">
        <v>0</v>
      </c>
      <c r="L91" s="64" t="n">
        <v>0</v>
      </c>
      <c r="M91" s="64" t="n">
        <v>0</v>
      </c>
      <c r="N91" s="12" t="n">
        <f aca="false">SUM(B91:M91)</f>
        <v>59733.65</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59733.65</v>
      </c>
    </row>
    <row r="92" customFormat="false" ht="13.5" hidden="false" customHeight="true" outlineLevel="0" collapsed="false">
      <c r="A92" s="23" t="s">
        <v>1346</v>
      </c>
      <c r="B92" s="12" t="n">
        <v>0</v>
      </c>
      <c r="C92" s="12" t="n">
        <v>1173.39</v>
      </c>
      <c r="D92" s="12" t="n">
        <v>-83.85</v>
      </c>
      <c r="E92" s="12" t="n">
        <v>0</v>
      </c>
      <c r="F92" s="12" t="n">
        <v>0</v>
      </c>
      <c r="G92" s="12" t="n">
        <v>0</v>
      </c>
      <c r="H92" s="12" t="n">
        <v>0</v>
      </c>
      <c r="I92" s="12" t="n">
        <v>0</v>
      </c>
      <c r="J92" s="64" t="n">
        <v>0</v>
      </c>
      <c r="K92" s="64" t="n">
        <v>0</v>
      </c>
      <c r="L92" s="64" t="n">
        <v>0</v>
      </c>
      <c r="M92" s="64" t="n">
        <v>0</v>
      </c>
      <c r="N92" s="12" t="n">
        <f aca="false">SUM(B92:M92)</f>
        <v>1089.54</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1089.54</v>
      </c>
    </row>
    <row r="93" customFormat="false" ht="13.5" hidden="false" customHeight="true" outlineLevel="0" collapsed="false">
      <c r="A93" s="23" t="s">
        <v>1347</v>
      </c>
      <c r="B93" s="12" t="n">
        <v>0</v>
      </c>
      <c r="C93" s="12" t="n">
        <v>0</v>
      </c>
      <c r="D93" s="12" t="n">
        <v>0</v>
      </c>
      <c r="E93" s="12" t="n">
        <v>0</v>
      </c>
      <c r="F93" s="12" t="n">
        <v>0</v>
      </c>
      <c r="G93" s="12" t="n">
        <v>0</v>
      </c>
      <c r="H93" s="12" t="n">
        <v>0</v>
      </c>
      <c r="I93" s="12" t="n">
        <v>0</v>
      </c>
      <c r="J93" s="64" t="n">
        <v>0</v>
      </c>
      <c r="K93" s="64" t="n">
        <v>0</v>
      </c>
      <c r="L93" s="64" t="n">
        <v>0</v>
      </c>
      <c r="M93" s="64" t="n">
        <v>0</v>
      </c>
      <c r="N93" s="12" t="n">
        <f aca="false">SUM(B93:M93)</f>
        <v>0</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0</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0</v>
      </c>
      <c r="C95" s="12" t="n">
        <v>0</v>
      </c>
      <c r="D95" s="12" t="n">
        <v>0</v>
      </c>
      <c r="E95" s="12" t="n">
        <v>1515.48</v>
      </c>
      <c r="F95" s="12" t="n">
        <v>0</v>
      </c>
      <c r="G95" s="12" t="n">
        <v>2962.39</v>
      </c>
      <c r="H95" s="12" t="n">
        <v>3138.29</v>
      </c>
      <c r="I95" s="12" t="n">
        <v>2047.26</v>
      </c>
      <c r="J95" s="64" t="n">
        <v>500</v>
      </c>
      <c r="K95" s="64" t="n">
        <v>500</v>
      </c>
      <c r="L95" s="64" t="n">
        <v>500</v>
      </c>
      <c r="M95" s="64" t="n">
        <v>500</v>
      </c>
      <c r="N95" s="12" t="n">
        <f aca="false">SUM(B95:M95)</f>
        <v>11663.42</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11663.42</v>
      </c>
    </row>
    <row r="96" customFormat="false" ht="13.5" hidden="false" customHeight="true" outlineLevel="0" collapsed="false">
      <c r="A96" s="23" t="s">
        <v>1350</v>
      </c>
      <c r="B96" s="12" t="n">
        <v>4965.69</v>
      </c>
      <c r="C96" s="12" t="n">
        <v>0</v>
      </c>
      <c r="D96" s="12" t="n">
        <v>99.36</v>
      </c>
      <c r="E96" s="12" t="n">
        <v>127.27</v>
      </c>
      <c r="F96" s="12" t="n">
        <v>45</v>
      </c>
      <c r="G96" s="12" t="n">
        <v>5460.04</v>
      </c>
      <c r="H96" s="12" t="n">
        <v>0</v>
      </c>
      <c r="I96" s="12" t="n">
        <v>0</v>
      </c>
      <c r="J96" s="64" t="n">
        <v>100</v>
      </c>
      <c r="K96" s="64" t="n">
        <v>100</v>
      </c>
      <c r="L96" s="64" t="n">
        <v>100</v>
      </c>
      <c r="M96" s="64" t="n">
        <v>100</v>
      </c>
      <c r="N96" s="12" t="n">
        <f aca="false">SUM(B96:M96)</f>
        <v>11097.36</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11097.36</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0</v>
      </c>
      <c r="C99" s="12" t="n">
        <v>0</v>
      </c>
      <c r="D99" s="12" t="n">
        <v>0</v>
      </c>
      <c r="E99" s="12" t="n">
        <v>0</v>
      </c>
      <c r="F99" s="12" t="n">
        <v>0</v>
      </c>
      <c r="G99" s="12" t="n">
        <v>0</v>
      </c>
      <c r="H99" s="12" t="n">
        <v>0</v>
      </c>
      <c r="I99" s="12" t="n">
        <v>0</v>
      </c>
      <c r="J99" s="64" t="n">
        <v>0</v>
      </c>
      <c r="K99" s="64" t="n">
        <v>0</v>
      </c>
      <c r="L99" s="64" t="n">
        <v>0</v>
      </c>
      <c r="M99" s="64" t="n">
        <v>0</v>
      </c>
      <c r="N99" s="12" t="n">
        <f aca="false">SUM(B99:M99)</f>
        <v>0</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0</v>
      </c>
    </row>
    <row r="100" customFormat="false" ht="13.5" hidden="false" customHeight="true" outlineLevel="0" collapsed="false">
      <c r="A100" s="23" t="s">
        <v>1354</v>
      </c>
      <c r="B100" s="12" t="n">
        <v>0</v>
      </c>
      <c r="C100" s="12" t="n">
        <v>0</v>
      </c>
      <c r="D100" s="12" t="n">
        <v>930</v>
      </c>
      <c r="E100" s="12" t="n">
        <v>450</v>
      </c>
      <c r="F100" s="12" t="n">
        <v>450</v>
      </c>
      <c r="G100" s="12" t="n">
        <v>450</v>
      </c>
      <c r="H100" s="12" t="n">
        <v>450</v>
      </c>
      <c r="I100" s="12" t="n">
        <v>450</v>
      </c>
      <c r="J100" s="64" t="n">
        <v>450</v>
      </c>
      <c r="K100" s="64" t="n">
        <v>450</v>
      </c>
      <c r="L100" s="64" t="n">
        <v>450</v>
      </c>
      <c r="M100" s="64" t="n">
        <v>450</v>
      </c>
      <c r="N100" s="12" t="n">
        <f aca="false">SUM(B100:M100)</f>
        <v>4980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4980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79.8</v>
      </c>
      <c r="D102" s="12" t="n">
        <v>0</v>
      </c>
      <c r="E102" s="12" t="n">
        <v>0</v>
      </c>
      <c r="F102" s="12" t="n">
        <v>0</v>
      </c>
      <c r="G102" s="12" t="n">
        <v>0</v>
      </c>
      <c r="H102" s="12" t="n">
        <v>0</v>
      </c>
      <c r="I102" s="12" t="n">
        <v>203.28</v>
      </c>
      <c r="J102" s="64" t="n">
        <v>50</v>
      </c>
      <c r="K102" s="64" t="n">
        <v>50</v>
      </c>
      <c r="L102" s="64" t="n">
        <v>50</v>
      </c>
      <c r="M102" s="64" t="n">
        <v>50</v>
      </c>
      <c r="N102" s="12" t="n">
        <f aca="false">SUM(B102:M102)</f>
        <v>483.08</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483.08</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300.13</v>
      </c>
      <c r="H104" s="12" t="n">
        <v>0</v>
      </c>
      <c r="I104" s="12" t="n">
        <v>0</v>
      </c>
      <c r="J104" s="64" t="n">
        <v>0</v>
      </c>
      <c r="K104" s="64" t="n">
        <v>0</v>
      </c>
      <c r="L104" s="64" t="n">
        <v>0</v>
      </c>
      <c r="M104" s="64" t="n">
        <v>0</v>
      </c>
      <c r="N104" s="12" t="n">
        <f aca="false">SUM(B104:M104)</f>
        <v>300.13</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300.13</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0</v>
      </c>
      <c r="C106" s="12" t="n">
        <v>5564.86</v>
      </c>
      <c r="D106" s="12" t="n">
        <v>0</v>
      </c>
      <c r="E106" s="12" t="n">
        <v>5954.4</v>
      </c>
      <c r="F106" s="12" t="n">
        <v>0</v>
      </c>
      <c r="G106" s="12" t="n">
        <v>0</v>
      </c>
      <c r="H106" s="12" t="n">
        <v>0</v>
      </c>
      <c r="I106" s="12" t="n">
        <v>0</v>
      </c>
      <c r="J106" s="64" t="n">
        <v>2000</v>
      </c>
      <c r="K106" s="64" t="n">
        <v>2000</v>
      </c>
      <c r="L106" s="64" t="n">
        <v>2000</v>
      </c>
      <c r="M106" s="64" t="n">
        <v>2000</v>
      </c>
      <c r="N106" s="12" t="n">
        <f aca="false">SUM(B106:M106)</f>
        <v>19519.26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19519.26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5</v>
      </c>
      <c r="F110" s="12" t="n">
        <v>0</v>
      </c>
      <c r="G110" s="12" t="n">
        <v>0</v>
      </c>
      <c r="H110" s="12" t="n">
        <v>3900</v>
      </c>
      <c r="I110" s="12" t="n">
        <v>3900</v>
      </c>
      <c r="J110" s="64" t="n">
        <v>0</v>
      </c>
      <c r="K110" s="64" t="n">
        <v>0</v>
      </c>
      <c r="L110" s="64" t="n">
        <v>0</v>
      </c>
      <c r="M110" s="64" t="n">
        <v>0</v>
      </c>
      <c r="N110" s="12" t="n">
        <f aca="false">SUM(B110:M110)</f>
        <v>7805</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7805</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35995.85</v>
      </c>
      <c r="C116" s="27" t="n">
        <f aca="false">C73+SUM(C74:C80)+C87+SUM(C88:C115)</f>
        <v>27174.95</v>
      </c>
      <c r="D116" s="27" t="n">
        <f aca="false">D73+SUM(D74:D80)+D87+SUM(D88:D115)</f>
        <v>38485.09</v>
      </c>
      <c r="E116" s="27" t="n">
        <f aca="false">E73+SUM(E74:E80)+E87+SUM(E88:E115)</f>
        <v>12323.71</v>
      </c>
      <c r="F116" s="27" t="n">
        <f aca="false">F73+SUM(F74:F80)+F87+SUM(F88:F115)</f>
        <v>2999.31</v>
      </c>
      <c r="G116" s="27" t="n">
        <f aca="false">G73+SUM(G74:G80)+G87+SUM(G88:G115)</f>
        <v>46686.32</v>
      </c>
      <c r="H116" s="27" t="n">
        <f aca="false">H73+SUM(H74:H80)+H87+SUM(H88:H115)</f>
        <v>16079.14</v>
      </c>
      <c r="I116" s="27" t="n">
        <f aca="false">I73+SUM(I74:I80)+I87+SUM(I88:I115)</f>
        <v>13698.13</v>
      </c>
      <c r="J116" s="27" t="n">
        <f aca="false">J73+SUM(J74:J80)+J87+SUM(J88:J115)</f>
        <v>5950</v>
      </c>
      <c r="K116" s="27" t="n">
        <f aca="false">K73+SUM(K74:K80)+K87+SUM(K88:K115)</f>
        <v>5950</v>
      </c>
      <c r="L116" s="27" t="n">
        <f aca="false">L73+SUM(L74:L80)+L87+SUM(L88:L115)</f>
        <v>5950</v>
      </c>
      <c r="M116" s="27" t="n">
        <f aca="false">M73+SUM(M74:M80)+M87+SUM(M88:M115)</f>
        <v>5950</v>
      </c>
      <c r="N116" s="27" t="n">
        <f aca="false">SUM(B116:M116)</f>
        <v>217242.5</v>
      </c>
      <c r="O116" s="28" t="str">
        <f aca="false">IFERROR(N116/N$16,"")</f>
        <v/>
      </c>
      <c r="P116" s="12"/>
      <c r="Q116" s="12"/>
      <c r="R116" s="63"/>
      <c r="S116" s="63"/>
      <c r="T116" s="63"/>
      <c r="U116" s="27" t="n">
        <f aca="false">U73+SUM(U74:U80)+U87+SUM(U88:U115)</f>
        <v>0</v>
      </c>
      <c r="V116" s="27" t="n">
        <f aca="false">V73+SUM(V74:V80)+V87+SUM(V88:V115)</f>
        <v>0</v>
      </c>
      <c r="W116" s="27" t="n">
        <f aca="false">W73+SUM(W74:W80)+W87+SUM(W88:W115)</f>
        <v>0</v>
      </c>
      <c r="X116" s="27" t="n">
        <f aca="false">X73+SUM(X74:X80)+X87+SUM(X88:X115)</f>
        <v>0</v>
      </c>
      <c r="Y116" s="27" t="n">
        <f aca="false">Y73+SUM(Y74:Y80)+Y87+SUM(Y88:Y115)</f>
        <v>0</v>
      </c>
      <c r="Z116" s="27" t="n">
        <f aca="false">Z73+SUM(Z74:Z80)+Z87+SUM(Z88:Z115)</f>
        <v>0</v>
      </c>
      <c r="AA116" s="27" t="n">
        <f aca="false">AA73+SUM(AA74:AA80)+AA87+SUM(AA88:AA115)</f>
        <v>0</v>
      </c>
      <c r="AB116" s="27" t="n">
        <f aca="false">AB73+SUM(AB74:AB80)+AB87+SUM(AB88:AB115)</f>
        <v>0</v>
      </c>
      <c r="AC116" s="27" t="n">
        <f aca="false">AC73+SUM(AC74:AC80)+AC87+SUM(AC88:AC115)</f>
        <v>0</v>
      </c>
      <c r="AD116" s="27" t="n">
        <f aca="false">AD73+SUM(AD74:AD80)+AD87+SUM(AD88:AD115)</f>
        <v>0</v>
      </c>
      <c r="AE116" s="27" t="n">
        <f aca="false">AE73+SUM(AE74:AE80)+AE87+SUM(AE88:AE115)</f>
        <v>0</v>
      </c>
      <c r="AF116" s="27" t="n">
        <f aca="false">AF73+SUM(AF74:AF80)+AF87+SUM(AF88:AF115)</f>
        <v>0</v>
      </c>
      <c r="AG116" s="27" t="n">
        <f aca="false">SUM(U116:AF116)</f>
        <v>0</v>
      </c>
      <c r="AH116" s="28" t="str">
        <f aca="false">IFERROR(AG116/AG$16,"")</f>
        <v/>
      </c>
      <c r="AI116" s="9"/>
      <c r="AJ116" s="27" t="n">
        <f aca="false">N116-AG116</f>
        <v>217242.5</v>
      </c>
    </row>
    <row r="117" customFormat="false" ht="13.5" hidden="false" customHeight="true" outlineLevel="0" collapsed="false">
      <c r="A117" s="41" t="s">
        <v>1371</v>
      </c>
      <c r="B117" s="27" t="n">
        <f aca="false">B64-B116</f>
        <v>-153934.95</v>
      </c>
      <c r="C117" s="27" t="n">
        <f aca="false">C64-C116</f>
        <v>-107839.52</v>
      </c>
      <c r="D117" s="27" t="n">
        <f aca="false">D64-D116</f>
        <v>-190961.69</v>
      </c>
      <c r="E117" s="27" t="n">
        <f aca="false">E64-E116</f>
        <v>-144233.65</v>
      </c>
      <c r="F117" s="27" t="n">
        <f aca="false">F64-F116</f>
        <v>-168942.74</v>
      </c>
      <c r="G117" s="27" t="n">
        <f aca="false">G64-G116</f>
        <v>-189851.83</v>
      </c>
      <c r="H117" s="27" t="n">
        <f aca="false">H64-H116</f>
        <v>-178369.86</v>
      </c>
      <c r="I117" s="27" t="n">
        <f aca="false">I64-I116</f>
        <v>-164186.55</v>
      </c>
      <c r="J117" s="27" t="n">
        <f aca="false">J64-J116</f>
        <v>-216558</v>
      </c>
      <c r="K117" s="27" t="n">
        <f aca="false">K64-K116</f>
        <v>-218928</v>
      </c>
      <c r="L117" s="27" t="n">
        <f aca="false">L64-L116</f>
        <v>-222771</v>
      </c>
      <c r="M117" s="27" t="n">
        <f aca="false">M64-M116</f>
        <v>-228245</v>
      </c>
      <c r="N117" s="27" t="n">
        <f aca="false">SUM(B117:M117)</f>
        <v>-2184822.79</v>
      </c>
      <c r="O117" s="28" t="str">
        <f aca="false">IFERROR(N117/N$16,"")</f>
        <v/>
      </c>
      <c r="P117" s="12"/>
      <c r="Q117" s="12"/>
      <c r="R117" s="63"/>
      <c r="S117" s="63"/>
      <c r="T117" s="63"/>
      <c r="U117" s="27" t="n">
        <f aca="false">U64-U116</f>
        <v>-306876.699272629</v>
      </c>
      <c r="V117" s="27" t="n">
        <f aca="false">V64-V116</f>
        <v>-280077.95407592</v>
      </c>
      <c r="W117" s="27" t="n">
        <f aca="false">W64-W116</f>
        <v>-307087.73407592</v>
      </c>
      <c r="X117" s="27" t="n">
        <f aca="false">X64-X116</f>
        <v>-427288.189784971</v>
      </c>
      <c r="Y117" s="27" t="n">
        <f aca="false">Y64-Y116</f>
        <v>-456563.210690731</v>
      </c>
      <c r="Z117" s="27" t="n">
        <f aca="false">Z64-Z116</f>
        <v>-541109.83769896</v>
      </c>
      <c r="AA117" s="27" t="n">
        <f aca="false">AA64-AA116</f>
        <v>-591954.976006366</v>
      </c>
      <c r="AB117" s="27" t="n">
        <f aca="false">AB64-AB116</f>
        <v>-673202.111715417</v>
      </c>
      <c r="AC117" s="27" t="n">
        <f aca="false">AC64-AC116</f>
        <v>-778201.053526937</v>
      </c>
      <c r="AD117" s="27" t="n">
        <f aca="false">AD64-AD116</f>
        <v>-883360.701538457</v>
      </c>
      <c r="AE117" s="27" t="n">
        <f aca="false">AE64-AE116</f>
        <v>-1004946.66945245</v>
      </c>
      <c r="AF117" s="27" t="n">
        <f aca="false">AF64-AF116</f>
        <v>-1096830.46606726</v>
      </c>
      <c r="AG117" s="27" t="n">
        <f aca="false">SUM(U117:AF117)</f>
        <v>-7347499.60390601</v>
      </c>
      <c r="AH117" s="28" t="str">
        <f aca="false">IFERROR(AG117/AG$16,"")</f>
        <v/>
      </c>
      <c r="AI117" s="9"/>
      <c r="AJ117" s="27" t="n">
        <f aca="false">AG117-N117</f>
        <v>-5162676.81390601</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-153934.95</v>
      </c>
      <c r="C132" s="71" t="n">
        <f aca="false">C117+C131</f>
        <v>-107839.52</v>
      </c>
      <c r="D132" s="71" t="n">
        <f aca="false">D117+D131</f>
        <v>-190961.69</v>
      </c>
      <c r="E132" s="71" t="n">
        <f aca="false">E117+E131</f>
        <v>-144233.65</v>
      </c>
      <c r="F132" s="71" t="n">
        <f aca="false">F117+F131</f>
        <v>-168942.74</v>
      </c>
      <c r="G132" s="71" t="n">
        <f aca="false">G117+G131</f>
        <v>-189851.83</v>
      </c>
      <c r="H132" s="71" t="n">
        <f aca="false">H117+H131</f>
        <v>-178369.86</v>
      </c>
      <c r="I132" s="71" t="n">
        <f aca="false">I117+I131</f>
        <v>-164186.55</v>
      </c>
      <c r="J132" s="71" t="n">
        <f aca="false">J117+J131</f>
        <v>-216558</v>
      </c>
      <c r="K132" s="71" t="n">
        <f aca="false">K117+K131</f>
        <v>-218928</v>
      </c>
      <c r="L132" s="71" t="n">
        <f aca="false">L117+L131</f>
        <v>-222771</v>
      </c>
      <c r="M132" s="71" t="n">
        <f aca="false">M117+M131</f>
        <v>-228245</v>
      </c>
      <c r="N132" s="71" t="n">
        <f aca="false">SUM(B132:M132)</f>
        <v>-2184822.79</v>
      </c>
      <c r="O132" s="72" t="str">
        <f aca="false">IFERROR(N132/N$16,"")</f>
        <v/>
      </c>
      <c r="P132" s="12"/>
      <c r="Q132" s="12"/>
      <c r="R132" s="63"/>
      <c r="S132" s="63"/>
      <c r="T132" s="63"/>
      <c r="U132" s="71" t="n">
        <f aca="false">U117+U131</f>
        <v>-306876.699272629</v>
      </c>
      <c r="V132" s="71" t="n">
        <f aca="false">V117+V131</f>
        <v>-280077.95407592</v>
      </c>
      <c r="W132" s="71" t="n">
        <f aca="false">W117+W131</f>
        <v>-307087.73407592</v>
      </c>
      <c r="X132" s="71" t="n">
        <f aca="false">X117+X131</f>
        <v>-427288.189784971</v>
      </c>
      <c r="Y132" s="71" t="n">
        <f aca="false">Y117+Y131</f>
        <v>-456563.210690731</v>
      </c>
      <c r="Z132" s="71" t="n">
        <f aca="false">Z117+Z131</f>
        <v>-541109.83769896</v>
      </c>
      <c r="AA132" s="71" t="n">
        <f aca="false">AA117+AA131</f>
        <v>-591954.976006366</v>
      </c>
      <c r="AB132" s="71" t="n">
        <f aca="false">AB117+AB131</f>
        <v>-673202.111715417</v>
      </c>
      <c r="AC132" s="71" t="n">
        <f aca="false">AC117+AC131</f>
        <v>-778201.053526937</v>
      </c>
      <c r="AD132" s="71" t="n">
        <f aca="false">AD117+AD131</f>
        <v>-883360.701538457</v>
      </c>
      <c r="AE132" s="71" t="n">
        <f aca="false">AE117+AE131</f>
        <v>-1004946.66945245</v>
      </c>
      <c r="AF132" s="71" t="n">
        <f aca="false">AF117+AF131</f>
        <v>-1096830.46606726</v>
      </c>
      <c r="AG132" s="71" t="n">
        <f aca="false">SUM(U132:AF132)</f>
        <v>-7347499.60390601</v>
      </c>
      <c r="AH132" s="72" t="str">
        <f aca="false">IFERROR(AG132/AG$16,"")</f>
        <v/>
      </c>
      <c r="AI132" s="9"/>
      <c r="AJ132" s="71" t="n">
        <f aca="false">AG132-N132</f>
        <v>-5162676.81390601</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70558.34</v>
      </c>
      <c r="C137" s="12" t="n">
        <f aca="false">SUMIF($A$9:$A$132,"*"&amp;$A137&amp;"*",C$9:C$132)</f>
        <v>36169.81</v>
      </c>
      <c r="D137" s="12" t="n">
        <f aca="false">SUMIF($A$9:$A$132,"*"&amp;$A137&amp;"*",D$9:D$132)</f>
        <v>68774.92</v>
      </c>
      <c r="E137" s="12" t="n">
        <f aca="false">SUMIF($A$9:$A$132,"*"&amp;$A137&amp;"*",E$9:E$132)</f>
        <v>77202.08</v>
      </c>
      <c r="F137" s="12" t="n">
        <f aca="false">SUMIF($A$9:$A$132,"*"&amp;$A137&amp;"*",F$9:F$132)</f>
        <v>72865.8</v>
      </c>
      <c r="G137" s="12" t="n">
        <f aca="false">SUMIF($A$9:$A$132,"*"&amp;$A137&amp;"*",G$9:G$132)</f>
        <v>64701.68</v>
      </c>
      <c r="H137" s="12" t="n">
        <f aca="false">SUMIF($A$9:$A$132,"*"&amp;$A137&amp;"*",H$9:H$132)</f>
        <v>82139.24</v>
      </c>
      <c r="I137" s="12" t="n">
        <f aca="false">SUMIF($A$9:$A$132,"*"&amp;$A137&amp;"*",I$9:I$132)</f>
        <v>79454.55</v>
      </c>
      <c r="J137" s="12" t="n">
        <f aca="false">SUMIF($A$9:$A$132,"*"&amp;$A137&amp;"*",J$9:J$132)</f>
        <v>90000</v>
      </c>
      <c r="K137" s="12" t="n">
        <f aca="false">SUMIF($A$9:$A$132,"*"&amp;$A137&amp;"*",K$9:K$132)</f>
        <v>92700</v>
      </c>
      <c r="L137" s="12" t="n">
        <f aca="false">SUMIF($A$9:$A$132,"*"&amp;$A137&amp;"*",L$9:L$132)</f>
        <v>95800</v>
      </c>
      <c r="M137" s="12" t="n">
        <f aca="false">SUMIF($A$9:$A$132,"*"&amp;$A137&amp;"*",M$9:M$132)</f>
        <v>96900</v>
      </c>
      <c r="N137" s="12" t="n">
        <f aca="false">SUMIF($A$9:$A$132,"*"&amp;$A137&amp;"*",N$9:N$132)</f>
        <v>927266.42</v>
      </c>
      <c r="O137" s="24"/>
      <c r="P137" s="9"/>
      <c r="Q137" s="9"/>
      <c r="R137" s="63"/>
      <c r="S137" s="63"/>
      <c r="T137" s="63"/>
      <c r="U137" s="12" t="n">
        <f aca="false">SUMIF($A$9:$A$132,"*"&amp;$A137&amp;"*",U$9:U$132)</f>
        <v>120126.25</v>
      </c>
      <c r="V137" s="12" t="n">
        <f aca="false">SUMIF($A$9:$A$132,"*"&amp;$A137&amp;"*",V$9:V$132)</f>
        <v>116126.25</v>
      </c>
      <c r="W137" s="12" t="n">
        <f aca="false">SUMIF($A$9:$A$132,"*"&amp;$A137&amp;"*",W$9:W$132)</f>
        <v>154626.25</v>
      </c>
      <c r="X137" s="12" t="n">
        <f aca="false">SUMIF($A$9:$A$132,"*"&amp;$A137&amp;"*",X$9:X$132)</f>
        <v>166376.25</v>
      </c>
      <c r="Y137" s="12" t="n">
        <f aca="false">SUMIF($A$9:$A$132,"*"&amp;$A137&amp;"*",Y$9:Y$132)</f>
        <v>196626.25</v>
      </c>
      <c r="Z137" s="12" t="n">
        <f aca="false">SUMIF($A$9:$A$132,"*"&amp;$A137&amp;"*",Z$9:Z$132)</f>
        <v>222876.25</v>
      </c>
      <c r="AA137" s="12" t="n">
        <f aca="false">SUMIF($A$9:$A$132,"*"&amp;$A137&amp;"*",AA$9:AA$132)</f>
        <v>265876.25</v>
      </c>
      <c r="AB137" s="12" t="n">
        <f aca="false">SUMIF($A$9:$A$132,"*"&amp;$A137&amp;"*",AB$9:AB$132)</f>
        <v>302626.25</v>
      </c>
      <c r="AC137" s="12" t="n">
        <f aca="false">SUMIF($A$9:$A$132,"*"&amp;$A137&amp;"*",AC$9:AC$132)</f>
        <v>339376.25</v>
      </c>
      <c r="AD137" s="12" t="n">
        <f aca="false">SUMIF($A$9:$A$132,"*"&amp;$A137&amp;"*",AD$9:AD$132)</f>
        <v>404465.0375</v>
      </c>
      <c r="AE137" s="12" t="n">
        <f aca="false">SUMIF($A$9:$A$132,"*"&amp;$A137&amp;"*",AE$9:AE$132)</f>
        <v>449715.0375</v>
      </c>
      <c r="AF137" s="12" t="n">
        <f aca="false">SUMIF($A$9:$A$132,"*"&amp;$A137&amp;"*",AF$9:AF$132)</f>
        <v>499215.0375</v>
      </c>
      <c r="AG137" s="12" t="n">
        <f aca="false">SUMIF($A$9:$A$132,"*"&amp;$A137&amp;"*",AG$9:AG$132)</f>
        <v>3238031.3625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5777.74</v>
      </c>
      <c r="C139" s="12" t="n">
        <f aca="false">SUMIF($A$9:$A$132,"*"&amp;$A139&amp;"*",C$9:C$132)</f>
        <v>3251.23</v>
      </c>
      <c r="D139" s="12" t="n">
        <f aca="false">SUMIF($A$9:$A$132,"*"&amp;$A139&amp;"*",D$9:D$132)</f>
        <v>4737.21</v>
      </c>
      <c r="E139" s="12" t="n">
        <f aca="false">SUMIF($A$9:$A$132,"*"&amp;$A139&amp;"*",E$9:E$132)</f>
        <v>5152.42</v>
      </c>
      <c r="F139" s="12" t="n">
        <f aca="false">SUMIF($A$9:$A$132,"*"&amp;$A139&amp;"*",F$9:F$132)</f>
        <v>4827.71</v>
      </c>
      <c r="G139" s="12" t="n">
        <f aca="false">SUMIF($A$9:$A$132,"*"&amp;$A139&amp;"*",G$9:G$132)</f>
        <v>4403.72</v>
      </c>
      <c r="H139" s="12" t="n">
        <f aca="false">SUMIF($A$9:$A$132,"*"&amp;$A139&amp;"*",H$9:H$132)</f>
        <v>5573.24</v>
      </c>
      <c r="I139" s="12" t="n">
        <f aca="false">SUMIF($A$9:$A$132,"*"&amp;$A139&amp;"*",I$9:I$132)</f>
        <v>5853.77</v>
      </c>
      <c r="J139" s="12" t="n">
        <f aca="false">SUMIF($A$9:$A$132,"*"&amp;$A139&amp;"*",J$9:J$132)</f>
        <v>5850</v>
      </c>
      <c r="K139" s="12" t="n">
        <f aca="false">SUMIF($A$9:$A$132,"*"&amp;$A139&amp;"*",K$9:K$132)</f>
        <v>6026</v>
      </c>
      <c r="L139" s="12" t="n">
        <f aca="false">SUMIF($A$9:$A$132,"*"&amp;$A139&amp;"*",L$9:L$132)</f>
        <v>6227</v>
      </c>
      <c r="M139" s="12" t="n">
        <f aca="false">SUMIF($A$9:$A$132,"*"&amp;$A139&amp;"*",M$9:M$132)</f>
        <v>6299</v>
      </c>
      <c r="N139" s="12" t="n">
        <f aca="false">SUMIF($A$9:$A$132,"*"&amp;$A139&amp;"*",N$9:N$132)</f>
        <v>63979.04</v>
      </c>
      <c r="O139" s="12"/>
      <c r="P139" s="12"/>
      <c r="Q139" s="12"/>
      <c r="R139" s="63"/>
      <c r="S139" s="63"/>
      <c r="T139" s="63"/>
      <c r="U139" s="12" t="n">
        <f aca="false">SUMIF($A$9:$A$132,"*"&amp;$A139&amp;"*",U$9:U$132)</f>
        <v>7896.585</v>
      </c>
      <c r="V139" s="12" t="n">
        <f aca="false">SUMIF($A$9:$A$132,"*"&amp;$A139&amp;"*",V$9:V$132)</f>
        <v>7896.585</v>
      </c>
      <c r="W139" s="12" t="n">
        <f aca="false">SUMIF($A$9:$A$132,"*"&amp;$A139&amp;"*",W$9:W$132)</f>
        <v>9834.585</v>
      </c>
      <c r="X139" s="12" t="n">
        <f aca="false">SUMIF($A$9:$A$132,"*"&amp;$A139&amp;"*",X$9:X$132)</f>
        <v>10905.585</v>
      </c>
      <c r="Y139" s="12" t="n">
        <f aca="false">SUMIF($A$9:$A$132,"*"&amp;$A139&amp;"*",Y$9:Y$132)</f>
        <v>12690.585</v>
      </c>
      <c r="Z139" s="12" t="n">
        <f aca="false">SUMIF($A$9:$A$132,"*"&amp;$A139&amp;"*",Z$9:Z$132)</f>
        <v>14475.585</v>
      </c>
      <c r="AA139" s="12" t="n">
        <f aca="false">SUMIF($A$9:$A$132,"*"&amp;$A139&amp;"*",AA$9:AA$132)</f>
        <v>17127.585</v>
      </c>
      <c r="AB139" s="12" t="n">
        <f aca="false">SUMIF($A$9:$A$132,"*"&amp;$A139&amp;"*",AB$9:AB$132)</f>
        <v>19626.585</v>
      </c>
      <c r="AC139" s="12" t="n">
        <f aca="false">SUMIF($A$9:$A$132,"*"&amp;$A139&amp;"*",AC$9:AC$132)</f>
        <v>22125.585</v>
      </c>
      <c r="AD139" s="12" t="n">
        <f aca="false">SUMIF($A$9:$A$132,"*"&amp;$A139&amp;"*",AD$9:AD$132)</f>
        <v>26143.62255</v>
      </c>
      <c r="AE139" s="12" t="n">
        <f aca="false">SUMIF($A$9:$A$132,"*"&amp;$A139&amp;"*",AE$9:AE$132)</f>
        <v>29356.62255</v>
      </c>
      <c r="AF139" s="12" t="n">
        <f aca="false">SUMIF($A$9:$A$132,"*"&amp;$A139&amp;"*",AF$9:AF$132)</f>
        <v>32722.62255</v>
      </c>
      <c r="AG139" s="12" t="n">
        <f aca="false">SUMIF($A$9:$A$132,"*"&amp;$A139&amp;"*",AG$9:AG$132)</f>
        <v>210802.13265</v>
      </c>
      <c r="AH139" s="12"/>
      <c r="AI139" s="9"/>
      <c r="AJ139" s="12"/>
    </row>
    <row r="140" customFormat="false" ht="13.5" hidden="false" customHeight="true" outlineLevel="0" collapsed="false">
      <c r="A140" s="23" t="s">
        <v>1390</v>
      </c>
      <c r="B140" s="12" t="n">
        <f aca="false">SUMIF($A$9:$A$132,"*"&amp;$A140&amp;"*",B$9:B$132)</f>
        <v>30858.44</v>
      </c>
      <c r="C140" s="12" t="n">
        <f aca="false">SUMIF($A$9:$A$132,"*"&amp;$A140&amp;"*",C$9:C$132)</f>
        <v>21649.75</v>
      </c>
      <c r="D140" s="12" t="n">
        <f aca="false">SUMIF($A$9:$A$132,"*"&amp;$A140&amp;"*",D$9:D$132)</f>
        <v>9095.03</v>
      </c>
      <c r="E140" s="12" t="n">
        <f aca="false">SUMIF($A$9:$A$132,"*"&amp;$A140&amp;"*",E$9:E$132)</f>
        <v>12493.8</v>
      </c>
      <c r="F140" s="12" t="n">
        <f aca="false">SUMIF($A$9:$A$132,"*"&amp;$A140&amp;"*",F$9:F$132)</f>
        <v>12115.76</v>
      </c>
      <c r="G140" s="12" t="n">
        <f aca="false">SUMIF($A$9:$A$132,"*"&amp;$A140&amp;"*",G$9:G$132)</f>
        <v>16324.25</v>
      </c>
      <c r="H140" s="12" t="n">
        <f aca="false">SUMIF($A$9:$A$132,"*"&amp;$A140&amp;"*",H$9:H$132)</f>
        <v>13014.13</v>
      </c>
      <c r="I140" s="12" t="n">
        <f aca="false">SUMIF($A$9:$A$132,"*"&amp;$A140&amp;"*",I$9:I$132)</f>
        <v>17324.26</v>
      </c>
      <c r="J140" s="12" t="n">
        <f aca="false">SUMIF($A$9:$A$132,"*"&amp;$A140&amp;"*",J$9:J$132)</f>
        <v>10800</v>
      </c>
      <c r="K140" s="12" t="n">
        <f aca="false">SUMIF($A$9:$A$132,"*"&amp;$A140&amp;"*",K$9:K$132)</f>
        <v>11124</v>
      </c>
      <c r="L140" s="12" t="n">
        <f aca="false">SUMIF($A$9:$A$132,"*"&amp;$A140&amp;"*",L$9:L$132)</f>
        <v>11496</v>
      </c>
      <c r="M140" s="12" t="n">
        <f aca="false">SUMIF($A$9:$A$132,"*"&amp;$A140&amp;"*",M$9:M$132)</f>
        <v>11628</v>
      </c>
      <c r="N140" s="12" t="n">
        <f aca="false">SUMIF($A$9:$A$132,"*"&amp;$A140&amp;"*",N$9:N$132)</f>
        <v>177923.42</v>
      </c>
      <c r="O140" s="12"/>
      <c r="P140" s="12"/>
      <c r="Q140" s="12"/>
      <c r="R140" s="63"/>
      <c r="S140" s="63"/>
      <c r="T140" s="63"/>
      <c r="U140" s="12" t="n">
        <f aca="false">SUMIF($A$9:$A$132,"*"&amp;$A140&amp;"*",U$9:U$132)</f>
        <v>19044.705</v>
      </c>
      <c r="V140" s="12" t="n">
        <f aca="false">SUMIF($A$9:$A$132,"*"&amp;$A140&amp;"*",V$9:V$132)</f>
        <v>19044.705</v>
      </c>
      <c r="W140" s="12" t="n">
        <f aca="false">SUMIF($A$9:$A$132,"*"&amp;$A140&amp;"*",W$9:W$132)</f>
        <v>23718.705</v>
      </c>
      <c r="X140" s="12" t="n">
        <f aca="false">SUMIF($A$9:$A$132,"*"&amp;$A140&amp;"*",X$9:X$132)</f>
        <v>26301.705</v>
      </c>
      <c r="Y140" s="12" t="n">
        <f aca="false">SUMIF($A$9:$A$132,"*"&amp;$A140&amp;"*",Y$9:Y$132)</f>
        <v>30606.705</v>
      </c>
      <c r="Z140" s="12" t="n">
        <f aca="false">SUMIF($A$9:$A$132,"*"&amp;$A140&amp;"*",Z$9:Z$132)</f>
        <v>34911.705</v>
      </c>
      <c r="AA140" s="12" t="n">
        <f aca="false">SUMIF($A$9:$A$132,"*"&amp;$A140&amp;"*",AA$9:AA$132)</f>
        <v>41307.705</v>
      </c>
      <c r="AB140" s="12" t="n">
        <f aca="false">SUMIF($A$9:$A$132,"*"&amp;$A140&amp;"*",AB$9:AB$132)</f>
        <v>47334.705</v>
      </c>
      <c r="AC140" s="12" t="n">
        <f aca="false">SUMIF($A$9:$A$132,"*"&amp;$A140&amp;"*",AC$9:AC$132)</f>
        <v>53361.705</v>
      </c>
      <c r="AD140" s="12" t="n">
        <f aca="false">SUMIF($A$9:$A$132,"*"&amp;$A140&amp;"*",AD$9:AD$132)</f>
        <v>63052.26615</v>
      </c>
      <c r="AE140" s="12" t="n">
        <f aca="false">SUMIF($A$9:$A$132,"*"&amp;$A140&amp;"*",AE$9:AE$132)</f>
        <v>70801.26615</v>
      </c>
      <c r="AF140" s="12" t="n">
        <f aca="false">SUMIF($A$9:$A$132,"*"&amp;$A140&amp;"*",AF$9:AF$132)</f>
        <v>78919.26615</v>
      </c>
      <c r="AG140" s="12" t="n">
        <f aca="false">SUMIF($A$9:$A$132,"*"&amp;$A140&amp;"*",AG$9:AG$132)</f>
        <v>508405.14345</v>
      </c>
      <c r="AH140" s="12"/>
      <c r="AI140" s="9"/>
      <c r="AJ140" s="12"/>
    </row>
    <row r="141" customFormat="false" ht="13.5" hidden="false" customHeight="true" outlineLevel="0" collapsed="false">
      <c r="A141" s="9" t="s">
        <v>1391</v>
      </c>
      <c r="B141" s="24" t="n">
        <f aca="false">IFERROR(SUM(B139:B140)/SUM(B137:B138),"")</f>
        <v>0.519232453597973</v>
      </c>
      <c r="C141" s="24" t="n">
        <f aca="false">IFERROR(SUM(C139:C140)/SUM(C137:C138),"")</f>
        <v>0.688446524878068</v>
      </c>
      <c r="D141" s="24" t="n">
        <f aca="false">IFERROR(SUM(D139:D140)/SUM(D137:D138),"")</f>
        <v>0.201123316464781</v>
      </c>
      <c r="E141" s="24" t="n">
        <f aca="false">IFERROR(SUM(E139:E140)/SUM(E137:E138),"")</f>
        <v>0.228571820862858</v>
      </c>
      <c r="F141" s="24" t="n">
        <f aca="false">IFERROR(SUM(F139:F140)/SUM(F137:F138),"")</f>
        <v>0.232529801360858</v>
      </c>
      <c r="G141" s="24" t="n">
        <f aca="false">IFERROR(SUM(G139:G140)/SUM(G137:G138),"")</f>
        <v>0.320362160611595</v>
      </c>
      <c r="H141" s="24" t="n">
        <f aca="false">IFERROR(SUM(H139:H140)/SUM(H137:H138),"")</f>
        <v>0.226290990761541</v>
      </c>
      <c r="I141" s="24" t="n">
        <f aca="false">IFERROR(SUM(I139:I140)/SUM(I137:I138),"")</f>
        <v>0.291714319695977</v>
      </c>
      <c r="J141" s="24" t="n">
        <f aca="false">IFERROR(SUM(J139:J140)/SUM(J137:J138),"")</f>
        <v>0.185</v>
      </c>
      <c r="K141" s="24" t="n">
        <f aca="false">IFERROR(SUM(K139:K140)/SUM(K137:K138),"")</f>
        <v>0.185005393743258</v>
      </c>
      <c r="L141" s="24" t="n">
        <f aca="false">IFERROR(SUM(L139:L140)/SUM(L137:L138),"")</f>
        <v>0.185</v>
      </c>
      <c r="M141" s="24" t="n">
        <f aca="false">IFERROR(SUM(M139:M140)/SUM(M137:M138),"")</f>
        <v>0.18500515995872</v>
      </c>
      <c r="N141" s="24" t="n">
        <f aca="false">IFERROR(SUM(N139:N140)/SUM(N137:N138),"")</f>
        <v>0.260876976435748</v>
      </c>
      <c r="O141" s="24"/>
      <c r="P141" s="24"/>
      <c r="Q141" s="24"/>
      <c r="R141" s="63"/>
      <c r="S141" s="63"/>
      <c r="T141" s="63"/>
      <c r="U141" s="24" t="n">
        <f aca="false">IFERROR(SUM(U139:U140)/SUM(U137:U138),"")</f>
        <v>0.224274794226907</v>
      </c>
      <c r="V141" s="24" t="n">
        <f aca="false">IFERROR(SUM(V139:V140)/SUM(V137:V138),"")</f>
        <v>0.232</v>
      </c>
      <c r="W141" s="24" t="n">
        <f aca="false">IFERROR(SUM(W139:W140)/SUM(W137:W138),"")</f>
        <v>0.216996079255624</v>
      </c>
      <c r="X141" s="24" t="n">
        <f aca="false">IFERROR(SUM(X139:X140)/SUM(X137:X138),"")</f>
        <v>0.223633421236505</v>
      </c>
      <c r="Y141" s="24" t="n">
        <f aca="false">IFERROR(SUM(Y139:Y140)/SUM(Y137:Y138),"")</f>
        <v>0.22020096502883</v>
      </c>
      <c r="Z141" s="24" t="n">
        <f aca="false">IFERROR(SUM(Z139:Z140)/SUM(Z137:Z138),"")</f>
        <v>0.221590636059248</v>
      </c>
      <c r="AA141" s="24" t="n">
        <f aca="false">IFERROR(SUM(AA139:AA140)/SUM(AA137:AA138),"")</f>
        <v>0.219783790391206</v>
      </c>
      <c r="AB141" s="24" t="n">
        <f aca="false">IFERROR(SUM(AB139:AB140)/SUM(AB137:AB138),"")</f>
        <v>0.221267289271833</v>
      </c>
      <c r="AC141" s="24" t="n">
        <f aca="false">IFERROR(SUM(AC139:AC140)/SUM(AC137:AC138),"")</f>
        <v>0.222429501180475</v>
      </c>
      <c r="AD141" s="24" t="n">
        <f aca="false">IFERROR(SUM(AD139:AD140)/SUM(AD137:AD138),"")</f>
        <v>0.220528056643215</v>
      </c>
      <c r="AE141" s="24" t="n">
        <f aca="false">IFERROR(SUM(AE139:AE140)/SUM(AE137:AE138),"")</f>
        <v>0.22271411971631</v>
      </c>
      <c r="AF141" s="24" t="n">
        <f aca="false">IFERROR(SUM(AF139:AF140)/SUM(AF137:AF138),"")</f>
        <v>0.223634867369155</v>
      </c>
      <c r="AG141" s="24" t="n">
        <f aca="false">IFERROR(SUM(AG139:AG140)/SUM(AG137:AG138),"")</f>
        <v>0.222112510838906</v>
      </c>
      <c r="AH141" s="24"/>
      <c r="AI141" s="24"/>
      <c r="AJ141" s="24"/>
    </row>
    <row r="142" customFormat="false" ht="13.5" hidden="false" customHeight="true" outlineLevel="0" collapsed="false">
      <c r="A142" s="9"/>
      <c r="B142" s="12"/>
      <c r="C142" s="12"/>
      <c r="D142" s="12"/>
      <c r="E142" s="12"/>
      <c r="F142" s="12"/>
      <c r="G142" s="12"/>
      <c r="H142" s="12"/>
      <c r="I142" s="12"/>
      <c r="J142" s="12"/>
      <c r="K142" s="12"/>
      <c r="L142" s="12"/>
      <c r="M142" s="12"/>
      <c r="N142" s="12"/>
      <c r="O142" s="24"/>
      <c r="P142" s="12"/>
      <c r="Q142" s="12"/>
      <c r="R142" s="63"/>
      <c r="S142" s="63"/>
      <c r="T142" s="63"/>
      <c r="U142" s="12"/>
      <c r="V142" s="12"/>
      <c r="W142" s="12"/>
      <c r="X142" s="12"/>
      <c r="Y142" s="12"/>
      <c r="Z142" s="12"/>
      <c r="AA142" s="12"/>
      <c r="AB142" s="12"/>
      <c r="AC142" s="12"/>
      <c r="AD142" s="12"/>
      <c r="AE142" s="12"/>
      <c r="AF142" s="12"/>
      <c r="AG142" s="12"/>
      <c r="AH142" s="12"/>
      <c r="AI142" s="12"/>
      <c r="AJ142" s="9"/>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9"/>
      <c r="AJ143" s="9"/>
    </row>
    <row r="144" customFormat="false" ht="13.5" hidden="false" customHeight="true" outlineLevel="0" collapsed="false">
      <c r="A144" s="9"/>
      <c r="B144" s="9"/>
      <c r="C144" s="9"/>
      <c r="D144" s="9"/>
      <c r="E144" s="9"/>
      <c r="F144" s="9"/>
      <c r="G144" s="9"/>
      <c r="H144" s="9"/>
      <c r="I144" s="9"/>
      <c r="J144" s="9"/>
      <c r="K144" s="9"/>
      <c r="L144" s="9"/>
      <c r="M144" s="9"/>
      <c r="N144" s="9"/>
      <c r="O144" s="24"/>
      <c r="P144" s="9"/>
      <c r="Q144" s="9"/>
      <c r="R144" s="74"/>
      <c r="S144" s="74"/>
      <c r="T144" s="74"/>
      <c r="U144" s="9"/>
      <c r="V144" s="9"/>
      <c r="W144" s="9"/>
      <c r="X144" s="9"/>
      <c r="Y144" s="9"/>
      <c r="Z144" s="9"/>
      <c r="AA144" s="9"/>
      <c r="AB144" s="9"/>
      <c r="AC144" s="9"/>
      <c r="AD144" s="9"/>
      <c r="AE144" s="9"/>
      <c r="AF144" s="9"/>
      <c r="AG144" s="9"/>
      <c r="AH144" s="9"/>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9"/>
      <c r="S164" s="9"/>
      <c r="T164" s="9"/>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7.57"/>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1399</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t="s">
        <v>1400</v>
      </c>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534716.78</v>
      </c>
      <c r="C12" s="12" t="n">
        <v>494949.28</v>
      </c>
      <c r="D12" s="12" t="n">
        <v>468603.55</v>
      </c>
      <c r="E12" s="12" t="n">
        <v>481426.2</v>
      </c>
      <c r="F12" s="12" t="n">
        <v>501668.11</v>
      </c>
      <c r="G12" s="12" t="n">
        <v>473687.43</v>
      </c>
      <c r="H12" s="12" t="n">
        <v>454042.16</v>
      </c>
      <c r="I12" s="12" t="n">
        <v>467055.56</v>
      </c>
      <c r="J12" s="64" t="n">
        <v>531107.333333333</v>
      </c>
      <c r="K12" s="64" t="n">
        <v>626940.666666667</v>
      </c>
      <c r="L12" s="64" t="n">
        <v>651940.666666667</v>
      </c>
      <c r="M12" s="64" t="n">
        <v>676940.666666667</v>
      </c>
      <c r="N12" s="12" t="n">
        <f aca="false">SUM(B12:M12)</f>
        <v>6363078.40333333</v>
      </c>
      <c r="O12" s="24" t="n">
        <f aca="false">IFERROR(N12/N$16,"")</f>
        <v>0.85710266984156</v>
      </c>
      <c r="P12" s="12"/>
      <c r="Q12" s="12"/>
      <c r="R12" s="60" t="s">
        <v>1398</v>
      </c>
      <c r="S12" s="61"/>
      <c r="T12" s="62" t="n">
        <v>0.05</v>
      </c>
      <c r="U12" s="59" t="n">
        <f aca="false">DeploySum!F40</f>
        <v>783428.416666667</v>
      </c>
      <c r="V12" s="59" t="n">
        <f aca="false">DeploySum!G40</f>
        <v>821920.5</v>
      </c>
      <c r="W12" s="59" t="n">
        <f aca="false">DeploySum!H40</f>
        <v>807745.916666667</v>
      </c>
      <c r="X12" s="59" t="n">
        <f aca="false">DeploySum!I40</f>
        <v>907121.875</v>
      </c>
      <c r="Y12" s="59" t="n">
        <f aca="false">DeploySum!J40</f>
        <v>997375.833333334</v>
      </c>
      <c r="Z12" s="59" t="n">
        <f aca="false">DeploySum!K40</f>
        <v>1116046.45833333</v>
      </c>
      <c r="AA12" s="59" t="n">
        <f aca="false">DeploySum!L40</f>
        <v>1231592.08333333</v>
      </c>
      <c r="AB12" s="59" t="n">
        <f aca="false">DeploySum!M40</f>
        <v>1379626.04166667</v>
      </c>
      <c r="AC12" s="59" t="n">
        <f aca="false">DeploySum!N40</f>
        <v>1561856.66666667</v>
      </c>
      <c r="AD12" s="59" t="n">
        <f aca="false">DeploySum!O40</f>
        <v>1751627.29166667</v>
      </c>
      <c r="AE12" s="59" t="n">
        <f aca="false">DeploySum!P40</f>
        <v>1975163.25</v>
      </c>
      <c r="AF12" s="59" t="n">
        <f aca="false">DeploySum!Q40</f>
        <v>2230141.20833333</v>
      </c>
      <c r="AG12" s="12" t="n">
        <f aca="false">SUM(U12:AF12)</f>
        <v>15563645.5416667</v>
      </c>
      <c r="AH12" s="24" t="n">
        <f aca="false">IFERROR(AG12/AG$16,"")</f>
        <v>1</v>
      </c>
      <c r="AI12" s="9" t="s">
        <v>1401</v>
      </c>
      <c r="AJ12" s="12" t="n">
        <f aca="false">AG12-N12</f>
        <v>9200567.13833334</v>
      </c>
    </row>
    <row r="13" customFormat="false" ht="13.5" hidden="false" customHeight="true" outlineLevel="0" collapsed="false">
      <c r="A13" s="23" t="s">
        <v>1269</v>
      </c>
      <c r="B13" s="12" t="n">
        <v>8277.78</v>
      </c>
      <c r="C13" s="12" t="n">
        <v>8277.78</v>
      </c>
      <c r="D13" s="12" t="n">
        <v>18277.78</v>
      </c>
      <c r="E13" s="12" t="n">
        <v>18277.78</v>
      </c>
      <c r="F13" s="12" t="n">
        <v>18277.78</v>
      </c>
      <c r="G13" s="12" t="n">
        <v>6055.57</v>
      </c>
      <c r="H13" s="12" t="n">
        <v>2166.67</v>
      </c>
      <c r="I13" s="12" t="n">
        <v>4250</v>
      </c>
      <c r="J13" s="64" t="n">
        <v>500</v>
      </c>
      <c r="K13" s="64" t="n">
        <v>500</v>
      </c>
      <c r="L13" s="64" t="n">
        <v>500</v>
      </c>
      <c r="M13" s="64" t="n">
        <v>500</v>
      </c>
      <c r="N13" s="12" t="n">
        <f aca="false">SUM(B13:M13)</f>
        <v>85861.14</v>
      </c>
      <c r="O13" s="24" t="n">
        <f aca="false">IFERROR(N13/N$16,"")</f>
        <v>0.0115654417036711</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n">
        <f aca="false">IFERROR(AG13/AG$16,"")</f>
        <v>0</v>
      </c>
      <c r="AI13" s="9"/>
      <c r="AJ13" s="12" t="n">
        <f aca="false">AG13-N13</f>
        <v>-85861.14</v>
      </c>
    </row>
    <row r="14" customFormat="false" ht="13.5" hidden="false" customHeight="true" outlineLevel="0" collapsed="false">
      <c r="A14" s="26" t="s">
        <v>1270</v>
      </c>
      <c r="B14" s="27" t="n">
        <f aca="false">SUM(B12:B13)</f>
        <v>542994.56</v>
      </c>
      <c r="C14" s="27" t="n">
        <f aca="false">SUM(C12:C13)</f>
        <v>503227.06</v>
      </c>
      <c r="D14" s="27" t="n">
        <f aca="false">SUM(D12:D13)</f>
        <v>486881.33</v>
      </c>
      <c r="E14" s="27" t="n">
        <f aca="false">SUM(E12:E13)</f>
        <v>499703.98</v>
      </c>
      <c r="F14" s="27" t="n">
        <f aca="false">SUM(F12:F13)</f>
        <v>519945.89</v>
      </c>
      <c r="G14" s="27" t="n">
        <f aca="false">SUM(G12:G13)</f>
        <v>479743</v>
      </c>
      <c r="H14" s="27" t="n">
        <f aca="false">SUM(H12:H13)</f>
        <v>456208.83</v>
      </c>
      <c r="I14" s="27" t="n">
        <f aca="false">SUM(I12:I13)</f>
        <v>471305.56</v>
      </c>
      <c r="J14" s="27" t="n">
        <f aca="false">SUM(J12:J13)</f>
        <v>531607.333333333</v>
      </c>
      <c r="K14" s="27" t="n">
        <f aca="false">SUM(K12:K13)</f>
        <v>627440.666666667</v>
      </c>
      <c r="L14" s="27" t="n">
        <f aca="false">SUM(L12:L13)</f>
        <v>652440.666666667</v>
      </c>
      <c r="M14" s="27" t="n">
        <f aca="false">SUM(M12:M13)</f>
        <v>677440.666666667</v>
      </c>
      <c r="N14" s="27" t="n">
        <f aca="false">SUM(B14:M14)</f>
        <v>6448939.54333333</v>
      </c>
      <c r="O14" s="28" t="n">
        <f aca="false">SUM(O12:O13)</f>
        <v>0.868668111545231</v>
      </c>
      <c r="P14" s="12"/>
      <c r="Q14" s="12"/>
      <c r="R14" s="63"/>
      <c r="S14" s="63"/>
      <c r="T14" s="63"/>
      <c r="U14" s="27" t="n">
        <f aca="false">SUM(U12:U13)</f>
        <v>783428.416666667</v>
      </c>
      <c r="V14" s="27" t="n">
        <f aca="false">SUM(V12:V13)</f>
        <v>821920.5</v>
      </c>
      <c r="W14" s="27" t="n">
        <f aca="false">SUM(W12:W13)</f>
        <v>807745.916666667</v>
      </c>
      <c r="X14" s="27" t="n">
        <f aca="false">SUM(X12:X13)</f>
        <v>907121.875</v>
      </c>
      <c r="Y14" s="27" t="n">
        <f aca="false">SUM(Y12:Y13)</f>
        <v>997375.833333334</v>
      </c>
      <c r="Z14" s="27" t="n">
        <f aca="false">SUM(Z12:Z13)</f>
        <v>1116046.45833333</v>
      </c>
      <c r="AA14" s="27" t="n">
        <f aca="false">SUM(AA12:AA13)</f>
        <v>1231592.08333333</v>
      </c>
      <c r="AB14" s="27" t="n">
        <f aca="false">SUM(AB12:AB13)</f>
        <v>1379626.04166667</v>
      </c>
      <c r="AC14" s="27" t="n">
        <f aca="false">SUM(AC12:AC13)</f>
        <v>1561856.66666667</v>
      </c>
      <c r="AD14" s="27" t="n">
        <f aca="false">SUM(AD12:AD13)</f>
        <v>1751627.29166667</v>
      </c>
      <c r="AE14" s="27" t="n">
        <f aca="false">SUM(AE12:AE13)</f>
        <v>1975163.25</v>
      </c>
      <c r="AF14" s="27" t="n">
        <f aca="false">SUM(AF12:AF13)</f>
        <v>2230141.20833333</v>
      </c>
      <c r="AG14" s="27" t="n">
        <f aca="false">SUM(U14:AF14)</f>
        <v>15563645.5416667</v>
      </c>
      <c r="AH14" s="28" t="n">
        <f aca="false">SUM(AH12:AH13)</f>
        <v>1</v>
      </c>
      <c r="AI14" s="9"/>
      <c r="AJ14" s="27" t="n">
        <f aca="false">AG14-N14</f>
        <v>9114705.99833334</v>
      </c>
    </row>
    <row r="15" customFormat="false" ht="13.5" hidden="false" customHeight="true" outlineLevel="0" collapsed="false">
      <c r="A15" s="23" t="s">
        <v>1271</v>
      </c>
      <c r="B15" s="12" t="n">
        <v>0</v>
      </c>
      <c r="C15" s="12" t="n">
        <v>0</v>
      </c>
      <c r="D15" s="12" t="n">
        <v>60000</v>
      </c>
      <c r="E15" s="12" t="n">
        <v>250000</v>
      </c>
      <c r="F15" s="12" t="n">
        <v>0</v>
      </c>
      <c r="G15" s="12" t="n">
        <v>0</v>
      </c>
      <c r="H15" s="12" t="n">
        <v>185000</v>
      </c>
      <c r="I15" s="12" t="n">
        <v>0</v>
      </c>
      <c r="J15" s="64" t="n">
        <f aca="false">720000/6</f>
        <v>120000</v>
      </c>
      <c r="K15" s="64" t="n">
        <f aca="false">720000/6</f>
        <v>120000</v>
      </c>
      <c r="L15" s="64" t="n">
        <f aca="false">720000/6</f>
        <v>120000</v>
      </c>
      <c r="M15" s="64" t="n">
        <f aca="false">720000/6</f>
        <v>120000</v>
      </c>
      <c r="N15" s="12" t="n">
        <f aca="false">SUM(B15:M15)</f>
        <v>975000</v>
      </c>
      <c r="O15" s="24" t="n">
        <f aca="false">IFERROR(N15/N$16,"")</f>
        <v>0.131331888454769</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n">
        <f aca="false">IFERROR(AG15/AG$16,"")</f>
        <v>0</v>
      </c>
      <c r="AI15" s="9"/>
      <c r="AJ15" s="12" t="n">
        <f aca="false">AG15-N15</f>
        <v>-975000</v>
      </c>
    </row>
    <row r="16" customFormat="false" ht="13.5" hidden="false" customHeight="true" outlineLevel="0" collapsed="false">
      <c r="A16" s="26" t="s">
        <v>1272</v>
      </c>
      <c r="B16" s="27" t="n">
        <f aca="false">B14+B15</f>
        <v>542994.56</v>
      </c>
      <c r="C16" s="27" t="n">
        <f aca="false">C14+C15</f>
        <v>503227.06</v>
      </c>
      <c r="D16" s="27" t="n">
        <f aca="false">D14+D15</f>
        <v>546881.33</v>
      </c>
      <c r="E16" s="27" t="n">
        <f aca="false">E14+E15</f>
        <v>749703.98</v>
      </c>
      <c r="F16" s="27" t="n">
        <f aca="false">F14+F15</f>
        <v>519945.89</v>
      </c>
      <c r="G16" s="27" t="n">
        <f aca="false">G14+G15</f>
        <v>479743</v>
      </c>
      <c r="H16" s="27" t="n">
        <f aca="false">H14+H15</f>
        <v>641208.83</v>
      </c>
      <c r="I16" s="27" t="n">
        <f aca="false">I14+I15</f>
        <v>471305.56</v>
      </c>
      <c r="J16" s="27" t="n">
        <f aca="false">J14+J15</f>
        <v>651607.333333333</v>
      </c>
      <c r="K16" s="27" t="n">
        <f aca="false">K14+K15</f>
        <v>747440.666666667</v>
      </c>
      <c r="L16" s="27" t="n">
        <f aca="false">L14+L15</f>
        <v>772440.666666667</v>
      </c>
      <c r="M16" s="27" t="n">
        <f aca="false">M14+M15</f>
        <v>797440.666666667</v>
      </c>
      <c r="N16" s="27" t="n">
        <f aca="false">SUM(B16:M16)</f>
        <v>7423939.54333333</v>
      </c>
      <c r="O16" s="28" t="n">
        <f aca="false">SUM(O14:O15)</f>
        <v>1</v>
      </c>
      <c r="P16" s="12"/>
      <c r="Q16" s="12"/>
      <c r="R16" s="63"/>
      <c r="S16" s="63"/>
      <c r="T16" s="63"/>
      <c r="U16" s="27" t="n">
        <f aca="false">U14+U15</f>
        <v>783428.416666667</v>
      </c>
      <c r="V16" s="27" t="n">
        <f aca="false">V14+V15</f>
        <v>821920.5</v>
      </c>
      <c r="W16" s="27" t="n">
        <f aca="false">W14+W15</f>
        <v>807745.916666667</v>
      </c>
      <c r="X16" s="27" t="n">
        <f aca="false">X14+X15</f>
        <v>907121.875</v>
      </c>
      <c r="Y16" s="27" t="n">
        <f aca="false">Y14+Y15</f>
        <v>997375.833333334</v>
      </c>
      <c r="Z16" s="27" t="n">
        <f aca="false">Z14+Z15</f>
        <v>1116046.45833333</v>
      </c>
      <c r="AA16" s="27" t="n">
        <f aca="false">AA14+AA15</f>
        <v>1231592.08333333</v>
      </c>
      <c r="AB16" s="27" t="n">
        <f aca="false">AB14+AB15</f>
        <v>1379626.04166667</v>
      </c>
      <c r="AC16" s="27" t="n">
        <f aca="false">AC14+AC15</f>
        <v>1561856.66666667</v>
      </c>
      <c r="AD16" s="27" t="n">
        <f aca="false">AD14+AD15</f>
        <v>1751627.29166667</v>
      </c>
      <c r="AE16" s="27" t="n">
        <f aca="false">AE14+AE15</f>
        <v>1975163.25</v>
      </c>
      <c r="AF16" s="27" t="n">
        <f aca="false">AF14+AF15</f>
        <v>2230141.20833333</v>
      </c>
      <c r="AG16" s="27" t="n">
        <f aca="false">SUM(U16:AF16)</f>
        <v>15563645.5416667</v>
      </c>
      <c r="AH16" s="28" t="n">
        <f aca="false">SUM(AH14:AH15)</f>
        <v>1</v>
      </c>
      <c r="AI16" s="9"/>
      <c r="AJ16" s="27" t="n">
        <f aca="false">AG16-N16</f>
        <v>8139705.99833334</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141122.35</v>
      </c>
      <c r="C19" s="12" t="n">
        <v>122211.9</v>
      </c>
      <c r="D19" s="12" t="n">
        <v>126630.2</v>
      </c>
      <c r="E19" s="12" t="n">
        <v>128215.48</v>
      </c>
      <c r="F19" s="12" t="n">
        <v>133968.64</v>
      </c>
      <c r="G19" s="12" t="n">
        <v>133968.64</v>
      </c>
      <c r="H19" s="12" t="n">
        <v>127510</v>
      </c>
      <c r="I19" s="12" t="n">
        <v>127510</v>
      </c>
      <c r="J19" s="64" t="n">
        <v>112797.85</v>
      </c>
      <c r="K19" s="64" t="n">
        <v>112797.85</v>
      </c>
      <c r="L19" s="64" t="n">
        <v>112797.85</v>
      </c>
      <c r="M19" s="64" t="n">
        <v>112797.85</v>
      </c>
      <c r="N19" s="12" t="n">
        <f aca="false">SUM(B19:M19)</f>
        <v>1492328.61</v>
      </c>
      <c r="O19" s="24" t="n">
        <f aca="false">IFERROR(N19/N$16,"")</f>
        <v>0.201015727739877</v>
      </c>
      <c r="P19" s="12"/>
      <c r="Q19" s="12"/>
      <c r="R19" s="60" t="s">
        <v>1398</v>
      </c>
      <c r="S19" s="61" t="n">
        <v>0</v>
      </c>
      <c r="T19" s="62" t="n">
        <v>0.05</v>
      </c>
      <c r="U19" s="59" t="n">
        <f aca="false">'Depreciation Schedule'!F79</f>
        <v>112797.85</v>
      </c>
      <c r="V19" s="59" t="n">
        <f aca="false">'Depreciation Schedule'!G79</f>
        <v>112797.85</v>
      </c>
      <c r="W19" s="59" t="n">
        <f aca="false">'Depreciation Schedule'!H79</f>
        <v>112797.85</v>
      </c>
      <c r="X19" s="59" t="n">
        <f aca="false">'Depreciation Schedule'!I79</f>
        <v>112797.85</v>
      </c>
      <c r="Y19" s="59" t="n">
        <f aca="false">'Depreciation Schedule'!J79</f>
        <v>112797.85</v>
      </c>
      <c r="Z19" s="59" t="n">
        <f aca="false">'Depreciation Schedule'!K79</f>
        <v>112797.85</v>
      </c>
      <c r="AA19" s="59" t="n">
        <f aca="false">'Depreciation Schedule'!L79</f>
        <v>112797.85</v>
      </c>
      <c r="AB19" s="59" t="n">
        <f aca="false">'Depreciation Schedule'!M79</f>
        <v>112797.85</v>
      </c>
      <c r="AC19" s="59" t="n">
        <f aca="false">'Depreciation Schedule'!N79</f>
        <v>112797.85</v>
      </c>
      <c r="AD19" s="59" t="n">
        <f aca="false">'Depreciation Schedule'!O79</f>
        <v>112797.85</v>
      </c>
      <c r="AE19" s="59" t="n">
        <f aca="false">'Depreciation Schedule'!P79</f>
        <v>112797.85</v>
      </c>
      <c r="AF19" s="59" t="n">
        <f aca="false">'Depreciation Schedule'!Q79</f>
        <v>112797.85</v>
      </c>
      <c r="AG19" s="12" t="n">
        <f aca="false">SUM(U19:AF19)</f>
        <v>1353574.2</v>
      </c>
      <c r="AH19" s="24" t="n">
        <f aca="false">IFERROR(AG19/AG$16,"")</f>
        <v>0.0869702536193233</v>
      </c>
      <c r="AI19" s="9" t="s">
        <v>1402</v>
      </c>
      <c r="AJ19" s="12" t="n">
        <f aca="false">N19-AG19</f>
        <v>138754.41</v>
      </c>
    </row>
    <row r="20" customFormat="false" ht="13.5" hidden="false" customHeight="true" outlineLevel="0" collapsed="false">
      <c r="A20" s="23" t="s">
        <v>1276</v>
      </c>
      <c r="B20" s="12" t="n">
        <v>0</v>
      </c>
      <c r="C20" s="12" t="n">
        <v>0</v>
      </c>
      <c r="D20" s="12" t="n">
        <v>1677.96</v>
      </c>
      <c r="E20" s="12" t="n">
        <v>3263.24</v>
      </c>
      <c r="F20" s="12" t="n">
        <v>3263.24</v>
      </c>
      <c r="G20" s="12" t="n">
        <v>11653.04</v>
      </c>
      <c r="H20" s="12" t="n">
        <v>7458.14</v>
      </c>
      <c r="I20" s="12" t="n">
        <v>9836.06</v>
      </c>
      <c r="J20" s="64" t="n">
        <v>8837.75714285714</v>
      </c>
      <c r="K20" s="64" t="n">
        <v>15802.0428571429</v>
      </c>
      <c r="L20" s="64" t="n">
        <v>18123.4714285714</v>
      </c>
      <c r="M20" s="64" t="n">
        <v>20444.9</v>
      </c>
      <c r="N20" s="12" t="n">
        <f aca="false">SUM(B20:M20)</f>
        <v>100359.851428571</v>
      </c>
      <c r="O20" s="24" t="n">
        <f aca="false">IFERROR(N20/N$16,"")</f>
        <v>0.0135184090391326</v>
      </c>
      <c r="P20" s="12"/>
      <c r="Q20" s="12"/>
      <c r="R20" s="60" t="s">
        <v>1398</v>
      </c>
      <c r="S20" s="61" t="n">
        <v>0</v>
      </c>
      <c r="T20" s="62" t="n">
        <v>0.05</v>
      </c>
      <c r="U20" s="59" t="n">
        <f aca="false">'Depreciation Schedule'!F80</f>
        <v>35921.0904761905</v>
      </c>
      <c r="V20" s="59" t="n">
        <f aca="false">'Depreciation Schedule'!G80</f>
        <v>42111.5666666667</v>
      </c>
      <c r="W20" s="59" t="n">
        <f aca="false">'Depreciation Schedule'!H80</f>
        <v>42111.5666666667</v>
      </c>
      <c r="X20" s="59" t="n">
        <f aca="false">'Depreciation Schedule'!I80</f>
        <v>59135.3761904762</v>
      </c>
      <c r="Y20" s="59" t="n">
        <f aca="false">'Depreciation Schedule'!J80</f>
        <v>69968.7095238095</v>
      </c>
      <c r="Z20" s="59" t="n">
        <f aca="false">'Depreciation Schedule'!K80</f>
        <v>85444.9</v>
      </c>
      <c r="AA20" s="59" t="n">
        <f aca="false">'Depreciation Schedule'!L80</f>
        <v>99373.4714285714</v>
      </c>
      <c r="AB20" s="59" t="n">
        <f aca="false">'Depreciation Schedule'!M80</f>
        <v>116397.280952381</v>
      </c>
      <c r="AC20" s="59" t="n">
        <f aca="false">'Depreciation Schedule'!N80</f>
        <v>138063.947619048</v>
      </c>
      <c r="AD20" s="59" t="n">
        <f aca="false">'Depreciation Schedule'!O80</f>
        <v>159730.614285714</v>
      </c>
      <c r="AE20" s="59" t="n">
        <f aca="false">'Depreciation Schedule'!P80</f>
        <v>186040.138095238</v>
      </c>
      <c r="AF20" s="59" t="n">
        <f aca="false">'Depreciation Schedule'!Q80</f>
        <v>213897.280952381</v>
      </c>
      <c r="AG20" s="12" t="n">
        <f aca="false">SUM(U20:AF20)</f>
        <v>1248195.94285714</v>
      </c>
      <c r="AH20" s="24" t="n">
        <f aca="false">IFERROR(AG20/AG$16,"")</f>
        <v>0.0801994583798184</v>
      </c>
      <c r="AI20" s="9" t="s">
        <v>1403</v>
      </c>
      <c r="AJ20" s="12" t="n">
        <f aca="false">N20-AG20</f>
        <v>-1147836.09142857</v>
      </c>
    </row>
    <row r="21" customFormat="false" ht="13.5" hidden="false" customHeight="true" outlineLevel="0" collapsed="false">
      <c r="A21" s="23" t="s">
        <v>1277</v>
      </c>
      <c r="B21" s="12" t="n">
        <v>0</v>
      </c>
      <c r="C21" s="12" t="n">
        <v>0</v>
      </c>
      <c r="D21" s="12" t="n">
        <v>0</v>
      </c>
      <c r="E21" s="12" t="n">
        <v>1791.23</v>
      </c>
      <c r="F21" s="12" t="n">
        <v>3124.54</v>
      </c>
      <c r="G21" s="12" t="n">
        <v>4796.43</v>
      </c>
      <c r="H21" s="12" t="n">
        <v>3293.79</v>
      </c>
      <c r="I21" s="12" t="n">
        <v>3909.48</v>
      </c>
      <c r="J21" s="64" t="n">
        <v>2969.30666666667</v>
      </c>
      <c r="K21" s="64" t="n">
        <v>4902.64</v>
      </c>
      <c r="L21" s="64" t="n">
        <v>5702.64</v>
      </c>
      <c r="M21" s="64" t="n">
        <v>6502.64</v>
      </c>
      <c r="N21" s="12" t="n">
        <f aca="false">SUM(B21:M21)</f>
        <v>36992.6966666667</v>
      </c>
      <c r="O21" s="24" t="n">
        <f aca="false">IFERROR(N21/N$16,"")</f>
        <v>0.00498289303822335</v>
      </c>
      <c r="P21" s="12"/>
      <c r="Q21" s="12"/>
      <c r="R21" s="60" t="s">
        <v>1398</v>
      </c>
      <c r="S21" s="61" t="n">
        <v>0</v>
      </c>
      <c r="T21" s="62" t="n">
        <v>0.05</v>
      </c>
      <c r="U21" s="59" t="n">
        <f aca="false">'Depreciation Schedule'!F81</f>
        <v>10502.64</v>
      </c>
      <c r="V21" s="59" t="n">
        <f aca="false">'Depreciation Schedule'!G81</f>
        <v>12102.64</v>
      </c>
      <c r="W21" s="59" t="n">
        <f aca="false">'Depreciation Schedule'!H81</f>
        <v>12102.64</v>
      </c>
      <c r="X21" s="59" t="n">
        <f aca="false">'Depreciation Schedule'!I81</f>
        <v>17835.9733333333</v>
      </c>
      <c r="Y21" s="59" t="n">
        <f aca="false">'Depreciation Schedule'!J81</f>
        <v>21902.64</v>
      </c>
      <c r="Z21" s="59" t="n">
        <f aca="false">'Depreciation Schedule'!K81</f>
        <v>28435.9733333333</v>
      </c>
      <c r="AA21" s="59" t="n">
        <f aca="false">'Depreciation Schedule'!L81</f>
        <v>33302.64</v>
      </c>
      <c r="AB21" s="59" t="n">
        <f aca="false">'Depreciation Schedule'!M81</f>
        <v>38969.3066666667</v>
      </c>
      <c r="AC21" s="59" t="n">
        <f aca="false">'Depreciation Schedule'!N81</f>
        <v>47102.64</v>
      </c>
      <c r="AD21" s="59" t="n">
        <f aca="false">'Depreciation Schedule'!O81</f>
        <v>55235.9733333333</v>
      </c>
      <c r="AE21" s="59" t="n">
        <f aca="false">'Depreciation Schedule'!P81</f>
        <v>65835.9733333333</v>
      </c>
      <c r="AF21" s="59" t="n">
        <f aca="false">'Depreciation Schedule'!Q81</f>
        <v>75569.3066666667</v>
      </c>
      <c r="AG21" s="12" t="n">
        <f aca="false">SUM(U21:AF21)</f>
        <v>418898.346666667</v>
      </c>
      <c r="AH21" s="24" t="n">
        <f aca="false">IFERROR(AG21/AG$16,"")</f>
        <v>0.0269151816356393</v>
      </c>
      <c r="AI21" s="9" t="s">
        <v>1404</v>
      </c>
      <c r="AJ21" s="12" t="n">
        <f aca="false">N21-AG21</f>
        <v>-381905.65</v>
      </c>
    </row>
    <row r="22" customFormat="false" ht="13.5" hidden="false" customHeight="true" outlineLevel="0" collapsed="false">
      <c r="A22" s="23" t="s">
        <v>1278</v>
      </c>
      <c r="B22" s="12" t="n">
        <v>8211.9</v>
      </c>
      <c r="C22" s="12" t="n">
        <v>10913.63</v>
      </c>
      <c r="D22" s="12" t="n">
        <v>10939.43</v>
      </c>
      <c r="E22" s="12" t="n">
        <v>13555.74</v>
      </c>
      <c r="F22" s="12" t="n">
        <v>13555.75</v>
      </c>
      <c r="G22" s="12" t="n">
        <v>13770.42</v>
      </c>
      <c r="H22" s="12" t="n">
        <v>8508.95</v>
      </c>
      <c r="I22" s="12" t="n">
        <v>8591.56</v>
      </c>
      <c r="J22" s="64" t="n">
        <v>14866.9966666667</v>
      </c>
      <c r="K22" s="64" t="n">
        <v>17475.33</v>
      </c>
      <c r="L22" s="64" t="n">
        <v>18500.33</v>
      </c>
      <c r="M22" s="64" t="n">
        <v>19525.33</v>
      </c>
      <c r="N22" s="12" t="n">
        <f aca="false">SUM(B22:M22)</f>
        <v>158415.366666667</v>
      </c>
      <c r="O22" s="24" t="n">
        <f aca="false">IFERROR(N22/N$16,"")</f>
        <v>0.0213384505277825</v>
      </c>
      <c r="P22" s="12"/>
      <c r="Q22" s="12"/>
      <c r="R22" s="60" t="s">
        <v>1398</v>
      </c>
      <c r="S22" s="61" t="n">
        <v>0</v>
      </c>
      <c r="T22" s="62" t="n">
        <v>0.05</v>
      </c>
      <c r="U22" s="59" t="n">
        <f aca="false">'Depreciation Schedule'!F82</f>
        <v>20510.449047619</v>
      </c>
      <c r="V22" s="59" t="n">
        <f aca="false">'Depreciation Schedule'!G82</f>
        <v>20904.4966666667</v>
      </c>
      <c r="W22" s="59" t="n">
        <f aca="false">'Depreciation Schedule'!H82</f>
        <v>20904.4966666667</v>
      </c>
      <c r="X22" s="59" t="n">
        <f aca="false">'Depreciation Schedule'!I82</f>
        <v>21988.1276190476</v>
      </c>
      <c r="Y22" s="59" t="n">
        <f aca="false">'Depreciation Schedule'!J82</f>
        <v>22677.710952381</v>
      </c>
      <c r="Z22" s="59" t="n">
        <f aca="false">'Depreciation Schedule'!K82</f>
        <v>23662.83</v>
      </c>
      <c r="AA22" s="59" t="n">
        <f aca="false">'Depreciation Schedule'!L82</f>
        <v>24549.4371428571</v>
      </c>
      <c r="AB22" s="59" t="n">
        <f aca="false">'Depreciation Schedule'!M82</f>
        <v>25633.0680952381</v>
      </c>
      <c r="AC22" s="59" t="n">
        <f aca="false">'Depreciation Schedule'!N82</f>
        <v>27012.2347619048</v>
      </c>
      <c r="AD22" s="59" t="n">
        <f aca="false">'Depreciation Schedule'!O82</f>
        <v>28391.4014285714</v>
      </c>
      <c r="AE22" s="59" t="n">
        <f aca="false">'Depreciation Schedule'!P82</f>
        <v>30066.1038095238</v>
      </c>
      <c r="AF22" s="59" t="n">
        <f aca="false">'Depreciation Schedule'!Q82</f>
        <v>31839.3180952381</v>
      </c>
      <c r="AG22" s="12" t="n">
        <f aca="false">SUM(U22:AF22)</f>
        <v>298139.674285714</v>
      </c>
      <c r="AH22" s="24" t="n">
        <f aca="false">IFERROR(AG22/AG$16,"")</f>
        <v>0.0191561593643045</v>
      </c>
      <c r="AI22" s="9" t="s">
        <v>1405</v>
      </c>
      <c r="AJ22" s="12" t="n">
        <f aca="false">N22-AG22</f>
        <v>-139724.307619048</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1994.3</v>
      </c>
      <c r="C24" s="12" t="n">
        <v>2984.35</v>
      </c>
      <c r="D24" s="12" t="n">
        <v>10270.19</v>
      </c>
      <c r="E24" s="12" t="n">
        <v>6439.02</v>
      </c>
      <c r="F24" s="12" t="n">
        <v>0</v>
      </c>
      <c r="G24" s="12" t="n">
        <v>-544.45</v>
      </c>
      <c r="H24" s="12" t="n">
        <v>0</v>
      </c>
      <c r="I24" s="12" t="n">
        <v>93.45</v>
      </c>
      <c r="J24" s="64" t="n">
        <v>8800</v>
      </c>
      <c r="K24" s="64" t="n">
        <v>5400</v>
      </c>
      <c r="L24" s="64" t="n">
        <v>5400</v>
      </c>
      <c r="M24" s="64" t="n">
        <v>5400</v>
      </c>
      <c r="N24" s="12" t="n">
        <f aca="false">SUM(B24:M24)</f>
        <v>46236.86</v>
      </c>
      <c r="O24" s="24" t="n">
        <f aca="false">IFERROR(N24/N$16,"")</f>
        <v>0.00622807604104488</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n">
        <f aca="false">IFERROR(AG24/AG$16,"")</f>
        <v>0</v>
      </c>
      <c r="AI24" s="9"/>
      <c r="AJ24" s="12" t="n">
        <f aca="false">N24-AG24</f>
        <v>46236.86</v>
      </c>
    </row>
    <row r="25" customFormat="false" ht="13.5" hidden="false" customHeight="true" outlineLevel="0" collapsed="false">
      <c r="A25" s="23" t="s">
        <v>1280</v>
      </c>
      <c r="B25" s="12" t="n">
        <v>0</v>
      </c>
      <c r="C25" s="12" t="n">
        <v>250</v>
      </c>
      <c r="D25" s="12" t="n">
        <v>2122.44</v>
      </c>
      <c r="E25" s="12" t="n">
        <v>0</v>
      </c>
      <c r="F25" s="12" t="n">
        <v>0</v>
      </c>
      <c r="G25" s="12" t="n">
        <v>-86.24</v>
      </c>
      <c r="H25" s="12" t="n">
        <v>0</v>
      </c>
      <c r="I25" s="12" t="n">
        <v>1638.89</v>
      </c>
      <c r="J25" s="64" t="n">
        <v>0</v>
      </c>
      <c r="K25" s="64" t="n">
        <v>0</v>
      </c>
      <c r="L25" s="64" t="n">
        <v>0</v>
      </c>
      <c r="M25" s="64" t="n">
        <v>0</v>
      </c>
      <c r="N25" s="12" t="n">
        <f aca="false">SUM(B25:M25)</f>
        <v>3925.09</v>
      </c>
      <c r="O25" s="24" t="n">
        <f aca="false">IFERROR(N25/N$16,"")</f>
        <v>0.000528707161081978</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n">
        <f aca="false">IFERROR(AG25/AG$16,"")</f>
        <v>0</v>
      </c>
      <c r="AI25" s="9"/>
      <c r="AJ25" s="12" t="n">
        <f aca="false">N25-AG25</f>
        <v>3925.09</v>
      </c>
    </row>
    <row r="26" customFormat="false" ht="13.5" hidden="false" customHeight="true" outlineLevel="0" collapsed="false">
      <c r="A26" s="23" t="s">
        <v>1281</v>
      </c>
      <c r="B26" s="12" t="n">
        <v>0</v>
      </c>
      <c r="C26" s="12" t="n">
        <v>85</v>
      </c>
      <c r="D26" s="12" t="n">
        <v>149.33</v>
      </c>
      <c r="E26" s="12" t="n">
        <v>2145.88</v>
      </c>
      <c r="F26" s="12" t="n">
        <v>98.2</v>
      </c>
      <c r="G26" s="12" t="n">
        <v>-32.02</v>
      </c>
      <c r="H26" s="12" t="n">
        <v>852.51</v>
      </c>
      <c r="I26" s="12" t="n">
        <v>2935.91</v>
      </c>
      <c r="J26" s="64" t="n">
        <v>200</v>
      </c>
      <c r="K26" s="64" t="n">
        <v>200</v>
      </c>
      <c r="L26" s="64" t="n">
        <v>200</v>
      </c>
      <c r="M26" s="64" t="n">
        <v>200</v>
      </c>
      <c r="N26" s="12" t="n">
        <f aca="false">SUM(B26:M26)</f>
        <v>7034.81</v>
      </c>
      <c r="O26" s="24" t="n">
        <f aca="false">IFERROR(N26/N$16,"")</f>
        <v>0.00094758449458512</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n">
        <f aca="false">IFERROR(AG26/AG$16,"")</f>
        <v>0</v>
      </c>
      <c r="AI26" s="9"/>
      <c r="AJ26" s="12" t="n">
        <f aca="false">N26-AG26</f>
        <v>7034.81</v>
      </c>
    </row>
    <row r="27" customFormat="false" ht="13.5" hidden="false" customHeight="true" outlineLevel="0" collapsed="false">
      <c r="A27" s="26" t="s">
        <v>1282</v>
      </c>
      <c r="B27" s="27" t="n">
        <f aca="false">SUM(B24:B26)</f>
        <v>1994.3</v>
      </c>
      <c r="C27" s="27" t="n">
        <f aca="false">SUM(C24:C26)</f>
        <v>3319.35</v>
      </c>
      <c r="D27" s="27" t="n">
        <f aca="false">SUM(D24:D26)</f>
        <v>12541.96</v>
      </c>
      <c r="E27" s="27" t="n">
        <f aca="false">SUM(E24:E26)</f>
        <v>8584.9</v>
      </c>
      <c r="F27" s="27" t="n">
        <f aca="false">SUM(F24:F26)</f>
        <v>98.2</v>
      </c>
      <c r="G27" s="27" t="n">
        <f aca="false">SUM(G24:G26)</f>
        <v>-662.71</v>
      </c>
      <c r="H27" s="27" t="n">
        <f aca="false">SUM(H24:H26)</f>
        <v>852.51</v>
      </c>
      <c r="I27" s="27" t="n">
        <f aca="false">SUM(I24:I26)</f>
        <v>4668.25</v>
      </c>
      <c r="J27" s="27" t="n">
        <f aca="false">SUM(J24:J26)</f>
        <v>9000</v>
      </c>
      <c r="K27" s="27" t="n">
        <f aca="false">SUM(K24:K26)</f>
        <v>5600</v>
      </c>
      <c r="L27" s="27" t="n">
        <f aca="false">SUM(L24:L26)</f>
        <v>5600</v>
      </c>
      <c r="M27" s="27" t="n">
        <f aca="false">SUM(M24:M26)</f>
        <v>5600</v>
      </c>
      <c r="N27" s="27" t="n">
        <f aca="false">SUM(B27:M27)</f>
        <v>57196.76</v>
      </c>
      <c r="O27" s="28" t="n">
        <f aca="false">IFERROR(N27/N$16,"")</f>
        <v>0.00770436769671198</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n">
        <f aca="false">IFERROR(AG27/AG$16,"")</f>
        <v>0</v>
      </c>
      <c r="AI27" s="9"/>
      <c r="AJ27" s="27" t="n">
        <f aca="false">N27-AG27</f>
        <v>57196.76</v>
      </c>
    </row>
    <row r="28" customFormat="false" ht="13.5" hidden="false" customHeight="true" outlineLevel="0" collapsed="false">
      <c r="A28" s="23" t="s">
        <v>1283</v>
      </c>
      <c r="B28" s="12" t="n">
        <v>3083.02</v>
      </c>
      <c r="C28" s="12" t="n">
        <v>3250.63</v>
      </c>
      <c r="D28" s="12" t="n">
        <v>8171.08</v>
      </c>
      <c r="E28" s="12" t="n">
        <v>4055.09</v>
      </c>
      <c r="F28" s="12" t="n">
        <v>983.17</v>
      </c>
      <c r="G28" s="12" t="n">
        <v>1134.99</v>
      </c>
      <c r="H28" s="12" t="n">
        <v>2637.34</v>
      </c>
      <c r="I28" s="12" t="n">
        <v>19.97</v>
      </c>
      <c r="J28" s="64" t="n">
        <v>6200</v>
      </c>
      <c r="K28" s="64" t="n">
        <v>4700</v>
      </c>
      <c r="L28" s="64" t="n">
        <v>4700</v>
      </c>
      <c r="M28" s="64" t="n">
        <v>4700</v>
      </c>
      <c r="N28" s="12" t="n">
        <f aca="false">SUM(B28:M28)</f>
        <v>43635.29</v>
      </c>
      <c r="O28" s="24" t="n">
        <f aca="false">IFERROR(N28/N$16,"")</f>
        <v>0.00587764619381691</v>
      </c>
      <c r="P28" s="12"/>
      <c r="Q28" s="12"/>
      <c r="R28" s="60" t="s">
        <v>1397</v>
      </c>
      <c r="S28" s="61" t="n">
        <v>65000</v>
      </c>
      <c r="T28" s="62" t="n">
        <v>0.2</v>
      </c>
      <c r="U28" s="59" t="n">
        <f aca="false">IF($R28="Manual","",IFERROR(IF($R28="YOY Growth",$N28*(1+$T28)/12,$S28/12),""))+5000</f>
        <v>10416.6666666667</v>
      </c>
      <c r="V28" s="59" t="n">
        <f aca="false">IF($R28="Manual","",IFERROR(IF($R28="YOY Growth",$N28*(1+$T28)/12,$S28/12),""))</f>
        <v>5416.66666666667</v>
      </c>
      <c r="W28" s="59" t="n">
        <f aca="false">IF($R28="Manual","",IFERROR(IF($R28="YOY Growth",$N28*(1+$T28)/12,$S28/12),""))</f>
        <v>5416.66666666667</v>
      </c>
      <c r="X28" s="59" t="n">
        <f aca="false">IF($R28="Manual","",IFERROR(IF($R28="YOY Growth",$N28*(1+$T28)/12,$S28/12),""))</f>
        <v>5416.66666666667</v>
      </c>
      <c r="Y28" s="59" t="n">
        <f aca="false">IF($R28="Manual","",IFERROR(IF($R28="YOY Growth",$N28*(1+$T28)/12,$S28/12),""))+5000</f>
        <v>10416.6666666667</v>
      </c>
      <c r="Z28" s="59" t="n">
        <f aca="false">IF($R28="Manual","",IFERROR(IF($R28="YOY Growth",$N28*(1+$T28)/12,$S28/12),""))*Z146</f>
        <v>5958.33333333333</v>
      </c>
      <c r="AA28" s="59" t="n">
        <f aca="false">IF($R28="Manual","",IFERROR(IF($R28="YOY Growth",$N28*(1+$T28)/12,$S28/12),""))*AA146</f>
        <v>6229.16666666667</v>
      </c>
      <c r="AB28" s="59" t="n">
        <f aca="false">IF($R28="Manual","",IFERROR(IF($R28="YOY Growth",$N28*(1+$T28)/12,$S28/12),""))*AB146</f>
        <v>6500</v>
      </c>
      <c r="AC28" s="59" t="n">
        <f aca="false">IF($R28="Manual","",IFERROR(IF($R28="YOY Growth",$N28*(1+$T28)/12,$S28/12),""))*AC146</f>
        <v>6770.83333333333</v>
      </c>
      <c r="AD28" s="59" t="n">
        <f aca="false">IF($R28="Manual","",IFERROR(IF($R28="YOY Growth",$N28*(1+$T28)/12,$S28/12),""))+5000</f>
        <v>10416.6666666667</v>
      </c>
      <c r="AE28" s="59" t="n">
        <f aca="false">IF($R28="Manual","",IFERROR(IF($R28="YOY Growth",$N28*(1+$T28)/12,$S28/12),""))*AE146</f>
        <v>7312.5</v>
      </c>
      <c r="AF28" s="59" t="n">
        <f aca="false">IF($R28="Manual","",IFERROR(IF($R28="YOY Growth",$N28*(1+$T28)/12,$S28/12),""))*AF146</f>
        <v>7583.33333333333</v>
      </c>
      <c r="AG28" s="12" t="n">
        <f aca="false">SUM(U28:AF28)</f>
        <v>87854.1666666667</v>
      </c>
      <c r="AH28" s="24" t="n">
        <f aca="false">IFERROR(AG28/AG$16,"")</f>
        <v>0.00564483214626453</v>
      </c>
      <c r="AI28" s="9" t="s">
        <v>1406</v>
      </c>
      <c r="AJ28" s="12" t="n">
        <f aca="false">N28-AG28</f>
        <v>-44218.8766666667</v>
      </c>
    </row>
    <row r="29" customFormat="false" ht="13.5" hidden="false" customHeight="true" outlineLevel="0" collapsed="false">
      <c r="A29" s="23" t="s">
        <v>1284</v>
      </c>
      <c r="B29" s="12" t="n">
        <v>0</v>
      </c>
      <c r="C29" s="12" t="n">
        <v>0</v>
      </c>
      <c r="D29" s="12" t="n">
        <v>1400</v>
      </c>
      <c r="E29" s="12" t="n">
        <v>19879.38</v>
      </c>
      <c r="F29" s="12" t="n">
        <v>84.54</v>
      </c>
      <c r="G29" s="12" t="n">
        <v>-7.82</v>
      </c>
      <c r="H29" s="12" t="n">
        <v>0</v>
      </c>
      <c r="I29" s="12" t="n">
        <v>0</v>
      </c>
      <c r="J29" s="64" t="n">
        <v>2000</v>
      </c>
      <c r="K29" s="64" t="n">
        <v>2000</v>
      </c>
      <c r="L29" s="64" t="n">
        <v>0</v>
      </c>
      <c r="M29" s="64" t="n">
        <v>0</v>
      </c>
      <c r="N29" s="12" t="n">
        <f aca="false">SUM(B29:M29)</f>
        <v>25356.1</v>
      </c>
      <c r="O29" s="24" t="n">
        <f aca="false">IFERROR(N29/N$16,"")</f>
        <v>0.00341545076599791</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n">
        <f aca="false">IFERROR(AG29/AG$16,"")</f>
        <v>0</v>
      </c>
      <c r="AI29" s="9" t="s">
        <v>1407</v>
      </c>
      <c r="AJ29" s="12" t="n">
        <f aca="false">N29-AG29</f>
        <v>25356.1</v>
      </c>
    </row>
    <row r="30" customFormat="false" ht="13.5" hidden="false" customHeight="true" outlineLevel="0" collapsed="false">
      <c r="A30" s="23" t="s">
        <v>1285</v>
      </c>
      <c r="B30" s="12" t="n">
        <v>0</v>
      </c>
      <c r="C30" s="12" t="n">
        <v>0</v>
      </c>
      <c r="D30" s="12" t="n">
        <v>0</v>
      </c>
      <c r="E30" s="12" t="n">
        <v>0</v>
      </c>
      <c r="F30" s="12" t="n">
        <v>0</v>
      </c>
      <c r="G30" s="12" t="n">
        <v>0</v>
      </c>
      <c r="H30" s="12" t="n">
        <v>0</v>
      </c>
      <c r="I30" s="12" t="n">
        <v>96.96</v>
      </c>
      <c r="J30" s="59"/>
      <c r="K30" s="59"/>
      <c r="L30" s="59"/>
      <c r="M30" s="59"/>
      <c r="N30" s="12" t="n">
        <f aca="false">SUM(B30:M30)</f>
        <v>96.96</v>
      </c>
      <c r="O30" s="24" t="n">
        <f aca="false">IFERROR(N30/N$16,"")</f>
        <v>1.30604511841788E-005</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n">
        <f aca="false">IFERROR(AG30/AG$16,"")</f>
        <v>0</v>
      </c>
      <c r="AI30" s="9"/>
      <c r="AJ30" s="12" t="n">
        <f aca="false">N30-AG30</f>
        <v>96.96</v>
      </c>
    </row>
    <row r="31" customFormat="false" ht="13.5" hidden="false" customHeight="true" outlineLevel="0" collapsed="false">
      <c r="A31" s="23" t="s">
        <v>1286</v>
      </c>
      <c r="B31" s="12" t="n">
        <v>0</v>
      </c>
      <c r="C31" s="12" t="n">
        <v>0</v>
      </c>
      <c r="D31" s="12" t="n">
        <v>175</v>
      </c>
      <c r="E31" s="12" t="n">
        <v>44.2</v>
      </c>
      <c r="F31" s="12" t="n">
        <v>0</v>
      </c>
      <c r="G31" s="12" t="n">
        <v>-7.08</v>
      </c>
      <c r="H31" s="12" t="n">
        <v>0</v>
      </c>
      <c r="I31" s="12" t="n">
        <v>0</v>
      </c>
      <c r="J31" s="64" t="n">
        <v>0</v>
      </c>
      <c r="K31" s="64" t="n">
        <v>0</v>
      </c>
      <c r="L31" s="64" t="n">
        <v>0</v>
      </c>
      <c r="M31" s="64" t="n">
        <v>0</v>
      </c>
      <c r="N31" s="12" t="n">
        <f aca="false">SUM(B31:M31)</f>
        <v>212.12</v>
      </c>
      <c r="O31" s="24" t="n">
        <f aca="false">IFERROR(N31/N$16,"")</f>
        <v>2.85724309528467E-005</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n">
        <f aca="false">IFERROR(AG31/AG$16,"")</f>
        <v>0</v>
      </c>
      <c r="AI31" s="9"/>
      <c r="AJ31" s="12" t="n">
        <f aca="false">N31-AG31</f>
        <v>212.12</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29333.47</v>
      </c>
      <c r="D33" s="12" t="n">
        <v>-53487.1</v>
      </c>
      <c r="E33" s="12" t="n">
        <v>21646.72</v>
      </c>
      <c r="F33" s="12" t="n">
        <v>17259.93</v>
      </c>
      <c r="G33" s="12" t="n">
        <v>17454.2</v>
      </c>
      <c r="H33" s="12" t="n">
        <v>20023.74</v>
      </c>
      <c r="I33" s="12" t="n">
        <v>14849.42</v>
      </c>
      <c r="J33" s="64" t="n">
        <v>17500</v>
      </c>
      <c r="K33" s="64" t="n">
        <v>17500</v>
      </c>
      <c r="L33" s="64" t="n">
        <v>17500</v>
      </c>
      <c r="M33" s="64" t="n">
        <v>17500</v>
      </c>
      <c r="N33" s="12" t="n">
        <f aca="false">SUM(B33:M33)</f>
        <v>137080.38</v>
      </c>
      <c r="O33" s="24" t="n">
        <f aca="false">IFERROR(N33/N$16,"")</f>
        <v>0.0184646412056383</v>
      </c>
      <c r="P33" s="12"/>
      <c r="Q33" s="12"/>
      <c r="R33" s="67"/>
      <c r="S33" s="67"/>
      <c r="T33" s="67"/>
      <c r="U33" s="67" t="n">
        <v>43450</v>
      </c>
      <c r="V33" s="67" t="n">
        <v>43450</v>
      </c>
      <c r="W33" s="67" t="n">
        <v>43450</v>
      </c>
      <c r="X33" s="67" t="n">
        <v>43450</v>
      </c>
      <c r="Y33" s="67" t="n">
        <v>43450</v>
      </c>
      <c r="Z33" s="67" t="n">
        <v>43450</v>
      </c>
      <c r="AA33" s="67" t="n">
        <v>43450</v>
      </c>
      <c r="AB33" s="67" t="n">
        <v>43450</v>
      </c>
      <c r="AC33" s="67" t="n">
        <v>43450</v>
      </c>
      <c r="AD33" s="67" t="n">
        <v>44753.5</v>
      </c>
      <c r="AE33" s="67" t="n">
        <v>44753.5</v>
      </c>
      <c r="AF33" s="67" t="n">
        <v>44753.5</v>
      </c>
      <c r="AG33" s="12" t="n">
        <f aca="false">SUM(U33:AF33)</f>
        <v>525310.5</v>
      </c>
      <c r="AH33" s="24" t="n">
        <f aca="false">IFERROR(AG33/AG$16,"")</f>
        <v>0.033752407081853</v>
      </c>
      <c r="AI33" s="9"/>
      <c r="AJ33" s="12" t="n">
        <f aca="false">N33-AG33</f>
        <v>-388230.12</v>
      </c>
    </row>
    <row r="34" customFormat="false" ht="13.5" hidden="false" customHeight="true" outlineLevel="0" collapsed="false">
      <c r="A34" s="23" t="s">
        <v>1289</v>
      </c>
      <c r="B34" s="12" t="n">
        <v>0</v>
      </c>
      <c r="C34" s="12" t="n">
        <v>1065.32</v>
      </c>
      <c r="D34" s="12" t="n">
        <v>-1003.17</v>
      </c>
      <c r="E34" s="12" t="n">
        <v>703.54</v>
      </c>
      <c r="F34" s="12" t="n">
        <v>618.04</v>
      </c>
      <c r="G34" s="12" t="n">
        <v>634.79</v>
      </c>
      <c r="H34" s="12" t="n">
        <v>768.4</v>
      </c>
      <c r="I34" s="12" t="n">
        <v>592.79</v>
      </c>
      <c r="J34" s="64" t="n">
        <v>648</v>
      </c>
      <c r="K34" s="64" t="n">
        <v>648</v>
      </c>
      <c r="L34" s="64" t="n">
        <v>648</v>
      </c>
      <c r="M34" s="64" t="n">
        <v>648</v>
      </c>
      <c r="N34" s="12" t="n">
        <f aca="false">SUM(B34:M34)</f>
        <v>5971.71</v>
      </c>
      <c r="O34" s="24" t="n">
        <f aca="false">IFERROR(N34/N$16,"")</f>
        <v>0.000804385591388951</v>
      </c>
      <c r="P34" s="12"/>
      <c r="Q34" s="12"/>
      <c r="R34" s="67"/>
      <c r="S34" s="67"/>
      <c r="T34" s="67"/>
      <c r="U34" s="67" t="n">
        <v>1580.22856962794</v>
      </c>
      <c r="V34" s="67" t="n">
        <v>1580.22856962794</v>
      </c>
      <c r="W34" s="67" t="n">
        <v>1580.22856962794</v>
      </c>
      <c r="X34" s="67" t="n">
        <v>1580.22856962794</v>
      </c>
      <c r="Y34" s="67" t="n">
        <v>1580.22856962794</v>
      </c>
      <c r="Z34" s="67" t="n">
        <v>1580.22856962794</v>
      </c>
      <c r="AA34" s="67" t="n">
        <v>1580.22856962794</v>
      </c>
      <c r="AB34" s="67" t="n">
        <v>1580.22856962794</v>
      </c>
      <c r="AC34" s="67" t="n">
        <v>1580.22856962794</v>
      </c>
      <c r="AD34" s="67" t="n">
        <v>1627.63542671678</v>
      </c>
      <c r="AE34" s="67" t="n">
        <v>1627.63542671678</v>
      </c>
      <c r="AF34" s="67" t="n">
        <v>1627.63542671678</v>
      </c>
      <c r="AG34" s="12" t="n">
        <f aca="false">SUM(U34:AF34)</f>
        <v>19104.9634068018</v>
      </c>
      <c r="AH34" s="24" t="n">
        <f aca="false">IFERROR(AG34/AG$16,"")</f>
        <v>0.00122753781276079</v>
      </c>
      <c r="AI34" s="9"/>
      <c r="AJ34" s="12" t="n">
        <f aca="false">N34-AG34</f>
        <v>-13133.2534068018</v>
      </c>
    </row>
    <row r="35" customFormat="false" ht="13.5" hidden="false" customHeight="true" outlineLevel="0" collapsed="false">
      <c r="A35" s="23" t="s">
        <v>1290</v>
      </c>
      <c r="B35" s="12" t="n">
        <v>35767.69</v>
      </c>
      <c r="C35" s="12" t="n">
        <v>-7499.98</v>
      </c>
      <c r="D35" s="12" t="n">
        <v>3057.92</v>
      </c>
      <c r="E35" s="12" t="n">
        <v>2876.74</v>
      </c>
      <c r="F35" s="12" t="n">
        <v>4138.12</v>
      </c>
      <c r="G35" s="12" t="n">
        <v>3992.14</v>
      </c>
      <c r="H35" s="12" t="n">
        <v>-6793.75</v>
      </c>
      <c r="I35" s="12" t="n">
        <v>2732.36</v>
      </c>
      <c r="J35" s="64" t="n">
        <v>4000</v>
      </c>
      <c r="K35" s="64" t="n">
        <v>4000</v>
      </c>
      <c r="L35" s="64" t="n">
        <v>4000</v>
      </c>
      <c r="M35" s="64" t="n">
        <v>4000</v>
      </c>
      <c r="N35" s="12" t="n">
        <f aca="false">SUM(B35:M35)</f>
        <v>54271.24</v>
      </c>
      <c r="O35" s="24" t="n">
        <f aca="false">IFERROR(N35/N$16,"")</f>
        <v>0.00731030198767383</v>
      </c>
      <c r="P35" s="12"/>
      <c r="Q35" s="12"/>
      <c r="R35" s="67"/>
      <c r="S35" s="67"/>
      <c r="T35" s="67"/>
      <c r="U35" s="67" t="n">
        <v>8966.45875099473</v>
      </c>
      <c r="V35" s="67" t="n">
        <v>8966.45875099473</v>
      </c>
      <c r="W35" s="67" t="n">
        <v>8966.45875099473</v>
      </c>
      <c r="X35" s="67" t="n">
        <v>8966.45875099473</v>
      </c>
      <c r="Y35" s="67" t="n">
        <v>8966.45875099473</v>
      </c>
      <c r="Z35" s="67" t="n">
        <v>8966.45875099473</v>
      </c>
      <c r="AA35" s="67" t="n">
        <v>8966.45875099473</v>
      </c>
      <c r="AB35" s="67" t="n">
        <v>8966.45875099473</v>
      </c>
      <c r="AC35" s="67" t="n">
        <v>8966.45875099473</v>
      </c>
      <c r="AD35" s="67" t="n">
        <v>9235.45251352458</v>
      </c>
      <c r="AE35" s="67" t="n">
        <v>9235.45251352458</v>
      </c>
      <c r="AF35" s="67" t="n">
        <v>9235.45251352458</v>
      </c>
      <c r="AG35" s="12" t="n">
        <f aca="false">SUM(U35:AF35)</f>
        <v>108404.486299526</v>
      </c>
      <c r="AH35" s="24" t="n">
        <f aca="false">IFERROR(AG35/AG$16,"")</f>
        <v>0.00696523741878521</v>
      </c>
      <c r="AI35" s="9"/>
      <c r="AJ35" s="12" t="n">
        <f aca="false">N35-AG35</f>
        <v>-54133.2462995263</v>
      </c>
    </row>
    <row r="36" customFormat="false" ht="13.5" hidden="false" customHeight="true" outlineLevel="0" collapsed="false">
      <c r="A36" s="26" t="s">
        <v>1291</v>
      </c>
      <c r="B36" s="27" t="n">
        <f aca="false">SUM(B33:B35)</f>
        <v>35767.69</v>
      </c>
      <c r="C36" s="27" t="n">
        <f aca="false">SUM(C33:C35)</f>
        <v>22898.81</v>
      </c>
      <c r="D36" s="27" t="n">
        <f aca="false">SUM(D33:D35)</f>
        <v>-51432.35</v>
      </c>
      <c r="E36" s="27" t="n">
        <f aca="false">SUM(E33:E35)</f>
        <v>25227</v>
      </c>
      <c r="F36" s="27" t="n">
        <f aca="false">SUM(F33:F35)</f>
        <v>22016.09</v>
      </c>
      <c r="G36" s="27" t="n">
        <f aca="false">SUM(G33:G35)</f>
        <v>22081.13</v>
      </c>
      <c r="H36" s="27" t="n">
        <f aca="false">SUM(H33:H35)</f>
        <v>13998.39</v>
      </c>
      <c r="I36" s="27" t="n">
        <f aca="false">SUM(I33:I35)</f>
        <v>18174.57</v>
      </c>
      <c r="J36" s="27" t="n">
        <f aca="false">SUM(J33:J35)</f>
        <v>22148</v>
      </c>
      <c r="K36" s="27" t="n">
        <f aca="false">SUM(K33:K35)</f>
        <v>22148</v>
      </c>
      <c r="L36" s="27" t="n">
        <f aca="false">SUM(L33:L35)</f>
        <v>22148</v>
      </c>
      <c r="M36" s="27" t="n">
        <f aca="false">SUM(M33:M35)</f>
        <v>22148</v>
      </c>
      <c r="N36" s="27" t="n">
        <f aca="false">SUM(B36:M36)</f>
        <v>197323.33</v>
      </c>
      <c r="O36" s="28" t="n">
        <f aca="false">IFERROR(N36/N$16,"")</f>
        <v>0.026579328784701</v>
      </c>
      <c r="P36" s="12"/>
      <c r="Q36" s="12"/>
      <c r="R36" s="63"/>
      <c r="S36" s="63"/>
      <c r="T36" s="63"/>
      <c r="U36" s="27" t="n">
        <f aca="false">SUM(U33:U35)</f>
        <v>53996.6873206227</v>
      </c>
      <c r="V36" s="27" t="n">
        <f aca="false">SUM(V33:V35)</f>
        <v>53996.6873206227</v>
      </c>
      <c r="W36" s="27" t="n">
        <f aca="false">SUM(W33:W35)</f>
        <v>53996.6873206227</v>
      </c>
      <c r="X36" s="27" t="n">
        <f aca="false">SUM(X33:X35)</f>
        <v>53996.6873206227</v>
      </c>
      <c r="Y36" s="27" t="n">
        <f aca="false">SUM(Y33:Y35)</f>
        <v>53996.6873206227</v>
      </c>
      <c r="Z36" s="27" t="n">
        <f aca="false">SUM(Z33:Z35)</f>
        <v>53996.6873206227</v>
      </c>
      <c r="AA36" s="27" t="n">
        <f aca="false">SUM(AA33:AA35)</f>
        <v>53996.6873206227</v>
      </c>
      <c r="AB36" s="27" t="n">
        <f aca="false">SUM(AB33:AB35)</f>
        <v>53996.6873206227</v>
      </c>
      <c r="AC36" s="27" t="n">
        <f aca="false">SUM(AC33:AC35)</f>
        <v>53996.6873206227</v>
      </c>
      <c r="AD36" s="27" t="n">
        <f aca="false">SUM(AD33:AD35)</f>
        <v>55616.5879402414</v>
      </c>
      <c r="AE36" s="27" t="n">
        <f aca="false">SUM(AE33:AE35)</f>
        <v>55616.5879402414</v>
      </c>
      <c r="AF36" s="27" t="n">
        <f aca="false">SUM(AF33:AF35)</f>
        <v>55616.5879402414</v>
      </c>
      <c r="AG36" s="27" t="n">
        <f aca="false">SUM(U36:AF36)</f>
        <v>652819.949706328</v>
      </c>
      <c r="AH36" s="28" t="n">
        <f aca="false">IFERROR(AG36/AG$16,"")</f>
        <v>0.041945182313399</v>
      </c>
      <c r="AI36" s="9"/>
      <c r="AJ36" s="27" t="n">
        <f aca="false">N36-AG36</f>
        <v>-455496.619706328</v>
      </c>
    </row>
    <row r="37" customFormat="false" ht="13.5" hidden="false" customHeight="true" outlineLevel="0" collapsed="false">
      <c r="A37" s="26" t="s">
        <v>1292</v>
      </c>
      <c r="B37" s="27" t="n">
        <f aca="false">B19+B22+B27+B28+B29+B30+B31+B36+B20+B21</f>
        <v>190179.26</v>
      </c>
      <c r="C37" s="27" t="n">
        <f aca="false">C19+C22+C27+C28+C29+C30+C31+C36+C20+C21</f>
        <v>162594.32</v>
      </c>
      <c r="D37" s="27" t="n">
        <f aca="false">D19+D22+D27+D28+D29+D30+D31+D36+D20+D21</f>
        <v>110103.28</v>
      </c>
      <c r="E37" s="27" t="n">
        <f aca="false">E19+E22+E27+E28+E29+E30+E31+E36+E20+E21</f>
        <v>204616.26</v>
      </c>
      <c r="F37" s="27" t="n">
        <f aca="false">F19+F22+F27+F28+F29+F30+F31+F36+F20+F21</f>
        <v>177094.17</v>
      </c>
      <c r="G37" s="27" t="n">
        <f aca="false">G19+G22+G27+G28+G29+G30+G31+G36+G20+G21</f>
        <v>186727.04</v>
      </c>
      <c r="H37" s="27" t="n">
        <f aca="false">H19+H22+H27+H28+H29+H30+H31+H36+H20+H21</f>
        <v>164259.12</v>
      </c>
      <c r="I37" s="27" t="n">
        <f aca="false">I19+I22+I27+I28+I29+I30+I31+I36+I20+I21</f>
        <v>172806.85</v>
      </c>
      <c r="J37" s="27" t="n">
        <f aca="false">J19+J22+J27+J28+J29+J30+J31+J36+J20+J21</f>
        <v>178819.910476191</v>
      </c>
      <c r="K37" s="27" t="n">
        <f aca="false">K19+K22+K27+K28+K29+K30+K31+K36+K20+K21</f>
        <v>185425.862857143</v>
      </c>
      <c r="L37" s="27" t="n">
        <f aca="false">L19+L22+L27+L28+L29+L30+L31+L36+L20+L21</f>
        <v>187572.291428571</v>
      </c>
      <c r="M37" s="27" t="n">
        <f aca="false">M19+M22+M27+M28+M29+M30+M31+M36+M20+M21</f>
        <v>191718.72</v>
      </c>
      <c r="N37" s="27" t="n">
        <f aca="false">SUM(B37:M37)</f>
        <v>2111917.08476191</v>
      </c>
      <c r="O37" s="28" t="n">
        <f aca="false">IFERROR(N37/N$16,"")</f>
        <v>0.28447390666838</v>
      </c>
      <c r="P37" s="12"/>
      <c r="Q37" s="12"/>
      <c r="R37" s="63"/>
      <c r="S37" s="63"/>
      <c r="T37" s="63"/>
      <c r="U37" s="27" t="n">
        <f aca="false">U19+U22+U27+U28+U29+U30+U31+U36+U20+U21</f>
        <v>244145.383511099</v>
      </c>
      <c r="V37" s="27" t="n">
        <f aca="false">V19+V22+V27+V28+V29+V30+V31+V36+V20+V21</f>
        <v>247329.907320623</v>
      </c>
      <c r="W37" s="27" t="n">
        <f aca="false">W19+W22+W27+W28+W29+W30+W31+W36+W20+W21</f>
        <v>247329.907320623</v>
      </c>
      <c r="X37" s="27" t="n">
        <f aca="false">X19+X22+X27+X28+X29+X30+X31+X36+X20+X21</f>
        <v>271170.681130147</v>
      </c>
      <c r="Y37" s="27" t="n">
        <f aca="false">Y19+Y22+Y27+Y28+Y29+Y30+Y31+Y36+Y20+Y21</f>
        <v>291760.26446348</v>
      </c>
      <c r="Z37" s="27" t="n">
        <f aca="false">Z19+Z22+Z27+Z28+Z29+Z30+Z31+Z36+Z20+Z21</f>
        <v>310296.573987289</v>
      </c>
      <c r="AA37" s="27" t="n">
        <f aca="false">AA19+AA22+AA27+AA28+AA29+AA30+AA31+AA36+AA20+AA21</f>
        <v>330249.252558718</v>
      </c>
      <c r="AB37" s="27" t="n">
        <f aca="false">AB19+AB22+AB27+AB28+AB29+AB30+AB31+AB36+AB20+AB21</f>
        <v>354294.193034908</v>
      </c>
      <c r="AC37" s="27" t="n">
        <f aca="false">AC19+AC22+AC27+AC28+AC29+AC30+AC31+AC36+AC20+AC21</f>
        <v>385744.193034908</v>
      </c>
      <c r="AD37" s="27" t="n">
        <f aca="false">AD19+AD22+AD27+AD28+AD29+AD30+AD31+AD36+AD20+AD21</f>
        <v>422189.093654527</v>
      </c>
      <c r="AE37" s="27" t="n">
        <f aca="false">AE19+AE22+AE27+AE28+AE29+AE30+AE31+AE36+AE20+AE21</f>
        <v>457669.153178337</v>
      </c>
      <c r="AF37" s="27" t="n">
        <f aca="false">AF19+AF22+AF27+AF28+AF29+AF30+AF31+AF36+AF20+AF21</f>
        <v>497303.67698786</v>
      </c>
      <c r="AG37" s="27" t="n">
        <f aca="false">SUM(U37:AF37)</f>
        <v>4059482.28018252</v>
      </c>
      <c r="AH37" s="28" t="n">
        <f aca="false">IFERROR(AG37/AG$16,"")</f>
        <v>0.260831067458749</v>
      </c>
      <c r="AI37" s="9"/>
      <c r="AJ37" s="27" t="n">
        <f aca="false">N37-AG37</f>
        <v>-1947565.19542061</v>
      </c>
    </row>
    <row r="38" customFormat="false" ht="13.5" hidden="false" customHeight="true" outlineLevel="0" collapsed="false">
      <c r="A38" s="23" t="s">
        <v>1293</v>
      </c>
      <c r="B38" s="12" t="n">
        <v>0</v>
      </c>
      <c r="C38" s="12" t="n">
        <v>0</v>
      </c>
      <c r="D38" s="12" t="n">
        <v>2782.65</v>
      </c>
      <c r="E38" s="12" t="n">
        <v>56.1</v>
      </c>
      <c r="F38" s="12" t="n">
        <v>0</v>
      </c>
      <c r="G38" s="12" t="n">
        <v>0</v>
      </c>
      <c r="H38" s="12" t="n">
        <v>0</v>
      </c>
      <c r="I38" s="12" t="n">
        <v>0</v>
      </c>
      <c r="J38" s="64" t="n">
        <v>0</v>
      </c>
      <c r="K38" s="64" t="n">
        <v>0</v>
      </c>
      <c r="L38" s="64" t="n">
        <v>0</v>
      </c>
      <c r="M38" s="64" t="n">
        <v>0</v>
      </c>
      <c r="N38" s="12" t="n">
        <f aca="false">SUM(B38:M38)</f>
        <v>2838.75</v>
      </c>
      <c r="O38" s="24" t="n">
        <f aca="false">IFERROR(N38/N$16,"")</f>
        <v>0.000382377844462538</v>
      </c>
      <c r="P38" s="12"/>
      <c r="Q38" s="12"/>
      <c r="R38" s="60" t="s">
        <v>1397</v>
      </c>
      <c r="S38" s="61" t="n">
        <v>75000</v>
      </c>
      <c r="T38" s="62" t="n">
        <v>0.05</v>
      </c>
      <c r="U38" s="59" t="n">
        <f aca="false">IF($R38="Manual","",IFERROR(IF($R38="YOY Growth",$N38*(1+$T38)/12,$S38/12),""))+15000</f>
        <v>21250</v>
      </c>
      <c r="V38" s="59" t="n">
        <f aca="false">IF($R38="Manual","",IFERROR(IF($R38="YOY Growth",$N38*(1+$T38)/12,$S38/12),""))</f>
        <v>6250</v>
      </c>
      <c r="W38" s="59" t="n">
        <f aca="false">IF($R38="Manual","",IFERROR(IF($R38="YOY Growth",$N38*(1+$T38)/12,$S38/12),""))</f>
        <v>6250</v>
      </c>
      <c r="X38" s="59" t="n">
        <f aca="false">IF($R38="Manual","",IFERROR(IF($R38="YOY Growth",$N38*(1+$T38)/12,$S38/12),""))</f>
        <v>6250</v>
      </c>
      <c r="Y38" s="59" t="n">
        <f aca="false">IF($R38="Manual","",IFERROR(IF($R38="YOY Growth",$N38*(1+$T38)/12,$S38/12),""))*Y146</f>
        <v>6562.5</v>
      </c>
      <c r="Z38" s="59" t="n">
        <f aca="false">IF($R38="Manual","",IFERROR(IF($R38="YOY Growth",$N38*(1+$T38)/12,$S38/12),""))*Z146</f>
        <v>6875</v>
      </c>
      <c r="AA38" s="59" t="n">
        <f aca="false">IF($R38="Manual","",IFERROR(IF($R38="YOY Growth",$N38*(1+$T38)/12,$S38/12),""))*AA146</f>
        <v>7187.5</v>
      </c>
      <c r="AB38" s="59" t="n">
        <f aca="false">IF($R38="Manual","",IFERROR(IF($R38="YOY Growth",$N38*(1+$T38)/12,$S38/12),""))*AB146</f>
        <v>7500</v>
      </c>
      <c r="AC38" s="59" t="n">
        <f aca="false">IF($R38="Manual","",IFERROR(IF($R38="YOY Growth",$N38*(1+$T38)/12,$S38/12),""))*AC146</f>
        <v>7812.5</v>
      </c>
      <c r="AD38" s="59" t="n">
        <f aca="false">IF($R38="Manual","",IFERROR(IF($R38="YOY Growth",$N38*(1+$T38)/12,$S38/12),""))*AD146</f>
        <v>8125</v>
      </c>
      <c r="AE38" s="59" t="n">
        <f aca="false">IF($R38="Manual","",IFERROR(IF($R38="YOY Growth",$N38*(1+$T38)/12,$S38/12),""))*AE146</f>
        <v>8437.5</v>
      </c>
      <c r="AF38" s="59" t="n">
        <f aca="false">IF($R38="Manual","",IFERROR(IF($R38="YOY Growth",$N38*(1+$T38)/12,$S38/12),""))*AF146</f>
        <v>8750</v>
      </c>
      <c r="AG38" s="12" t="n">
        <f aca="false">SUM(U38:AF38)</f>
        <v>101250</v>
      </c>
      <c r="AH38" s="24" t="n">
        <f aca="false">IFERROR(AG38/AG$16,"")</f>
        <v>0.00650554522903619</v>
      </c>
      <c r="AI38" s="9" t="s">
        <v>1408</v>
      </c>
      <c r="AJ38" s="12" t="n">
        <f aca="false">N38-AG38</f>
        <v>-98411.25</v>
      </c>
    </row>
    <row r="39" customFormat="false" ht="13.5" hidden="false" customHeight="true" outlineLevel="0" collapsed="false">
      <c r="A39" s="23" t="s">
        <v>1294</v>
      </c>
      <c r="B39" s="12" t="n">
        <v>0</v>
      </c>
      <c r="C39" s="12" t="n">
        <v>0</v>
      </c>
      <c r="D39" s="12" t="n">
        <v>0</v>
      </c>
      <c r="E39" s="12" t="n">
        <v>0</v>
      </c>
      <c r="F39" s="12" t="n">
        <v>6857.32</v>
      </c>
      <c r="G39" s="12" t="n">
        <v>0</v>
      </c>
      <c r="H39" s="12" t="n">
        <v>10645.5</v>
      </c>
      <c r="I39" s="12" t="n">
        <v>1721.11</v>
      </c>
      <c r="J39" s="64" t="n">
        <v>3000</v>
      </c>
      <c r="K39" s="64" t="n">
        <v>1000</v>
      </c>
      <c r="L39" s="64" t="n">
        <v>1000</v>
      </c>
      <c r="M39" s="64" t="n">
        <v>1000</v>
      </c>
      <c r="N39" s="12" t="n">
        <f aca="false">SUM(B39:M39)</f>
        <v>25223.93</v>
      </c>
      <c r="O39" s="24" t="n">
        <f aca="false">IFERROR(N39/N$16,"")</f>
        <v>0.00339764754989835</v>
      </c>
      <c r="P39" s="12"/>
      <c r="Q39" s="12"/>
      <c r="R39" s="60" t="s">
        <v>1409</v>
      </c>
      <c r="S39" s="61" t="n">
        <v>0</v>
      </c>
      <c r="T39" s="62" t="n">
        <v>0.05</v>
      </c>
      <c r="U39" s="59" t="n">
        <f aca="false">IF($R39="Manual","",IFERROR(IF($R39="YOY Growth",$N39*(1+$T39)/12,$S39/12),""))</f>
        <v>2207.093875</v>
      </c>
      <c r="V39" s="59" t="n">
        <f aca="false">IF($R39="Manual","",IFERROR(IF($R39="YOY Growth",$N39*(1+$T39)/12,$S39/12),""))</f>
        <v>2207.093875</v>
      </c>
      <c r="W39" s="59" t="n">
        <f aca="false">IF($R39="Manual","",IFERROR(IF($R39="YOY Growth",$N39*(1+$T39)/12,$S39/12),""))</f>
        <v>2207.093875</v>
      </c>
      <c r="X39" s="59" t="n">
        <f aca="false">IF($R39="Manual","",IFERROR(IF($R39="YOY Growth",$N39*(1+$T39)/12,$S39/12),""))</f>
        <v>2207.093875</v>
      </c>
      <c r="Y39" s="59" t="n">
        <f aca="false">IF($R39="Manual","",IFERROR(IF($R39="YOY Growth",$N39*(1+$T39)/12,$S39/12),""))</f>
        <v>2207.093875</v>
      </c>
      <c r="Z39" s="59" t="n">
        <f aca="false">IF($R39="Manual","",IFERROR(IF($R39="YOY Growth",$N39*(1+$T39)/12,$S39/12),""))</f>
        <v>2207.093875</v>
      </c>
      <c r="AA39" s="59" t="n">
        <f aca="false">IF($R39="Manual","",IFERROR(IF($R39="YOY Growth",$N39*(1+$T39)/12,$S39/12),""))</f>
        <v>2207.093875</v>
      </c>
      <c r="AB39" s="59" t="n">
        <f aca="false">IF($R39="Manual","",IFERROR(IF($R39="YOY Growth",$N39*(1+$T39)/12,$S39/12),""))</f>
        <v>2207.093875</v>
      </c>
      <c r="AC39" s="59" t="n">
        <f aca="false">IF($R39="Manual","",IFERROR(IF($R39="YOY Growth",$N39*(1+$T39)/12,$S39/12),""))</f>
        <v>2207.093875</v>
      </c>
      <c r="AD39" s="59" t="n">
        <f aca="false">IF($R39="Manual","",IFERROR(IF($R39="YOY Growth",$N39*(1+$T39)/12,$S39/12),""))</f>
        <v>2207.093875</v>
      </c>
      <c r="AE39" s="59" t="n">
        <f aca="false">IF($R39="Manual","",IFERROR(IF($R39="YOY Growth",$N39*(1+$T39)/12,$S39/12),""))</f>
        <v>2207.093875</v>
      </c>
      <c r="AF39" s="59" t="n">
        <f aca="false">IF($R39="Manual","",IFERROR(IF($R39="YOY Growth",$N39*(1+$T39)/12,$S39/12),""))</f>
        <v>2207.093875</v>
      </c>
      <c r="AG39" s="12" t="n">
        <f aca="false">SUM(U39:AF39)</f>
        <v>26485.1265</v>
      </c>
      <c r="AH39" s="24" t="n">
        <f aca="false">IFERROR(AG39/AG$16,"")</f>
        <v>0.00170173025523452</v>
      </c>
      <c r="AI39" s="9"/>
      <c r="AJ39" s="12" t="n">
        <f aca="false">N39-AG39</f>
        <v>-1261.1965</v>
      </c>
    </row>
    <row r="40" customFormat="false" ht="13.5" hidden="false" customHeight="true" outlineLevel="0" collapsed="false">
      <c r="A40" s="23" t="s">
        <v>1295</v>
      </c>
      <c r="B40" s="12" t="n">
        <v>0</v>
      </c>
      <c r="C40" s="12" t="n">
        <v>0</v>
      </c>
      <c r="D40" s="12" t="n">
        <v>0</v>
      </c>
      <c r="E40" s="12" t="n">
        <v>0</v>
      </c>
      <c r="F40" s="12" t="n">
        <v>125</v>
      </c>
      <c r="G40" s="12" t="n">
        <v>-362.34</v>
      </c>
      <c r="H40" s="12" t="n">
        <v>0</v>
      </c>
      <c r="I40" s="12" t="n">
        <v>4095.3</v>
      </c>
      <c r="J40" s="64" t="n">
        <v>125</v>
      </c>
      <c r="K40" s="64" t="n">
        <v>125</v>
      </c>
      <c r="L40" s="64" t="n">
        <v>125</v>
      </c>
      <c r="M40" s="64" t="n">
        <v>125</v>
      </c>
      <c r="N40" s="12" t="n">
        <f aca="false">SUM(B40:M40)</f>
        <v>4357.96</v>
      </c>
      <c r="O40" s="24" t="n">
        <f aca="false">IFERROR(N40/N$16,"")</f>
        <v>0.000587014478574712</v>
      </c>
      <c r="P40" s="12"/>
      <c r="Q40" s="12"/>
      <c r="R40" s="60" t="s">
        <v>1409</v>
      </c>
      <c r="S40" s="61" t="n">
        <v>0</v>
      </c>
      <c r="T40" s="62" t="n">
        <v>0.05</v>
      </c>
      <c r="U40" s="59" t="n">
        <f aca="false">IF($R40="Manual","",IFERROR(IF($R40="YOY Growth",$N40*(1+$T40)/12,$S40/12),""))</f>
        <v>381.3215</v>
      </c>
      <c r="V40" s="59" t="n">
        <f aca="false">IF($R40="Manual","",IFERROR(IF($R40="YOY Growth",$N40*(1+$T40)/12,$S40/12),""))</f>
        <v>381.3215</v>
      </c>
      <c r="W40" s="59" t="n">
        <f aca="false">IF($R40="Manual","",IFERROR(IF($R40="YOY Growth",$N40*(1+$T40)/12,$S40/12),""))</f>
        <v>381.3215</v>
      </c>
      <c r="X40" s="59" t="n">
        <f aca="false">IF($R40="Manual","",IFERROR(IF($R40="YOY Growth",$N40*(1+$T40)/12,$S40/12),""))</f>
        <v>381.3215</v>
      </c>
      <c r="Y40" s="59" t="n">
        <f aca="false">IF($R40="Manual","",IFERROR(IF($R40="YOY Growth",$N40*(1+$T40)/12,$S40/12),""))</f>
        <v>381.3215</v>
      </c>
      <c r="Z40" s="59" t="n">
        <f aca="false">IF($R40="Manual","",IFERROR(IF($R40="YOY Growth",$N40*(1+$T40)/12,$S40/12),""))</f>
        <v>381.3215</v>
      </c>
      <c r="AA40" s="59" t="n">
        <f aca="false">IF($R40="Manual","",IFERROR(IF($R40="YOY Growth",$N40*(1+$T40)/12,$S40/12),""))</f>
        <v>381.3215</v>
      </c>
      <c r="AB40" s="59" t="n">
        <f aca="false">IF($R40="Manual","",IFERROR(IF($R40="YOY Growth",$N40*(1+$T40)/12,$S40/12),""))</f>
        <v>381.3215</v>
      </c>
      <c r="AC40" s="59" t="n">
        <f aca="false">IF($R40="Manual","",IFERROR(IF($R40="YOY Growth",$N40*(1+$T40)/12,$S40/12),""))</f>
        <v>381.3215</v>
      </c>
      <c r="AD40" s="59" t="n">
        <f aca="false">IF($R40="Manual","",IFERROR(IF($R40="YOY Growth",$N40*(1+$T40)/12,$S40/12),""))</f>
        <v>381.3215</v>
      </c>
      <c r="AE40" s="59" t="n">
        <f aca="false">IF($R40="Manual","",IFERROR(IF($R40="YOY Growth",$N40*(1+$T40)/12,$S40/12),""))</f>
        <v>381.3215</v>
      </c>
      <c r="AF40" s="59" t="n">
        <f aca="false">IF($R40="Manual","",IFERROR(IF($R40="YOY Growth",$N40*(1+$T40)/12,$S40/12),""))</f>
        <v>381.3215</v>
      </c>
      <c r="AG40" s="12" t="n">
        <f aca="false">SUM(U40:AF40)</f>
        <v>4575.858</v>
      </c>
      <c r="AH40" s="24" t="n">
        <f aca="false">IFERROR(AG40/AG$16,"")</f>
        <v>0.000294009394376761</v>
      </c>
      <c r="AI40" s="9"/>
      <c r="AJ40" s="12" t="n">
        <f aca="false">N40-AG40</f>
        <v>-217.898</v>
      </c>
    </row>
    <row r="41" customFormat="false" ht="13.5" hidden="false" customHeight="true" outlineLevel="0" collapsed="false">
      <c r="A41" s="23" t="s">
        <v>1296</v>
      </c>
      <c r="B41" s="12" t="n">
        <v>0</v>
      </c>
      <c r="C41" s="12" t="n">
        <v>0</v>
      </c>
      <c r="D41" s="12" t="n">
        <v>0</v>
      </c>
      <c r="E41" s="12" t="n">
        <v>0</v>
      </c>
      <c r="F41" s="12" t="n">
        <v>0</v>
      </c>
      <c r="G41" s="12" t="n">
        <v>1662.88</v>
      </c>
      <c r="H41" s="12" t="n">
        <v>818.38</v>
      </c>
      <c r="I41" s="12" t="n">
        <v>111429.29</v>
      </c>
      <c r="J41" s="64"/>
      <c r="K41" s="64"/>
      <c r="L41" s="64"/>
      <c r="M41" s="64"/>
      <c r="N41" s="12" t="n">
        <f aca="false">SUM(B41:M41)</f>
        <v>113910.55</v>
      </c>
      <c r="O41" s="24" t="n">
        <f aca="false">IFERROR(N41/N$16,"")</f>
        <v>0.0153436796373552</v>
      </c>
      <c r="P41" s="12"/>
      <c r="Q41" s="12"/>
      <c r="R41" s="60" t="s">
        <v>1409</v>
      </c>
      <c r="S41" s="61" t="n">
        <v>0</v>
      </c>
      <c r="T41" s="62" t="n">
        <v>0</v>
      </c>
      <c r="U41" s="59" t="n">
        <f aca="false">IF($R41="Manual","",IFERROR(IF($R41="YOY Growth",$N41*(1+$T41)/12,$S41/12),""))</f>
        <v>9492.54583333333</v>
      </c>
      <c r="V41" s="59" t="n">
        <f aca="false">IF($R41="Manual","",IFERROR(IF($R41="YOY Growth",$N41*(1+$T41)/12,$S41/12),""))</f>
        <v>9492.54583333333</v>
      </c>
      <c r="W41" s="59" t="n">
        <f aca="false">IF($R41="Manual","",IFERROR(IF($R41="YOY Growth",$N41*(1+$T41)/12,$S41/12),""))</f>
        <v>9492.54583333333</v>
      </c>
      <c r="X41" s="59" t="n">
        <f aca="false">IF($R41="Manual","",IFERROR(IF($R41="YOY Growth",$N41*(1+$T41)/12,$S41/12),""))</f>
        <v>9492.54583333333</v>
      </c>
      <c r="Y41" s="59" t="n">
        <f aca="false">IF($R41="Manual","",IFERROR(IF($R41="YOY Growth",$N41*(1+$T41)/12,$S41/12),""))</f>
        <v>9492.54583333333</v>
      </c>
      <c r="Z41" s="59" t="n">
        <f aca="false">IF($R41="Manual","",IFERROR(IF($R41="YOY Growth",$N41*(1+$T41)/12,$S41/12),""))</f>
        <v>9492.54583333333</v>
      </c>
      <c r="AA41" s="59" t="n">
        <f aca="false">IF($R41="Manual","",IFERROR(IF($R41="YOY Growth",$N41*(1+$T41)/12,$S41/12),""))</f>
        <v>9492.54583333333</v>
      </c>
      <c r="AB41" s="59" t="n">
        <f aca="false">IF($R41="Manual","",IFERROR(IF($R41="YOY Growth",$N41*(1+$T41)/12,$S41/12),""))</f>
        <v>9492.54583333333</v>
      </c>
      <c r="AC41" s="59" t="n">
        <f aca="false">IF($R41="Manual","",IFERROR(IF($R41="YOY Growth",$N41*(1+$T41)/12,$S41/12),""))</f>
        <v>9492.54583333333</v>
      </c>
      <c r="AD41" s="59" t="n">
        <f aca="false">IF($R41="Manual","",IFERROR(IF($R41="YOY Growth",$N41*(1+$T41)/12,$S41/12),""))</f>
        <v>9492.54583333333</v>
      </c>
      <c r="AE41" s="59" t="n">
        <f aca="false">IF($R41="Manual","",IFERROR(IF($R41="YOY Growth",$N41*(1+$T41)/12,$S41/12),""))</f>
        <v>9492.54583333333</v>
      </c>
      <c r="AF41" s="59" t="n">
        <f aca="false">IF($R41="Manual","",IFERROR(IF($R41="YOY Growth",$N41*(1+$T41)/12,$S41/12),""))</f>
        <v>9492.54583333333</v>
      </c>
      <c r="AG41" s="12" t="n">
        <f aca="false">SUM(U41:AF41)</f>
        <v>113910.55</v>
      </c>
      <c r="AH41" s="24" t="n">
        <f aca="false">IFERROR(AG41/AG$16,"")</f>
        <v>0.00731901466754952</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7000</v>
      </c>
      <c r="K42" s="64" t="n">
        <v>7000</v>
      </c>
      <c r="L42" s="64" t="n">
        <v>4000</v>
      </c>
      <c r="M42" s="64" t="n">
        <v>4000</v>
      </c>
      <c r="N42" s="12" t="n">
        <f aca="false">SUM(B42:M42)</f>
        <v>22000</v>
      </c>
      <c r="O42" s="24" t="n">
        <f aca="false">IFERROR(N42/N$16,"")</f>
        <v>0.00296338620103068</v>
      </c>
      <c r="P42" s="12"/>
      <c r="Q42" s="12"/>
      <c r="R42" s="60" t="s">
        <v>1397</v>
      </c>
      <c r="S42" s="61" t="n">
        <v>60000</v>
      </c>
      <c r="T42" s="62" t="n">
        <v>0.05</v>
      </c>
      <c r="U42" s="59" t="n">
        <f aca="false">IF($R42="Manual","",IFERROR(IF($R42="YOY Growth",$N42*(1+$T42)/12,$S42/12),""))+15000</f>
        <v>20000</v>
      </c>
      <c r="V42" s="59" t="n">
        <f aca="false">IF($R42="Manual","",IFERROR(IF($R42="YOY Growth",$N42*(1+$T42)/12,$S42/12),""))</f>
        <v>5000</v>
      </c>
      <c r="W42" s="59" t="n">
        <f aca="false">IF($R42="Manual","",IFERROR(IF($R42="YOY Growth",$N42*(1+$T42)/12,$S42/12),""))</f>
        <v>5000</v>
      </c>
      <c r="X42" s="59" t="n">
        <f aca="false">IF($R42="Manual","",IFERROR(IF($R42="YOY Growth",$N42*(1+$T42)/12,$S42/12),""))</f>
        <v>5000</v>
      </c>
      <c r="Y42" s="59" t="n">
        <f aca="false">IF($R42="Manual","",IFERROR(IF($R42="YOY Growth",$N42*(1+$T42)/12,$S42/12),""))</f>
        <v>5000</v>
      </c>
      <c r="Z42" s="59" t="n">
        <f aca="false">IF($R42="Manual","",IFERROR(IF($R42="YOY Growth",$N42*(1+$T42)/12,$S42/12),""))</f>
        <v>5000</v>
      </c>
      <c r="AA42" s="59" t="n">
        <f aca="false">IF($R42="Manual","",IFERROR(IF($R42="YOY Growth",$N42*(1+$T42)/12,$S42/12),""))</f>
        <v>5000</v>
      </c>
      <c r="AB42" s="59" t="n">
        <f aca="false">IF($R42="Manual","",IFERROR(IF($R42="YOY Growth",$N42*(1+$T42)/12,$S42/12),""))</f>
        <v>5000</v>
      </c>
      <c r="AC42" s="59" t="n">
        <f aca="false">IF($R42="Manual","",IFERROR(IF($R42="YOY Growth",$N42*(1+$T42)/12,$S42/12),""))</f>
        <v>5000</v>
      </c>
      <c r="AD42" s="59" t="n">
        <f aca="false">IF($R42="Manual","",IFERROR(IF($R42="YOY Growth",$N42*(1+$T42)/12,$S42/12),""))</f>
        <v>5000</v>
      </c>
      <c r="AE42" s="59" t="n">
        <f aca="false">IF($R42="Manual","",IFERROR(IF($R42="YOY Growth",$N42*(1+$T42)/12,$S42/12),""))</f>
        <v>5000</v>
      </c>
      <c r="AF42" s="59" t="n">
        <f aca="false">IF($R42="Manual","",IFERROR(IF($R42="YOY Growth",$N42*(1+$T42)/12,$S42/12),""))</f>
        <v>5000</v>
      </c>
      <c r="AG42" s="12" t="n">
        <f aca="false">SUM(U42:AF42)</f>
        <v>75000</v>
      </c>
      <c r="AH42" s="24" t="n">
        <f aca="false">IFERROR(AG42/AG$16,"")</f>
        <v>0.00481892239187866</v>
      </c>
      <c r="AI42" s="9"/>
      <c r="AJ42" s="12" t="n">
        <f aca="false">N42-AG42</f>
        <v>-53000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n">
        <f aca="false">IFERROR(N44/N$16,"")</f>
        <v>0</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n">
        <f aca="false">IFERROR(AG44/AG$16,"")</f>
        <v>0</v>
      </c>
      <c r="AI44" s="9"/>
      <c r="AJ44" s="12" t="n">
        <f aca="false">N44-AG44</f>
        <v>0</v>
      </c>
    </row>
    <row r="45" customFormat="false" ht="13.5" hidden="false" customHeight="true" outlineLevel="0" collapsed="false">
      <c r="A45" s="23" t="s">
        <v>1300</v>
      </c>
      <c r="B45" s="12" t="n">
        <v>0</v>
      </c>
      <c r="C45" s="12" t="n">
        <v>0</v>
      </c>
      <c r="D45" s="12" t="n">
        <v>0</v>
      </c>
      <c r="E45" s="12" t="n">
        <v>1100</v>
      </c>
      <c r="F45" s="12" t="n">
        <v>0</v>
      </c>
      <c r="G45" s="12" t="n">
        <v>0</v>
      </c>
      <c r="H45" s="12" t="n">
        <v>0</v>
      </c>
      <c r="I45" s="12" t="n">
        <v>0</v>
      </c>
      <c r="J45" s="64" t="n">
        <v>0</v>
      </c>
      <c r="K45" s="64" t="n">
        <v>0</v>
      </c>
      <c r="L45" s="64" t="n">
        <v>0</v>
      </c>
      <c r="M45" s="64" t="n">
        <v>0</v>
      </c>
      <c r="N45" s="12" t="n">
        <f aca="false">SUM(B45:M45)</f>
        <v>1100</v>
      </c>
      <c r="O45" s="24" t="n">
        <f aca="false">IFERROR(N45/N$16,"")</f>
        <v>0.000148169310051534</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n">
        <f aca="false">IFERROR(AG45/AG$16,"")</f>
        <v>0</v>
      </c>
      <c r="AI45" s="9"/>
      <c r="AJ45" s="12" t="n">
        <f aca="false">N45-AG45</f>
        <v>1100</v>
      </c>
    </row>
    <row r="46" customFormat="false" ht="13.5" hidden="false" customHeight="true" outlineLevel="0" collapsed="false">
      <c r="A46" s="23" t="s">
        <v>1301</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n">
        <f aca="false">IFERROR(N46/N$16,"")</f>
        <v>0</v>
      </c>
      <c r="P46" s="12"/>
      <c r="Q46" s="12"/>
      <c r="R46" s="60" t="s">
        <v>1397</v>
      </c>
      <c r="S46" s="61"/>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Growth",$N46*(1+$T46)/12,$S46/12),""))*Y146</f>
        <v>0</v>
      </c>
      <c r="Z46" s="59" t="n">
        <f aca="false">IF($R46="Manual","",IFERROR(IF($R46="YOY Growth",$N46*(1+$T46)/12,$S46/12),""))*Z146</f>
        <v>0</v>
      </c>
      <c r="AA46" s="59" t="n">
        <f aca="false">IF($R46="Manual","",IFERROR(IF($R46="YOY Growth",$N46*(1+$T46)/12,$S46/12),""))*AA146</f>
        <v>0</v>
      </c>
      <c r="AB46" s="59" t="n">
        <f aca="false">IF($R46="Manual","",IFERROR(IF($R46="YOY Growth",$N46*(1+$T46)/12,$S46/12),""))*AB146</f>
        <v>0</v>
      </c>
      <c r="AC46" s="59" t="n">
        <f aca="false">IF($R46="Manual","",IFERROR(IF($R46="YOY Growth",$N46*(1+$T46)/12,$S46/12),""))*AC146</f>
        <v>0</v>
      </c>
      <c r="AD46" s="59" t="n">
        <f aca="false">IF($R46="Manual","",IFERROR(IF($R46="YOY Growth",$N46*(1+$T46)/12,$S46/12),""))*AD146</f>
        <v>0</v>
      </c>
      <c r="AE46" s="59" t="n">
        <f aca="false">IF($R46="Manual","",IFERROR(IF($R46="YOY Growth",$N46*(1+$T46)/12,$S46/12),""))*AE146</f>
        <v>0</v>
      </c>
      <c r="AF46" s="59" t="n">
        <f aca="false">IF($R46="Manual","",IFERROR(IF($R46="YOY Growth",$N46*(1+$T46)/12,$S46/12),""))*AF146</f>
        <v>0</v>
      </c>
      <c r="AG46" s="12" t="n">
        <f aca="false">SUM(U46:AF46)</f>
        <v>0</v>
      </c>
      <c r="AH46" s="24" t="n">
        <f aca="false">IFERROR(AG46/AG$16,"")</f>
        <v>0</v>
      </c>
      <c r="AI46" s="9"/>
      <c r="AJ46" s="12" t="n">
        <f aca="false">N46-AG46</f>
        <v>0</v>
      </c>
    </row>
    <row r="47" customFormat="false" ht="13.5" hidden="false" customHeight="true" outlineLevel="0" collapsed="false">
      <c r="A47" s="23" t="s">
        <v>1302</v>
      </c>
      <c r="B47" s="12" t="n">
        <v>1101.49</v>
      </c>
      <c r="C47" s="12" t="n">
        <v>14250.32</v>
      </c>
      <c r="D47" s="12" t="n">
        <v>4902.73</v>
      </c>
      <c r="E47" s="12" t="n">
        <v>97.11</v>
      </c>
      <c r="F47" s="12" t="n">
        <v>17369.79</v>
      </c>
      <c r="G47" s="12" t="n">
        <v>20676.3</v>
      </c>
      <c r="H47" s="12" t="n">
        <v>1239.24</v>
      </c>
      <c r="I47" s="12" t="n">
        <v>0</v>
      </c>
      <c r="J47" s="64" t="n">
        <v>1000</v>
      </c>
      <c r="K47" s="64" t="n">
        <v>1000</v>
      </c>
      <c r="L47" s="64" t="n">
        <v>1000</v>
      </c>
      <c r="M47" s="64" t="n">
        <v>1000</v>
      </c>
      <c r="N47" s="12" t="n">
        <f aca="false">SUM(B47:M47)</f>
        <v>63636.98</v>
      </c>
      <c r="O47" s="24" t="n">
        <f aca="false">IFERROR(N47/N$16,"")</f>
        <v>0.00857186129123933</v>
      </c>
      <c r="P47" s="12"/>
      <c r="Q47" s="12"/>
      <c r="R47" s="60" t="s">
        <v>1397</v>
      </c>
      <c r="S47" s="61" t="n">
        <v>30000</v>
      </c>
      <c r="T47" s="62" t="n">
        <v>0.05</v>
      </c>
      <c r="U47" s="59" t="n">
        <f aca="false">IF($R47="Manual","",IFERROR(IF($R47="YOY Growth",$N47*(1+$T47)/12,$S47/12),""))</f>
        <v>2500</v>
      </c>
      <c r="V47" s="59" t="n">
        <f aca="false">IF($R47="Manual","",IFERROR(IF($R47="YOY Growth",$N47*(1+$T47)/12,$S47/12),""))</f>
        <v>2500</v>
      </c>
      <c r="W47" s="59" t="n">
        <f aca="false">IF($R47="Manual","",IFERROR(IF($R47="YOY Growth",$N47*(1+$T47)/12,$S47/12),""))</f>
        <v>2500</v>
      </c>
      <c r="X47" s="59" t="n">
        <f aca="false">IF($R47="Manual","",IFERROR(IF($R47="YOY Growth",$N47*(1+$T47)/12,$S47/12),""))</f>
        <v>2500</v>
      </c>
      <c r="Y47" s="59" t="n">
        <f aca="false">IF($R47="Manual","",IFERROR(IF($R47="YOY Growth",$N47*(1+$T47)/12,$S47/12),""))*Y146</f>
        <v>2625</v>
      </c>
      <c r="Z47" s="59" t="n">
        <f aca="false">IF($R47="Manual","",IFERROR(IF($R47="YOY Growth",$N47*(1+$T47)/12,$S47/12),""))*Z146</f>
        <v>2750</v>
      </c>
      <c r="AA47" s="59" t="n">
        <f aca="false">IF($R47="Manual","",IFERROR(IF($R47="YOY Growth",$N47*(1+$T47)/12,$S47/12),""))*AA146</f>
        <v>2875</v>
      </c>
      <c r="AB47" s="59" t="n">
        <f aca="false">IF($R47="Manual","",IFERROR(IF($R47="YOY Growth",$N47*(1+$T47)/12,$S47/12),""))*AB146</f>
        <v>3000</v>
      </c>
      <c r="AC47" s="59" t="n">
        <f aca="false">IF($R47="Manual","",IFERROR(IF($R47="YOY Growth",$N47*(1+$T47)/12,$S47/12),""))*AC146</f>
        <v>3125</v>
      </c>
      <c r="AD47" s="59" t="n">
        <f aca="false">IF($R47="Manual","",IFERROR(IF($R47="YOY Growth",$N47*(1+$T47)/12,$S47/12),""))*AD146</f>
        <v>3250</v>
      </c>
      <c r="AE47" s="59" t="n">
        <f aca="false">IF($R47="Manual","",IFERROR(IF($R47="YOY Growth",$N47*(1+$T47)/12,$S47/12),""))*AE146</f>
        <v>3375</v>
      </c>
      <c r="AF47" s="59" t="n">
        <f aca="false">IF($R47="Manual","",IFERROR(IF($R47="YOY Growth",$N47*(1+$T47)/12,$S47/12),""))*AF146</f>
        <v>3500</v>
      </c>
      <c r="AG47" s="12" t="n">
        <f aca="false">SUM(U47:AF47)</f>
        <v>34500</v>
      </c>
      <c r="AH47" s="24" t="n">
        <f aca="false">IFERROR(AG47/AG$16,"")</f>
        <v>0.00221670430026418</v>
      </c>
      <c r="AI47" s="9"/>
      <c r="AJ47" s="12" t="n">
        <f aca="false">N47-AG47</f>
        <v>29136.98</v>
      </c>
    </row>
    <row r="48" customFormat="false" ht="13.5" hidden="false" customHeight="true" outlineLevel="0" collapsed="false">
      <c r="A48" s="23" t="s">
        <v>1303</v>
      </c>
      <c r="B48" s="12" t="n">
        <v>1745.99</v>
      </c>
      <c r="C48" s="12" t="n">
        <v>1595</v>
      </c>
      <c r="D48" s="12" t="n">
        <v>0</v>
      </c>
      <c r="E48" s="12" t="n">
        <v>0</v>
      </c>
      <c r="F48" s="12" t="n">
        <v>0</v>
      </c>
      <c r="G48" s="12" t="n">
        <v>0</v>
      </c>
      <c r="H48" s="12" t="n">
        <v>0</v>
      </c>
      <c r="I48" s="12" t="n">
        <v>0</v>
      </c>
      <c r="J48" s="64" t="n">
        <v>0</v>
      </c>
      <c r="K48" s="64" t="n">
        <v>0</v>
      </c>
      <c r="L48" s="64" t="n">
        <v>0</v>
      </c>
      <c r="M48" s="64" t="n">
        <v>0</v>
      </c>
      <c r="N48" s="12" t="n">
        <f aca="false">SUM(B48:M48)</f>
        <v>3340.99</v>
      </c>
      <c r="O48" s="24" t="n">
        <f aca="false">IFERROR(N48/N$16,"")</f>
        <v>0.000450029257444613</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n">
        <f aca="false">IFERROR(AG48/AG$16,"")</f>
        <v>0</v>
      </c>
      <c r="AI48" s="9"/>
      <c r="AJ48" s="12" t="n">
        <f aca="false">N48-AG48</f>
        <v>3340.99</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n">
        <f aca="false">IFERROR(N49/N$16,"")</f>
        <v>0</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n">
        <f aca="false">IFERROR(AG49/AG$16,"")</f>
        <v>0</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n">
        <f aca="false">IFERROR(N50/N$16,"")</f>
        <v>0</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n">
        <f aca="false">IFERROR(AG50/AG$16,"")</f>
        <v>0</v>
      </c>
      <c r="AI50" s="9"/>
      <c r="AJ50" s="12" t="n">
        <f aca="false">N50-AG50</f>
        <v>0</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11274.7</v>
      </c>
      <c r="D52" s="12" t="n">
        <v>0</v>
      </c>
      <c r="E52" s="12" t="n">
        <v>0</v>
      </c>
      <c r="F52" s="12" t="n">
        <v>0</v>
      </c>
      <c r="G52" s="12" t="n">
        <v>0</v>
      </c>
      <c r="H52" s="12" t="n">
        <v>0</v>
      </c>
      <c r="I52" s="12" t="n">
        <v>0</v>
      </c>
      <c r="J52" s="64" t="n">
        <v>0</v>
      </c>
      <c r="K52" s="64" t="n">
        <v>0</v>
      </c>
      <c r="L52" s="64" t="n">
        <v>0</v>
      </c>
      <c r="M52" s="64" t="n">
        <v>0</v>
      </c>
      <c r="N52" s="12" t="n">
        <f aca="false">SUM(B52:M52)</f>
        <v>11274.7</v>
      </c>
      <c r="O52" s="24" t="n">
        <f aca="false">IFERROR(N52/N$16,"")</f>
        <v>0.00151869501821639</v>
      </c>
      <c r="P52" s="12"/>
      <c r="Q52" s="12"/>
      <c r="R52" s="66"/>
      <c r="S52" s="66"/>
      <c r="T52" s="66"/>
      <c r="U52" s="66"/>
      <c r="V52" s="66"/>
      <c r="W52" s="66"/>
      <c r="X52" s="66"/>
      <c r="Y52" s="66"/>
      <c r="Z52" s="66"/>
      <c r="AA52" s="66"/>
      <c r="AB52" s="66"/>
      <c r="AC52" s="66"/>
      <c r="AD52" s="66"/>
      <c r="AE52" s="66"/>
      <c r="AF52" s="66"/>
      <c r="AG52" s="12" t="n">
        <f aca="false">SUM(U52:AF52)</f>
        <v>0</v>
      </c>
      <c r="AH52" s="24" t="n">
        <f aca="false">IFERROR(AG52/AG$16,"")</f>
        <v>0</v>
      </c>
      <c r="AI52" s="9"/>
      <c r="AJ52" s="12" t="n">
        <f aca="false">N52-AG52</f>
        <v>11274.7</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n">
        <f aca="false">IFERROR(N53/N$16,"")</f>
        <v>0</v>
      </c>
      <c r="P53" s="12"/>
      <c r="Q53" s="12"/>
      <c r="R53" s="66"/>
      <c r="S53" s="66"/>
      <c r="T53" s="66"/>
      <c r="U53" s="66"/>
      <c r="V53" s="66"/>
      <c r="W53" s="66"/>
      <c r="X53" s="66"/>
      <c r="Y53" s="66"/>
      <c r="Z53" s="66"/>
      <c r="AA53" s="66"/>
      <c r="AB53" s="66"/>
      <c r="AC53" s="66"/>
      <c r="AD53" s="66"/>
      <c r="AE53" s="66"/>
      <c r="AF53" s="66"/>
      <c r="AG53" s="12" t="n">
        <f aca="false">SUM(U53:AF53)</f>
        <v>0</v>
      </c>
      <c r="AH53" s="24" t="n">
        <f aca="false">IFERROR(AG53/AG$16,"")</f>
        <v>0</v>
      </c>
      <c r="AI53" s="9"/>
      <c r="AJ53" s="12" t="n">
        <f aca="false">N53-AG53</f>
        <v>0</v>
      </c>
    </row>
    <row r="54" customFormat="false" ht="13.5" hidden="false" customHeight="true" outlineLevel="0" collapsed="false">
      <c r="A54" s="23" t="s">
        <v>1309</v>
      </c>
      <c r="B54" s="12" t="n">
        <v>647.35</v>
      </c>
      <c r="C54" s="12" t="n">
        <v>0</v>
      </c>
      <c r="D54" s="12" t="n">
        <v>0</v>
      </c>
      <c r="E54" s="12" t="n">
        <v>0</v>
      </c>
      <c r="F54" s="12" t="n">
        <v>0</v>
      </c>
      <c r="G54" s="12" t="n">
        <v>0</v>
      </c>
      <c r="H54" s="12" t="n">
        <v>0</v>
      </c>
      <c r="I54" s="12" t="n">
        <v>0</v>
      </c>
      <c r="J54" s="64" t="n">
        <v>0</v>
      </c>
      <c r="K54" s="64" t="n">
        <v>0</v>
      </c>
      <c r="L54" s="64" t="n">
        <v>0</v>
      </c>
      <c r="M54" s="64" t="n">
        <v>0</v>
      </c>
      <c r="N54" s="12" t="n">
        <f aca="false">SUM(B54:M54)</f>
        <v>647.35</v>
      </c>
      <c r="O54" s="24" t="n">
        <f aca="false">IFERROR(N54/N$16,"")</f>
        <v>8.71976389653277E-005</v>
      </c>
      <c r="P54" s="12"/>
      <c r="Q54" s="12"/>
      <c r="R54" s="66"/>
      <c r="S54" s="66"/>
      <c r="T54" s="66"/>
      <c r="U54" s="66"/>
      <c r="V54" s="66"/>
      <c r="W54" s="66"/>
      <c r="X54" s="66"/>
      <c r="Y54" s="66"/>
      <c r="Z54" s="66"/>
      <c r="AA54" s="66"/>
      <c r="AB54" s="66"/>
      <c r="AC54" s="66"/>
      <c r="AD54" s="66"/>
      <c r="AE54" s="66"/>
      <c r="AF54" s="66"/>
      <c r="AG54" s="12" t="n">
        <f aca="false">SUM(U54:AF54)</f>
        <v>0</v>
      </c>
      <c r="AH54" s="24" t="n">
        <f aca="false">IFERROR(AG54/AG$16,"")</f>
        <v>0</v>
      </c>
      <c r="AI54" s="9"/>
      <c r="AJ54" s="12" t="n">
        <f aca="false">N54-AG54</f>
        <v>647.35</v>
      </c>
    </row>
    <row r="55" customFormat="false" ht="13.5" hidden="false" customHeight="true" outlineLevel="0" collapsed="false">
      <c r="A55" s="26" t="s">
        <v>1310</v>
      </c>
      <c r="B55" s="27" t="n">
        <f aca="false">SUM(B52:B54)</f>
        <v>647.35</v>
      </c>
      <c r="C55" s="27" t="n">
        <f aca="false">SUM(C52:C54)</f>
        <v>11274.7</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11922.05</v>
      </c>
      <c r="O55" s="28" t="n">
        <f aca="false">IFERROR(N55/N$16,"")</f>
        <v>0.00160589265718172</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n">
        <f aca="false">IFERROR(AG55/AG$16,"")</f>
        <v>0</v>
      </c>
      <c r="AI55" s="9"/>
      <c r="AJ55" s="27" t="n">
        <f aca="false">N55-AG55</f>
        <v>11922.05</v>
      </c>
    </row>
    <row r="56" customFormat="false" ht="13.5" hidden="false" customHeight="true" outlineLevel="0" collapsed="false">
      <c r="A56" s="26" t="s">
        <v>1311</v>
      </c>
      <c r="B56" s="27" t="n">
        <f aca="false">B44+B45+B46+B47+B48+B49+B50+B55</f>
        <v>3494.83</v>
      </c>
      <c r="C56" s="27" t="n">
        <f aca="false">C44+C45+C46+C47+C48+C49+C50+C55</f>
        <v>27120.02</v>
      </c>
      <c r="D56" s="27" t="n">
        <f aca="false">D44+D45+D46+D47+D48+D49+D50+D55</f>
        <v>4902.73</v>
      </c>
      <c r="E56" s="27" t="n">
        <f aca="false">E44+E45+E46+E47+E48+E49+E50+E55</f>
        <v>1197.11</v>
      </c>
      <c r="F56" s="27" t="n">
        <f aca="false">F44+F45+F46+F47+F48+F49+F50+F55</f>
        <v>17369.79</v>
      </c>
      <c r="G56" s="27" t="n">
        <f aca="false">G44+G45+G46+G47+G48+G49+G50+G55</f>
        <v>20676.3</v>
      </c>
      <c r="H56" s="27" t="n">
        <f aca="false">H44+H45+H46+H47+H48+H49+H50+H55</f>
        <v>1239.24</v>
      </c>
      <c r="I56" s="27" t="n">
        <f aca="false">I44+I45+I46+I47+I48+I49+I50+I55</f>
        <v>0</v>
      </c>
      <c r="J56" s="27" t="n">
        <f aca="false">J44+J45+J46+J47+J48+J49+J50+J55</f>
        <v>1000</v>
      </c>
      <c r="K56" s="27" t="n">
        <f aca="false">K44+K45+K46+K47+K48+K49+K50+K55</f>
        <v>1000</v>
      </c>
      <c r="L56" s="27" t="n">
        <f aca="false">L44+L45+L46+L47+L48+L49+L50+L55</f>
        <v>1000</v>
      </c>
      <c r="M56" s="27" t="n">
        <f aca="false">M44+M45+M46+M47+M48+M49+M50+M55</f>
        <v>1000</v>
      </c>
      <c r="N56" s="27" t="n">
        <f aca="false">SUM(B56:M56)</f>
        <v>80000.02</v>
      </c>
      <c r="O56" s="28" t="n">
        <f aca="false">IFERROR(N56/N$16,"")</f>
        <v>0.0107759525159172</v>
      </c>
      <c r="P56" s="12"/>
      <c r="Q56" s="12"/>
      <c r="R56" s="63"/>
      <c r="S56" s="63"/>
      <c r="T56" s="63"/>
      <c r="U56" s="27" t="n">
        <f aca="false">U44+U45+U46+U47+U48+U49+U50+U55</f>
        <v>2500</v>
      </c>
      <c r="V56" s="27" t="n">
        <f aca="false">V44+V45+V46+V47+V48+V49+V50+V55</f>
        <v>2500</v>
      </c>
      <c r="W56" s="27" t="n">
        <f aca="false">W44+W45+W46+W47+W48+W49+W50+W55</f>
        <v>2500</v>
      </c>
      <c r="X56" s="27" t="n">
        <f aca="false">X44+X45+X46+X47+X48+X49+X50+X55</f>
        <v>2500</v>
      </c>
      <c r="Y56" s="27" t="n">
        <f aca="false">Y44+Y45+Y46+Y47+Y48+Y49+Y50+Y55</f>
        <v>2625</v>
      </c>
      <c r="Z56" s="27" t="n">
        <f aca="false">Z44+Z45+Z46+Z47+Z48+Z49+Z50+Z55</f>
        <v>2750</v>
      </c>
      <c r="AA56" s="27" t="n">
        <f aca="false">AA44+AA45+AA46+AA47+AA48+AA49+AA50+AA55</f>
        <v>2875</v>
      </c>
      <c r="AB56" s="27" t="n">
        <f aca="false">AB44+AB45+AB46+AB47+AB48+AB49+AB50+AB55</f>
        <v>3000</v>
      </c>
      <c r="AC56" s="27" t="n">
        <f aca="false">AC44+AC45+AC46+AC47+AC48+AC49+AC50+AC55</f>
        <v>3125</v>
      </c>
      <c r="AD56" s="27" t="n">
        <f aca="false">AD44+AD45+AD46+AD47+AD48+AD49+AD50+AD55</f>
        <v>3250</v>
      </c>
      <c r="AE56" s="27" t="n">
        <f aca="false">AE44+AE45+AE46+AE47+AE48+AE49+AE50+AE55</f>
        <v>3375</v>
      </c>
      <c r="AF56" s="27" t="n">
        <f aca="false">AF44+AF45+AF46+AF47+AF48+AF49+AF50+AF55</f>
        <v>3500</v>
      </c>
      <c r="AG56" s="27" t="n">
        <f aca="false">SUM(U56:AF56)</f>
        <v>34500</v>
      </c>
      <c r="AH56" s="28" t="n">
        <f aca="false">IFERROR(AG56/AG$16,"")</f>
        <v>0.00221670430026418</v>
      </c>
      <c r="AI56" s="9"/>
      <c r="AJ56" s="27" t="n">
        <f aca="false">N56-AG56</f>
        <v>45500.02</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1020</v>
      </c>
      <c r="C58" s="12" t="n">
        <v>0</v>
      </c>
      <c r="D58" s="12" t="n">
        <v>0</v>
      </c>
      <c r="E58" s="12" t="n">
        <v>0</v>
      </c>
      <c r="F58" s="12" t="n">
        <v>0</v>
      </c>
      <c r="G58" s="12" t="n">
        <v>119.99</v>
      </c>
      <c r="H58" s="12" t="n">
        <v>0</v>
      </c>
      <c r="I58" s="12" t="n">
        <v>0</v>
      </c>
      <c r="J58" s="64" t="n">
        <v>0</v>
      </c>
      <c r="K58" s="64" t="n">
        <v>0</v>
      </c>
      <c r="L58" s="64" t="n">
        <v>0</v>
      </c>
      <c r="M58" s="64" t="n">
        <v>0</v>
      </c>
      <c r="N58" s="12" t="n">
        <f aca="false">SUM(B58:M58)</f>
        <v>1139.99</v>
      </c>
      <c r="O58" s="24" t="n">
        <f aca="false">IFERROR(N58/N$16,"")</f>
        <v>0.000153555937968771</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n">
        <f aca="false">IFERROR(AG58/AG$16,"")</f>
        <v>0</v>
      </c>
      <c r="AI58" s="9"/>
      <c r="AJ58" s="12" t="n">
        <f aca="false">N58-AG58</f>
        <v>1139.99</v>
      </c>
    </row>
    <row r="59" customFormat="false" ht="13.5" hidden="false" customHeight="true" outlineLevel="0" collapsed="false">
      <c r="A59" s="23" t="s">
        <v>1314</v>
      </c>
      <c r="B59" s="12" t="n">
        <v>0</v>
      </c>
      <c r="C59" s="12" t="n">
        <v>0</v>
      </c>
      <c r="D59" s="12" t="n">
        <v>0</v>
      </c>
      <c r="E59" s="12" t="n">
        <v>0</v>
      </c>
      <c r="F59" s="12" t="n">
        <v>119.9</v>
      </c>
      <c r="G59" s="12" t="n">
        <v>0</v>
      </c>
      <c r="H59" s="12" t="n">
        <v>59.95</v>
      </c>
      <c r="I59" s="12" t="n">
        <v>0</v>
      </c>
      <c r="J59" s="64" t="n">
        <v>40</v>
      </c>
      <c r="K59" s="64" t="n">
        <v>40</v>
      </c>
      <c r="L59" s="64" t="n">
        <v>40</v>
      </c>
      <c r="M59" s="64" t="n">
        <v>40</v>
      </c>
      <c r="N59" s="12" t="n">
        <f aca="false">SUM(B59:M59)</f>
        <v>339.85</v>
      </c>
      <c r="O59" s="24" t="n">
        <f aca="false">IFERROR(N59/N$16,"")</f>
        <v>4.57775818372853E-005</v>
      </c>
      <c r="P59" s="12"/>
      <c r="Q59" s="12"/>
      <c r="R59" s="60" t="s">
        <v>1397</v>
      </c>
      <c r="S59" s="61" t="n">
        <v>500</v>
      </c>
      <c r="T59" s="62" t="n">
        <v>0.05</v>
      </c>
      <c r="U59" s="59" t="n">
        <f aca="false">IF($R59="Manual","",IFERROR(IF($R59="YOY Growth",$N59*(1+$T59)/12,$S59/12),""))</f>
        <v>41.6666666666667</v>
      </c>
      <c r="V59" s="59" t="n">
        <f aca="false">IF($R59="Manual","",IFERROR(IF($R59="YOY Growth",$N59*(1+$T59)/12,$S59/12),""))</f>
        <v>41.6666666666667</v>
      </c>
      <c r="W59" s="59" t="n">
        <f aca="false">IF($R59="Manual","",IFERROR(IF($R59="YOY Growth",$N59*(1+$T59)/12,$S59/12),""))</f>
        <v>41.6666666666667</v>
      </c>
      <c r="X59" s="59" t="n">
        <f aca="false">IF($R59="Manual","",IFERROR(IF($R59="YOY Growth",$N59*(1+$T59)/12,$S59/12),""))</f>
        <v>41.6666666666667</v>
      </c>
      <c r="Y59" s="59" t="n">
        <f aca="false">IF($R59="Manual","",IFERROR(IF($R59="YOY Growth",$N59*(1+$T59)/12,$S59/12),""))</f>
        <v>41.6666666666667</v>
      </c>
      <c r="Z59" s="59" t="n">
        <f aca="false">IF($R59="Manual","",IFERROR(IF($R59="YOY Growth",$N59*(1+$T59)/12,$S59/12),""))</f>
        <v>41.6666666666667</v>
      </c>
      <c r="AA59" s="59" t="n">
        <f aca="false">IF($R59="Manual","",IFERROR(IF($R59="YOY Growth",$N59*(1+$T59)/12,$S59/12),""))</f>
        <v>41.6666666666667</v>
      </c>
      <c r="AB59" s="59" t="n">
        <f aca="false">IF($R59="Manual","",IFERROR(IF($R59="YOY Growth",$N59*(1+$T59)/12,$S59/12),""))</f>
        <v>41.6666666666667</v>
      </c>
      <c r="AC59" s="59" t="n">
        <f aca="false">IF($R59="Manual","",IFERROR(IF($R59="YOY Growth",$N59*(1+$T59)/12,$S59/12),""))</f>
        <v>41.6666666666667</v>
      </c>
      <c r="AD59" s="59" t="n">
        <f aca="false">IF($R59="Manual","",IFERROR(IF($R59="YOY Growth",$N59*(1+$T59)/12,$S59/12),""))</f>
        <v>41.6666666666667</v>
      </c>
      <c r="AE59" s="59" t="n">
        <f aca="false">IF($R59="Manual","",IFERROR(IF($R59="YOY Growth",$N59*(1+$T59)/12,$S59/12),""))</f>
        <v>41.6666666666667</v>
      </c>
      <c r="AF59" s="59" t="n">
        <f aca="false">IF($R59="Manual","",IFERROR(IF($R59="YOY Growth",$N59*(1+$T59)/12,$S59/12),""))</f>
        <v>41.6666666666667</v>
      </c>
      <c r="AG59" s="12" t="n">
        <f aca="false">SUM(U59:AF59)</f>
        <v>500</v>
      </c>
      <c r="AH59" s="24" t="n">
        <f aca="false">IFERROR(AG59/AG$16,"")</f>
        <v>3.21261492791911E-005</v>
      </c>
      <c r="AI59" s="9"/>
      <c r="AJ59" s="12" t="n">
        <f aca="false">N59-AG59</f>
        <v>-160.15</v>
      </c>
    </row>
    <row r="60" customFormat="false" ht="13.5" hidden="false" customHeight="true" outlineLevel="0" collapsed="false">
      <c r="A60" s="23" t="s">
        <v>1315</v>
      </c>
      <c r="B60" s="12" t="n">
        <v>0</v>
      </c>
      <c r="C60" s="12" t="n">
        <v>0</v>
      </c>
      <c r="D60" s="12" t="n">
        <v>0</v>
      </c>
      <c r="E60" s="12" t="n">
        <v>0</v>
      </c>
      <c r="F60" s="12" t="n">
        <v>0</v>
      </c>
      <c r="G60" s="12" t="n">
        <v>0</v>
      </c>
      <c r="H60" s="12" t="n">
        <v>20.7</v>
      </c>
      <c r="I60" s="12" t="n">
        <v>0</v>
      </c>
      <c r="J60" s="64" t="n">
        <v>0</v>
      </c>
      <c r="K60" s="64" t="n">
        <v>0</v>
      </c>
      <c r="L60" s="64" t="n">
        <v>0</v>
      </c>
      <c r="M60" s="64" t="n">
        <v>0</v>
      </c>
      <c r="N60" s="12" t="n">
        <f aca="false">SUM(B60:M60)</f>
        <v>20.7</v>
      </c>
      <c r="O60" s="24" t="n">
        <f aca="false">IFERROR(N60/N$16,"")</f>
        <v>2.78827701642432E-006</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n">
        <f aca="false">IFERROR(AG60/AG$16,"")</f>
        <v>0</v>
      </c>
      <c r="AI60" s="9"/>
      <c r="AJ60" s="12" t="n">
        <f aca="false">N60-AG60</f>
        <v>20.7</v>
      </c>
    </row>
    <row r="61" customFormat="false" ht="13.5" hidden="false" customHeight="true" outlineLevel="0" collapsed="false">
      <c r="A61" s="26" t="s">
        <v>1316</v>
      </c>
      <c r="B61" s="32" t="n">
        <f aca="false">SUM(B58:B60)</f>
        <v>1020</v>
      </c>
      <c r="C61" s="32" t="n">
        <f aca="false">SUM(C58:C60)</f>
        <v>0</v>
      </c>
      <c r="D61" s="32" t="n">
        <f aca="false">SUM(D58:D60)</f>
        <v>0</v>
      </c>
      <c r="E61" s="32" t="n">
        <f aca="false">SUM(E58:E60)</f>
        <v>0</v>
      </c>
      <c r="F61" s="32" t="n">
        <f aca="false">SUM(F58:F60)</f>
        <v>119.9</v>
      </c>
      <c r="G61" s="32" t="n">
        <f aca="false">SUM(G58:G60)</f>
        <v>119.99</v>
      </c>
      <c r="H61" s="32" t="n">
        <f aca="false">SUM(H58:H60)</f>
        <v>80.65</v>
      </c>
      <c r="I61" s="32" t="n">
        <f aca="false">SUM(I58:I60)</f>
        <v>0</v>
      </c>
      <c r="J61" s="32" t="n">
        <f aca="false">SUM(J58:J60)</f>
        <v>40</v>
      </c>
      <c r="K61" s="32" t="n">
        <f aca="false">SUM(K58:K60)</f>
        <v>40</v>
      </c>
      <c r="L61" s="32" t="n">
        <f aca="false">SUM(L58:L60)</f>
        <v>40</v>
      </c>
      <c r="M61" s="32" t="n">
        <f aca="false">SUM(M58:M60)</f>
        <v>40</v>
      </c>
      <c r="N61" s="32" t="n">
        <f aca="false">SUM(B61:M61)</f>
        <v>1500.54</v>
      </c>
      <c r="O61" s="33" t="n">
        <f aca="false">IFERROR(N61/N$16,"")</f>
        <v>0.000202121796822481</v>
      </c>
      <c r="P61" s="12"/>
      <c r="Q61" s="12"/>
      <c r="R61" s="63"/>
      <c r="S61" s="63"/>
      <c r="T61" s="63"/>
      <c r="U61" s="32" t="n">
        <f aca="false">SUM(U58:U60)</f>
        <v>41.6666666666667</v>
      </c>
      <c r="V61" s="32" t="n">
        <f aca="false">SUM(V58:V60)</f>
        <v>41.6666666666667</v>
      </c>
      <c r="W61" s="32" t="n">
        <f aca="false">SUM(W58:W60)</f>
        <v>41.6666666666667</v>
      </c>
      <c r="X61" s="32" t="n">
        <f aca="false">SUM(X58:X60)</f>
        <v>41.6666666666667</v>
      </c>
      <c r="Y61" s="32" t="n">
        <f aca="false">SUM(Y58:Y60)</f>
        <v>41.6666666666667</v>
      </c>
      <c r="Z61" s="32" t="n">
        <f aca="false">SUM(Z58:Z60)</f>
        <v>41.6666666666667</v>
      </c>
      <c r="AA61" s="32" t="n">
        <f aca="false">SUM(AA58:AA60)</f>
        <v>41.6666666666667</v>
      </c>
      <c r="AB61" s="32" t="n">
        <f aca="false">SUM(AB58:AB60)</f>
        <v>41.6666666666667</v>
      </c>
      <c r="AC61" s="32" t="n">
        <f aca="false">SUM(AC58:AC60)</f>
        <v>41.6666666666667</v>
      </c>
      <c r="AD61" s="32" t="n">
        <f aca="false">SUM(AD58:AD60)</f>
        <v>41.6666666666667</v>
      </c>
      <c r="AE61" s="32" t="n">
        <f aca="false">SUM(AE58:AE60)</f>
        <v>41.6666666666667</v>
      </c>
      <c r="AF61" s="32" t="n">
        <f aca="false">SUM(AF58:AF60)</f>
        <v>41.6666666666667</v>
      </c>
      <c r="AG61" s="32" t="n">
        <f aca="false">SUM(U61:AF61)</f>
        <v>500</v>
      </c>
      <c r="AH61" s="33" t="n">
        <f aca="false">IFERROR(AG61/AG$16,"")</f>
        <v>3.21261492791911E-005</v>
      </c>
      <c r="AI61" s="9"/>
      <c r="AJ61" s="27" t="n">
        <f aca="false">N61-AG61</f>
        <v>1000.54</v>
      </c>
    </row>
    <row r="62" customFormat="false" ht="13.5" hidden="false" customHeight="true" outlineLevel="0" collapsed="false">
      <c r="A62" s="34" t="s">
        <v>1317</v>
      </c>
      <c r="B62" s="12" t="n">
        <v>0</v>
      </c>
      <c r="C62" s="12" t="n">
        <v>0</v>
      </c>
      <c r="D62" s="12" t="n">
        <v>0</v>
      </c>
      <c r="E62" s="12" t="n">
        <v>0</v>
      </c>
      <c r="F62" s="12" t="n">
        <v>0</v>
      </c>
      <c r="G62" s="12" t="n">
        <v>0</v>
      </c>
      <c r="H62" s="12" t="n">
        <v>-410.41</v>
      </c>
      <c r="I62" s="12" t="n">
        <v>0</v>
      </c>
      <c r="J62" s="64" t="n">
        <v>0</v>
      </c>
      <c r="K62" s="64" t="n">
        <v>0</v>
      </c>
      <c r="L62" s="64" t="n">
        <v>0</v>
      </c>
      <c r="M62" s="64" t="n">
        <v>0</v>
      </c>
      <c r="N62" s="12" t="n">
        <f aca="false">SUM(B62:M62)</f>
        <v>-410.41</v>
      </c>
      <c r="O62" s="24" t="n">
        <f aca="false">IFERROR(N62/N$16,"")</f>
        <v>-5.52819695802273E-005</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n">
        <f aca="false">IFERROR(AG62/AG$16,"")</f>
        <v>0</v>
      </c>
      <c r="AI62" s="9"/>
      <c r="AJ62" s="12" t="n">
        <f aca="false">N62-AG62</f>
        <v>-410.41</v>
      </c>
    </row>
    <row r="63" customFormat="false" ht="13.5" hidden="false" customHeight="true" outlineLevel="0" collapsed="false">
      <c r="A63" s="26" t="s">
        <v>1318</v>
      </c>
      <c r="B63" s="27" t="n">
        <f aca="false">B37+B38+B39+B40+B41+B42+B56+B61+B62</f>
        <v>194694.09</v>
      </c>
      <c r="C63" s="27" t="n">
        <f aca="false">C37+C38+C39+C40+C41+C42+C56+C61+C62</f>
        <v>189714.34</v>
      </c>
      <c r="D63" s="27" t="n">
        <f aca="false">D37+D38+D39+D40+D41+D42+D56+D61+D62</f>
        <v>117788.66</v>
      </c>
      <c r="E63" s="27" t="n">
        <f aca="false">E37+E38+E39+E40+E41+E42+E56+E61+E62</f>
        <v>205869.47</v>
      </c>
      <c r="F63" s="27" t="n">
        <f aca="false">F37+F38+F39+F40+F41+F42+F56+F61+F62</f>
        <v>201566.18</v>
      </c>
      <c r="G63" s="27" t="n">
        <f aca="false">G37+G38+G39+G40+G41+G42+G56+G61+G62</f>
        <v>208823.87</v>
      </c>
      <c r="H63" s="27" t="n">
        <f aca="false">H37+H38+H39+H40+H41+H42+H56+H61+H62</f>
        <v>176632.48</v>
      </c>
      <c r="I63" s="27" t="n">
        <f aca="false">I37+I38+I39+I40+I41+I42+I56+I61+I62</f>
        <v>290052.55</v>
      </c>
      <c r="J63" s="27" t="n">
        <f aca="false">J37+J38+J39+J40+J41+J42+J56+J61+J62</f>
        <v>189984.910476191</v>
      </c>
      <c r="K63" s="27" t="n">
        <f aca="false">K37+K38+K39+K40+K41+K42+K56+K61+K62</f>
        <v>194590.862857143</v>
      </c>
      <c r="L63" s="27" t="n">
        <f aca="false">L37+L38+L39+L40+L41+L42+L56+L61+L62</f>
        <v>193737.291428571</v>
      </c>
      <c r="M63" s="27" t="n">
        <f aca="false">M37+M38+M39+M40+M41+M42+M56+M61+M62</f>
        <v>197883.72</v>
      </c>
      <c r="N63" s="27" t="n">
        <f aca="false">SUM(B63:M63)</f>
        <v>2361338.42476191</v>
      </c>
      <c r="O63" s="28" t="n">
        <f aca="false">IFERROR(N63/N$16,"")</f>
        <v>0.318070804722861</v>
      </c>
      <c r="P63" s="12"/>
      <c r="Q63" s="12"/>
      <c r="R63" s="63"/>
      <c r="S63" s="63"/>
      <c r="T63" s="63"/>
      <c r="U63" s="27" t="n">
        <f aca="false">U37+U38+U39+U40+U41+U42+U56+U61+U62</f>
        <v>300018.011386099</v>
      </c>
      <c r="V63" s="27" t="n">
        <f aca="false">V37+V38+V39+V40+V41+V42+V56+V61+V62</f>
        <v>273202.535195623</v>
      </c>
      <c r="W63" s="27" t="n">
        <f aca="false">W37+W38+W39+W40+W41+W42+W56+W61+W62</f>
        <v>273202.535195623</v>
      </c>
      <c r="X63" s="27" t="n">
        <f aca="false">X37+X38+X39+X40+X41+X42+X56+X61+X62</f>
        <v>297043.309005147</v>
      </c>
      <c r="Y63" s="27" t="n">
        <f aca="false">Y37+Y38+Y39+Y40+Y41+Y42+Y56+Y61+Y62</f>
        <v>318070.39233848</v>
      </c>
      <c r="Z63" s="27" t="n">
        <f aca="false">Z37+Z38+Z39+Z40+Z41+Z42+Z56+Z61+Z62</f>
        <v>337044.201862289</v>
      </c>
      <c r="AA63" s="27" t="n">
        <f aca="false">AA37+AA38+AA39+AA40+AA41+AA42+AA56+AA61+AA62</f>
        <v>357434.380433718</v>
      </c>
      <c r="AB63" s="27" t="n">
        <f aca="false">AB37+AB38+AB39+AB40+AB41+AB42+AB56+AB61+AB62</f>
        <v>381916.820909908</v>
      </c>
      <c r="AC63" s="27" t="n">
        <f aca="false">AC37+AC38+AC39+AC40+AC41+AC42+AC56+AC61+AC62</f>
        <v>413804.320909909</v>
      </c>
      <c r="AD63" s="27" t="n">
        <f aca="false">AD37+AD38+AD39+AD40+AD41+AD42+AD56+AD61+AD62</f>
        <v>450686.721529527</v>
      </c>
      <c r="AE63" s="27" t="n">
        <f aca="false">AE37+AE38+AE39+AE40+AE41+AE42+AE56+AE61+AE62</f>
        <v>486604.281053337</v>
      </c>
      <c r="AF63" s="27" t="n">
        <f aca="false">AF37+AF38+AF39+AF40+AF41+AF42+AF56+AF61+AF62</f>
        <v>526676.304862861</v>
      </c>
      <c r="AG63" s="27" t="n">
        <f aca="false">SUM(U63:AF63)</f>
        <v>4415703.81468252</v>
      </c>
      <c r="AH63" s="28" t="n">
        <f aca="false">IFERROR(AG63/AG$16,"")</f>
        <v>0.283719119846368</v>
      </c>
      <c r="AI63" s="9"/>
      <c r="AJ63" s="27" t="n">
        <f aca="false">N63-AG63</f>
        <v>-2054365.38992061</v>
      </c>
    </row>
    <row r="64" customFormat="false" ht="13.5" hidden="false" customHeight="true" outlineLevel="0" collapsed="false">
      <c r="A64" s="69" t="s">
        <v>19</v>
      </c>
      <c r="B64" s="27" t="n">
        <f aca="false">B16-B63</f>
        <v>348300.47</v>
      </c>
      <c r="C64" s="27" t="n">
        <f aca="false">C16-C63</f>
        <v>313512.72</v>
      </c>
      <c r="D64" s="27" t="n">
        <f aca="false">D16-D63</f>
        <v>429092.67</v>
      </c>
      <c r="E64" s="27" t="n">
        <f aca="false">E16-E63</f>
        <v>543834.51</v>
      </c>
      <c r="F64" s="27" t="n">
        <f aca="false">F16-F63</f>
        <v>318379.71</v>
      </c>
      <c r="G64" s="27" t="n">
        <f aca="false">G16-G63</f>
        <v>270919.13</v>
      </c>
      <c r="H64" s="27" t="n">
        <f aca="false">H16-H63</f>
        <v>464576.35</v>
      </c>
      <c r="I64" s="27" t="n">
        <f aca="false">I16-I63</f>
        <v>181253.01</v>
      </c>
      <c r="J64" s="27" t="n">
        <f aca="false">J16-J63</f>
        <v>461622.422857143</v>
      </c>
      <c r="K64" s="27" t="n">
        <f aca="false">K16-K63</f>
        <v>552849.803809524</v>
      </c>
      <c r="L64" s="27" t="n">
        <f aca="false">L16-L63</f>
        <v>578703.375238096</v>
      </c>
      <c r="M64" s="27" t="n">
        <f aca="false">M16-M63</f>
        <v>599556.946666667</v>
      </c>
      <c r="N64" s="27" t="n">
        <f aca="false">SUM(B64:M64)</f>
        <v>5062601.11857143</v>
      </c>
      <c r="O64" s="28" t="n">
        <f aca="false">IFERROR(N64/N$16,"")</f>
        <v>0.681929195277139</v>
      </c>
      <c r="P64" s="12"/>
      <c r="Q64" s="12"/>
      <c r="R64" s="63"/>
      <c r="S64" s="63"/>
      <c r="T64" s="63"/>
      <c r="U64" s="27" t="n">
        <f aca="false">U16-U63</f>
        <v>483410.405280568</v>
      </c>
      <c r="V64" s="27" t="n">
        <f aca="false">V16-V63</f>
        <v>548717.964804378</v>
      </c>
      <c r="W64" s="27" t="n">
        <f aca="false">W16-W63</f>
        <v>534543.381471044</v>
      </c>
      <c r="X64" s="27" t="n">
        <f aca="false">X16-X63</f>
        <v>610078.565994854</v>
      </c>
      <c r="Y64" s="27" t="n">
        <f aca="false">Y16-Y63</f>
        <v>679305.440994854</v>
      </c>
      <c r="Z64" s="27" t="n">
        <f aca="false">Z16-Z63</f>
        <v>779002.256471045</v>
      </c>
      <c r="AA64" s="27" t="n">
        <f aca="false">AA16-AA63</f>
        <v>874157.702899616</v>
      </c>
      <c r="AB64" s="27" t="n">
        <f aca="false">AB16-AB63</f>
        <v>997709.220756759</v>
      </c>
      <c r="AC64" s="27" t="n">
        <f aca="false">AC16-AC63</f>
        <v>1148052.34575676</v>
      </c>
      <c r="AD64" s="27" t="n">
        <f aca="false">AD16-AD63</f>
        <v>1300940.57013714</v>
      </c>
      <c r="AE64" s="27" t="n">
        <f aca="false">AE16-AE63</f>
        <v>1488558.96894666</v>
      </c>
      <c r="AF64" s="27" t="n">
        <f aca="false">AF16-AF63</f>
        <v>1703464.90347047</v>
      </c>
      <c r="AG64" s="27" t="n">
        <f aca="false">SUM(U64:AF64)</f>
        <v>11147941.7269842</v>
      </c>
      <c r="AH64" s="28" t="n">
        <f aca="false">IFERROR(AG64/AG$16,"")</f>
        <v>0.716280880153632</v>
      </c>
      <c r="AI64" s="9"/>
      <c r="AJ64" s="27" t="n">
        <f aca="false">AG64-N64</f>
        <v>6085340.60841272</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-142290.68</v>
      </c>
      <c r="C67" s="12" t="n">
        <v>-165768.2</v>
      </c>
      <c r="D67" s="12" t="n">
        <v>0</v>
      </c>
      <c r="E67" s="12" t="n">
        <v>0</v>
      </c>
      <c r="F67" s="12" t="n">
        <v>0</v>
      </c>
      <c r="G67" s="12" t="n">
        <v>0</v>
      </c>
      <c r="H67" s="12" t="n">
        <v>0</v>
      </c>
      <c r="I67" s="12" t="n">
        <v>0</v>
      </c>
      <c r="J67" s="64" t="n">
        <v>0</v>
      </c>
      <c r="K67" s="64" t="n">
        <v>0</v>
      </c>
      <c r="L67" s="64" t="n">
        <v>0</v>
      </c>
      <c r="M67" s="64" t="n">
        <v>0</v>
      </c>
      <c r="N67" s="12" t="n">
        <f aca="false">SUM(B67:M67)</f>
        <v>-308058.88</v>
      </c>
      <c r="O67" s="24" t="n">
        <f aca="false">IFERROR(N67/N$16,"")</f>
        <v>-0.0414953379134984</v>
      </c>
      <c r="P67" s="12"/>
      <c r="Q67" s="12"/>
      <c r="R67" s="66"/>
      <c r="S67" s="66"/>
      <c r="T67" s="66"/>
      <c r="U67" s="66"/>
      <c r="V67" s="66"/>
      <c r="W67" s="66"/>
      <c r="X67" s="66"/>
      <c r="Y67" s="66"/>
      <c r="Z67" s="66"/>
      <c r="AA67" s="66"/>
      <c r="AB67" s="66"/>
      <c r="AC67" s="66"/>
      <c r="AD67" s="66"/>
      <c r="AE67" s="66"/>
      <c r="AF67" s="66"/>
      <c r="AG67" s="12" t="n">
        <f aca="false">SUM(U67:AF67)</f>
        <v>0</v>
      </c>
      <c r="AH67" s="24" t="n">
        <f aca="false">IFERROR(AG67/AG$16,"")</f>
        <v>0</v>
      </c>
      <c r="AI67" s="9"/>
      <c r="AJ67" s="12" t="n">
        <f aca="false">N67-AG67</f>
        <v>-308058.88</v>
      </c>
    </row>
    <row r="68" customFormat="false" ht="13.5" hidden="false" customHeight="true" outlineLevel="0" collapsed="false">
      <c r="A68" s="23" t="s">
        <v>1322</v>
      </c>
      <c r="B68" s="12" t="n">
        <v>1615.95</v>
      </c>
      <c r="C68" s="12" t="n">
        <v>0</v>
      </c>
      <c r="D68" s="12" t="n">
        <v>0</v>
      </c>
      <c r="E68" s="12" t="n">
        <v>0</v>
      </c>
      <c r="F68" s="12" t="n">
        <v>0</v>
      </c>
      <c r="G68" s="12" t="n">
        <v>0</v>
      </c>
      <c r="H68" s="12" t="n">
        <v>0</v>
      </c>
      <c r="I68" s="12" t="n">
        <v>0</v>
      </c>
      <c r="J68" s="64" t="n">
        <v>0</v>
      </c>
      <c r="K68" s="64" t="n">
        <v>0</v>
      </c>
      <c r="L68" s="64" t="n">
        <v>0</v>
      </c>
      <c r="M68" s="64" t="n">
        <v>0</v>
      </c>
      <c r="N68" s="12" t="n">
        <f aca="false">SUM(B68:M68)</f>
        <v>1615.95</v>
      </c>
      <c r="O68" s="24" t="n">
        <f aca="false">IFERROR(N68/N$16,"")</f>
        <v>0.000217667451434342</v>
      </c>
      <c r="P68" s="12"/>
      <c r="Q68" s="12"/>
      <c r="R68" s="66"/>
      <c r="S68" s="66"/>
      <c r="T68" s="66"/>
      <c r="U68" s="66"/>
      <c r="V68" s="66"/>
      <c r="W68" s="66"/>
      <c r="X68" s="66"/>
      <c r="Y68" s="66"/>
      <c r="Z68" s="66"/>
      <c r="AA68" s="66"/>
      <c r="AB68" s="66"/>
      <c r="AC68" s="66"/>
      <c r="AD68" s="66"/>
      <c r="AE68" s="66"/>
      <c r="AF68" s="66"/>
      <c r="AG68" s="12" t="n">
        <f aca="false">SUM(U68:AF68)</f>
        <v>0</v>
      </c>
      <c r="AH68" s="24" t="n">
        <f aca="false">IFERROR(AG68/AG$16,"")</f>
        <v>0</v>
      </c>
      <c r="AI68" s="9"/>
      <c r="AJ68" s="12" t="n">
        <f aca="false">N68-AG68</f>
        <v>1615.95</v>
      </c>
    </row>
    <row r="69" customFormat="false" ht="13.5" hidden="false" customHeight="true" outlineLevel="0" collapsed="false">
      <c r="A69" s="23" t="s">
        <v>1323</v>
      </c>
      <c r="B69" s="12" t="n">
        <v>-3646.58</v>
      </c>
      <c r="C69" s="12" t="n">
        <v>218.75</v>
      </c>
      <c r="D69" s="12" t="n">
        <v>0</v>
      </c>
      <c r="E69" s="12" t="n">
        <v>0</v>
      </c>
      <c r="F69" s="12" t="n">
        <v>0</v>
      </c>
      <c r="G69" s="12" t="n">
        <v>0</v>
      </c>
      <c r="H69" s="12" t="n">
        <v>0</v>
      </c>
      <c r="I69" s="12" t="n">
        <v>0</v>
      </c>
      <c r="J69" s="64" t="n">
        <v>0</v>
      </c>
      <c r="K69" s="64" t="n">
        <v>0</v>
      </c>
      <c r="L69" s="64" t="n">
        <v>0</v>
      </c>
      <c r="M69" s="64" t="n">
        <v>0</v>
      </c>
      <c r="N69" s="12" t="n">
        <f aca="false">SUM(B69:M69)</f>
        <v>-3427.83</v>
      </c>
      <c r="O69" s="24" t="n">
        <f aca="false">IFERROR(N69/N$16,"")</f>
        <v>-0.000461726550976318</v>
      </c>
      <c r="P69" s="12"/>
      <c r="Q69" s="12"/>
      <c r="R69" s="66"/>
      <c r="S69" s="66"/>
      <c r="T69" s="66"/>
      <c r="U69" s="66"/>
      <c r="V69" s="66"/>
      <c r="W69" s="66"/>
      <c r="X69" s="66"/>
      <c r="Y69" s="66"/>
      <c r="Z69" s="66"/>
      <c r="AA69" s="66"/>
      <c r="AB69" s="66"/>
      <c r="AC69" s="66"/>
      <c r="AD69" s="66"/>
      <c r="AE69" s="66"/>
      <c r="AF69" s="66"/>
      <c r="AG69" s="12" t="n">
        <f aca="false">SUM(U69:AF69)</f>
        <v>0</v>
      </c>
      <c r="AH69" s="24" t="n">
        <f aca="false">IFERROR(AG69/AG$16,"")</f>
        <v>0</v>
      </c>
      <c r="AI69" s="9"/>
      <c r="AJ69" s="12" t="n">
        <f aca="false">N69-AG69</f>
        <v>-3427.83</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n">
        <f aca="false">IFERROR(N70/N$16,"")</f>
        <v>0</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n">
        <f aca="false">IFERROR(AG70/AG$16,"")</f>
        <v>0</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n">
        <f aca="false">IFERROR(N71/N$16,"")</f>
        <v>0</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n">
        <f aca="false">IFERROR(AG71/AG$16,"")</f>
        <v>0</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n">
        <f aca="false">IFERROR(N72/N$16,"")</f>
        <v>0</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n">
        <f aca="false">IFERROR(AG72/AG$16,"")</f>
        <v>0</v>
      </c>
      <c r="AI72" s="9"/>
      <c r="AJ72" s="12" t="n">
        <f aca="false">N72-AG72</f>
        <v>0</v>
      </c>
    </row>
    <row r="73" customFormat="false" ht="13.5" hidden="false" customHeight="true" outlineLevel="0" collapsed="false">
      <c r="A73" s="26" t="s">
        <v>1327</v>
      </c>
      <c r="B73" s="27" t="n">
        <f aca="false">SUM(B67:B72)</f>
        <v>-144321.31</v>
      </c>
      <c r="C73" s="27" t="n">
        <f aca="false">SUM(C67:C72)</f>
        <v>-165549.45</v>
      </c>
      <c r="D73" s="27" t="n">
        <f aca="false">SUM(D67:D72)</f>
        <v>0</v>
      </c>
      <c r="E73" s="27" t="n">
        <f aca="false">SUM(E67:E72)</f>
        <v>0</v>
      </c>
      <c r="F73" s="27" t="n">
        <f aca="false">SUM(F67:F72)</f>
        <v>0</v>
      </c>
      <c r="G73" s="27" t="n">
        <f aca="false">SUM(G67:G72)</f>
        <v>0</v>
      </c>
      <c r="H73" s="27" t="n">
        <f aca="false">SUM(H67:H72)</f>
        <v>0</v>
      </c>
      <c r="I73" s="27" t="n">
        <f aca="false">SUM(I67:I72)</f>
        <v>0</v>
      </c>
      <c r="J73" s="27" t="n">
        <f aca="false">SUM(J67:J72)</f>
        <v>0</v>
      </c>
      <c r="K73" s="27" t="n">
        <f aca="false">SUM(K67:K72)</f>
        <v>0</v>
      </c>
      <c r="L73" s="27" t="n">
        <f aca="false">SUM(L67:L72)</f>
        <v>0</v>
      </c>
      <c r="M73" s="27" t="n">
        <f aca="false">SUM(M67:M72)</f>
        <v>0</v>
      </c>
      <c r="N73" s="27" t="n">
        <f aca="false">SUM(B73:M73)</f>
        <v>-309870.76</v>
      </c>
      <c r="O73" s="28" t="n">
        <f aca="false">IFERROR(N73/N$16,"")</f>
        <v>-0.0417393970130404</v>
      </c>
      <c r="P73" s="12"/>
      <c r="Q73" s="12"/>
      <c r="R73" s="63"/>
      <c r="S73" s="63"/>
      <c r="T73" s="63"/>
      <c r="U73" s="27" t="n">
        <f aca="false">SUM(U67:U72)</f>
        <v>0</v>
      </c>
      <c r="V73" s="27" t="n">
        <f aca="false">SUM(V67:V72)</f>
        <v>0</v>
      </c>
      <c r="W73" s="27" t="n">
        <f aca="false">SUM(W67:W72)</f>
        <v>0</v>
      </c>
      <c r="X73" s="27" t="n">
        <f aca="false">SUM(X67:X72)</f>
        <v>0</v>
      </c>
      <c r="Y73" s="27" t="n">
        <f aca="false">SUM(Y67:Y72)</f>
        <v>0</v>
      </c>
      <c r="Z73" s="27" t="n">
        <f aca="false">SUM(Z67:Z72)</f>
        <v>0</v>
      </c>
      <c r="AA73" s="27" t="n">
        <f aca="false">SUM(AA67:AA72)</f>
        <v>0</v>
      </c>
      <c r="AB73" s="27" t="n">
        <f aca="false">SUM(AB67:AB72)</f>
        <v>0</v>
      </c>
      <c r="AC73" s="27" t="n">
        <f aca="false">SUM(AC67:AC72)</f>
        <v>0</v>
      </c>
      <c r="AD73" s="27" t="n">
        <f aca="false">SUM(AD67:AD72)</f>
        <v>0</v>
      </c>
      <c r="AE73" s="27" t="n">
        <f aca="false">SUM(AE67:AE72)</f>
        <v>0</v>
      </c>
      <c r="AF73" s="27" t="n">
        <f aca="false">SUM(AF67:AF72)</f>
        <v>0</v>
      </c>
      <c r="AG73" s="27" t="n">
        <f aca="false">SUM(U73:AF73)</f>
        <v>0</v>
      </c>
      <c r="AH73" s="28" t="n">
        <f aca="false">IFERROR(AG73/AG$16,"")</f>
        <v>0</v>
      </c>
      <c r="AI73" s="9"/>
      <c r="AJ73" s="27" t="n">
        <f aca="false">N73-AG73</f>
        <v>-309870.76</v>
      </c>
    </row>
    <row r="74" customFormat="false" ht="13.5" hidden="false" customHeight="true" outlineLevel="0" collapsed="false">
      <c r="A74" s="23" t="s">
        <v>1328</v>
      </c>
      <c r="B74" s="12" t="n">
        <v>0</v>
      </c>
      <c r="C74" s="12" t="n">
        <v>0</v>
      </c>
      <c r="D74" s="12" t="n">
        <v>0</v>
      </c>
      <c r="E74" s="12" t="n">
        <v>0</v>
      </c>
      <c r="F74" s="12" t="n">
        <v>0</v>
      </c>
      <c r="G74" s="12" t="n">
        <v>0</v>
      </c>
      <c r="H74" s="12" t="n">
        <v>0</v>
      </c>
      <c r="I74" s="12" t="n">
        <v>0</v>
      </c>
      <c r="J74" s="64" t="n">
        <v>0</v>
      </c>
      <c r="K74" s="64" t="n">
        <v>0</v>
      </c>
      <c r="L74" s="64" t="n">
        <v>0</v>
      </c>
      <c r="M74" s="64" t="n">
        <v>0</v>
      </c>
      <c r="N74" s="12" t="n">
        <f aca="false">SUM(B74:M74)</f>
        <v>0</v>
      </c>
      <c r="O74" s="24" t="n">
        <f aca="false">IFERROR(N74/N$16,"")</f>
        <v>0</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n">
        <f aca="false">IFERROR(AG74/AG$16,"")</f>
        <v>0</v>
      </c>
      <c r="AI74" s="9"/>
      <c r="AJ74" s="12" t="n">
        <f aca="false">N74-AG74</f>
        <v>0</v>
      </c>
    </row>
    <row r="75" customFormat="false" ht="13.5" hidden="false" customHeight="true" outlineLevel="0" collapsed="false">
      <c r="A75" s="23" t="s">
        <v>1329</v>
      </c>
      <c r="B75" s="12" t="n">
        <v>0</v>
      </c>
      <c r="C75" s="12" t="n">
        <v>0</v>
      </c>
      <c r="D75" s="12" t="n">
        <v>0</v>
      </c>
      <c r="E75" s="12" t="n">
        <v>0</v>
      </c>
      <c r="F75" s="12" t="n">
        <v>0</v>
      </c>
      <c r="G75" s="12" t="n">
        <v>0</v>
      </c>
      <c r="H75" s="12" t="n">
        <v>0</v>
      </c>
      <c r="I75" s="12" t="n">
        <v>0</v>
      </c>
      <c r="J75" s="64" t="n">
        <v>0</v>
      </c>
      <c r="K75" s="64" t="n">
        <v>0</v>
      </c>
      <c r="L75" s="64" t="n">
        <v>0</v>
      </c>
      <c r="M75" s="64" t="n">
        <v>0</v>
      </c>
      <c r="N75" s="12" t="n">
        <f aca="false">SUM(B75:M75)</f>
        <v>0</v>
      </c>
      <c r="O75" s="24" t="n">
        <f aca="false">IFERROR(N75/N$16,"")</f>
        <v>0</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n">
        <f aca="false">IFERROR(AG75/AG$16,"")</f>
        <v>0</v>
      </c>
      <c r="AI75" s="9"/>
      <c r="AJ75" s="12" t="n">
        <f aca="false">N75-AG75</f>
        <v>0</v>
      </c>
    </row>
    <row r="76" customFormat="false" ht="13.5" hidden="false" customHeight="true" outlineLevel="0" collapsed="false">
      <c r="A76" s="23" t="s">
        <v>1330</v>
      </c>
      <c r="B76" s="12" t="n">
        <v>341.94</v>
      </c>
      <c r="C76" s="12" t="n">
        <v>0</v>
      </c>
      <c r="D76" s="12" t="n">
        <v>0</v>
      </c>
      <c r="E76" s="12" t="n">
        <v>0</v>
      </c>
      <c r="F76" s="12" t="n">
        <v>0</v>
      </c>
      <c r="G76" s="12" t="n">
        <v>0</v>
      </c>
      <c r="H76" s="12" t="n">
        <v>0</v>
      </c>
      <c r="I76" s="12" t="n">
        <v>0</v>
      </c>
      <c r="J76" s="64" t="n">
        <v>0</v>
      </c>
      <c r="K76" s="64" t="n">
        <v>0</v>
      </c>
      <c r="L76" s="64" t="n">
        <v>0</v>
      </c>
      <c r="M76" s="64" t="n">
        <v>0</v>
      </c>
      <c r="N76" s="12" t="n">
        <f aca="false">SUM(B76:M76)</f>
        <v>341.94</v>
      </c>
      <c r="O76" s="24" t="n">
        <f aca="false">IFERROR(N76/N$16,"")</f>
        <v>4.60591035263832E-005</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n">
        <f aca="false">IFERROR(AG76/AG$16,"")</f>
        <v>0</v>
      </c>
      <c r="AI76" s="9"/>
      <c r="AJ76" s="12" t="n">
        <f aca="false">N76-AG76</f>
        <v>341.94</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n">
        <f aca="false">IFERROR(N77/N$16,"")</f>
        <v>0</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n">
        <f aca="false">IFERROR(AG77/AG$16,"")</f>
        <v>0</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n">
        <f aca="false">IFERROR(N78/N$16,"")</f>
        <v>0</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n">
        <f aca="false">IFERROR(AG78/AG$16,"")</f>
        <v>0</v>
      </c>
      <c r="AI78" s="9"/>
      <c r="AJ78" s="12" t="n">
        <f aca="false">N78-AG78</f>
        <v>0</v>
      </c>
    </row>
    <row r="79" customFormat="false" ht="13.5" hidden="false" customHeight="true" outlineLevel="0" collapsed="false">
      <c r="A79" s="23" t="s">
        <v>1333</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n">
        <f aca="false">IFERROR(N79/N$16,"")</f>
        <v>0</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n">
        <f aca="false">IFERROR(AG79/AG$16,"")</f>
        <v>0</v>
      </c>
      <c r="AI79" s="9"/>
      <c r="AJ79" s="12" t="n">
        <f aca="false">N79-AG79</f>
        <v>0</v>
      </c>
    </row>
    <row r="80" customFormat="false" ht="13.5" hidden="false" customHeight="true" outlineLevel="0" collapsed="false">
      <c r="A80" s="23" t="s">
        <v>1334</v>
      </c>
      <c r="B80" s="12" t="n">
        <v>0</v>
      </c>
      <c r="C80" s="12" t="n">
        <v>0</v>
      </c>
      <c r="D80" s="12" t="n">
        <v>20</v>
      </c>
      <c r="E80" s="12" t="n">
        <v>0</v>
      </c>
      <c r="F80" s="12" t="n">
        <v>0</v>
      </c>
      <c r="G80" s="12" t="n">
        <v>0</v>
      </c>
      <c r="H80" s="12" t="n">
        <v>0</v>
      </c>
      <c r="I80" s="12" t="n">
        <v>0</v>
      </c>
      <c r="J80" s="64" t="n">
        <v>0</v>
      </c>
      <c r="K80" s="64" t="n">
        <v>0</v>
      </c>
      <c r="L80" s="64" t="n">
        <v>0</v>
      </c>
      <c r="M80" s="64" t="n">
        <v>0</v>
      </c>
      <c r="N80" s="12" t="n">
        <f aca="false">SUM(B80:M80)</f>
        <v>20</v>
      </c>
      <c r="O80" s="24" t="n">
        <f aca="false">IFERROR(N80/N$16,"")</f>
        <v>2.69398745548244E-006</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n">
        <f aca="false">IFERROR(AG80/AG$16,"")</f>
        <v>0</v>
      </c>
      <c r="AI80" s="9"/>
      <c r="AJ80" s="12" t="n">
        <f aca="false">N80-AG80</f>
        <v>20</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n">
        <f aca="false">IFERROR(N82/N$16,"")</f>
        <v>0</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n">
        <f aca="false">IFERROR(AG82/AG$16,"")</f>
        <v>0</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n">
        <f aca="false">IFERROR(N83/N$16,"")</f>
        <v>0</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n">
        <f aca="false">IFERROR(AG83/AG$16,"")</f>
        <v>0</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n">
        <f aca="false">IFERROR(N84/N$16,"")</f>
        <v>0</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n">
        <f aca="false">IFERROR(AG84/AG$16,"")</f>
        <v>0</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n">
        <f aca="false">IFERROR(N85/N$16,"")</f>
        <v>0</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n">
        <f aca="false">IFERROR(AG85/AG$16,"")</f>
        <v>0</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n">
        <f aca="false">IFERROR(N86/N$16,"")</f>
        <v>0</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n">
        <f aca="false">IFERROR(AG86/AG$16,"")</f>
        <v>0</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n">
        <f aca="false">IFERROR(N87/N$16,"")</f>
        <v>0</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n">
        <f aca="false">IFERROR(AG87/AG$16,"")</f>
        <v>0</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n">
        <f aca="false">IFERROR(N88/N$16,"")</f>
        <v>0</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n">
        <f aca="false">IFERROR(AG88/AG$16,"")</f>
        <v>0</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n">
        <f aca="false">IFERROR(N89/N$16,"")</f>
        <v>0</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n">
        <f aca="false">IFERROR(AG89/AG$16,"")</f>
        <v>0</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n">
        <f aca="false">IFERROR(N90/N$16,"")</f>
        <v>0</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n">
        <f aca="false">IFERROR(AG90/AG$16,"")</f>
        <v>0</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n">
        <f aca="false">IFERROR(N91/N$16,"")</f>
        <v>0</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n">
        <f aca="false">IFERROR(AG91/AG$16,"")</f>
        <v>0</v>
      </c>
      <c r="AI91" s="9"/>
      <c r="AJ91" s="12" t="n">
        <f aca="false">N91-AG91</f>
        <v>0</v>
      </c>
    </row>
    <row r="92" customFormat="false" ht="13.5" hidden="false" customHeight="true" outlineLevel="0" collapsed="false">
      <c r="A92" s="23" t="s">
        <v>1346</v>
      </c>
      <c r="B92" s="12" t="n">
        <v>2274.72</v>
      </c>
      <c r="C92" s="12" t="n">
        <v>1469.25</v>
      </c>
      <c r="D92" s="12" t="n">
        <v>2581.6</v>
      </c>
      <c r="E92" s="12" t="n">
        <v>762.9</v>
      </c>
      <c r="F92" s="12" t="n">
        <v>9578.03</v>
      </c>
      <c r="G92" s="12" t="n">
        <v>2948.97</v>
      </c>
      <c r="H92" s="12" t="n">
        <v>0</v>
      </c>
      <c r="I92" s="12" t="n">
        <v>796.11</v>
      </c>
      <c r="J92" s="64" t="n">
        <v>0</v>
      </c>
      <c r="K92" s="64" t="n">
        <v>0</v>
      </c>
      <c r="L92" s="64" t="n">
        <v>0</v>
      </c>
      <c r="M92" s="64" t="n">
        <v>0</v>
      </c>
      <c r="N92" s="12" t="n">
        <f aca="false">SUM(B92:M92)</f>
        <v>20411.58</v>
      </c>
      <c r="O92" s="24" t="n">
        <f aca="false">IFERROR(N92/N$16,"")</f>
        <v>0.00274942702332881</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n">
        <f aca="false">IFERROR(AG92/AG$16,"")</f>
        <v>0</v>
      </c>
      <c r="AI92" s="9" t="s">
        <v>1410</v>
      </c>
      <c r="AJ92" s="12" t="n">
        <f aca="false">N92-AG92</f>
        <v>20411.58</v>
      </c>
    </row>
    <row r="93" customFormat="false" ht="13.5" hidden="false" customHeight="true" outlineLevel="0" collapsed="false">
      <c r="A93" s="23" t="s">
        <v>1347</v>
      </c>
      <c r="B93" s="12" t="n">
        <v>0</v>
      </c>
      <c r="C93" s="12" t="n">
        <v>0</v>
      </c>
      <c r="D93" s="12" t="n">
        <v>0</v>
      </c>
      <c r="E93" s="12" t="n">
        <v>0</v>
      </c>
      <c r="F93" s="12" t="n">
        <v>0</v>
      </c>
      <c r="G93" s="12" t="n">
        <v>530</v>
      </c>
      <c r="H93" s="12" t="n">
        <v>0</v>
      </c>
      <c r="I93" s="12" t="n">
        <v>0</v>
      </c>
      <c r="J93" s="64" t="n">
        <v>0</v>
      </c>
      <c r="K93" s="64" t="n">
        <v>0</v>
      </c>
      <c r="L93" s="64" t="n">
        <v>0</v>
      </c>
      <c r="M93" s="64" t="n">
        <v>0</v>
      </c>
      <c r="N93" s="12" t="n">
        <f aca="false">SUM(B93:M93)</f>
        <v>530</v>
      </c>
      <c r="O93" s="24" t="n">
        <f aca="false">IFERROR(N93/N$16,"")</f>
        <v>7.13906675702845E-005</v>
      </c>
      <c r="P93" s="12"/>
      <c r="Q93" s="12"/>
      <c r="R93" s="60" t="s">
        <v>1397</v>
      </c>
      <c r="S93" s="61" t="n">
        <v>5000</v>
      </c>
      <c r="T93" s="62" t="n">
        <v>0.05</v>
      </c>
      <c r="U93" s="59" t="n">
        <f aca="false">IF($R93="Manual","",IFERROR(IF($R93="YOY Growth",$N93*(1+$T93)/12,$S93/12),""))</f>
        <v>416.666666666667</v>
      </c>
      <c r="V93" s="59" t="n">
        <f aca="false">IF($R93="Manual","",IFERROR(IF($R93="YOY Growth",$N93*(1+$T93)/12,$S93/12),""))</f>
        <v>416.666666666667</v>
      </c>
      <c r="W93" s="59" t="n">
        <f aca="false">IF($R93="Manual","",IFERROR(IF($R93="YOY Growth",$N93*(1+$T93)/12,$S93/12),""))</f>
        <v>416.666666666667</v>
      </c>
      <c r="X93" s="59" t="n">
        <f aca="false">IF($R93="Manual","",IFERROR(IF($R93="YOY Growth",$N93*(1+$T93)/12,$S93/12),""))</f>
        <v>416.666666666667</v>
      </c>
      <c r="Y93" s="59" t="n">
        <f aca="false">IF($R93="Manual","",IFERROR(IF($R93="YOY Growth",$N93*(1+$T93)/12,$S93/12),""))*Y146</f>
        <v>437.5</v>
      </c>
      <c r="Z93" s="59" t="n">
        <f aca="false">IF($R93="Manual","",IFERROR(IF($R93="YOY Growth",$N93*(1+$T93)/12,$S93/12),""))*Z146</f>
        <v>458.333333333333</v>
      </c>
      <c r="AA93" s="59" t="n">
        <f aca="false">IF($R93="Manual","",IFERROR(IF($R93="YOY Growth",$N93*(1+$T93)/12,$S93/12),""))*AA146</f>
        <v>479.166666666667</v>
      </c>
      <c r="AB93" s="59" t="n">
        <f aca="false">IF($R93="Manual","",IFERROR(IF($R93="YOY Growth",$N93*(1+$T93)/12,$S93/12),""))*AB146</f>
        <v>500</v>
      </c>
      <c r="AC93" s="59" t="n">
        <f aca="false">IF($R93="Manual","",IFERROR(IF($R93="YOY Growth",$N93*(1+$T93)/12,$S93/12),""))*AC146</f>
        <v>520.833333333333</v>
      </c>
      <c r="AD93" s="59" t="n">
        <f aca="false">IF($R93="Manual","",IFERROR(IF($R93="YOY Growth",$N93*(1+$T93)/12,$S93/12),""))*AD146</f>
        <v>541.666666666667</v>
      </c>
      <c r="AE93" s="59" t="n">
        <f aca="false">IF($R93="Manual","",IFERROR(IF($R93="YOY Growth",$N93*(1+$T93)/12,$S93/12),""))*AE146</f>
        <v>562.5</v>
      </c>
      <c r="AF93" s="59" t="n">
        <f aca="false">IF($R93="Manual","",IFERROR(IF($R93="YOY Growth",$N93*(1+$T93)/12,$S93/12),""))*AF146</f>
        <v>583.333333333333</v>
      </c>
      <c r="AG93" s="12" t="n">
        <f aca="false">SUM(U93:AF93)</f>
        <v>5750</v>
      </c>
      <c r="AH93" s="24" t="n">
        <f aca="false">IFERROR(AG93/AG$16,"")</f>
        <v>0.000369450716710697</v>
      </c>
      <c r="AI93" s="9" t="s">
        <v>1411</v>
      </c>
      <c r="AJ93" s="12" t="n">
        <f aca="false">N93-AG93</f>
        <v>-5220</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n">
        <f aca="false">IFERROR(N94/N$16,"")</f>
        <v>0</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n">
        <f aca="false">IFERROR(AG94/AG$16,"")</f>
        <v>0</v>
      </c>
      <c r="AI94" s="9"/>
      <c r="AJ94" s="12" t="n">
        <f aca="false">N94-AG94</f>
        <v>0</v>
      </c>
    </row>
    <row r="95" customFormat="false" ht="13.5" hidden="false" customHeight="true" outlineLevel="0" collapsed="false">
      <c r="A95" s="23" t="s">
        <v>1349</v>
      </c>
      <c r="B95" s="12" t="n">
        <v>0</v>
      </c>
      <c r="C95" s="12" t="n">
        <v>0</v>
      </c>
      <c r="D95" s="12" t="n">
        <v>316.43</v>
      </c>
      <c r="E95" s="12" t="n">
        <v>0</v>
      </c>
      <c r="F95" s="12" t="n">
        <v>0</v>
      </c>
      <c r="G95" s="12" t="n">
        <v>-3257.19</v>
      </c>
      <c r="H95" s="12" t="n">
        <v>0</v>
      </c>
      <c r="I95" s="12" t="n">
        <v>0</v>
      </c>
      <c r="J95" s="64" t="n">
        <v>2000</v>
      </c>
      <c r="K95" s="64" t="n">
        <v>2000</v>
      </c>
      <c r="L95" s="64" t="n">
        <v>2000</v>
      </c>
      <c r="M95" s="64" t="n">
        <v>2000</v>
      </c>
      <c r="N95" s="12" t="n">
        <f aca="false">SUM(B95:M95)</f>
        <v>5059.24</v>
      </c>
      <c r="O95" s="24" t="n">
        <f aca="false">IFERROR(N95/N$16,"")</f>
        <v>0.000681476454713748</v>
      </c>
      <c r="P95" s="12"/>
      <c r="Q95" s="12"/>
      <c r="R95" s="60" t="s">
        <v>1397</v>
      </c>
      <c r="S95" s="61" t="n">
        <v>26000</v>
      </c>
      <c r="T95" s="62" t="n">
        <v>0.05</v>
      </c>
      <c r="U95" s="59" t="n">
        <f aca="false">IF($R95="Manual","",IFERROR(IF($R95="YOY Growth",$N95*(1+$T95)/12,$S95/12),""))</f>
        <v>2166.66666666667</v>
      </c>
      <c r="V95" s="59" t="n">
        <f aca="false">IF($R95="Manual","",IFERROR(IF($R95="YOY Growth",$N95*(1+$T95)/12,$S95/12),""))</f>
        <v>2166.66666666667</v>
      </c>
      <c r="W95" s="59" t="n">
        <f aca="false">IF($R95="Manual","",IFERROR(IF($R95="YOY Growth",$N95*(1+$T95)/12,$S95/12),""))</f>
        <v>2166.66666666667</v>
      </c>
      <c r="X95" s="59" t="n">
        <f aca="false">IF($R95="Manual","",IFERROR(IF($R95="YOY Growth",$N95*(1+$T95)/12,$S95/12),""))</f>
        <v>2166.66666666667</v>
      </c>
      <c r="Y95" s="59" t="n">
        <f aca="false">IF($R95="Manual","",IFERROR(IF($R95="YOY Growth",$N95*(1+$T95)/12,$S95/12),""))*Y146</f>
        <v>2275</v>
      </c>
      <c r="Z95" s="59" t="n">
        <f aca="false">IF($R95="Manual","",IFERROR(IF($R95="YOY Growth",$N95*(1+$T95)/12,$S95/12),""))*Z146</f>
        <v>2383.33333333333</v>
      </c>
      <c r="AA95" s="59" t="n">
        <f aca="false">IF($R95="Manual","",IFERROR(IF($R95="YOY Growth",$N95*(1+$T95)/12,$S95/12),""))*AA146</f>
        <v>2491.66666666667</v>
      </c>
      <c r="AB95" s="59" t="n">
        <f aca="false">IF($R95="Manual","",IFERROR(IF($R95="YOY Growth",$N95*(1+$T95)/12,$S95/12),""))*AB146</f>
        <v>2600</v>
      </c>
      <c r="AC95" s="59" t="n">
        <f aca="false">IF($R95="Manual","",IFERROR(IF($R95="YOY Growth",$N95*(1+$T95)/12,$S95/12),""))*AC146</f>
        <v>2708.33333333333</v>
      </c>
      <c r="AD95" s="59" t="n">
        <f aca="false">IF($R95="Manual","",IFERROR(IF($R95="YOY Growth",$N95*(1+$T95)/12,$S95/12),""))*AD146</f>
        <v>2816.66666666667</v>
      </c>
      <c r="AE95" s="59" t="n">
        <f aca="false">IF($R95="Manual","",IFERROR(IF($R95="YOY Growth",$N95*(1+$T95)/12,$S95/12),""))*AE146</f>
        <v>2925</v>
      </c>
      <c r="AF95" s="59" t="n">
        <f aca="false">IF($R95="Manual","",IFERROR(IF($R95="YOY Growth",$N95*(1+$T95)/12,$S95/12),""))*AF146</f>
        <v>3033.33333333333</v>
      </c>
      <c r="AG95" s="12" t="n">
        <f aca="false">SUM(U95:AF95)</f>
        <v>29900</v>
      </c>
      <c r="AH95" s="24" t="n">
        <f aca="false">IFERROR(AG95/AG$16,"")</f>
        <v>0.00192114372689563</v>
      </c>
      <c r="AI95" s="9"/>
      <c r="AJ95" s="12" t="n">
        <f aca="false">N95-AG95</f>
        <v>-24840.76</v>
      </c>
    </row>
    <row r="96" customFormat="false" ht="13.5" hidden="false" customHeight="true" outlineLevel="0" collapsed="false">
      <c r="A96" s="23" t="s">
        <v>1350</v>
      </c>
      <c r="B96" s="12" t="n">
        <v>0</v>
      </c>
      <c r="C96" s="12" t="n">
        <v>15.09</v>
      </c>
      <c r="D96" s="12" t="n">
        <v>665.79</v>
      </c>
      <c r="E96" s="12" t="n">
        <v>9525.44</v>
      </c>
      <c r="F96" s="12" t="n">
        <v>1129.75</v>
      </c>
      <c r="G96" s="12" t="n">
        <v>-801</v>
      </c>
      <c r="H96" s="12" t="n">
        <v>561.23</v>
      </c>
      <c r="I96" s="12" t="n">
        <v>273.43</v>
      </c>
      <c r="J96" s="64" t="n">
        <v>500</v>
      </c>
      <c r="K96" s="64" t="n">
        <v>500</v>
      </c>
      <c r="L96" s="64" t="n">
        <v>500</v>
      </c>
      <c r="M96" s="64" t="n">
        <v>500</v>
      </c>
      <c r="N96" s="12" t="n">
        <f aca="false">SUM(B96:M96)</f>
        <v>13369.73</v>
      </c>
      <c r="O96" s="24" t="n">
        <f aca="false">IFERROR(N96/N$16,"")</f>
        <v>0.00180089424515936</v>
      </c>
      <c r="P96" s="12"/>
      <c r="Q96" s="12"/>
      <c r="R96" s="60" t="s">
        <v>1397</v>
      </c>
      <c r="S96" s="61" t="n">
        <v>6000</v>
      </c>
      <c r="T96" s="62" t="n">
        <v>0.05</v>
      </c>
      <c r="U96" s="59" t="n">
        <f aca="false">IF($R96="Manual","",IFERROR(IF($R96="YOY Growth",$N96*(1+$T96)/12,$S96/12),""))</f>
        <v>500</v>
      </c>
      <c r="V96" s="59" t="n">
        <f aca="false">IF($R96="Manual","",IFERROR(IF($R96="YOY Growth",$N96*(1+$T96)/12,$S96/12),""))</f>
        <v>500</v>
      </c>
      <c r="W96" s="59" t="n">
        <f aca="false">IF($R96="Manual","",IFERROR(IF($R96="YOY Growth",$N96*(1+$T96)/12,$S96/12),""))</f>
        <v>500</v>
      </c>
      <c r="X96" s="59" t="n">
        <f aca="false">IF($R96="Manual","",IFERROR(IF($R96="YOY Growth",$N96*(1+$T96)/12,$S96/12),""))</f>
        <v>500</v>
      </c>
      <c r="Y96" s="59" t="n">
        <f aca="false">IF($R96="Manual","",IFERROR(IF($R96="YOY Growth",$N96*(1+$T96)/12,$S96/12),""))</f>
        <v>500</v>
      </c>
      <c r="Z96" s="59" t="n">
        <f aca="false">IF($R96="Manual","",IFERROR(IF($R96="YOY Growth",$N96*(1+$T96)/12,$S96/12),""))</f>
        <v>500</v>
      </c>
      <c r="AA96" s="59" t="n">
        <f aca="false">IF($R96="Manual","",IFERROR(IF($R96="YOY Growth",$N96*(1+$T96)/12,$S96/12),""))</f>
        <v>500</v>
      </c>
      <c r="AB96" s="59" t="n">
        <f aca="false">IF($R96="Manual","",IFERROR(IF($R96="YOY Growth",$N96*(1+$T96)/12,$S96/12),""))</f>
        <v>500</v>
      </c>
      <c r="AC96" s="59" t="n">
        <f aca="false">IF($R96="Manual","",IFERROR(IF($R96="YOY Growth",$N96*(1+$T96)/12,$S96/12),""))</f>
        <v>500</v>
      </c>
      <c r="AD96" s="59" t="n">
        <f aca="false">IF($R96="Manual","",IFERROR(IF($R96="YOY Growth",$N96*(1+$T96)/12,$S96/12),""))</f>
        <v>500</v>
      </c>
      <c r="AE96" s="59" t="n">
        <f aca="false">IF($R96="Manual","",IFERROR(IF($R96="YOY Growth",$N96*(1+$T96)/12,$S96/12),""))</f>
        <v>500</v>
      </c>
      <c r="AF96" s="59" t="n">
        <f aca="false">IF($R96="Manual","",IFERROR(IF($R96="YOY Growth",$N96*(1+$T96)/12,$S96/12),""))</f>
        <v>500</v>
      </c>
      <c r="AG96" s="12" t="n">
        <f aca="false">SUM(U96:AF96)</f>
        <v>6000</v>
      </c>
      <c r="AH96" s="24" t="n">
        <f aca="false">IFERROR(AG96/AG$16,"")</f>
        <v>0.000385513791350293</v>
      </c>
      <c r="AI96" s="9"/>
      <c r="AJ96" s="12" t="n">
        <f aca="false">N96-AG96</f>
        <v>7369.73</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n">
        <f aca="false">IFERROR(N97/N$16,"")</f>
        <v>0</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n">
        <f aca="false">IFERROR(AG97/AG$16,"")</f>
        <v>0</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630000</v>
      </c>
      <c r="K98" s="64" t="n">
        <v>2000</v>
      </c>
      <c r="L98" s="64" t="n">
        <v>2000</v>
      </c>
      <c r="M98" s="64" t="n">
        <v>2000</v>
      </c>
      <c r="N98" s="12" t="n">
        <f aca="false">SUM(B98:M98)</f>
        <v>636000</v>
      </c>
      <c r="O98" s="24" t="n">
        <f aca="false">IFERROR(N98/N$16,"")</f>
        <v>0.0856688010843414</v>
      </c>
      <c r="P98" s="12"/>
      <c r="Q98" s="12"/>
      <c r="R98" s="60" t="s">
        <v>1397</v>
      </c>
      <c r="S98" s="61" t="n">
        <v>0</v>
      </c>
      <c r="T98" s="62" t="n">
        <v>0</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n">
        <f aca="false">IFERROR(AG98/AG$16,"")</f>
        <v>0</v>
      </c>
      <c r="AI98" s="9" t="s">
        <v>1412</v>
      </c>
      <c r="AJ98" s="12" t="n">
        <f aca="false">N98-AG98</f>
        <v>636000</v>
      </c>
    </row>
    <row r="99" customFormat="false" ht="13.5" hidden="false" customHeight="true" outlineLevel="0" collapsed="false">
      <c r="A99" s="23" t="s">
        <v>1353</v>
      </c>
      <c r="B99" s="12" t="n">
        <v>4876.8</v>
      </c>
      <c r="C99" s="12" t="n">
        <v>0</v>
      </c>
      <c r="D99" s="12" t="n">
        <v>0</v>
      </c>
      <c r="E99" s="12" t="n">
        <v>448.44</v>
      </c>
      <c r="F99" s="12" t="n">
        <v>577.8</v>
      </c>
      <c r="G99" s="12" t="n">
        <v>448.44</v>
      </c>
      <c r="H99" s="12" t="n">
        <v>448.44</v>
      </c>
      <c r="I99" s="12" t="n">
        <v>448.44</v>
      </c>
      <c r="J99" s="64" t="n">
        <v>1600</v>
      </c>
      <c r="K99" s="64" t="n">
        <v>1600</v>
      </c>
      <c r="L99" s="64" t="n">
        <v>1600</v>
      </c>
      <c r="M99" s="64" t="n">
        <v>1600</v>
      </c>
      <c r="N99" s="12" t="n">
        <f aca="false">SUM(B99:M99)</f>
        <v>13648.36</v>
      </c>
      <c r="O99" s="24" t="n">
        <f aca="false">IFERROR(N99/N$16,"")</f>
        <v>0.00183842553139541</v>
      </c>
      <c r="P99" s="12"/>
      <c r="Q99" s="12"/>
      <c r="R99" s="60" t="s">
        <v>1397</v>
      </c>
      <c r="S99" s="61" t="n">
        <v>20000</v>
      </c>
      <c r="T99" s="62" t="n">
        <v>0.05</v>
      </c>
      <c r="U99" s="59" t="n">
        <f aca="false">IF($R99="Manual","",IFERROR(IF($R99="YOY Growth",$N99*(1+$T99)/12,$S99/12),""))</f>
        <v>1666.66666666667</v>
      </c>
      <c r="V99" s="59" t="n">
        <f aca="false">IF($R99="Manual","",IFERROR(IF($R99="YOY Growth",$N99*(1+$T99)/12,$S99/12),""))</f>
        <v>1666.66666666667</v>
      </c>
      <c r="W99" s="59" t="n">
        <f aca="false">IF($R99="Manual","",IFERROR(IF($R99="YOY Growth",$N99*(1+$T99)/12,$S99/12),""))</f>
        <v>1666.66666666667</v>
      </c>
      <c r="X99" s="59" t="n">
        <f aca="false">IF($R99="Manual","",IFERROR(IF($R99="YOY Growth",$N99*(1+$T99)/12,$S99/12),""))</f>
        <v>1666.66666666667</v>
      </c>
      <c r="Y99" s="59" t="n">
        <f aca="false">IF($R99="Manual","",IFERROR(IF($R99="YOY Growth",$N99*(1+$T99)/12,$S99/12),""))</f>
        <v>1666.66666666667</v>
      </c>
      <c r="Z99" s="59" t="n">
        <f aca="false">IF($R99="Manual","",IFERROR(IF($R99="YOY Growth",$N99*(1+$T99)/12,$S99/12),""))</f>
        <v>1666.66666666667</v>
      </c>
      <c r="AA99" s="59" t="n">
        <f aca="false">IF($R99="Manual","",IFERROR(IF($R99="YOY Growth",$N99*(1+$T99)/12,$S99/12),""))</f>
        <v>1666.66666666667</v>
      </c>
      <c r="AB99" s="59" t="n">
        <f aca="false">IF($R99="Manual","",IFERROR(IF($R99="YOY Growth",$N99*(1+$T99)/12,$S99/12),""))</f>
        <v>1666.66666666667</v>
      </c>
      <c r="AC99" s="59" t="n">
        <f aca="false">IF($R99="Manual","",IFERROR(IF($R99="YOY Growth",$N99*(1+$T99)/12,$S99/12),""))</f>
        <v>1666.66666666667</v>
      </c>
      <c r="AD99" s="59" t="n">
        <f aca="false">IF($R99="Manual","",IFERROR(IF($R99="YOY Growth",$N99*(1+$T99)/12,$S99/12),""))</f>
        <v>1666.66666666667</v>
      </c>
      <c r="AE99" s="59" t="n">
        <f aca="false">IF($R99="Manual","",IFERROR(IF($R99="YOY Growth",$N99*(1+$T99)/12,$S99/12),""))</f>
        <v>1666.66666666667</v>
      </c>
      <c r="AF99" s="59" t="n">
        <f aca="false">IF($R99="Manual","",IFERROR(IF($R99="YOY Growth",$N99*(1+$T99)/12,$S99/12),""))</f>
        <v>1666.66666666667</v>
      </c>
      <c r="AG99" s="12" t="n">
        <f aca="false">SUM(U99:AF99)</f>
        <v>20000</v>
      </c>
      <c r="AH99" s="24" t="n">
        <f aca="false">IFERROR(AG99/AG$16,"")</f>
        <v>0.00128504597116764</v>
      </c>
      <c r="AI99" s="9"/>
      <c r="AJ99" s="12" t="n">
        <f aca="false">N99-AG99</f>
        <v>-6351.64</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n">
        <f aca="false">IFERROR(N100/N$16,"")</f>
        <v>0</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n">
        <f aca="false">IFERROR(AG100/AG$16,"")</f>
        <v>0</v>
      </c>
      <c r="AI100" s="9"/>
      <c r="AJ100" s="12" t="n">
        <f aca="false">N100-AG100</f>
        <v>0</v>
      </c>
    </row>
    <row r="101" customFormat="false" ht="13.5" hidden="false" customHeight="true" outlineLevel="0" collapsed="false">
      <c r="A101" s="23" t="s">
        <v>1355</v>
      </c>
      <c r="B101" s="12" t="n">
        <v>2546.7</v>
      </c>
      <c r="C101" s="12" t="n">
        <v>1667.4</v>
      </c>
      <c r="D101" s="12" t="n">
        <v>2505.74</v>
      </c>
      <c r="E101" s="12" t="n">
        <v>2170.39</v>
      </c>
      <c r="F101" s="12" t="n">
        <v>2114.52</v>
      </c>
      <c r="G101" s="12" t="n">
        <v>2730.36</v>
      </c>
      <c r="H101" s="12" t="n">
        <v>2114.51</v>
      </c>
      <c r="I101" s="12" t="n">
        <v>0</v>
      </c>
      <c r="J101" s="64" t="n">
        <v>2200</v>
      </c>
      <c r="K101" s="64" t="n">
        <v>2200</v>
      </c>
      <c r="L101" s="64" t="n">
        <v>2200</v>
      </c>
      <c r="M101" s="64" t="n">
        <v>2200</v>
      </c>
      <c r="N101" s="12" t="n">
        <f aca="false">SUM(B101:M101)</f>
        <v>24649.62</v>
      </c>
      <c r="O101" s="24" t="n">
        <f aca="false">IFERROR(N101/N$16,"")</f>
        <v>0.00332028835312045</v>
      </c>
      <c r="P101" s="12"/>
      <c r="Q101" s="12"/>
      <c r="R101" s="60" t="s">
        <v>1397</v>
      </c>
      <c r="S101" s="61" t="n">
        <v>50000</v>
      </c>
      <c r="T101" s="62" t="n">
        <v>0.05</v>
      </c>
      <c r="U101" s="59" t="n">
        <f aca="false">IF($R101="Manual","",IFERROR(IF($R101="YOY Growth",$N101*(1+$T101)/12,$S101/12),""))</f>
        <v>4166.66666666667</v>
      </c>
      <c r="V101" s="59" t="n">
        <f aca="false">IF($R101="Manual","",IFERROR(IF($R101="YOY Growth",$N101*(1+$T101)/12,$S101/12),""))</f>
        <v>4166.66666666667</v>
      </c>
      <c r="W101" s="59" t="n">
        <f aca="false">IF($R101="Manual","",IFERROR(IF($R101="YOY Growth",$N101*(1+$T101)/12,$S101/12),""))</f>
        <v>4166.66666666667</v>
      </c>
      <c r="X101" s="59" t="n">
        <f aca="false">IF($R101="Manual","",IFERROR(IF($R101="YOY Growth",$N101*(1+$T101)/12,$S101/12),""))</f>
        <v>4166.66666666667</v>
      </c>
      <c r="Y101" s="59" t="n">
        <f aca="false">IF($R101="Manual","",IFERROR(IF($R101="YOY Growth",$N101*(1+$T101)/12,$S101/12),""))</f>
        <v>4166.66666666667</v>
      </c>
      <c r="Z101" s="59" t="n">
        <f aca="false">IF($R101="Manual","",IFERROR(IF($R101="YOY Growth",$N101*(1+$T101)/12,$S101/12),""))</f>
        <v>4166.66666666667</v>
      </c>
      <c r="AA101" s="59" t="n">
        <f aca="false">IF($R101="Manual","",IFERROR(IF($R101="YOY Growth",$N101*(1+$T101)/12,$S101/12),""))</f>
        <v>4166.66666666667</v>
      </c>
      <c r="AB101" s="59" t="n">
        <f aca="false">IF($R101="Manual","",IFERROR(IF($R101="YOY Growth",$N101*(1+$T101)/12,$S101/12),""))</f>
        <v>4166.66666666667</v>
      </c>
      <c r="AC101" s="59" t="n">
        <f aca="false">IF($R101="Manual","",IFERROR(IF($R101="YOY Growth",$N101*(1+$T101)/12,$S101/12),""))</f>
        <v>4166.66666666667</v>
      </c>
      <c r="AD101" s="59" t="n">
        <f aca="false">IF($R101="Manual","",IFERROR(IF($R101="YOY Growth",$N101*(1+$T101)/12,$S101/12),""))</f>
        <v>4166.66666666667</v>
      </c>
      <c r="AE101" s="59" t="n">
        <f aca="false">IF($R101="Manual","",IFERROR(IF($R101="YOY Growth",$N101*(1+$T101)/12,$S101/12),""))</f>
        <v>4166.66666666667</v>
      </c>
      <c r="AF101" s="59" t="n">
        <f aca="false">IF($R101="Manual","",IFERROR(IF($R101="YOY Growth",$N101*(1+$T101)/12,$S101/12),""))</f>
        <v>4166.66666666667</v>
      </c>
      <c r="AG101" s="12" t="n">
        <f aca="false">SUM(U101:AF101)</f>
        <v>50000</v>
      </c>
      <c r="AH101" s="24" t="n">
        <f aca="false">IFERROR(AG101/AG$16,"")</f>
        <v>0.00321261492791911</v>
      </c>
      <c r="AI101" s="9" t="s">
        <v>1413</v>
      </c>
      <c r="AJ101" s="12" t="n">
        <f aca="false">N101-AG101</f>
        <v>-25350.38</v>
      </c>
    </row>
    <row r="102" customFormat="false" ht="13.5" hidden="false" customHeight="true" outlineLevel="0" collapsed="false">
      <c r="A102" s="23" t="s">
        <v>1356</v>
      </c>
      <c r="B102" s="12" t="n">
        <v>0</v>
      </c>
      <c r="C102" s="12" t="n">
        <v>0</v>
      </c>
      <c r="D102" s="12" t="n">
        <v>0</v>
      </c>
      <c r="E102" s="12" t="n">
        <v>0</v>
      </c>
      <c r="F102" s="12" t="n">
        <v>21.59</v>
      </c>
      <c r="G102" s="12" t="n">
        <v>0</v>
      </c>
      <c r="H102" s="12" t="n">
        <v>0</v>
      </c>
      <c r="I102" s="12" t="n">
        <v>0</v>
      </c>
      <c r="J102" s="64" t="n">
        <v>0</v>
      </c>
      <c r="K102" s="64" t="n">
        <v>0</v>
      </c>
      <c r="L102" s="64" t="n">
        <v>0</v>
      </c>
      <c r="M102" s="64" t="n">
        <v>0</v>
      </c>
      <c r="N102" s="12" t="n">
        <f aca="false">SUM(B102:M102)</f>
        <v>21.59</v>
      </c>
      <c r="O102" s="24" t="n">
        <f aca="false">IFERROR(N102/N$16,"")</f>
        <v>2.90815945819329E-006</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n">
        <f aca="false">IFERROR(AG102/AG$16,"")</f>
        <v>0</v>
      </c>
      <c r="AI102" s="9"/>
      <c r="AJ102" s="12" t="n">
        <f aca="false">N102-AG102</f>
        <v>21.59</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n">
        <f aca="false">IFERROR(N103/N$16,"")</f>
        <v>0</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n">
        <f aca="false">IFERROR(AG103/AG$16,"")</f>
        <v>0</v>
      </c>
      <c r="AI103" s="9"/>
      <c r="AJ103" s="12" t="n">
        <f aca="false">N103-AG103</f>
        <v>0</v>
      </c>
    </row>
    <row r="104" customFormat="false" ht="13.5" hidden="false" customHeight="true" outlineLevel="0" collapsed="false">
      <c r="A104" s="23" t="s">
        <v>1358</v>
      </c>
      <c r="B104" s="12" t="n">
        <v>0</v>
      </c>
      <c r="C104" s="12" t="n">
        <v>0</v>
      </c>
      <c r="D104" s="12" t="n">
        <v>0</v>
      </c>
      <c r="E104" s="12" t="n">
        <v>2070.05</v>
      </c>
      <c r="F104" s="12" t="n">
        <v>0</v>
      </c>
      <c r="G104" s="12" t="n">
        <v>78.84</v>
      </c>
      <c r="H104" s="12" t="n">
        <v>0</v>
      </c>
      <c r="I104" s="12" t="n">
        <v>0</v>
      </c>
      <c r="J104" s="64" t="n">
        <v>0</v>
      </c>
      <c r="K104" s="64" t="n">
        <v>0</v>
      </c>
      <c r="L104" s="64" t="n">
        <v>0</v>
      </c>
      <c r="M104" s="64" t="n">
        <v>0</v>
      </c>
      <c r="N104" s="12" t="n">
        <f aca="false">SUM(B104:M104)</f>
        <v>2148.89</v>
      </c>
      <c r="O104" s="24" t="n">
        <f aca="false">IFERROR(N104/N$16,"")</f>
        <v>0.000289454135160583</v>
      </c>
      <c r="P104" s="12"/>
      <c r="Q104" s="12"/>
      <c r="R104" s="60" t="s">
        <v>1397</v>
      </c>
      <c r="S104" s="61"/>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n">
        <f aca="false">IFERROR(AG104/AG$16,"")</f>
        <v>0</v>
      </c>
      <c r="AI104" s="9"/>
      <c r="AJ104" s="12" t="n">
        <f aca="false">N104-AG104</f>
        <v>2148.89</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n">
        <f aca="false">IFERROR(N105/N$16,"")</f>
        <v>0</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n">
        <f aca="false">IFERROR(AG105/AG$16,"")</f>
        <v>0</v>
      </c>
      <c r="AI105" s="9"/>
      <c r="AJ105" s="12" t="n">
        <f aca="false">N105-AG105</f>
        <v>0</v>
      </c>
    </row>
    <row r="106" customFormat="false" ht="13.5" hidden="false" customHeight="true" outlineLevel="0" collapsed="false">
      <c r="A106" s="23" t="s">
        <v>1360</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n">
        <f aca="false">IFERROR(N106/N$16,"")</f>
        <v>0</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n">
        <f aca="false">IFERROR(AG106/AG$16,"")</f>
        <v>0</v>
      </c>
      <c r="AI106" s="9"/>
      <c r="AJ106" s="12" t="n">
        <f aca="false">N106-AG106</f>
        <v>0</v>
      </c>
    </row>
    <row r="107" customFormat="false" ht="13.5" hidden="false" customHeight="true" outlineLevel="0" collapsed="false">
      <c r="A107" s="23" t="s">
        <v>1361</v>
      </c>
      <c r="B107" s="12" t="n">
        <v>4830.25</v>
      </c>
      <c r="C107" s="12" t="n">
        <v>5363.35</v>
      </c>
      <c r="D107" s="12" t="n">
        <v>4304.45</v>
      </c>
      <c r="E107" s="12" t="n">
        <v>4118.95</v>
      </c>
      <c r="F107" s="12" t="n">
        <v>5555.2</v>
      </c>
      <c r="G107" s="12" t="n">
        <v>4469.11</v>
      </c>
      <c r="H107" s="12" t="n">
        <v>0</v>
      </c>
      <c r="I107" s="12" t="n">
        <v>7531.48</v>
      </c>
      <c r="J107" s="64" t="n">
        <v>4800</v>
      </c>
      <c r="K107" s="64" t="n">
        <v>4800</v>
      </c>
      <c r="L107" s="64" t="n">
        <v>4800</v>
      </c>
      <c r="M107" s="64" t="n">
        <v>4800</v>
      </c>
      <c r="N107" s="12" t="n">
        <f aca="false">SUM(B107:M107)</f>
        <v>55372.79</v>
      </c>
      <c r="O107" s="24" t="n">
        <f aca="false">IFERROR(N107/N$16,"")</f>
        <v>0.00745868008175316</v>
      </c>
      <c r="P107" s="12"/>
      <c r="Q107" s="12"/>
      <c r="R107" s="60" t="s">
        <v>1397</v>
      </c>
      <c r="S107" s="61" t="n">
        <v>60000</v>
      </c>
      <c r="T107" s="62" t="n">
        <v>0.05</v>
      </c>
      <c r="U107" s="59" t="n">
        <f aca="false">IF($R107="Manual","",IFERROR(IF($R107="YOY Growth",$N107*(1+$T107)/12,$S107/12),""))</f>
        <v>5000</v>
      </c>
      <c r="V107" s="59" t="n">
        <f aca="false">IF($R107="Manual","",IFERROR(IF($R107="YOY Growth",$N107*(1+$T107)/12,$S107/12),""))</f>
        <v>5000</v>
      </c>
      <c r="W107" s="59" t="n">
        <f aca="false">IF($R107="Manual","",IFERROR(IF($R107="YOY Growth",$N107*(1+$T107)/12,$S107/12),""))</f>
        <v>5000</v>
      </c>
      <c r="X107" s="59" t="n">
        <f aca="false">IF($R107="Manual","",IFERROR(IF($R107="YOY Growth",$N107*(1+$T107)/12,$S107/12),""))</f>
        <v>5000</v>
      </c>
      <c r="Y107" s="59" t="n">
        <f aca="false">IF($R107="Manual","",IFERROR(IF($R107="YOY Growth",$N107*(1+$T107)/12,$S107/12),""))</f>
        <v>5000</v>
      </c>
      <c r="Z107" s="59" t="n">
        <f aca="false">IF($R107="Manual","",IFERROR(IF($R107="YOY Growth",$N107*(1+$T107)/12,$S107/12),""))</f>
        <v>5000</v>
      </c>
      <c r="AA107" s="59" t="n">
        <f aca="false">IF($R107="Manual","",IFERROR(IF($R107="YOY Growth",$N107*(1+$T107)/12,$S107/12),""))</f>
        <v>5000</v>
      </c>
      <c r="AB107" s="59" t="n">
        <f aca="false">IF($R107="Manual","",IFERROR(IF($R107="YOY Growth",$N107*(1+$T107)/12,$S107/12),""))</f>
        <v>5000</v>
      </c>
      <c r="AC107" s="59" t="n">
        <f aca="false">IF($R107="Manual","",IFERROR(IF($R107="YOY Growth",$N107*(1+$T107)/12,$S107/12),""))</f>
        <v>5000</v>
      </c>
      <c r="AD107" s="59" t="n">
        <f aca="false">IF($R107="Manual","",IFERROR(IF($R107="YOY Growth",$N107*(1+$T107)/12,$S107/12),""))</f>
        <v>5000</v>
      </c>
      <c r="AE107" s="59" t="n">
        <f aca="false">IF($R107="Manual","",IFERROR(IF($R107="YOY Growth",$N107*(1+$T107)/12,$S107/12),""))</f>
        <v>5000</v>
      </c>
      <c r="AF107" s="59" t="n">
        <f aca="false">IF($R107="Manual","",IFERROR(IF($R107="YOY Growth",$N107*(1+$T107)/12,$S107/12),""))</f>
        <v>5000</v>
      </c>
      <c r="AG107" s="12" t="n">
        <f aca="false">SUM(U107:AF107)</f>
        <v>60000</v>
      </c>
      <c r="AH107" s="24" t="n">
        <f aca="false">IFERROR(AG107/AG$16,"")</f>
        <v>0.00385513791350293</v>
      </c>
      <c r="AI107" s="9" t="s">
        <v>1414</v>
      </c>
      <c r="AJ107" s="12" t="n">
        <f aca="false">N107-AG107</f>
        <v>-4627.21</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n">
        <f aca="false">IFERROR(N108/N$16,"")</f>
        <v>0</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n">
        <f aca="false">IFERROR(AG108/AG$16,"")</f>
        <v>0</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n">
        <f aca="false">IFERROR(N109/N$16,"")</f>
        <v>0</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n">
        <f aca="false">IFERROR(AG109/AG$16,"")</f>
        <v>0</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n">
        <f aca="false">IFERROR(N110/N$16,"")</f>
        <v>0</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n">
        <f aca="false">IFERROR(AG110/AG$16,"")</f>
        <v>0</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n">
        <f aca="false">IFERROR(N111/N$16,"")</f>
        <v>0</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n">
        <f aca="false">IFERROR(AG111/AG$16,"")</f>
        <v>0</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n">
        <f aca="false">IFERROR(N112/N$16,"")</f>
        <v>0</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n">
        <f aca="false">IFERROR(AG112/AG$16,"")</f>
        <v>0</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n">
        <f aca="false">IFERROR(N113/N$16,"")</f>
        <v>0</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n">
        <f aca="false">IFERROR(AG113/AG$16,"")</f>
        <v>0</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n">
        <f aca="false">IFERROR(N114/N$16,"")</f>
        <v>0</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n">
        <f aca="false">IFERROR(AG114/AG$16,"")</f>
        <v>0</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n">
        <f aca="false">IFERROR(N115/N$16,"")</f>
        <v>0</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n">
        <f aca="false">IFERROR(AG115/AG$16,"")</f>
        <v>0</v>
      </c>
      <c r="AI115" s="9"/>
      <c r="AJ115" s="12" t="n">
        <f aca="false">N115-AG115</f>
        <v>0</v>
      </c>
    </row>
    <row r="116" customFormat="false" ht="13.5" hidden="false" customHeight="true" outlineLevel="0" collapsed="false">
      <c r="A116" s="26" t="s">
        <v>1370</v>
      </c>
      <c r="B116" s="27" t="n">
        <f aca="false">B73+SUM(B74:B80)+B87+SUM(B88:B115)</f>
        <v>-129450.9</v>
      </c>
      <c r="C116" s="27" t="n">
        <f aca="false">C73+SUM(C74:C80)+C87+SUM(C88:C115)</f>
        <v>-157034.36</v>
      </c>
      <c r="D116" s="27" t="n">
        <f aca="false">D73+SUM(D74:D80)+D87+SUM(D88:D115)</f>
        <v>10394.01</v>
      </c>
      <c r="E116" s="27" t="n">
        <f aca="false">E73+SUM(E74:E80)+E87+SUM(E88:E115)</f>
        <v>19096.17</v>
      </c>
      <c r="F116" s="27" t="n">
        <f aca="false">F73+SUM(F74:F80)+F87+SUM(F88:F115)</f>
        <v>18976.89</v>
      </c>
      <c r="G116" s="27" t="n">
        <f aca="false">G73+SUM(G74:G80)+G87+SUM(G88:G115)</f>
        <v>7147.53</v>
      </c>
      <c r="H116" s="27" t="n">
        <f aca="false">H73+SUM(H74:H80)+H87+SUM(H88:H115)</f>
        <v>3124.18</v>
      </c>
      <c r="I116" s="27" t="n">
        <f aca="false">I73+SUM(I74:I80)+I87+SUM(I88:I115)</f>
        <v>9049.46</v>
      </c>
      <c r="J116" s="27" t="n">
        <f aca="false">J73+SUM(J74:J80)+J87+SUM(J88:J115)</f>
        <v>641100</v>
      </c>
      <c r="K116" s="27" t="n">
        <f aca="false">K73+SUM(K74:K80)+K87+SUM(K88:K115)</f>
        <v>13100</v>
      </c>
      <c r="L116" s="27" t="n">
        <f aca="false">L73+SUM(L74:L80)+L87+SUM(L88:L115)</f>
        <v>13100</v>
      </c>
      <c r="M116" s="27" t="n">
        <f aca="false">M73+SUM(M74:M80)+M87+SUM(M88:M115)</f>
        <v>13100</v>
      </c>
      <c r="N116" s="27" t="n">
        <f aca="false">SUM(B116:M116)</f>
        <v>461702.98</v>
      </c>
      <c r="O116" s="28" t="n">
        <f aca="false">IFERROR(N116/N$16,"")</f>
        <v>0.0621911018139429</v>
      </c>
      <c r="P116" s="12"/>
      <c r="Q116" s="12"/>
      <c r="R116" s="63"/>
      <c r="S116" s="63"/>
      <c r="T116" s="63"/>
      <c r="U116" s="27" t="n">
        <f aca="false">U73+SUM(U74:U80)+U87+SUM(U88:U115)</f>
        <v>13916.6666666667</v>
      </c>
      <c r="V116" s="27" t="n">
        <f aca="false">V73+SUM(V74:V80)+V87+SUM(V88:V115)</f>
        <v>13916.6666666667</v>
      </c>
      <c r="W116" s="27" t="n">
        <f aca="false">W73+SUM(W74:W80)+W87+SUM(W88:W115)</f>
        <v>13916.6666666667</v>
      </c>
      <c r="X116" s="27" t="n">
        <f aca="false">X73+SUM(X74:X80)+X87+SUM(X88:X115)</f>
        <v>13916.6666666667</v>
      </c>
      <c r="Y116" s="27" t="n">
        <f aca="false">Y73+SUM(Y74:Y80)+Y87+SUM(Y88:Y115)</f>
        <v>14045.8333333333</v>
      </c>
      <c r="Z116" s="27" t="n">
        <f aca="false">Z73+SUM(Z74:Z80)+Z87+SUM(Z88:Z115)</f>
        <v>14175</v>
      </c>
      <c r="AA116" s="27" t="n">
        <f aca="false">AA73+SUM(AA74:AA80)+AA87+SUM(AA88:AA115)</f>
        <v>14304.1666666667</v>
      </c>
      <c r="AB116" s="27" t="n">
        <f aca="false">AB73+SUM(AB74:AB80)+AB87+SUM(AB88:AB115)</f>
        <v>14433.3333333333</v>
      </c>
      <c r="AC116" s="27" t="n">
        <f aca="false">AC73+SUM(AC74:AC80)+AC87+SUM(AC88:AC115)</f>
        <v>14562.5</v>
      </c>
      <c r="AD116" s="27" t="n">
        <f aca="false">AD73+SUM(AD74:AD80)+AD87+SUM(AD88:AD115)</f>
        <v>14691.6666666667</v>
      </c>
      <c r="AE116" s="27" t="n">
        <f aca="false">AE73+SUM(AE74:AE80)+AE87+SUM(AE88:AE115)</f>
        <v>14820.8333333333</v>
      </c>
      <c r="AF116" s="27" t="n">
        <f aca="false">AF73+SUM(AF74:AF80)+AF87+SUM(AF88:AF115)</f>
        <v>14950</v>
      </c>
      <c r="AG116" s="27" t="n">
        <f aca="false">SUM(U116:AF116)</f>
        <v>171650</v>
      </c>
      <c r="AH116" s="28" t="n">
        <f aca="false">IFERROR(AG116/AG$16,"")</f>
        <v>0.0110289070475463</v>
      </c>
      <c r="AI116" s="9"/>
      <c r="AJ116" s="27" t="n">
        <f aca="false">N116-AG116</f>
        <v>290052.98</v>
      </c>
    </row>
    <row r="117" customFormat="false" ht="13.5" hidden="false" customHeight="true" outlineLevel="0" collapsed="false">
      <c r="A117" s="41" t="s">
        <v>1371</v>
      </c>
      <c r="B117" s="27" t="n">
        <f aca="false">B64-B116</f>
        <v>477751.37</v>
      </c>
      <c r="C117" s="27" t="n">
        <f aca="false">C64-C116</f>
        <v>470547.08</v>
      </c>
      <c r="D117" s="27" t="n">
        <f aca="false">D64-D116</f>
        <v>418698.66</v>
      </c>
      <c r="E117" s="27" t="n">
        <f aca="false">E64-E116</f>
        <v>524738.34</v>
      </c>
      <c r="F117" s="27" t="n">
        <f aca="false">F64-F116</f>
        <v>299402.82</v>
      </c>
      <c r="G117" s="27" t="n">
        <f aca="false">G64-G116</f>
        <v>263771.6</v>
      </c>
      <c r="H117" s="27" t="n">
        <f aca="false">H64-H116</f>
        <v>461452.17</v>
      </c>
      <c r="I117" s="27" t="n">
        <f aca="false">I64-I116</f>
        <v>172203.55</v>
      </c>
      <c r="J117" s="27" t="n">
        <f aca="false">J64-J116</f>
        <v>-179477.577142857</v>
      </c>
      <c r="K117" s="27" t="n">
        <f aca="false">K64-K116</f>
        <v>539749.803809524</v>
      </c>
      <c r="L117" s="27" t="n">
        <f aca="false">L64-L116</f>
        <v>565603.375238096</v>
      </c>
      <c r="M117" s="27" t="n">
        <f aca="false">M64-M116</f>
        <v>586456.946666667</v>
      </c>
      <c r="N117" s="27" t="n">
        <f aca="false">SUM(B117:M117)</f>
        <v>4600898.13857143</v>
      </c>
      <c r="O117" s="28" t="n">
        <f aca="false">IFERROR(N117/N$16,"")</f>
        <v>0.619738093463196</v>
      </c>
      <c r="P117" s="12"/>
      <c r="Q117" s="12"/>
      <c r="R117" s="63"/>
      <c r="S117" s="63"/>
      <c r="T117" s="63"/>
      <c r="U117" s="27" t="n">
        <f aca="false">U64-U116</f>
        <v>469493.738613901</v>
      </c>
      <c r="V117" s="27" t="n">
        <f aca="false">V64-V116</f>
        <v>534801.298137711</v>
      </c>
      <c r="W117" s="27" t="n">
        <f aca="false">W64-W116</f>
        <v>520626.714804378</v>
      </c>
      <c r="X117" s="27" t="n">
        <f aca="false">X64-X116</f>
        <v>596161.899328187</v>
      </c>
      <c r="Y117" s="27" t="n">
        <f aca="false">Y64-Y116</f>
        <v>665259.607661521</v>
      </c>
      <c r="Z117" s="27" t="n">
        <f aca="false">Z64-Z116</f>
        <v>764827.256471045</v>
      </c>
      <c r="AA117" s="27" t="n">
        <f aca="false">AA64-AA116</f>
        <v>859853.536232949</v>
      </c>
      <c r="AB117" s="27" t="n">
        <f aca="false">AB64-AB116</f>
        <v>983275.887423425</v>
      </c>
      <c r="AC117" s="27" t="n">
        <f aca="false">AC64-AC116</f>
        <v>1133489.84575676</v>
      </c>
      <c r="AD117" s="27" t="n">
        <f aca="false">AD64-AD116</f>
        <v>1286248.90347047</v>
      </c>
      <c r="AE117" s="27" t="n">
        <f aca="false">AE64-AE116</f>
        <v>1473738.13561333</v>
      </c>
      <c r="AF117" s="27" t="n">
        <f aca="false">AF64-AF116</f>
        <v>1688514.90347047</v>
      </c>
      <c r="AG117" s="27" t="n">
        <f aca="false">SUM(U117:AF117)</f>
        <v>10976291.7269842</v>
      </c>
      <c r="AH117" s="28" t="n">
        <f aca="false">IFERROR(AG117/AG$16,"")</f>
        <v>0.705251973106086</v>
      </c>
      <c r="AI117" s="9"/>
      <c r="AJ117" s="27" t="n">
        <f aca="false">AG117-N117</f>
        <v>6375393.58841272</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n">
        <f aca="false">IFERROR(N120/N$16,"")</f>
        <v>0</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n">
        <f aca="false">IFERROR(AG120/AG$16,"")</f>
        <v>0</v>
      </c>
      <c r="AI120" s="9"/>
      <c r="AJ120" s="12" t="n">
        <f aca="false">AG120-N120</f>
        <v>0</v>
      </c>
    </row>
    <row r="121" customFormat="false" ht="13.5" hidden="false" customHeight="true" outlineLevel="0" collapsed="false">
      <c r="A121" s="23" t="s">
        <v>1375</v>
      </c>
      <c r="B121" s="12" t="n">
        <v>0</v>
      </c>
      <c r="C121" s="12" t="n">
        <v>0</v>
      </c>
      <c r="D121" s="12" t="n">
        <v>0</v>
      </c>
      <c r="E121" s="12" t="n">
        <v>104811.32</v>
      </c>
      <c r="F121" s="12" t="n">
        <v>0</v>
      </c>
      <c r="G121" s="12" t="n">
        <v>0</v>
      </c>
      <c r="H121" s="12" t="n">
        <v>0</v>
      </c>
      <c r="I121" s="12" t="n">
        <v>0</v>
      </c>
      <c r="J121" s="64" t="n">
        <v>0</v>
      </c>
      <c r="K121" s="64" t="n">
        <v>0</v>
      </c>
      <c r="L121" s="64" t="n">
        <v>0</v>
      </c>
      <c r="M121" s="64" t="n">
        <v>0</v>
      </c>
      <c r="N121" s="12" t="n">
        <f aca="false">SUM(B121:M121)</f>
        <v>104811.32</v>
      </c>
      <c r="O121" s="24" t="n">
        <f aca="false">IFERROR(N121/N$16,"")</f>
        <v>0.0141180190636278</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n">
        <f aca="false">IFERROR(AG121/AG$16,"")</f>
        <v>0</v>
      </c>
      <c r="AI121" s="9"/>
      <c r="AJ121" s="12" t="n">
        <f aca="false">AG121-N121</f>
        <v>-104811.32</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104811.32</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104811.32</v>
      </c>
      <c r="O122" s="28" t="n">
        <f aca="false">IFERROR(N122/N$16,"")</f>
        <v>0.0141180190636278</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n">
        <f aca="false">IFERROR(AG122/AG$16,"")</f>
        <v>0</v>
      </c>
      <c r="AI122" s="9"/>
      <c r="AJ122" s="27" t="n">
        <f aca="false">AG122-N122</f>
        <v>-104811.32</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n">
        <f aca="false">IFERROR(N124/N$16,"")</f>
        <v>0</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n">
        <f aca="false">IFERROR(AG124/AG$16,"")</f>
        <v>0</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n">
        <f aca="false">IFERROR(N125/N$16,"")</f>
        <v>0</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n">
        <f aca="false">IFERROR(AG125/AG$16,"")</f>
        <v>0</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5000</v>
      </c>
      <c r="K126" s="64" t="n">
        <v>5000</v>
      </c>
      <c r="L126" s="64" t="n">
        <v>5000</v>
      </c>
      <c r="M126" s="64" t="n">
        <v>5000</v>
      </c>
      <c r="N126" s="12" t="n">
        <f aca="false">SUM(B126:M126)</f>
        <v>20000</v>
      </c>
      <c r="O126" s="24" t="n">
        <f aca="false">IFERROR(N126/N$16,"")</f>
        <v>0.00269398745548244</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n">
        <f aca="false">IFERROR(AG126/AG$16,"")</f>
        <v>0</v>
      </c>
      <c r="AI126" s="9"/>
      <c r="AJ126" s="12" t="n">
        <f aca="false">N126-AG126</f>
        <v>20000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t="n">
        <v>0</v>
      </c>
      <c r="K127" s="64" t="n">
        <v>0</v>
      </c>
      <c r="L127" s="64" t="n">
        <v>0</v>
      </c>
      <c r="M127" s="64" t="n">
        <v>0</v>
      </c>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n">
        <f aca="false">IFERROR(N128/N$16,"")</f>
        <v>0</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n">
        <f aca="false">IFERROR(AG128/AG$16,"")</f>
        <v>0</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n">
        <f aca="false">IFERROR(N129/N$16,"")</f>
        <v>0</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n">
        <f aca="false">IFERROR(AG129/AG$16,"")</f>
        <v>0</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5000</v>
      </c>
      <c r="K130" s="27" t="n">
        <f aca="false">SUM(K124:K129)</f>
        <v>5000</v>
      </c>
      <c r="L130" s="27" t="n">
        <f aca="false">SUM(L124:L129)</f>
        <v>5000</v>
      </c>
      <c r="M130" s="27" t="n">
        <f aca="false">SUM(M124:M129)</f>
        <v>5000</v>
      </c>
      <c r="N130" s="27" t="n">
        <f aca="false">SUM(B130:M130)</f>
        <v>20000</v>
      </c>
      <c r="O130" s="28" t="n">
        <f aca="false">IFERROR(N130/N$16,"")</f>
        <v>0.00269398745548244</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n">
        <f aca="false">IFERROR(AG130/AG$16,"")</f>
        <v>0</v>
      </c>
      <c r="AI130" s="9"/>
      <c r="AJ130" s="27" t="n">
        <f aca="false">N130-AG130</f>
        <v>20000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104811.32</v>
      </c>
      <c r="F131" s="27" t="n">
        <f aca="false">F122-F130</f>
        <v>0</v>
      </c>
      <c r="G131" s="27" t="n">
        <f aca="false">G122-G130</f>
        <v>0</v>
      </c>
      <c r="H131" s="27" t="n">
        <f aca="false">H122-H130</f>
        <v>0</v>
      </c>
      <c r="I131" s="27" t="n">
        <f aca="false">I122-I130</f>
        <v>0</v>
      </c>
      <c r="J131" s="27" t="n">
        <f aca="false">J122-J130</f>
        <v>-5000</v>
      </c>
      <c r="K131" s="27" t="n">
        <f aca="false">K122-K130</f>
        <v>-5000</v>
      </c>
      <c r="L131" s="27" t="n">
        <f aca="false">L122-L130</f>
        <v>-5000</v>
      </c>
      <c r="M131" s="27" t="n">
        <f aca="false">M122-M130</f>
        <v>-5000</v>
      </c>
      <c r="N131" s="27" t="n">
        <f aca="false">SUM(B131:M131)</f>
        <v>84811.32</v>
      </c>
      <c r="O131" s="28" t="n">
        <f aca="false">IFERROR(N131/N$16,"")</f>
        <v>0.0114240316081453</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n">
        <f aca="false">IFERROR(AG131/AG$16,"")</f>
        <v>0</v>
      </c>
      <c r="AI131" s="9"/>
      <c r="AJ131" s="27" t="n">
        <f aca="false">AG131-N131</f>
        <v>-84811.32</v>
      </c>
    </row>
    <row r="132" customFormat="false" ht="13.5" hidden="false" customHeight="true" outlineLevel="0" collapsed="false">
      <c r="A132" s="41" t="s">
        <v>21</v>
      </c>
      <c r="B132" s="71" t="n">
        <f aca="false">B117+B131</f>
        <v>477751.37</v>
      </c>
      <c r="C132" s="71" t="n">
        <f aca="false">C117+C131</f>
        <v>470547.08</v>
      </c>
      <c r="D132" s="71" t="n">
        <f aca="false">D117+D131</f>
        <v>418698.66</v>
      </c>
      <c r="E132" s="71" t="n">
        <f aca="false">E117+E131</f>
        <v>629549.66</v>
      </c>
      <c r="F132" s="71" t="n">
        <f aca="false">F117+F131</f>
        <v>299402.82</v>
      </c>
      <c r="G132" s="71" t="n">
        <f aca="false">G117+G131</f>
        <v>263771.6</v>
      </c>
      <c r="H132" s="71" t="n">
        <f aca="false">H117+H131</f>
        <v>461452.17</v>
      </c>
      <c r="I132" s="71" t="n">
        <f aca="false">I117+I131</f>
        <v>172203.55</v>
      </c>
      <c r="J132" s="71" t="n">
        <f aca="false">J117+J131</f>
        <v>-184477.577142857</v>
      </c>
      <c r="K132" s="71" t="n">
        <f aca="false">K117+K131</f>
        <v>534749.803809524</v>
      </c>
      <c r="L132" s="71" t="n">
        <f aca="false">L117+L131</f>
        <v>560603.375238096</v>
      </c>
      <c r="M132" s="71" t="n">
        <f aca="false">M117+M131</f>
        <v>581456.946666667</v>
      </c>
      <c r="N132" s="71" t="n">
        <f aca="false">SUM(B132:M132)</f>
        <v>4685709.45857143</v>
      </c>
      <c r="O132" s="72" t="n">
        <f aca="false">IFERROR(N132/N$16,"")</f>
        <v>0.631162125071341</v>
      </c>
      <c r="P132" s="12"/>
      <c r="Q132" s="12"/>
      <c r="R132" s="63"/>
      <c r="S132" s="63"/>
      <c r="T132" s="63"/>
      <c r="U132" s="71" t="n">
        <f aca="false">U117+U131</f>
        <v>469493.738613901</v>
      </c>
      <c r="V132" s="71" t="n">
        <f aca="false">V117+V131</f>
        <v>534801.298137711</v>
      </c>
      <c r="W132" s="71" t="n">
        <f aca="false">W117+W131</f>
        <v>520626.714804378</v>
      </c>
      <c r="X132" s="71" t="n">
        <f aca="false">X117+X131</f>
        <v>596161.899328187</v>
      </c>
      <c r="Y132" s="71" t="n">
        <f aca="false">Y117+Y131</f>
        <v>665259.607661521</v>
      </c>
      <c r="Z132" s="71" t="n">
        <f aca="false">Z117+Z131</f>
        <v>764827.256471045</v>
      </c>
      <c r="AA132" s="71" t="n">
        <f aca="false">AA117+AA131</f>
        <v>859853.536232949</v>
      </c>
      <c r="AB132" s="71" t="n">
        <f aca="false">AB117+AB131</f>
        <v>983275.887423425</v>
      </c>
      <c r="AC132" s="71" t="n">
        <f aca="false">AC117+AC131</f>
        <v>1133489.84575676</v>
      </c>
      <c r="AD132" s="71" t="n">
        <f aca="false">AD117+AD131</f>
        <v>1286248.90347047</v>
      </c>
      <c r="AE132" s="71" t="n">
        <f aca="false">AE117+AE131</f>
        <v>1473738.13561333</v>
      </c>
      <c r="AF132" s="71" t="n">
        <f aca="false">AF117+AF131</f>
        <v>1688514.90347047</v>
      </c>
      <c r="AG132" s="71" t="n">
        <f aca="false">SUM(U132:AF132)</f>
        <v>10976291.7269842</v>
      </c>
      <c r="AH132" s="72" t="n">
        <f aca="false">IFERROR(AG132/AG$16,"")</f>
        <v>0.705251973106086</v>
      </c>
      <c r="AI132" s="9"/>
      <c r="AJ132" s="71" t="n">
        <f aca="false">AG132-N132</f>
        <v>6290582.26841272</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-142290.68</v>
      </c>
      <c r="C137" s="12" t="n">
        <f aca="false">SUMIF($A$9:$A$132,"*"&amp;$A137&amp;"*",C$9:C$132)</f>
        <v>-125160.03</v>
      </c>
      <c r="D137" s="12" t="n">
        <f aca="false">SUMIF($A$9:$A$132,"*"&amp;$A137&amp;"*",D$9:D$132)</f>
        <v>-53487.1</v>
      </c>
      <c r="E137" s="12" t="n">
        <f aca="false">SUMIF($A$9:$A$132,"*"&amp;$A137&amp;"*",E$9:E$132)</f>
        <v>21646.72</v>
      </c>
      <c r="F137" s="12" t="n">
        <f aca="false">SUMIF($A$9:$A$132,"*"&amp;$A137&amp;"*",F$9:F$132)</f>
        <v>17259.93</v>
      </c>
      <c r="G137" s="12" t="n">
        <f aca="false">SUMIF($A$9:$A$132,"*"&amp;$A137&amp;"*",G$9:G$132)</f>
        <v>17454.2</v>
      </c>
      <c r="H137" s="12" t="n">
        <f aca="false">SUMIF($A$9:$A$132,"*"&amp;$A137&amp;"*",H$9:H$132)</f>
        <v>20023.74</v>
      </c>
      <c r="I137" s="12" t="n">
        <f aca="false">SUMIF($A$9:$A$132,"*"&amp;$A137&amp;"*",I$9:I$132)</f>
        <v>14849.42</v>
      </c>
      <c r="J137" s="12" t="n">
        <f aca="false">SUMIF($A$9:$A$132,"*"&amp;$A137&amp;"*",J$9:J$132)</f>
        <v>17500</v>
      </c>
      <c r="K137" s="12" t="n">
        <f aca="false">SUMIF($A$9:$A$132,"*"&amp;$A137&amp;"*",K$9:K$132)</f>
        <v>17500</v>
      </c>
      <c r="L137" s="12" t="n">
        <f aca="false">SUMIF($A$9:$A$132,"*"&amp;$A137&amp;"*",L$9:L$132)</f>
        <v>17500</v>
      </c>
      <c r="M137" s="12" t="n">
        <f aca="false">SUMIF($A$9:$A$132,"*"&amp;$A137&amp;"*",M$9:M$132)</f>
        <v>17500</v>
      </c>
      <c r="N137" s="12" t="n">
        <f aca="false">SUMIF($A$9:$A$132,"*"&amp;$A137&amp;"*",N$9:N$132)</f>
        <v>-159703.8</v>
      </c>
      <c r="O137" s="24"/>
      <c r="P137" s="9"/>
      <c r="Q137" s="9"/>
      <c r="R137" s="63"/>
      <c r="S137" s="63"/>
      <c r="T137" s="63"/>
      <c r="U137" s="12" t="n">
        <f aca="false">SUMIF($A$9:$A$132,"*"&amp;$A137&amp;"*",U$9:U$132)</f>
        <v>43450</v>
      </c>
      <c r="V137" s="12" t="n">
        <f aca="false">SUMIF($A$9:$A$132,"*"&amp;$A137&amp;"*",V$9:V$132)</f>
        <v>43450</v>
      </c>
      <c r="W137" s="12" t="n">
        <f aca="false">SUMIF($A$9:$A$132,"*"&amp;$A137&amp;"*",W$9:W$132)</f>
        <v>43450</v>
      </c>
      <c r="X137" s="12" t="n">
        <f aca="false">SUMIF($A$9:$A$132,"*"&amp;$A137&amp;"*",X$9:X$132)</f>
        <v>43450</v>
      </c>
      <c r="Y137" s="12" t="n">
        <f aca="false">SUMIF($A$9:$A$132,"*"&amp;$A137&amp;"*",Y$9:Y$132)</f>
        <v>43450</v>
      </c>
      <c r="Z137" s="12" t="n">
        <f aca="false">SUMIF($A$9:$A$132,"*"&amp;$A137&amp;"*",Z$9:Z$132)</f>
        <v>43450</v>
      </c>
      <c r="AA137" s="12" t="n">
        <f aca="false">SUMIF($A$9:$A$132,"*"&amp;$A137&amp;"*",AA$9:AA$132)</f>
        <v>43450</v>
      </c>
      <c r="AB137" s="12" t="n">
        <f aca="false">SUMIF($A$9:$A$132,"*"&amp;$A137&amp;"*",AB$9:AB$132)</f>
        <v>43450</v>
      </c>
      <c r="AC137" s="12" t="n">
        <f aca="false">SUMIF($A$9:$A$132,"*"&amp;$A137&amp;"*",AC$9:AC$132)</f>
        <v>43450</v>
      </c>
      <c r="AD137" s="12" t="n">
        <f aca="false">SUMIF($A$9:$A$132,"*"&amp;$A137&amp;"*",AD$9:AD$132)</f>
        <v>44753.5</v>
      </c>
      <c r="AE137" s="12" t="n">
        <f aca="false">SUMIF($A$9:$A$132,"*"&amp;$A137&amp;"*",AE$9:AE$132)</f>
        <v>44753.5</v>
      </c>
      <c r="AF137" s="12" t="n">
        <f aca="false">SUMIF($A$9:$A$132,"*"&amp;$A137&amp;"*",AF$9:AF$132)</f>
        <v>44753.5</v>
      </c>
      <c r="AG137" s="12" t="n">
        <f aca="false">SUMIF($A$9:$A$132,"*"&amp;$A137&amp;"*",AG$9:AG$132)</f>
        <v>525310.5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1615.95</v>
      </c>
      <c r="C139" s="12" t="n">
        <f aca="false">SUMIF($A$9:$A$132,"*"&amp;$A139&amp;"*",C$9:C$132)</f>
        <v>1065.32</v>
      </c>
      <c r="D139" s="12" t="n">
        <f aca="false">SUMIF($A$9:$A$132,"*"&amp;$A139&amp;"*",D$9:D$132)</f>
        <v>-1003.17</v>
      </c>
      <c r="E139" s="12" t="n">
        <f aca="false">SUMIF($A$9:$A$132,"*"&amp;$A139&amp;"*",E$9:E$132)</f>
        <v>703.54</v>
      </c>
      <c r="F139" s="12" t="n">
        <f aca="false">SUMIF($A$9:$A$132,"*"&amp;$A139&amp;"*",F$9:F$132)</f>
        <v>618.04</v>
      </c>
      <c r="G139" s="12" t="n">
        <f aca="false">SUMIF($A$9:$A$132,"*"&amp;$A139&amp;"*",G$9:G$132)</f>
        <v>634.79</v>
      </c>
      <c r="H139" s="12" t="n">
        <f aca="false">SUMIF($A$9:$A$132,"*"&amp;$A139&amp;"*",H$9:H$132)</f>
        <v>768.4</v>
      </c>
      <c r="I139" s="12" t="n">
        <f aca="false">SUMIF($A$9:$A$132,"*"&amp;$A139&amp;"*",I$9:I$132)</f>
        <v>592.79</v>
      </c>
      <c r="J139" s="12" t="n">
        <f aca="false">SUMIF($A$9:$A$132,"*"&amp;$A139&amp;"*",J$9:J$132)</f>
        <v>648</v>
      </c>
      <c r="K139" s="12" t="n">
        <f aca="false">SUMIF($A$9:$A$132,"*"&amp;$A139&amp;"*",K$9:K$132)</f>
        <v>648</v>
      </c>
      <c r="L139" s="12" t="n">
        <f aca="false">SUMIF($A$9:$A$132,"*"&amp;$A139&amp;"*",L$9:L$132)</f>
        <v>648</v>
      </c>
      <c r="M139" s="12" t="n">
        <f aca="false">SUMIF($A$9:$A$132,"*"&amp;$A139&amp;"*",M$9:M$132)</f>
        <v>648</v>
      </c>
      <c r="N139" s="12" t="n">
        <f aca="false">SUMIF($A$9:$A$132,"*"&amp;$A139&amp;"*",N$9:N$132)</f>
        <v>7587.66</v>
      </c>
      <c r="O139" s="12"/>
      <c r="P139" s="12"/>
      <c r="Q139" s="12"/>
      <c r="R139" s="63"/>
      <c r="S139" s="63"/>
      <c r="T139" s="63"/>
      <c r="U139" s="12" t="n">
        <f aca="false">SUMIF($A$9:$A$132,"*"&amp;$A139&amp;"*",U$9:U$132)</f>
        <v>1580.22856962794</v>
      </c>
      <c r="V139" s="12" t="n">
        <f aca="false">SUMIF($A$9:$A$132,"*"&amp;$A139&amp;"*",V$9:V$132)</f>
        <v>1580.22856962794</v>
      </c>
      <c r="W139" s="12" t="n">
        <f aca="false">SUMIF($A$9:$A$132,"*"&amp;$A139&amp;"*",W$9:W$132)</f>
        <v>1580.22856962794</v>
      </c>
      <c r="X139" s="12" t="n">
        <f aca="false">SUMIF($A$9:$A$132,"*"&amp;$A139&amp;"*",X$9:X$132)</f>
        <v>1580.22856962794</v>
      </c>
      <c r="Y139" s="12" t="n">
        <f aca="false">SUMIF($A$9:$A$132,"*"&amp;$A139&amp;"*",Y$9:Y$132)</f>
        <v>1580.22856962794</v>
      </c>
      <c r="Z139" s="12" t="n">
        <f aca="false">SUMIF($A$9:$A$132,"*"&amp;$A139&amp;"*",Z$9:Z$132)</f>
        <v>1580.22856962794</v>
      </c>
      <c r="AA139" s="12" t="n">
        <f aca="false">SUMIF($A$9:$A$132,"*"&amp;$A139&amp;"*",AA$9:AA$132)</f>
        <v>1580.22856962794</v>
      </c>
      <c r="AB139" s="12" t="n">
        <f aca="false">SUMIF($A$9:$A$132,"*"&amp;$A139&amp;"*",AB$9:AB$132)</f>
        <v>1580.22856962794</v>
      </c>
      <c r="AC139" s="12" t="n">
        <f aca="false">SUMIF($A$9:$A$132,"*"&amp;$A139&amp;"*",AC$9:AC$132)</f>
        <v>1580.22856962794</v>
      </c>
      <c r="AD139" s="12" t="n">
        <f aca="false">SUMIF($A$9:$A$132,"*"&amp;$A139&amp;"*",AD$9:AD$132)</f>
        <v>1627.63542671678</v>
      </c>
      <c r="AE139" s="12" t="n">
        <f aca="false">SUMIF($A$9:$A$132,"*"&amp;$A139&amp;"*",AE$9:AE$132)</f>
        <v>1627.63542671678</v>
      </c>
      <c r="AF139" s="12" t="n">
        <f aca="false">SUMIF($A$9:$A$132,"*"&amp;$A139&amp;"*",AF$9:AF$132)</f>
        <v>1627.63542671678</v>
      </c>
      <c r="AG139" s="12" t="n">
        <f aca="false">SUMIF($A$9:$A$132,"*"&amp;$A139&amp;"*",AG$9:AG$132)</f>
        <v>19104.9634068018</v>
      </c>
      <c r="AH139" s="12"/>
      <c r="AI139" s="9"/>
      <c r="AJ139" s="12"/>
    </row>
    <row r="140" customFormat="false" ht="13.5" hidden="false" customHeight="true" outlineLevel="0" collapsed="false">
      <c r="A140" s="23" t="s">
        <v>1390</v>
      </c>
      <c r="B140" s="12" t="n">
        <f aca="false">SUMIF($A$9:$A$132,"*"&amp;$A140&amp;"*",B$9:B$132)</f>
        <v>32768.46</v>
      </c>
      <c r="C140" s="12" t="n">
        <f aca="false">SUMIF($A$9:$A$132,"*"&amp;$A140&amp;"*",C$9:C$132)</f>
        <v>-7281.23</v>
      </c>
      <c r="D140" s="12" t="n">
        <f aca="false">SUMIF($A$9:$A$132,"*"&amp;$A140&amp;"*",D$9:D$132)</f>
        <v>3057.92</v>
      </c>
      <c r="E140" s="12" t="n">
        <f aca="false">SUMIF($A$9:$A$132,"*"&amp;$A140&amp;"*",E$9:E$132)</f>
        <v>2876.74</v>
      </c>
      <c r="F140" s="12" t="n">
        <f aca="false">SUMIF($A$9:$A$132,"*"&amp;$A140&amp;"*",F$9:F$132)</f>
        <v>4138.12</v>
      </c>
      <c r="G140" s="12" t="n">
        <f aca="false">SUMIF($A$9:$A$132,"*"&amp;$A140&amp;"*",G$9:G$132)</f>
        <v>3992.14</v>
      </c>
      <c r="H140" s="12" t="n">
        <f aca="false">SUMIF($A$9:$A$132,"*"&amp;$A140&amp;"*",H$9:H$132)</f>
        <v>-6793.75</v>
      </c>
      <c r="I140" s="12" t="n">
        <f aca="false">SUMIF($A$9:$A$132,"*"&amp;$A140&amp;"*",I$9:I$132)</f>
        <v>2732.36</v>
      </c>
      <c r="J140" s="12" t="n">
        <f aca="false">SUMIF($A$9:$A$132,"*"&amp;$A140&amp;"*",J$9:J$132)</f>
        <v>4000</v>
      </c>
      <c r="K140" s="12" t="n">
        <f aca="false">SUMIF($A$9:$A$132,"*"&amp;$A140&amp;"*",K$9:K$132)</f>
        <v>4000</v>
      </c>
      <c r="L140" s="12" t="n">
        <f aca="false">SUMIF($A$9:$A$132,"*"&amp;$A140&amp;"*",L$9:L$132)</f>
        <v>4000</v>
      </c>
      <c r="M140" s="12" t="n">
        <f aca="false">SUMIF($A$9:$A$132,"*"&amp;$A140&amp;"*",M$9:M$132)</f>
        <v>4000</v>
      </c>
      <c r="N140" s="12" t="n">
        <f aca="false">SUMIF($A$9:$A$132,"*"&amp;$A140&amp;"*",N$9:N$132)</f>
        <v>51490.76</v>
      </c>
      <c r="O140" s="12"/>
      <c r="P140" s="12"/>
      <c r="Q140" s="12"/>
      <c r="R140" s="63"/>
      <c r="S140" s="63"/>
      <c r="T140" s="63"/>
      <c r="U140" s="12" t="n">
        <f aca="false">SUMIF($A$9:$A$132,"*"&amp;$A140&amp;"*",U$9:U$132)</f>
        <v>8966.45875099473</v>
      </c>
      <c r="V140" s="12" t="n">
        <f aca="false">SUMIF($A$9:$A$132,"*"&amp;$A140&amp;"*",V$9:V$132)</f>
        <v>8966.45875099473</v>
      </c>
      <c r="W140" s="12" t="n">
        <f aca="false">SUMIF($A$9:$A$132,"*"&amp;$A140&amp;"*",W$9:W$132)</f>
        <v>8966.45875099473</v>
      </c>
      <c r="X140" s="12" t="n">
        <f aca="false">SUMIF($A$9:$A$132,"*"&amp;$A140&amp;"*",X$9:X$132)</f>
        <v>8966.45875099473</v>
      </c>
      <c r="Y140" s="12" t="n">
        <f aca="false">SUMIF($A$9:$A$132,"*"&amp;$A140&amp;"*",Y$9:Y$132)</f>
        <v>8966.45875099473</v>
      </c>
      <c r="Z140" s="12" t="n">
        <f aca="false">SUMIF($A$9:$A$132,"*"&amp;$A140&amp;"*",Z$9:Z$132)</f>
        <v>8966.45875099473</v>
      </c>
      <c r="AA140" s="12" t="n">
        <f aca="false">SUMIF($A$9:$A$132,"*"&amp;$A140&amp;"*",AA$9:AA$132)</f>
        <v>8966.45875099473</v>
      </c>
      <c r="AB140" s="12" t="n">
        <f aca="false">SUMIF($A$9:$A$132,"*"&amp;$A140&amp;"*",AB$9:AB$132)</f>
        <v>8966.45875099473</v>
      </c>
      <c r="AC140" s="12" t="n">
        <f aca="false">SUMIF($A$9:$A$132,"*"&amp;$A140&amp;"*",AC$9:AC$132)</f>
        <v>8966.45875099473</v>
      </c>
      <c r="AD140" s="12" t="n">
        <f aca="false">SUMIF($A$9:$A$132,"*"&amp;$A140&amp;"*",AD$9:AD$132)</f>
        <v>9235.45251352458</v>
      </c>
      <c r="AE140" s="12" t="n">
        <f aca="false">SUMIF($A$9:$A$132,"*"&amp;$A140&amp;"*",AE$9:AE$132)</f>
        <v>9235.45251352458</v>
      </c>
      <c r="AF140" s="12" t="n">
        <f aca="false">SUMIF($A$9:$A$132,"*"&amp;$A140&amp;"*",AF$9:AF$132)</f>
        <v>9235.45251352458</v>
      </c>
      <c r="AG140" s="12" t="n">
        <f aca="false">SUMIF($A$9:$A$132,"*"&amp;$A140&amp;"*",AG$9:AG$132)</f>
        <v>108404.486299526</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-0.241649066544625</v>
      </c>
      <c r="C142" s="24" t="n">
        <f aca="false">IFERROR(SUM(C139:C140)/SUM(C137:C138),"")</f>
        <v>0.0496636985465727</v>
      </c>
      <c r="D142" s="24" t="n">
        <f aca="false">IFERROR(SUM(D139:D140)/SUM(D137:D138),"")</f>
        <v>-0.0384158049324043</v>
      </c>
      <c r="E142" s="24" t="n">
        <f aca="false">IFERROR(SUM(E139:E140)/SUM(E137:E138),"")</f>
        <v>0.165395958371522</v>
      </c>
      <c r="F142" s="24" t="n">
        <f aca="false">IFERROR(SUM(F139:F140)/SUM(F137:F138),"")</f>
        <v>0.27556079312025</v>
      </c>
      <c r="G142" s="24" t="n">
        <f aca="false">IFERROR(SUM(G139:G140)/SUM(G137:G138),"")</f>
        <v>0.265089777818519</v>
      </c>
      <c r="H142" s="24" t="n">
        <f aca="false">IFERROR(SUM(H139:H140)/SUM(H137:H138),"")</f>
        <v>-0.300910319450812</v>
      </c>
      <c r="I142" s="24" t="n">
        <f aca="false">IFERROR(SUM(I139:I140)/SUM(I137:I138),"")</f>
        <v>0.223924570791317</v>
      </c>
      <c r="J142" s="24" t="n">
        <f aca="false">IFERROR(SUM(J139:J140)/SUM(J137:J138),"")</f>
        <v>0.2656</v>
      </c>
      <c r="K142" s="24" t="n">
        <f aca="false">IFERROR(SUM(K139:K140)/SUM(K137:K138),"")</f>
        <v>0.2656</v>
      </c>
      <c r="L142" s="24" t="n">
        <f aca="false">IFERROR(SUM(L139:L140)/SUM(L137:L138),"")</f>
        <v>0.2656</v>
      </c>
      <c r="M142" s="24" t="n">
        <f aca="false">IFERROR(SUM(M139:M140)/SUM(M137:M138),"")</f>
        <v>0.2656</v>
      </c>
      <c r="N142" s="24" t="n">
        <f aca="false">IFERROR(SUM(N139:N140)/SUM(N137:N138),"")</f>
        <v>-0.369924948561024</v>
      </c>
      <c r="O142" s="24"/>
      <c r="P142" s="24"/>
      <c r="Q142" s="24"/>
      <c r="R142" s="63"/>
      <c r="S142" s="63"/>
      <c r="T142" s="63"/>
      <c r="U142" s="24" t="n">
        <f aca="false">IFERROR(SUM(U139:U140)/SUM(U137:U138),"")</f>
        <v>0.242731583903859</v>
      </c>
      <c r="V142" s="24" t="n">
        <f aca="false">IFERROR(SUM(V139:V140)/SUM(V137:V138),"")</f>
        <v>0.242731583903859</v>
      </c>
      <c r="W142" s="24" t="n">
        <f aca="false">IFERROR(SUM(W139:W140)/SUM(W137:W138),"")</f>
        <v>0.242731583903859</v>
      </c>
      <c r="X142" s="24" t="n">
        <f aca="false">IFERROR(SUM(X139:X140)/SUM(X137:X138),"")</f>
        <v>0.242731583903859</v>
      </c>
      <c r="Y142" s="24" t="n">
        <f aca="false">IFERROR(SUM(Y139:Y140)/SUM(Y137:Y138),"")</f>
        <v>0.242731583903859</v>
      </c>
      <c r="Z142" s="24" t="n">
        <f aca="false">IFERROR(SUM(Z139:Z140)/SUM(Z137:Z138),"")</f>
        <v>0.242731583903859</v>
      </c>
      <c r="AA142" s="24" t="n">
        <f aca="false">IFERROR(SUM(AA139:AA140)/SUM(AA137:AA138),"")</f>
        <v>0.242731583903859</v>
      </c>
      <c r="AB142" s="24" t="n">
        <f aca="false">IFERROR(SUM(AB139:AB140)/SUM(AB137:AB138),"")</f>
        <v>0.242731583903859</v>
      </c>
      <c r="AC142" s="24" t="n">
        <f aca="false">IFERROR(SUM(AC139:AC140)/SUM(AC137:AC138),"")</f>
        <v>0.242731583903859</v>
      </c>
      <c r="AD142" s="24" t="n">
        <f aca="false">IFERROR(SUM(AD139:AD140)/SUM(AD137:AD138),"")</f>
        <v>0.242731583903859</v>
      </c>
      <c r="AE142" s="24" t="n">
        <f aca="false">IFERROR(SUM(AE139:AE140)/SUM(AE137:AE138),"")</f>
        <v>0.242731583903859</v>
      </c>
      <c r="AF142" s="24" t="n">
        <f aca="false">IFERROR(SUM(AF139:AF140)/SUM(AF137:AF138),"")</f>
        <v>0.242731583903859</v>
      </c>
      <c r="AG142" s="24" t="n">
        <f aca="false">IFERROR(SUM(AG139:AG140)/SUM(AG137:AG138),"")</f>
        <v>0.242731583903859</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1415</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7.57"/>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1416</v>
      </c>
      <c r="B1" s="9"/>
      <c r="C1" s="9"/>
      <c r="D1" s="9"/>
      <c r="E1" s="9"/>
      <c r="F1" s="9"/>
      <c r="G1" s="9"/>
      <c r="H1" s="12"/>
      <c r="I1" s="12"/>
      <c r="J1" s="12"/>
      <c r="K1" s="12"/>
      <c r="L1" s="12"/>
      <c r="M1" s="12"/>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0</v>
      </c>
      <c r="C28" s="12" t="n">
        <v>0</v>
      </c>
      <c r="D28" s="12" t="n">
        <v>0</v>
      </c>
      <c r="E28" s="12" t="n">
        <v>0</v>
      </c>
      <c r="F28" s="12" t="n">
        <v>0</v>
      </c>
      <c r="G28" s="12" t="n">
        <v>0</v>
      </c>
      <c r="H28" s="12" t="n">
        <v>0</v>
      </c>
      <c r="I28" s="12" t="n">
        <v>0</v>
      </c>
      <c r="J28" s="64" t="n">
        <v>0</v>
      </c>
      <c r="K28" s="64" t="n">
        <v>0</v>
      </c>
      <c r="L28" s="64" t="n">
        <v>0</v>
      </c>
      <c r="M28" s="64" t="n">
        <v>0</v>
      </c>
      <c r="N28" s="12" t="n">
        <f aca="false">SUM(B28:M28)</f>
        <v>0</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0</v>
      </c>
    </row>
    <row r="29" customFormat="false" ht="13.5" hidden="false" customHeight="true" outlineLevel="0" collapsed="false">
      <c r="A29" s="23" t="s">
        <v>1284</v>
      </c>
      <c r="B29" s="12" t="n">
        <v>0</v>
      </c>
      <c r="C29" s="12" t="n">
        <v>2542.81</v>
      </c>
      <c r="D29" s="12" t="n">
        <v>0</v>
      </c>
      <c r="E29" s="12" t="n">
        <v>0</v>
      </c>
      <c r="F29" s="12" t="n">
        <v>0</v>
      </c>
      <c r="G29" s="12" t="n">
        <v>0</v>
      </c>
      <c r="H29" s="12" t="n">
        <v>0</v>
      </c>
      <c r="I29" s="12" t="n">
        <v>0</v>
      </c>
      <c r="J29" s="64" t="n">
        <v>0</v>
      </c>
      <c r="K29" s="64" t="n">
        <v>0</v>
      </c>
      <c r="L29" s="64" t="n">
        <v>0</v>
      </c>
      <c r="M29" s="64" t="n">
        <v>0</v>
      </c>
      <c r="N29" s="12" t="n">
        <f aca="false">SUM(B29:M29)</f>
        <v>2542.81</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2542.81</v>
      </c>
    </row>
    <row r="30" customFormat="false" ht="13.5" hidden="false" customHeight="true" outlineLevel="0" collapsed="false">
      <c r="A30" s="23" t="s">
        <v>1285</v>
      </c>
      <c r="B30" s="12" t="n">
        <v>290.38</v>
      </c>
      <c r="C30" s="12" t="n">
        <v>1333.96</v>
      </c>
      <c r="D30" s="12" t="n">
        <v>0</v>
      </c>
      <c r="E30" s="12" t="n">
        <v>0</v>
      </c>
      <c r="F30" s="12" t="n">
        <v>0</v>
      </c>
      <c r="G30" s="12" t="n">
        <v>1287.37</v>
      </c>
      <c r="H30" s="12" t="n">
        <v>928.46</v>
      </c>
      <c r="I30" s="12" t="n">
        <v>734.17</v>
      </c>
      <c r="J30" s="64" t="n">
        <v>0</v>
      </c>
      <c r="K30" s="64" t="n">
        <v>0</v>
      </c>
      <c r="L30" s="64" t="n">
        <v>0</v>
      </c>
      <c r="M30" s="64" t="n">
        <v>0</v>
      </c>
      <c r="N30" s="12" t="n">
        <f aca="false">SUM(B30:M30)</f>
        <v>4574.34</v>
      </c>
      <c r="O30" s="24" t="str">
        <f aca="false">IFERROR(N30/N$16,"")</f>
        <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4574.34</v>
      </c>
    </row>
    <row r="31" customFormat="false" ht="13.5" hidden="false" customHeight="true" outlineLevel="0" collapsed="false">
      <c r="A31" s="23" t="s">
        <v>1286</v>
      </c>
      <c r="B31" s="12" t="n">
        <v>12.4</v>
      </c>
      <c r="C31" s="12" t="n">
        <v>232.07</v>
      </c>
      <c r="D31" s="12" t="n">
        <v>0</v>
      </c>
      <c r="E31" s="12" t="n">
        <v>0</v>
      </c>
      <c r="F31" s="12" t="n">
        <v>0</v>
      </c>
      <c r="G31" s="12" t="n">
        <v>0</v>
      </c>
      <c r="H31" s="12" t="n">
        <v>165.51</v>
      </c>
      <c r="I31" s="12" t="n">
        <v>118.67</v>
      </c>
      <c r="J31" s="64" t="n">
        <v>0</v>
      </c>
      <c r="K31" s="64" t="n">
        <v>0</v>
      </c>
      <c r="L31" s="64" t="n">
        <v>0</v>
      </c>
      <c r="M31" s="64" t="n">
        <v>0</v>
      </c>
      <c r="N31" s="12" t="n">
        <f aca="false">SUM(B31:M31)</f>
        <v>528.65</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528.65</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-222.48</v>
      </c>
      <c r="D34" s="12" t="n">
        <v>0</v>
      </c>
      <c r="E34" s="12" t="n">
        <v>0</v>
      </c>
      <c r="F34" s="12" t="n">
        <v>0</v>
      </c>
      <c r="G34" s="12" t="n">
        <v>0</v>
      </c>
      <c r="H34" s="12" t="n">
        <v>0</v>
      </c>
      <c r="I34" s="12" t="n">
        <v>0</v>
      </c>
      <c r="J34" s="64" t="n">
        <v>0</v>
      </c>
      <c r="K34" s="64" t="n">
        <v>0</v>
      </c>
      <c r="L34" s="64" t="n">
        <v>0</v>
      </c>
      <c r="M34" s="64" t="n">
        <v>0</v>
      </c>
      <c r="N34" s="12" t="n">
        <f aca="false">SUM(B34:M34)</f>
        <v>-222.48</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-222.48</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-222.48</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-222.48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-222.48</v>
      </c>
    </row>
    <row r="37" customFormat="false" ht="13.5" hidden="false" customHeight="true" outlineLevel="0" collapsed="false">
      <c r="A37" s="26" t="s">
        <v>1292</v>
      </c>
      <c r="B37" s="27" t="n">
        <f aca="false">B19+B22+B27+B28+B29+B30+B31+B36+B20+B21</f>
        <v>302.78</v>
      </c>
      <c r="C37" s="27" t="n">
        <f aca="false">C19+C22+C27+C28+C29+C30+C31+C36+C20+C21</f>
        <v>3886.36</v>
      </c>
      <c r="D37" s="27" t="n">
        <f aca="false">D19+D22+D27+D28+D29+D30+D31+D36+D20+D21</f>
        <v>0</v>
      </c>
      <c r="E37" s="27" t="n">
        <f aca="false">E19+E22+E27+E28+E29+E30+E31+E36+E20+E21</f>
        <v>0</v>
      </c>
      <c r="F37" s="27" t="n">
        <f aca="false">F19+F22+F27+F28+F29+F30+F31+F36+F20+F21</f>
        <v>0</v>
      </c>
      <c r="G37" s="27" t="n">
        <f aca="false">G19+G22+G27+G28+G29+G30+G31+G36+G20+G21</f>
        <v>1287.37</v>
      </c>
      <c r="H37" s="27" t="n">
        <f aca="false">H19+H22+H27+H28+H29+H30+H31+H36+H20+H21</f>
        <v>1093.97</v>
      </c>
      <c r="I37" s="27" t="n">
        <f aca="false">I19+I22+I27+I28+I29+I30+I31+I36+I20+I21</f>
        <v>852.84</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7423.32</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7423.32</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416.9</v>
      </c>
      <c r="C45" s="12" t="n">
        <v>0</v>
      </c>
      <c r="D45" s="12" t="n">
        <v>0</v>
      </c>
      <c r="E45" s="12" t="n">
        <v>257.75</v>
      </c>
      <c r="F45" s="12" t="n">
        <v>0</v>
      </c>
      <c r="G45" s="12" t="n">
        <v>225.8</v>
      </c>
      <c r="H45" s="12" t="n">
        <v>0</v>
      </c>
      <c r="I45" s="12" t="n">
        <v>0</v>
      </c>
      <c r="J45" s="64" t="n">
        <v>0</v>
      </c>
      <c r="K45" s="64" t="n">
        <v>0</v>
      </c>
      <c r="L45" s="64" t="n">
        <v>0</v>
      </c>
      <c r="M45" s="64" t="n">
        <v>0</v>
      </c>
      <c r="N45" s="12" t="n">
        <f aca="false">SUM(B45:M45)</f>
        <v>900.45</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900.45</v>
      </c>
    </row>
    <row r="46" customFormat="false" ht="13.5" hidden="false" customHeight="true" outlineLevel="0" collapsed="false">
      <c r="A46" s="23" t="s">
        <v>1301</v>
      </c>
      <c r="B46" s="12" t="n">
        <v>0</v>
      </c>
      <c r="C46" s="12" t="n">
        <v>0</v>
      </c>
      <c r="D46" s="12" t="n">
        <v>0</v>
      </c>
      <c r="E46" s="12" t="n">
        <v>0</v>
      </c>
      <c r="F46" s="12" t="n">
        <v>169.08</v>
      </c>
      <c r="G46" s="12" t="n">
        <v>0</v>
      </c>
      <c r="H46" s="12" t="n">
        <v>0</v>
      </c>
      <c r="I46" s="12" t="n">
        <v>44.48</v>
      </c>
      <c r="J46" s="64" t="n">
        <v>0</v>
      </c>
      <c r="K46" s="64" t="n">
        <v>0</v>
      </c>
      <c r="L46" s="64" t="n">
        <v>0</v>
      </c>
      <c r="M46" s="64" t="n">
        <v>0</v>
      </c>
      <c r="N46" s="12" t="n">
        <f aca="false">SUM(B46:M46)</f>
        <v>213.56</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213.56</v>
      </c>
    </row>
    <row r="47" customFormat="false" ht="13.5" hidden="false" customHeight="true" outlineLevel="0" collapsed="false">
      <c r="A47" s="23" t="s">
        <v>1302</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175</v>
      </c>
      <c r="J50" s="64" t="n">
        <v>0</v>
      </c>
      <c r="K50" s="64" t="n">
        <v>0</v>
      </c>
      <c r="L50" s="64" t="n">
        <v>0</v>
      </c>
      <c r="M50" s="64" t="n">
        <v>0</v>
      </c>
      <c r="N50" s="12" t="n">
        <f aca="false">SUM(B50:M50)</f>
        <v>175</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175</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416.9</v>
      </c>
      <c r="C56" s="27" t="n">
        <f aca="false">C44+C45+C46+C47+C48+C49+C50+C55</f>
        <v>0</v>
      </c>
      <c r="D56" s="27" t="n">
        <f aca="false">D44+D45+D46+D47+D48+D49+D50+D55</f>
        <v>0</v>
      </c>
      <c r="E56" s="27" t="n">
        <f aca="false">E44+E45+E46+E47+E48+E49+E50+E55</f>
        <v>257.75</v>
      </c>
      <c r="F56" s="27" t="n">
        <f aca="false">F44+F45+F46+F47+F48+F49+F50+F55</f>
        <v>169.08</v>
      </c>
      <c r="G56" s="27" t="n">
        <f aca="false">G44+G45+G46+G47+G48+G49+G50+G55</f>
        <v>225.8</v>
      </c>
      <c r="H56" s="27" t="n">
        <f aca="false">H44+H45+H46+H47+H48+H49+H50+H55</f>
        <v>0</v>
      </c>
      <c r="I56" s="27" t="n">
        <f aca="false">I44+I45+I46+I47+I48+I49+I50+I55</f>
        <v>219.48</v>
      </c>
      <c r="J56" s="27" t="n">
        <f aca="false">J44+J45+J46+J47+J48+J49+J50+J55</f>
        <v>0</v>
      </c>
      <c r="K56" s="27" t="n">
        <f aca="false">K44+K45+K46+K47+K48+K49+K50+K55</f>
        <v>0</v>
      </c>
      <c r="L56" s="27" t="n">
        <f aca="false">L44+L45+L46+L47+L48+L49+L50+L55</f>
        <v>0</v>
      </c>
      <c r="M56" s="27" t="n">
        <f aca="false">M44+M45+M46+M47+M48+M49+M50+M55</f>
        <v>0</v>
      </c>
      <c r="N56" s="27" t="n">
        <f aca="false">SUM(B56:M56)</f>
        <v>1289.01</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1289.01</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0</v>
      </c>
      <c r="F58" s="12" t="n">
        <v>0</v>
      </c>
      <c r="G58" s="12" t="n">
        <v>0</v>
      </c>
      <c r="H58" s="12" t="n">
        <v>0</v>
      </c>
      <c r="I58" s="12" t="n">
        <v>0</v>
      </c>
      <c r="J58" s="64" t="n">
        <v>0</v>
      </c>
      <c r="K58" s="64" t="n">
        <v>0</v>
      </c>
      <c r="L58" s="64" t="n">
        <v>0</v>
      </c>
      <c r="M58" s="64" t="n">
        <v>0</v>
      </c>
      <c r="N58" s="12" t="n">
        <f aca="false">SUM(B58:M58)</f>
        <v>0</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0</v>
      </c>
    </row>
    <row r="59" customFormat="false" ht="13.5" hidden="false" customHeight="true" outlineLevel="0" collapsed="false">
      <c r="A59" s="23" t="s">
        <v>1314</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1315</v>
      </c>
      <c r="B60" s="12" t="n">
        <v>281.96</v>
      </c>
      <c r="C60" s="12" t="n">
        <v>0</v>
      </c>
      <c r="D60" s="12" t="n">
        <v>0</v>
      </c>
      <c r="E60" s="12" t="n">
        <v>0</v>
      </c>
      <c r="F60" s="12" t="n">
        <v>0</v>
      </c>
      <c r="G60" s="12" t="n">
        <v>0</v>
      </c>
      <c r="H60" s="12" t="n">
        <v>0</v>
      </c>
      <c r="I60" s="12" t="n">
        <v>0</v>
      </c>
      <c r="J60" s="64" t="n">
        <v>0</v>
      </c>
      <c r="K60" s="64" t="n">
        <v>0</v>
      </c>
      <c r="L60" s="64" t="n">
        <v>0</v>
      </c>
      <c r="M60" s="64" t="n">
        <v>0</v>
      </c>
      <c r="N60" s="12" t="n">
        <f aca="false">SUM(B60:M60)</f>
        <v>281.96</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281.96</v>
      </c>
    </row>
    <row r="61" customFormat="false" ht="13.5" hidden="false" customHeight="true" outlineLevel="0" collapsed="false">
      <c r="A61" s="26" t="s">
        <v>1316</v>
      </c>
      <c r="B61" s="32" t="n">
        <f aca="false">SUM(B58:B60)</f>
        <v>281.96</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0</v>
      </c>
      <c r="J61" s="32" t="n">
        <f aca="false">SUM(J58:J60)</f>
        <v>0</v>
      </c>
      <c r="K61" s="32" t="n">
        <f aca="false">SUM(K58:K60)</f>
        <v>0</v>
      </c>
      <c r="L61" s="32" t="n">
        <f aca="false">SUM(L58:L60)</f>
        <v>0</v>
      </c>
      <c r="M61" s="32" t="n">
        <f aca="false">SUM(M58:M60)</f>
        <v>0</v>
      </c>
      <c r="N61" s="32" t="n">
        <f aca="false">SUM(B61:M61)</f>
        <v>281.96</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281.96</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1001.64</v>
      </c>
      <c r="C63" s="27" t="n">
        <f aca="false">C37+C38+C39+C40+C41+C42+C56+C61+C62</f>
        <v>3886.36</v>
      </c>
      <c r="D63" s="27" t="n">
        <f aca="false">D37+D38+D39+D40+D41+D42+D56+D61+D62</f>
        <v>0</v>
      </c>
      <c r="E63" s="27" t="n">
        <f aca="false">E37+E38+E39+E40+E41+E42+E56+E61+E62</f>
        <v>257.75</v>
      </c>
      <c r="F63" s="27" t="n">
        <f aca="false">F37+F38+F39+F40+F41+F42+F56+F61+F62</f>
        <v>169.08</v>
      </c>
      <c r="G63" s="27" t="n">
        <f aca="false">G37+G38+G39+G40+G41+G42+G56+G61+G62</f>
        <v>1513.17</v>
      </c>
      <c r="H63" s="27" t="n">
        <f aca="false">H37+H38+H39+H40+H41+H42+H56+H61+H62</f>
        <v>1093.97</v>
      </c>
      <c r="I63" s="27" t="n">
        <f aca="false">I37+I38+I39+I40+I41+I42+I56+I61+I62</f>
        <v>1072.32</v>
      </c>
      <c r="J63" s="27" t="n">
        <f aca="false">J37+J38+J39+J40+J41+J42+J56+J61+J62</f>
        <v>0</v>
      </c>
      <c r="K63" s="27" t="n">
        <f aca="false">K37+K38+K39+K40+K41+K42+K56+K61+K62</f>
        <v>0</v>
      </c>
      <c r="L63" s="27" t="n">
        <f aca="false">L37+L38+L39+L40+L41+L42+L56+L61+L62</f>
        <v>0</v>
      </c>
      <c r="M63" s="27" t="n">
        <f aca="false">M37+M38+M39+M40+M41+M42+M56+M61+M62</f>
        <v>0</v>
      </c>
      <c r="N63" s="27" t="n">
        <f aca="false">SUM(B63:M63)</f>
        <v>8994.29</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8994.29</v>
      </c>
    </row>
    <row r="64" customFormat="false" ht="13.5" hidden="false" customHeight="true" outlineLevel="0" collapsed="false">
      <c r="A64" s="69" t="s">
        <v>19</v>
      </c>
      <c r="B64" s="27" t="n">
        <f aca="false">B16-B63</f>
        <v>-1001.64</v>
      </c>
      <c r="C64" s="27" t="n">
        <f aca="false">C16-C63</f>
        <v>-3886.36</v>
      </c>
      <c r="D64" s="27" t="n">
        <f aca="false">D16-D63</f>
        <v>0</v>
      </c>
      <c r="E64" s="27" t="n">
        <f aca="false">E16-E63</f>
        <v>-257.75</v>
      </c>
      <c r="F64" s="27" t="n">
        <f aca="false">F16-F63</f>
        <v>-169.08</v>
      </c>
      <c r="G64" s="27" t="n">
        <f aca="false">G16-G63</f>
        <v>-1513.17</v>
      </c>
      <c r="H64" s="27" t="n">
        <f aca="false">H16-H63</f>
        <v>-1093.97</v>
      </c>
      <c r="I64" s="27" t="n">
        <f aca="false">I16-I63</f>
        <v>-1072.32</v>
      </c>
      <c r="J64" s="27" t="n">
        <f aca="false">J16-J63</f>
        <v>0</v>
      </c>
      <c r="K64" s="27" t="n">
        <f aca="false">K16-K63</f>
        <v>0</v>
      </c>
      <c r="L64" s="27" t="n">
        <f aca="false">L16-L63</f>
        <v>0</v>
      </c>
      <c r="M64" s="27" t="n">
        <f aca="false">M16-M63</f>
        <v>0</v>
      </c>
      <c r="N64" s="27" t="n">
        <f aca="false">SUM(B64:M64)</f>
        <v>-8994.29</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8994.29</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55695.15</v>
      </c>
      <c r="C67" s="12" t="n">
        <v>27654.39</v>
      </c>
      <c r="D67" s="12" t="n">
        <v>61502.28</v>
      </c>
      <c r="E67" s="12" t="n">
        <v>55315.58</v>
      </c>
      <c r="F67" s="12" t="n">
        <v>42282.65</v>
      </c>
      <c r="G67" s="12" t="n">
        <v>43025.7</v>
      </c>
      <c r="H67" s="12" t="n">
        <v>32866.88</v>
      </c>
      <c r="I67" s="12" t="n">
        <v>31543.74</v>
      </c>
      <c r="J67" s="64" t="n">
        <v>44900</v>
      </c>
      <c r="K67" s="64" t="n">
        <v>46100</v>
      </c>
      <c r="L67" s="64" t="n">
        <v>46100</v>
      </c>
      <c r="M67" s="64" t="n">
        <v>46100</v>
      </c>
      <c r="N67" s="12" t="n">
        <f aca="false">SUM(B67:M67)</f>
        <v>533086.37</v>
      </c>
      <c r="O67" s="24" t="str">
        <f aca="false">IFERROR(N67/N$16,"")</f>
        <v/>
      </c>
      <c r="P67" s="12"/>
      <c r="Q67" s="12"/>
      <c r="R67" s="75"/>
      <c r="S67" s="75"/>
      <c r="T67" s="75"/>
      <c r="U67" s="75" t="n">
        <v>43709.8333333333</v>
      </c>
      <c r="V67" s="75" t="n">
        <v>43709.8333333333</v>
      </c>
      <c r="W67" s="75" t="n">
        <v>43709.8333333333</v>
      </c>
      <c r="X67" s="75" t="n">
        <v>43709.8333333333</v>
      </c>
      <c r="Y67" s="75" t="n">
        <v>43709.8333333333</v>
      </c>
      <c r="Z67" s="75" t="n">
        <v>43709.8333333333</v>
      </c>
      <c r="AA67" s="75" t="n">
        <v>43709.8333333333</v>
      </c>
      <c r="AB67" s="75" t="n">
        <v>43709.8333333333</v>
      </c>
      <c r="AC67" s="75" t="n">
        <v>43709.8333333333</v>
      </c>
      <c r="AD67" s="75" t="n">
        <v>45021.1283333333</v>
      </c>
      <c r="AE67" s="75" t="n">
        <v>45021.1283333333</v>
      </c>
      <c r="AF67" s="75" t="n">
        <v>45021.1283333333</v>
      </c>
      <c r="AG67" s="12" t="n">
        <f aca="false">SUM(U67:AF67)</f>
        <v>528451.885</v>
      </c>
      <c r="AH67" s="24" t="str">
        <f aca="false">IFERROR(AG67/AG$16,"")</f>
        <v/>
      </c>
      <c r="AI67" s="9"/>
      <c r="AJ67" s="12" t="n">
        <f aca="false">N67-AG67</f>
        <v>4634.48500000045</v>
      </c>
    </row>
    <row r="68" customFormat="false" ht="13.5" hidden="false" customHeight="true" outlineLevel="0" collapsed="false">
      <c r="A68" s="23" t="s">
        <v>1322</v>
      </c>
      <c r="B68" s="12" t="n">
        <v>4847.17</v>
      </c>
      <c r="C68" s="12" t="n">
        <v>30724.64</v>
      </c>
      <c r="D68" s="12" t="n">
        <v>2634.91</v>
      </c>
      <c r="E68" s="12" t="n">
        <v>2624.16</v>
      </c>
      <c r="F68" s="12" t="n">
        <v>2207.77</v>
      </c>
      <c r="G68" s="12" t="n">
        <v>2215.29</v>
      </c>
      <c r="H68" s="12" t="n">
        <v>1907.84</v>
      </c>
      <c r="I68" s="12" t="n">
        <v>1885.04</v>
      </c>
      <c r="J68" s="64" t="n">
        <v>1796</v>
      </c>
      <c r="K68" s="64" t="n">
        <v>1844</v>
      </c>
      <c r="L68" s="64" t="n">
        <v>1844</v>
      </c>
      <c r="M68" s="64" t="n">
        <v>1844</v>
      </c>
      <c r="N68" s="12" t="n">
        <f aca="false">SUM(B68:M68)</f>
        <v>56374.82</v>
      </c>
      <c r="O68" s="24" t="str">
        <f aca="false">IFERROR(N68/N$16,"")</f>
        <v/>
      </c>
      <c r="P68" s="12"/>
      <c r="Q68" s="12"/>
      <c r="R68" s="75"/>
      <c r="S68" s="75"/>
      <c r="T68" s="75"/>
      <c r="U68" s="75" t="n">
        <v>2282.28975095774</v>
      </c>
      <c r="V68" s="75" t="n">
        <v>2282.28975095774</v>
      </c>
      <c r="W68" s="75" t="n">
        <v>2282.28975095774</v>
      </c>
      <c r="X68" s="75" t="n">
        <v>2282.28975095774</v>
      </c>
      <c r="Y68" s="75" t="n">
        <v>2282.28975095774</v>
      </c>
      <c r="Z68" s="75" t="n">
        <v>2282.28975095774</v>
      </c>
      <c r="AA68" s="75" t="n">
        <v>2282.28975095774</v>
      </c>
      <c r="AB68" s="75" t="n">
        <v>2282.28975095774</v>
      </c>
      <c r="AC68" s="75" t="n">
        <v>2282.28975095774</v>
      </c>
      <c r="AD68" s="75" t="n">
        <v>2350.75844348647</v>
      </c>
      <c r="AE68" s="75" t="n">
        <v>2350.75844348647</v>
      </c>
      <c r="AF68" s="75" t="n">
        <v>2350.75844348647</v>
      </c>
      <c r="AG68" s="12" t="n">
        <f aca="false">SUM(U68:AF68)</f>
        <v>27592.8830890791</v>
      </c>
      <c r="AH68" s="24" t="str">
        <f aca="false">IFERROR(AG68/AG$16,"")</f>
        <v/>
      </c>
      <c r="AI68" s="9"/>
      <c r="AJ68" s="12" t="n">
        <f aca="false">N68-AG68</f>
        <v>28781.9369109209</v>
      </c>
    </row>
    <row r="69" customFormat="false" ht="13.5" hidden="false" customHeight="true" outlineLevel="0" collapsed="false">
      <c r="A69" s="23" t="s">
        <v>1323</v>
      </c>
      <c r="B69" s="12" t="n">
        <v>-3426.05</v>
      </c>
      <c r="C69" s="12" t="n">
        <v>1939.53</v>
      </c>
      <c r="D69" s="12" t="n">
        <v>6037.99</v>
      </c>
      <c r="E69" s="12" t="n">
        <v>6694.27</v>
      </c>
      <c r="F69" s="12" t="n">
        <v>5034.09</v>
      </c>
      <c r="G69" s="12" t="n">
        <v>5883.1</v>
      </c>
      <c r="H69" s="12" t="n">
        <v>1906.75</v>
      </c>
      <c r="I69" s="12" t="n">
        <v>5215.08</v>
      </c>
      <c r="J69" s="64" t="n">
        <v>4490</v>
      </c>
      <c r="K69" s="64" t="n">
        <v>4610</v>
      </c>
      <c r="L69" s="64" t="n">
        <v>4610</v>
      </c>
      <c r="M69" s="64" t="n">
        <v>4610</v>
      </c>
      <c r="N69" s="12" t="n">
        <f aca="false">SUM(B69:M69)</f>
        <v>47604.76</v>
      </c>
      <c r="O69" s="24" t="str">
        <f aca="false">IFERROR(N69/N$16,"")</f>
        <v/>
      </c>
      <c r="P69" s="12"/>
      <c r="Q69" s="12"/>
      <c r="R69" s="75"/>
      <c r="S69" s="75"/>
      <c r="T69" s="75"/>
      <c r="U69" s="75" t="n">
        <v>5204.0076694578</v>
      </c>
      <c r="V69" s="75" t="n">
        <v>5204.0076694578</v>
      </c>
      <c r="W69" s="75" t="n">
        <v>5204.0076694578</v>
      </c>
      <c r="X69" s="75" t="n">
        <v>5204.0076694578</v>
      </c>
      <c r="Y69" s="75" t="n">
        <v>5204.0076694578</v>
      </c>
      <c r="Z69" s="75" t="n">
        <v>5204.0076694578</v>
      </c>
      <c r="AA69" s="75" t="n">
        <v>5204.0076694578</v>
      </c>
      <c r="AB69" s="75" t="n">
        <v>5204.0076694578</v>
      </c>
      <c r="AC69" s="75" t="n">
        <v>5204.0076694578</v>
      </c>
      <c r="AD69" s="75" t="n">
        <v>5360.12789954154</v>
      </c>
      <c r="AE69" s="75" t="n">
        <v>5360.12789954154</v>
      </c>
      <c r="AF69" s="75" t="n">
        <v>5360.12789954154</v>
      </c>
      <c r="AG69" s="12" t="n">
        <f aca="false">SUM(U69:AF69)</f>
        <v>62916.4527237448</v>
      </c>
      <c r="AH69" s="24" t="str">
        <f aca="false">IFERROR(AG69/AG$16,"")</f>
        <v/>
      </c>
      <c r="AI69" s="9"/>
      <c r="AJ69" s="12" t="n">
        <f aca="false">N69-AG69</f>
        <v>-15311.6927237448</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57116.27</v>
      </c>
      <c r="C73" s="27" t="n">
        <f aca="false">SUM(C67:C72)</f>
        <v>60318.56</v>
      </c>
      <c r="D73" s="27" t="n">
        <f aca="false">SUM(D67:D72)</f>
        <v>70175.18</v>
      </c>
      <c r="E73" s="27" t="n">
        <f aca="false">SUM(E67:E72)</f>
        <v>64634.01</v>
      </c>
      <c r="F73" s="27" t="n">
        <f aca="false">SUM(F67:F72)</f>
        <v>49524.51</v>
      </c>
      <c r="G73" s="27" t="n">
        <f aca="false">SUM(G67:G72)</f>
        <v>51124.09</v>
      </c>
      <c r="H73" s="27" t="n">
        <f aca="false">SUM(H67:H72)</f>
        <v>36681.47</v>
      </c>
      <c r="I73" s="27" t="n">
        <f aca="false">SUM(I67:I72)</f>
        <v>38643.86</v>
      </c>
      <c r="J73" s="27" t="n">
        <f aca="false">SUM(J67:J72)</f>
        <v>51186</v>
      </c>
      <c r="K73" s="27" t="n">
        <f aca="false">SUM(K67:K72)</f>
        <v>52554</v>
      </c>
      <c r="L73" s="27" t="n">
        <f aca="false">SUM(L67:L72)</f>
        <v>52554</v>
      </c>
      <c r="M73" s="27" t="n">
        <f aca="false">SUM(M67:M72)</f>
        <v>52554</v>
      </c>
      <c r="N73" s="27" t="n">
        <f aca="false">SUM(B73:M73)</f>
        <v>637065.95</v>
      </c>
      <c r="O73" s="28" t="str">
        <f aca="false">IFERROR(N73/N$16,"")</f>
        <v/>
      </c>
      <c r="P73" s="12"/>
      <c r="Q73" s="12"/>
      <c r="R73" s="63"/>
      <c r="S73" s="63"/>
      <c r="T73" s="63"/>
      <c r="U73" s="27" t="n">
        <f aca="false">SUM(U67:U72)</f>
        <v>51196.1307537488</v>
      </c>
      <c r="V73" s="27" t="n">
        <f aca="false">SUM(V67:V72)</f>
        <v>51196.1307537488</v>
      </c>
      <c r="W73" s="27" t="n">
        <f aca="false">SUM(W67:W72)</f>
        <v>51196.1307537488</v>
      </c>
      <c r="X73" s="27" t="n">
        <f aca="false">SUM(X67:X72)</f>
        <v>51196.1307537488</v>
      </c>
      <c r="Y73" s="27" t="n">
        <f aca="false">SUM(Y67:Y72)</f>
        <v>51196.1307537488</v>
      </c>
      <c r="Z73" s="27" t="n">
        <f aca="false">SUM(Z67:Z72)</f>
        <v>51196.1307537488</v>
      </c>
      <c r="AA73" s="27" t="n">
        <f aca="false">SUM(AA67:AA72)</f>
        <v>51196.1307537488</v>
      </c>
      <c r="AB73" s="27" t="n">
        <f aca="false">SUM(AB67:AB72)</f>
        <v>51196.1307537488</v>
      </c>
      <c r="AC73" s="27" t="n">
        <f aca="false">SUM(AC67:AC72)</f>
        <v>51196.1307537488</v>
      </c>
      <c r="AD73" s="27" t="n">
        <f aca="false">SUM(AD67:AD72)</f>
        <v>52732.0146763613</v>
      </c>
      <c r="AE73" s="27" t="n">
        <f aca="false">SUM(AE67:AE72)</f>
        <v>52732.0146763613</v>
      </c>
      <c r="AF73" s="27" t="n">
        <f aca="false">SUM(AF67:AF72)</f>
        <v>52732.0146763613</v>
      </c>
      <c r="AG73" s="27" t="n">
        <f aca="false">SUM(U73:AF73)</f>
        <v>618961.220812824</v>
      </c>
      <c r="AH73" s="28" t="str">
        <f aca="false">IFERROR(AG73/AG$16,"")</f>
        <v/>
      </c>
      <c r="AI73" s="9"/>
      <c r="AJ73" s="27" t="n">
        <f aca="false">N73-AG73</f>
        <v>18104.7291871764</v>
      </c>
    </row>
    <row r="74" customFormat="false" ht="13.5" hidden="false" customHeight="true" outlineLevel="0" collapsed="false">
      <c r="A74" s="23" t="s">
        <v>1328</v>
      </c>
      <c r="B74" s="12" t="n">
        <v>1863.53</v>
      </c>
      <c r="C74" s="12" t="n">
        <v>2554.72</v>
      </c>
      <c r="D74" s="12" t="n">
        <v>31.98</v>
      </c>
      <c r="E74" s="12" t="n">
        <v>0</v>
      </c>
      <c r="F74" s="12" t="n">
        <v>1310.87</v>
      </c>
      <c r="G74" s="12" t="n">
        <v>1236.79</v>
      </c>
      <c r="H74" s="12" t="n">
        <v>0</v>
      </c>
      <c r="I74" s="12" t="n">
        <v>630.22</v>
      </c>
      <c r="J74" s="64" t="n">
        <v>1500</v>
      </c>
      <c r="K74" s="64" t="n">
        <v>1500</v>
      </c>
      <c r="L74" s="64" t="n">
        <v>1500</v>
      </c>
      <c r="M74" s="64" t="n">
        <v>1500</v>
      </c>
      <c r="N74" s="12" t="n">
        <f aca="false">SUM(B74:M74)</f>
        <v>13628.11</v>
      </c>
      <c r="O74" s="24" t="str">
        <f aca="false">IFERROR(N74/N$16,"")</f>
        <v/>
      </c>
      <c r="P74" s="12"/>
      <c r="Q74" s="12"/>
      <c r="R74" s="60" t="s">
        <v>1397</v>
      </c>
      <c r="S74" s="61" t="n">
        <v>0</v>
      </c>
      <c r="T74" s="62" t="n">
        <v>0.05</v>
      </c>
      <c r="U74" s="59" t="n">
        <f aca="false">IF($R74="Manual","",IFERROR(IF($R74="YOY Growth",$N74*(1+$T74)/12,$S74/12),""))</f>
        <v>0</v>
      </c>
      <c r="V74" s="59" t="n">
        <f aca="false">IF($R74="Manual","",IFERROR(IF($R74="YOY Growth",$N74*(1+$T74)/12,$S74/12),""))</f>
        <v>0</v>
      </c>
      <c r="W74" s="59" t="n">
        <f aca="false">IF($R74="Manual","",IFERROR(IF($R74="YOY Growth",$N74*(1+$T74)/12,$S74/12),""))</f>
        <v>0</v>
      </c>
      <c r="X74" s="59" t="n">
        <f aca="false">IF($R74="Manual","",IFERROR(IF($R74="YOY Growth",$N74*(1+$T74)/12,$S74/12),""))</f>
        <v>0</v>
      </c>
      <c r="Y74" s="59" t="n">
        <f aca="false">IF($R74="Manual","",IFERROR(IF($R74="YOY Growth",$N74*(1+$T74)/12,$S74/12),""))</f>
        <v>0</v>
      </c>
      <c r="Z74" s="59" t="n">
        <f aca="false">IF($R74="Manual","",IFERROR(IF($R74="YOY Growth",$N74*(1+$T74)/12,$S74/12),""))</f>
        <v>0</v>
      </c>
      <c r="AA74" s="59" t="n">
        <f aca="false">IF($R74="Manual","",IFERROR(IF($R74="YOY Growth",$N74*(1+$T74)/12,$S74/12),""))</f>
        <v>0</v>
      </c>
      <c r="AB74" s="59" t="n">
        <f aca="false">IF($R74="Manual","",IFERROR(IF($R74="YOY Growth",$N74*(1+$T74)/12,$S74/12),""))</f>
        <v>0</v>
      </c>
      <c r="AC74" s="59" t="n">
        <f aca="false">IF($R74="Manual","",IFERROR(IF($R74="YOY Growth",$N74*(1+$T74)/12,$S74/12),""))</f>
        <v>0</v>
      </c>
      <c r="AD74" s="59" t="n">
        <f aca="false">IF($R74="Manual","",IFERROR(IF($R74="YOY Growth",$N74*(1+$T74)/12,$S74/12),""))</f>
        <v>0</v>
      </c>
      <c r="AE74" s="59" t="n">
        <f aca="false">IF($R74="Manual","",IFERROR(IF($R74="YOY Growth",$N74*(1+$T74)/12,$S74/12),""))</f>
        <v>0</v>
      </c>
      <c r="AF74" s="59" t="n">
        <f aca="false">IF($R74="Manual","",IFERROR(IF($R74="YOY Growth",$N74*(1+$T74)/12,$S74/12),""))</f>
        <v>0</v>
      </c>
      <c r="AG74" s="12" t="n">
        <f aca="false">SUM(U74:AF74)</f>
        <v>0</v>
      </c>
      <c r="AH74" s="24" t="str">
        <f aca="false">IFERROR(AG74/AG$16,"")</f>
        <v/>
      </c>
      <c r="AI74" s="9"/>
      <c r="AJ74" s="12" t="n">
        <f aca="false">N74-AG74</f>
        <v>13628.11</v>
      </c>
    </row>
    <row r="75" customFormat="false" ht="13.5" hidden="false" customHeight="true" outlineLevel="0" collapsed="false">
      <c r="A75" s="23" t="s">
        <v>1329</v>
      </c>
      <c r="B75" s="12" t="n">
        <v>387.38</v>
      </c>
      <c r="C75" s="12" t="n">
        <v>218.65</v>
      </c>
      <c r="D75" s="12" t="n">
        <v>0</v>
      </c>
      <c r="E75" s="12" t="n">
        <v>0</v>
      </c>
      <c r="F75" s="12" t="n">
        <v>0</v>
      </c>
      <c r="G75" s="12" t="n">
        <v>0</v>
      </c>
      <c r="H75" s="12" t="n">
        <v>0</v>
      </c>
      <c r="I75" s="12" t="n">
        <v>78.42</v>
      </c>
      <c r="J75" s="64" t="n">
        <v>300</v>
      </c>
      <c r="K75" s="64" t="n">
        <v>300</v>
      </c>
      <c r="L75" s="64" t="n">
        <v>300</v>
      </c>
      <c r="M75" s="64" t="n">
        <v>300</v>
      </c>
      <c r="N75" s="12" t="n">
        <f aca="false">SUM(B75:M75)</f>
        <v>1884.45</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1884.45</v>
      </c>
    </row>
    <row r="76" customFormat="false" ht="13.5" hidden="false" customHeight="true" outlineLevel="0" collapsed="false">
      <c r="A76" s="23" t="s">
        <v>1330</v>
      </c>
      <c r="B76" s="12" t="n">
        <v>0</v>
      </c>
      <c r="C76" s="12" t="n">
        <v>0</v>
      </c>
      <c r="D76" s="12" t="n">
        <v>99.85</v>
      </c>
      <c r="E76" s="12" t="n">
        <v>0</v>
      </c>
      <c r="F76" s="12" t="n">
        <v>55.11</v>
      </c>
      <c r="G76" s="12" t="n">
        <v>0</v>
      </c>
      <c r="H76" s="12" t="n">
        <v>0</v>
      </c>
      <c r="I76" s="12" t="n">
        <v>0</v>
      </c>
      <c r="J76" s="64" t="n">
        <v>0</v>
      </c>
      <c r="K76" s="64" t="n">
        <v>0</v>
      </c>
      <c r="L76" s="64" t="n">
        <v>0</v>
      </c>
      <c r="M76" s="64" t="n">
        <v>0</v>
      </c>
      <c r="N76" s="12" t="n">
        <f aca="false">SUM(B76:M76)</f>
        <v>154.96</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154.96</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871.4</v>
      </c>
      <c r="E79" s="12" t="n">
        <v>37</v>
      </c>
      <c r="F79" s="12" t="n">
        <v>0</v>
      </c>
      <c r="G79" s="12" t="n">
        <v>0</v>
      </c>
      <c r="H79" s="12" t="n">
        <v>0</v>
      </c>
      <c r="I79" s="12" t="n">
        <v>0</v>
      </c>
      <c r="J79" s="64" t="n">
        <v>0</v>
      </c>
      <c r="K79" s="64" t="n">
        <v>0</v>
      </c>
      <c r="L79" s="64" t="n">
        <v>0</v>
      </c>
      <c r="M79" s="64" t="n">
        <v>0</v>
      </c>
      <c r="N79" s="12" t="n">
        <f aca="false">SUM(B79:M79)</f>
        <v>908.4</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908.4</v>
      </c>
    </row>
    <row r="80" customFormat="false" ht="13.5" hidden="false" customHeight="true" outlineLevel="0" collapsed="false">
      <c r="A80" s="23" t="s">
        <v>1334</v>
      </c>
      <c r="B80" s="12" t="n">
        <v>0</v>
      </c>
      <c r="C80" s="12" t="n">
        <v>145.88</v>
      </c>
      <c r="D80" s="12" t="n">
        <v>115.89</v>
      </c>
      <c r="E80" s="12" t="n">
        <v>15.89</v>
      </c>
      <c r="F80" s="12" t="n">
        <v>0</v>
      </c>
      <c r="G80" s="12" t="n">
        <v>0</v>
      </c>
      <c r="H80" s="12" t="n">
        <v>0</v>
      </c>
      <c r="I80" s="12" t="n">
        <v>0</v>
      </c>
      <c r="J80" s="64" t="n">
        <v>60</v>
      </c>
      <c r="K80" s="64" t="n">
        <v>60</v>
      </c>
      <c r="L80" s="64" t="n">
        <v>60</v>
      </c>
      <c r="M80" s="64" t="n">
        <v>60</v>
      </c>
      <c r="N80" s="12" t="n">
        <f aca="false">SUM(B80:M80)</f>
        <v>517.66</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517.66</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1716.81</v>
      </c>
      <c r="C83" s="12" t="n">
        <v>1639.89</v>
      </c>
      <c r="D83" s="12" t="n">
        <v>654.95</v>
      </c>
      <c r="E83" s="12" t="n">
        <v>0</v>
      </c>
      <c r="F83" s="12" t="n">
        <v>596.5</v>
      </c>
      <c r="G83" s="12" t="n">
        <v>1755.52</v>
      </c>
      <c r="H83" s="12" t="n">
        <v>728.5</v>
      </c>
      <c r="I83" s="12" t="n">
        <v>0</v>
      </c>
      <c r="J83" s="64" t="n">
        <v>1500</v>
      </c>
      <c r="K83" s="64" t="n">
        <v>1500</v>
      </c>
      <c r="L83" s="64" t="n">
        <v>3000</v>
      </c>
      <c r="M83" s="64" t="n">
        <v>1500</v>
      </c>
      <c r="N83" s="12" t="n">
        <f aca="false">SUM(B83:M83)</f>
        <v>14592.17</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14592.17</v>
      </c>
    </row>
    <row r="84" customFormat="false" ht="13.5" hidden="false" customHeight="true" outlineLevel="0" collapsed="false">
      <c r="A84" s="23" t="s">
        <v>1338</v>
      </c>
      <c r="B84" s="12" t="n">
        <v>153.63</v>
      </c>
      <c r="C84" s="12" t="n">
        <v>1867.65</v>
      </c>
      <c r="D84" s="12" t="n">
        <v>0</v>
      </c>
      <c r="E84" s="12" t="n">
        <v>0</v>
      </c>
      <c r="F84" s="12" t="n">
        <v>901.61</v>
      </c>
      <c r="G84" s="12" t="n">
        <v>0</v>
      </c>
      <c r="H84" s="12" t="n">
        <v>270.05</v>
      </c>
      <c r="I84" s="12" t="n">
        <v>0</v>
      </c>
      <c r="J84" s="64" t="n">
        <v>600</v>
      </c>
      <c r="K84" s="64" t="n">
        <v>600</v>
      </c>
      <c r="L84" s="64" t="n">
        <v>600</v>
      </c>
      <c r="M84" s="64" t="n">
        <v>600</v>
      </c>
      <c r="N84" s="12" t="n">
        <f aca="false">SUM(B84:M84)</f>
        <v>5592.94</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5592.94</v>
      </c>
    </row>
    <row r="85" customFormat="false" ht="13.5" hidden="false" customHeight="true" outlineLevel="0" collapsed="false">
      <c r="A85" s="23" t="s">
        <v>1339</v>
      </c>
      <c r="B85" s="12" t="n">
        <v>1067.24</v>
      </c>
      <c r="C85" s="12" t="n">
        <v>1869.08</v>
      </c>
      <c r="D85" s="12" t="n">
        <v>325.9</v>
      </c>
      <c r="E85" s="12" t="n">
        <v>0</v>
      </c>
      <c r="F85" s="12" t="n">
        <v>549.11</v>
      </c>
      <c r="G85" s="12" t="n">
        <v>721.44</v>
      </c>
      <c r="H85" s="12" t="n">
        <v>1816.86</v>
      </c>
      <c r="I85" s="12" t="n">
        <v>0</v>
      </c>
      <c r="J85" s="64" t="n">
        <v>1000</v>
      </c>
      <c r="K85" s="64" t="n">
        <v>1000</v>
      </c>
      <c r="L85" s="64" t="n">
        <v>2500</v>
      </c>
      <c r="M85" s="64" t="n">
        <v>1000</v>
      </c>
      <c r="N85" s="12" t="n">
        <f aca="false">SUM(B85:M85)</f>
        <v>11849.63</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11849.63</v>
      </c>
    </row>
    <row r="86" customFormat="false" ht="13.5" hidden="false" customHeight="true" outlineLevel="0" collapsed="false">
      <c r="A86" s="23" t="s">
        <v>1340</v>
      </c>
      <c r="B86" s="12" t="n">
        <v>143.34</v>
      </c>
      <c r="C86" s="12" t="n">
        <v>172.71</v>
      </c>
      <c r="D86" s="12" t="n">
        <v>160.18</v>
      </c>
      <c r="E86" s="12" t="n">
        <v>0</v>
      </c>
      <c r="F86" s="12" t="n">
        <v>235.48</v>
      </c>
      <c r="G86" s="12" t="n">
        <v>241.47</v>
      </c>
      <c r="H86" s="12" t="n">
        <v>169.9</v>
      </c>
      <c r="I86" s="12" t="n">
        <v>0</v>
      </c>
      <c r="J86" s="64" t="n">
        <v>200</v>
      </c>
      <c r="K86" s="64" t="n">
        <v>200</v>
      </c>
      <c r="L86" s="64" t="n">
        <v>500</v>
      </c>
      <c r="M86" s="64" t="n">
        <v>200</v>
      </c>
      <c r="N86" s="12" t="n">
        <f aca="false">SUM(B86:M86)</f>
        <v>2223.08</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2223.08</v>
      </c>
    </row>
    <row r="87" customFormat="false" ht="13.5" hidden="false" customHeight="true" outlineLevel="0" collapsed="false">
      <c r="A87" s="26" t="s">
        <v>1341</v>
      </c>
      <c r="B87" s="27" t="n">
        <f aca="false">SUM(B82:B86)</f>
        <v>3081.02</v>
      </c>
      <c r="C87" s="27" t="n">
        <f aca="false">SUM(C82:C86)</f>
        <v>5549.33</v>
      </c>
      <c r="D87" s="27" t="n">
        <f aca="false">SUM(D82:D86)</f>
        <v>1141.03</v>
      </c>
      <c r="E87" s="27" t="n">
        <f aca="false">SUM(E82:E86)</f>
        <v>0</v>
      </c>
      <c r="F87" s="27" t="n">
        <f aca="false">SUM(F82:F86)</f>
        <v>2282.7</v>
      </c>
      <c r="G87" s="27" t="n">
        <f aca="false">SUM(G82:G86)</f>
        <v>2718.43</v>
      </c>
      <c r="H87" s="27" t="n">
        <f aca="false">SUM(H82:H86)</f>
        <v>2985.31</v>
      </c>
      <c r="I87" s="27" t="n">
        <f aca="false">SUM(I82:I86)</f>
        <v>0</v>
      </c>
      <c r="J87" s="27" t="n">
        <f aca="false">SUM(J82:J86)</f>
        <v>3300</v>
      </c>
      <c r="K87" s="27" t="n">
        <f aca="false">SUM(K82:K86)</f>
        <v>3300</v>
      </c>
      <c r="L87" s="27" t="n">
        <f aca="false">SUM(L82:L86)</f>
        <v>6600</v>
      </c>
      <c r="M87" s="27" t="n">
        <f aca="false">SUM(M82:M86)</f>
        <v>3300</v>
      </c>
      <c r="N87" s="27" t="n">
        <f aca="false">SUM(B87:M87)</f>
        <v>34257.82</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34257.82</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1346</v>
      </c>
      <c r="B92" s="12" t="n">
        <v>0</v>
      </c>
      <c r="C92" s="12" t="n">
        <v>0</v>
      </c>
      <c r="D92" s="12" t="n">
        <v>1496.61</v>
      </c>
      <c r="E92" s="12" t="n">
        <v>2182.05</v>
      </c>
      <c r="F92" s="12" t="n">
        <v>0</v>
      </c>
      <c r="G92" s="12" t="n">
        <v>144.85</v>
      </c>
      <c r="H92" s="12" t="n">
        <v>0</v>
      </c>
      <c r="I92" s="12" t="n">
        <v>14.99</v>
      </c>
      <c r="J92" s="64" t="n">
        <v>0</v>
      </c>
      <c r="K92" s="64" t="n">
        <v>0</v>
      </c>
      <c r="L92" s="64" t="n">
        <v>0</v>
      </c>
      <c r="M92" s="64" t="n">
        <v>0</v>
      </c>
      <c r="N92" s="12" t="n">
        <f aca="false">SUM(B92:M92)</f>
        <v>3838.5</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3838.5</v>
      </c>
    </row>
    <row r="93" customFormat="false" ht="13.5" hidden="false" customHeight="true" outlineLevel="0" collapsed="false">
      <c r="A93" s="23" t="s">
        <v>1347</v>
      </c>
      <c r="B93" s="12" t="n">
        <v>322.8</v>
      </c>
      <c r="C93" s="12" t="n">
        <v>870.98</v>
      </c>
      <c r="D93" s="12" t="n">
        <v>946.56</v>
      </c>
      <c r="E93" s="12" t="n">
        <v>2409.75</v>
      </c>
      <c r="F93" s="12" t="n">
        <v>5233.37</v>
      </c>
      <c r="G93" s="12" t="n">
        <v>0</v>
      </c>
      <c r="H93" s="12" t="n">
        <v>0</v>
      </c>
      <c r="I93" s="12" t="n">
        <v>0</v>
      </c>
      <c r="J93" s="64" t="n">
        <v>400</v>
      </c>
      <c r="K93" s="64" t="n">
        <v>4600</v>
      </c>
      <c r="L93" s="64" t="n">
        <v>4600</v>
      </c>
      <c r="M93" s="64" t="n">
        <v>4600</v>
      </c>
      <c r="N93" s="12" t="n">
        <f aca="false">SUM(B93:M93)</f>
        <v>23983.46</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23983.46</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1185.22</v>
      </c>
      <c r="C95" s="12" t="n">
        <v>2325.33</v>
      </c>
      <c r="D95" s="12" t="n">
        <v>2677.76</v>
      </c>
      <c r="E95" s="12" t="n">
        <v>2564.29</v>
      </c>
      <c r="F95" s="12" t="n">
        <v>174.86</v>
      </c>
      <c r="G95" s="12" t="n">
        <v>6.23</v>
      </c>
      <c r="H95" s="12" t="n">
        <v>0</v>
      </c>
      <c r="I95" s="12" t="n">
        <v>0</v>
      </c>
      <c r="J95" s="64" t="n">
        <v>1800</v>
      </c>
      <c r="K95" s="64" t="n">
        <v>1800</v>
      </c>
      <c r="L95" s="64" t="n">
        <v>1800</v>
      </c>
      <c r="M95" s="64" t="n">
        <v>1800</v>
      </c>
      <c r="N95" s="12" t="n">
        <f aca="false">SUM(B95:M95)</f>
        <v>16133.69</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16133.69</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0</v>
      </c>
      <c r="C99" s="12" t="n">
        <v>153.73</v>
      </c>
      <c r="D99" s="12" t="n">
        <v>40</v>
      </c>
      <c r="E99" s="12" t="n">
        <v>0</v>
      </c>
      <c r="F99" s="12" t="n">
        <v>0</v>
      </c>
      <c r="G99" s="12" t="n">
        <v>0</v>
      </c>
      <c r="H99" s="12" t="n">
        <v>0</v>
      </c>
      <c r="I99" s="12" t="n">
        <v>0</v>
      </c>
      <c r="J99" s="64" t="n">
        <v>60</v>
      </c>
      <c r="K99" s="64" t="n">
        <v>60</v>
      </c>
      <c r="L99" s="64" t="n">
        <v>60</v>
      </c>
      <c r="M99" s="64" t="n">
        <v>60</v>
      </c>
      <c r="N99" s="12" t="n">
        <f aca="false">SUM(B99:M99)</f>
        <v>433.73</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433.73</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0</v>
      </c>
      <c r="D102" s="12" t="n">
        <v>0</v>
      </c>
      <c r="E102" s="12" t="n">
        <v>36.2</v>
      </c>
      <c r="F102" s="12" t="n">
        <v>0</v>
      </c>
      <c r="G102" s="12" t="n">
        <v>0</v>
      </c>
      <c r="H102" s="12" t="n">
        <v>0</v>
      </c>
      <c r="I102" s="12" t="n">
        <v>0</v>
      </c>
      <c r="J102" s="64" t="n">
        <v>0</v>
      </c>
      <c r="K102" s="64" t="n">
        <v>0</v>
      </c>
      <c r="L102" s="64" t="n">
        <v>0</v>
      </c>
      <c r="M102" s="64" t="n">
        <v>0</v>
      </c>
      <c r="N102" s="12" t="n">
        <f aca="false">SUM(B102:M102)</f>
        <v>36.2</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36.2</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297.52</v>
      </c>
      <c r="H104" s="12" t="n">
        <v>0</v>
      </c>
      <c r="I104" s="12" t="n">
        <v>0</v>
      </c>
      <c r="J104" s="64" t="n">
        <v>0</v>
      </c>
      <c r="K104" s="64" t="n">
        <v>0</v>
      </c>
      <c r="L104" s="64" t="n">
        <v>0</v>
      </c>
      <c r="M104" s="64" t="n">
        <v>0</v>
      </c>
      <c r="N104" s="12" t="n">
        <f aca="false">SUM(B104:M104)</f>
        <v>297.52</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297.52</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1353.84</v>
      </c>
      <c r="C106" s="12" t="n">
        <v>5023.49</v>
      </c>
      <c r="D106" s="12" t="n">
        <v>4997.13</v>
      </c>
      <c r="E106" s="12" t="n">
        <v>633.36</v>
      </c>
      <c r="F106" s="12" t="n">
        <v>526.42</v>
      </c>
      <c r="G106" s="12" t="n">
        <v>0</v>
      </c>
      <c r="H106" s="12" t="n">
        <v>150</v>
      </c>
      <c r="I106" s="12" t="n">
        <v>2590.92</v>
      </c>
      <c r="J106" s="64" t="n">
        <v>2000</v>
      </c>
      <c r="K106" s="64" t="n">
        <v>4500</v>
      </c>
      <c r="L106" s="64" t="n">
        <v>4500</v>
      </c>
      <c r="M106" s="64" t="n">
        <v>4500</v>
      </c>
      <c r="N106" s="12" t="n">
        <f aca="false">SUM(B106:M106)</f>
        <v>30775.16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30775.16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30.03</v>
      </c>
      <c r="H114" s="12" t="n">
        <v>0</v>
      </c>
      <c r="I114" s="12" t="n">
        <v>0</v>
      </c>
      <c r="J114" s="64" t="n">
        <v>0</v>
      </c>
      <c r="K114" s="64" t="n">
        <v>0</v>
      </c>
      <c r="L114" s="64" t="n">
        <v>0</v>
      </c>
      <c r="M114" s="64" t="n">
        <v>0</v>
      </c>
      <c r="N114" s="12" t="n">
        <f aca="false">SUM(B114:M114)</f>
        <v>30.03</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30.03</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65310.06</v>
      </c>
      <c r="C116" s="27" t="n">
        <f aca="false">C73+SUM(C74:C80)+C87+SUM(C88:C115)</f>
        <v>77160.67</v>
      </c>
      <c r="D116" s="27" t="n">
        <f aca="false">D73+SUM(D74:D80)+D87+SUM(D88:D115)</f>
        <v>82593.39</v>
      </c>
      <c r="E116" s="27" t="n">
        <f aca="false">E73+SUM(E74:E80)+E87+SUM(E88:E115)</f>
        <v>72512.55</v>
      </c>
      <c r="F116" s="27" t="n">
        <f aca="false">F73+SUM(F74:F80)+F87+SUM(F88:F115)</f>
        <v>59107.84</v>
      </c>
      <c r="G116" s="27" t="n">
        <f aca="false">G73+SUM(G74:G80)+G87+SUM(G88:G115)</f>
        <v>55557.94</v>
      </c>
      <c r="H116" s="27" t="n">
        <f aca="false">H73+SUM(H74:H80)+H87+SUM(H88:H115)</f>
        <v>39816.78</v>
      </c>
      <c r="I116" s="27" t="n">
        <f aca="false">I73+SUM(I74:I80)+I87+SUM(I88:I115)</f>
        <v>41958.41</v>
      </c>
      <c r="J116" s="27" t="n">
        <f aca="false">J73+SUM(J74:J80)+J87+SUM(J88:J115)</f>
        <v>60606</v>
      </c>
      <c r="K116" s="27" t="n">
        <f aca="false">K73+SUM(K74:K80)+K87+SUM(K88:K115)</f>
        <v>68674</v>
      </c>
      <c r="L116" s="27" t="n">
        <f aca="false">L73+SUM(L74:L80)+L87+SUM(L88:L115)</f>
        <v>71974</v>
      </c>
      <c r="M116" s="27" t="n">
        <f aca="false">M73+SUM(M74:M80)+M87+SUM(M88:M115)</f>
        <v>68674</v>
      </c>
      <c r="N116" s="27" t="n">
        <f aca="false">SUM(B116:M116)</f>
        <v>763945.64</v>
      </c>
      <c r="O116" s="28" t="str">
        <f aca="false">IFERROR(N116/N$16,"")</f>
        <v/>
      </c>
      <c r="P116" s="12"/>
      <c r="Q116" s="12"/>
      <c r="R116" s="63"/>
      <c r="S116" s="63"/>
      <c r="T116" s="63"/>
      <c r="U116" s="27" t="n">
        <f aca="false">U73+SUM(U74:U80)+U87+SUM(U88:U115)</f>
        <v>51196.1307537488</v>
      </c>
      <c r="V116" s="27" t="n">
        <f aca="false">V73+SUM(V74:V80)+V87+SUM(V88:V115)</f>
        <v>51196.1307537488</v>
      </c>
      <c r="W116" s="27" t="n">
        <f aca="false">W73+SUM(W74:W80)+W87+SUM(W88:W115)</f>
        <v>51196.1307537488</v>
      </c>
      <c r="X116" s="27" t="n">
        <f aca="false">X73+SUM(X74:X80)+X87+SUM(X88:X115)</f>
        <v>51196.1307537488</v>
      </c>
      <c r="Y116" s="27" t="n">
        <f aca="false">Y73+SUM(Y74:Y80)+Y87+SUM(Y88:Y115)</f>
        <v>51196.1307537488</v>
      </c>
      <c r="Z116" s="27" t="n">
        <f aca="false">Z73+SUM(Z74:Z80)+Z87+SUM(Z88:Z115)</f>
        <v>51196.1307537488</v>
      </c>
      <c r="AA116" s="27" t="n">
        <f aca="false">AA73+SUM(AA74:AA80)+AA87+SUM(AA88:AA115)</f>
        <v>51196.1307537488</v>
      </c>
      <c r="AB116" s="27" t="n">
        <f aca="false">AB73+SUM(AB74:AB80)+AB87+SUM(AB88:AB115)</f>
        <v>51196.1307537488</v>
      </c>
      <c r="AC116" s="27" t="n">
        <f aca="false">AC73+SUM(AC74:AC80)+AC87+SUM(AC88:AC115)</f>
        <v>51196.1307537488</v>
      </c>
      <c r="AD116" s="27" t="n">
        <f aca="false">AD73+SUM(AD74:AD80)+AD87+SUM(AD88:AD115)</f>
        <v>52732.0146763613</v>
      </c>
      <c r="AE116" s="27" t="n">
        <f aca="false">AE73+SUM(AE74:AE80)+AE87+SUM(AE88:AE115)</f>
        <v>52732.0146763613</v>
      </c>
      <c r="AF116" s="27" t="n">
        <f aca="false">AF73+SUM(AF74:AF80)+AF87+SUM(AF88:AF115)</f>
        <v>52732.0146763613</v>
      </c>
      <c r="AG116" s="27" t="n">
        <f aca="false">SUM(U116:AF116)</f>
        <v>618961.220812824</v>
      </c>
      <c r="AH116" s="28" t="str">
        <f aca="false">IFERROR(AG116/AG$16,"")</f>
        <v/>
      </c>
      <c r="AI116" s="9"/>
      <c r="AJ116" s="27" t="n">
        <f aca="false">N116-AG116</f>
        <v>144984.419187177</v>
      </c>
    </row>
    <row r="117" customFormat="false" ht="13.5" hidden="false" customHeight="true" outlineLevel="0" collapsed="false">
      <c r="A117" s="41" t="s">
        <v>1371</v>
      </c>
      <c r="B117" s="27" t="n">
        <f aca="false">B64-B116</f>
        <v>-66311.7</v>
      </c>
      <c r="C117" s="27" t="n">
        <f aca="false">C64-C116</f>
        <v>-81047.03</v>
      </c>
      <c r="D117" s="27" t="n">
        <f aca="false">D64-D116</f>
        <v>-82593.39</v>
      </c>
      <c r="E117" s="27" t="n">
        <f aca="false">E64-E116</f>
        <v>-72770.3</v>
      </c>
      <c r="F117" s="27" t="n">
        <f aca="false">F64-F116</f>
        <v>-59276.92</v>
      </c>
      <c r="G117" s="27" t="n">
        <f aca="false">G64-G116</f>
        <v>-57071.11</v>
      </c>
      <c r="H117" s="27" t="n">
        <f aca="false">H64-H116</f>
        <v>-40910.75</v>
      </c>
      <c r="I117" s="27" t="n">
        <f aca="false">I64-I116</f>
        <v>-43030.73</v>
      </c>
      <c r="J117" s="27" t="n">
        <f aca="false">J64-J116</f>
        <v>-60606</v>
      </c>
      <c r="K117" s="27" t="n">
        <f aca="false">K64-K116</f>
        <v>-68674</v>
      </c>
      <c r="L117" s="27" t="n">
        <f aca="false">L64-L116</f>
        <v>-71974</v>
      </c>
      <c r="M117" s="27" t="n">
        <f aca="false">M64-M116</f>
        <v>-68674</v>
      </c>
      <c r="N117" s="27" t="n">
        <f aca="false">SUM(B117:M117)</f>
        <v>-772939.93</v>
      </c>
      <c r="O117" s="28" t="str">
        <f aca="false">IFERROR(N117/N$16,"")</f>
        <v/>
      </c>
      <c r="P117" s="12"/>
      <c r="Q117" s="12"/>
      <c r="R117" s="63"/>
      <c r="S117" s="63"/>
      <c r="T117" s="63"/>
      <c r="U117" s="27" t="n">
        <f aca="false">U64-U116</f>
        <v>-51196.1307537488</v>
      </c>
      <c r="V117" s="27" t="n">
        <f aca="false">V64-V116</f>
        <v>-51196.1307537488</v>
      </c>
      <c r="W117" s="27" t="n">
        <f aca="false">W64-W116</f>
        <v>-51196.1307537488</v>
      </c>
      <c r="X117" s="27" t="n">
        <f aca="false">X64-X116</f>
        <v>-51196.1307537488</v>
      </c>
      <c r="Y117" s="27" t="n">
        <f aca="false">Y64-Y116</f>
        <v>-51196.1307537488</v>
      </c>
      <c r="Z117" s="27" t="n">
        <f aca="false">Z64-Z116</f>
        <v>-51196.1307537488</v>
      </c>
      <c r="AA117" s="27" t="n">
        <f aca="false">AA64-AA116</f>
        <v>-51196.1307537488</v>
      </c>
      <c r="AB117" s="27" t="n">
        <f aca="false">AB64-AB116</f>
        <v>-51196.1307537488</v>
      </c>
      <c r="AC117" s="27" t="n">
        <f aca="false">AC64-AC116</f>
        <v>-51196.1307537488</v>
      </c>
      <c r="AD117" s="27" t="n">
        <f aca="false">AD64-AD116</f>
        <v>-52732.0146763613</v>
      </c>
      <c r="AE117" s="27" t="n">
        <f aca="false">AE64-AE116</f>
        <v>-52732.0146763613</v>
      </c>
      <c r="AF117" s="27" t="n">
        <f aca="false">AF64-AF116</f>
        <v>-52732.0146763613</v>
      </c>
      <c r="AG117" s="27" t="n">
        <f aca="false">SUM(U117:AF117)</f>
        <v>-618961.220812824</v>
      </c>
      <c r="AH117" s="28" t="str">
        <f aca="false">IFERROR(AG117/AG$16,"")</f>
        <v/>
      </c>
      <c r="AI117" s="9"/>
      <c r="AJ117" s="27" t="n">
        <f aca="false">AG117-N117</f>
        <v>153978.709187176</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-66311.7</v>
      </c>
      <c r="C132" s="71" t="n">
        <f aca="false">C117+C131</f>
        <v>-81047.03</v>
      </c>
      <c r="D132" s="71" t="n">
        <f aca="false">D117+D131</f>
        <v>-82593.39</v>
      </c>
      <c r="E132" s="71" t="n">
        <f aca="false">E117+E131</f>
        <v>-72770.3</v>
      </c>
      <c r="F132" s="71" t="n">
        <f aca="false">F117+F131</f>
        <v>-59276.92</v>
      </c>
      <c r="G132" s="71" t="n">
        <f aca="false">G117+G131</f>
        <v>-57071.11</v>
      </c>
      <c r="H132" s="71" t="n">
        <f aca="false">H117+H131</f>
        <v>-40910.75</v>
      </c>
      <c r="I132" s="71" t="n">
        <f aca="false">I117+I131</f>
        <v>-43030.73</v>
      </c>
      <c r="J132" s="71" t="n">
        <f aca="false">J117+J131</f>
        <v>-60606</v>
      </c>
      <c r="K132" s="71" t="n">
        <f aca="false">K117+K131</f>
        <v>-68674</v>
      </c>
      <c r="L132" s="71" t="n">
        <f aca="false">L117+L131</f>
        <v>-71974</v>
      </c>
      <c r="M132" s="71" t="n">
        <f aca="false">M117+M131</f>
        <v>-68674</v>
      </c>
      <c r="N132" s="71" t="n">
        <f aca="false">SUM(B132:M132)</f>
        <v>-772939.93</v>
      </c>
      <c r="O132" s="72" t="str">
        <f aca="false">IFERROR(N132/N$16,"")</f>
        <v/>
      </c>
      <c r="P132" s="12"/>
      <c r="Q132" s="12"/>
      <c r="R132" s="63"/>
      <c r="S132" s="63"/>
      <c r="T132" s="63"/>
      <c r="U132" s="71" t="n">
        <f aca="false">U117+U131</f>
        <v>-51196.1307537488</v>
      </c>
      <c r="V132" s="71" t="n">
        <f aca="false">V117+V131</f>
        <v>-51196.1307537488</v>
      </c>
      <c r="W132" s="71" t="n">
        <f aca="false">W117+W131</f>
        <v>-51196.1307537488</v>
      </c>
      <c r="X132" s="71" t="n">
        <f aca="false">X117+X131</f>
        <v>-51196.1307537488</v>
      </c>
      <c r="Y132" s="71" t="n">
        <f aca="false">Y117+Y131</f>
        <v>-51196.1307537488</v>
      </c>
      <c r="Z132" s="71" t="n">
        <f aca="false">Z117+Z131</f>
        <v>-51196.1307537488</v>
      </c>
      <c r="AA132" s="71" t="n">
        <f aca="false">AA117+AA131</f>
        <v>-51196.1307537488</v>
      </c>
      <c r="AB132" s="71" t="n">
        <f aca="false">AB117+AB131</f>
        <v>-51196.1307537488</v>
      </c>
      <c r="AC132" s="71" t="n">
        <f aca="false">AC117+AC131</f>
        <v>-51196.1307537488</v>
      </c>
      <c r="AD132" s="71" t="n">
        <f aca="false">AD117+AD131</f>
        <v>-52732.0146763613</v>
      </c>
      <c r="AE132" s="71" t="n">
        <f aca="false">AE117+AE131</f>
        <v>-52732.0146763613</v>
      </c>
      <c r="AF132" s="71" t="n">
        <f aca="false">AF117+AF131</f>
        <v>-52732.0146763613</v>
      </c>
      <c r="AG132" s="71" t="n">
        <f aca="false">SUM(U132:AF132)</f>
        <v>-618961.220812824</v>
      </c>
      <c r="AH132" s="72" t="str">
        <f aca="false">IFERROR(AG132/AG$16,"")</f>
        <v/>
      </c>
      <c r="AI132" s="9"/>
      <c r="AJ132" s="71" t="n">
        <f aca="false">AG132-N132</f>
        <v>153978.709187176</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55695.15</v>
      </c>
      <c r="C137" s="12" t="n">
        <f aca="false">SUMIF($A$9:$A$132,"*"&amp;$A137&amp;"*",C$9:C$132)</f>
        <v>27654.39</v>
      </c>
      <c r="D137" s="12" t="n">
        <f aca="false">SUMIF($A$9:$A$132,"*"&amp;$A137&amp;"*",D$9:D$132)</f>
        <v>61502.28</v>
      </c>
      <c r="E137" s="12" t="n">
        <f aca="false">SUMIF($A$9:$A$132,"*"&amp;$A137&amp;"*",E$9:E$132)</f>
        <v>55315.58</v>
      </c>
      <c r="F137" s="12" t="n">
        <f aca="false">SUMIF($A$9:$A$132,"*"&amp;$A137&amp;"*",F$9:F$132)</f>
        <v>42282.65</v>
      </c>
      <c r="G137" s="12" t="n">
        <f aca="false">SUMIF($A$9:$A$132,"*"&amp;$A137&amp;"*",G$9:G$132)</f>
        <v>43025.7</v>
      </c>
      <c r="H137" s="12" t="n">
        <f aca="false">SUMIF($A$9:$A$132,"*"&amp;$A137&amp;"*",H$9:H$132)</f>
        <v>32866.88</v>
      </c>
      <c r="I137" s="12" t="n">
        <f aca="false">SUMIF($A$9:$A$132,"*"&amp;$A137&amp;"*",I$9:I$132)</f>
        <v>31543.74</v>
      </c>
      <c r="J137" s="12" t="n">
        <f aca="false">SUMIF($A$9:$A$132,"*"&amp;$A137&amp;"*",J$9:J$132)</f>
        <v>44900</v>
      </c>
      <c r="K137" s="12" t="n">
        <f aca="false">SUMIF($A$9:$A$132,"*"&amp;$A137&amp;"*",K$9:K$132)</f>
        <v>46100</v>
      </c>
      <c r="L137" s="12" t="n">
        <f aca="false">SUMIF($A$9:$A$132,"*"&amp;$A137&amp;"*",L$9:L$132)</f>
        <v>46100</v>
      </c>
      <c r="M137" s="12" t="n">
        <f aca="false">SUMIF($A$9:$A$132,"*"&amp;$A137&amp;"*",M$9:M$132)</f>
        <v>46100</v>
      </c>
      <c r="N137" s="12" t="n">
        <f aca="false">SUMIF($A$9:$A$132,"*"&amp;$A137&amp;"*",N$9:N$132)</f>
        <v>533086.37</v>
      </c>
      <c r="O137" s="24"/>
      <c r="P137" s="9"/>
      <c r="Q137" s="9"/>
      <c r="R137" s="63"/>
      <c r="S137" s="63"/>
      <c r="T137" s="63"/>
      <c r="U137" s="12" t="n">
        <f aca="false">SUMIF($A$9:$A$132,"*"&amp;$A137&amp;"*",U$9:U$132)</f>
        <v>43709.8333333333</v>
      </c>
      <c r="V137" s="12" t="n">
        <f aca="false">SUMIF($A$9:$A$132,"*"&amp;$A137&amp;"*",V$9:V$132)</f>
        <v>43709.8333333333</v>
      </c>
      <c r="W137" s="12" t="n">
        <f aca="false">SUMIF($A$9:$A$132,"*"&amp;$A137&amp;"*",W$9:W$132)</f>
        <v>43709.8333333333</v>
      </c>
      <c r="X137" s="12" t="n">
        <f aca="false">SUMIF($A$9:$A$132,"*"&amp;$A137&amp;"*",X$9:X$132)</f>
        <v>43709.8333333333</v>
      </c>
      <c r="Y137" s="12" t="n">
        <f aca="false">SUMIF($A$9:$A$132,"*"&amp;$A137&amp;"*",Y$9:Y$132)</f>
        <v>43709.8333333333</v>
      </c>
      <c r="Z137" s="12" t="n">
        <f aca="false">SUMIF($A$9:$A$132,"*"&amp;$A137&amp;"*",Z$9:Z$132)</f>
        <v>43709.8333333333</v>
      </c>
      <c r="AA137" s="12" t="n">
        <f aca="false">SUMIF($A$9:$A$132,"*"&amp;$A137&amp;"*",AA$9:AA$132)</f>
        <v>43709.8333333333</v>
      </c>
      <c r="AB137" s="12" t="n">
        <f aca="false">SUMIF($A$9:$A$132,"*"&amp;$A137&amp;"*",AB$9:AB$132)</f>
        <v>43709.8333333333</v>
      </c>
      <c r="AC137" s="12" t="n">
        <f aca="false">SUMIF($A$9:$A$132,"*"&amp;$A137&amp;"*",AC$9:AC$132)</f>
        <v>43709.8333333333</v>
      </c>
      <c r="AD137" s="12" t="n">
        <f aca="false">SUMIF($A$9:$A$132,"*"&amp;$A137&amp;"*",AD$9:AD$132)</f>
        <v>45021.1283333333</v>
      </c>
      <c r="AE137" s="12" t="n">
        <f aca="false">SUMIF($A$9:$A$132,"*"&amp;$A137&amp;"*",AE$9:AE$132)</f>
        <v>45021.1283333333</v>
      </c>
      <c r="AF137" s="12" t="n">
        <f aca="false">SUMIF($A$9:$A$132,"*"&amp;$A137&amp;"*",AF$9:AF$132)</f>
        <v>45021.1283333333</v>
      </c>
      <c r="AG137" s="12" t="n">
        <f aca="false">SUMIF($A$9:$A$132,"*"&amp;$A137&amp;"*",AG$9:AG$132)</f>
        <v>528451.885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4847.17</v>
      </c>
      <c r="C139" s="12" t="n">
        <f aca="false">SUMIF($A$9:$A$132,"*"&amp;$A139&amp;"*",C$9:C$132)</f>
        <v>30502.16</v>
      </c>
      <c r="D139" s="12" t="n">
        <f aca="false">SUMIF($A$9:$A$132,"*"&amp;$A139&amp;"*",D$9:D$132)</f>
        <v>2634.91</v>
      </c>
      <c r="E139" s="12" t="n">
        <f aca="false">SUMIF($A$9:$A$132,"*"&amp;$A139&amp;"*",E$9:E$132)</f>
        <v>2624.16</v>
      </c>
      <c r="F139" s="12" t="n">
        <f aca="false">SUMIF($A$9:$A$132,"*"&amp;$A139&amp;"*",F$9:F$132)</f>
        <v>2207.77</v>
      </c>
      <c r="G139" s="12" t="n">
        <f aca="false">SUMIF($A$9:$A$132,"*"&amp;$A139&amp;"*",G$9:G$132)</f>
        <v>2215.29</v>
      </c>
      <c r="H139" s="12" t="n">
        <f aca="false">SUMIF($A$9:$A$132,"*"&amp;$A139&amp;"*",H$9:H$132)</f>
        <v>1907.84</v>
      </c>
      <c r="I139" s="12" t="n">
        <f aca="false">SUMIF($A$9:$A$132,"*"&amp;$A139&amp;"*",I$9:I$132)</f>
        <v>1885.04</v>
      </c>
      <c r="J139" s="12" t="n">
        <f aca="false">SUMIF($A$9:$A$132,"*"&amp;$A139&amp;"*",J$9:J$132)</f>
        <v>1796</v>
      </c>
      <c r="K139" s="12" t="n">
        <f aca="false">SUMIF($A$9:$A$132,"*"&amp;$A139&amp;"*",K$9:K$132)</f>
        <v>1844</v>
      </c>
      <c r="L139" s="12" t="n">
        <f aca="false">SUMIF($A$9:$A$132,"*"&amp;$A139&amp;"*",L$9:L$132)</f>
        <v>1844</v>
      </c>
      <c r="M139" s="12" t="n">
        <f aca="false">SUMIF($A$9:$A$132,"*"&amp;$A139&amp;"*",M$9:M$132)</f>
        <v>1844</v>
      </c>
      <c r="N139" s="12" t="n">
        <f aca="false">SUMIF($A$9:$A$132,"*"&amp;$A139&amp;"*",N$9:N$132)</f>
        <v>56152.34</v>
      </c>
      <c r="O139" s="12"/>
      <c r="P139" s="12"/>
      <c r="Q139" s="12"/>
      <c r="R139" s="63"/>
      <c r="S139" s="63"/>
      <c r="T139" s="63"/>
      <c r="U139" s="12" t="n">
        <f aca="false">SUMIF($A$9:$A$132,"*"&amp;$A139&amp;"*",U$9:U$132)</f>
        <v>2282.28975095774</v>
      </c>
      <c r="V139" s="12" t="n">
        <f aca="false">SUMIF($A$9:$A$132,"*"&amp;$A139&amp;"*",V$9:V$132)</f>
        <v>2282.28975095774</v>
      </c>
      <c r="W139" s="12" t="n">
        <f aca="false">SUMIF($A$9:$A$132,"*"&amp;$A139&amp;"*",W$9:W$132)</f>
        <v>2282.28975095774</v>
      </c>
      <c r="X139" s="12" t="n">
        <f aca="false">SUMIF($A$9:$A$132,"*"&amp;$A139&amp;"*",X$9:X$132)</f>
        <v>2282.28975095774</v>
      </c>
      <c r="Y139" s="12" t="n">
        <f aca="false">SUMIF($A$9:$A$132,"*"&amp;$A139&amp;"*",Y$9:Y$132)</f>
        <v>2282.28975095774</v>
      </c>
      <c r="Z139" s="12" t="n">
        <f aca="false">SUMIF($A$9:$A$132,"*"&amp;$A139&amp;"*",Z$9:Z$132)</f>
        <v>2282.28975095774</v>
      </c>
      <c r="AA139" s="12" t="n">
        <f aca="false">SUMIF($A$9:$A$132,"*"&amp;$A139&amp;"*",AA$9:AA$132)</f>
        <v>2282.28975095774</v>
      </c>
      <c r="AB139" s="12" t="n">
        <f aca="false">SUMIF($A$9:$A$132,"*"&amp;$A139&amp;"*",AB$9:AB$132)</f>
        <v>2282.28975095774</v>
      </c>
      <c r="AC139" s="12" t="n">
        <f aca="false">SUMIF($A$9:$A$132,"*"&amp;$A139&amp;"*",AC$9:AC$132)</f>
        <v>2282.28975095774</v>
      </c>
      <c r="AD139" s="12" t="n">
        <f aca="false">SUMIF($A$9:$A$132,"*"&amp;$A139&amp;"*",AD$9:AD$132)</f>
        <v>2350.75844348647</v>
      </c>
      <c r="AE139" s="12" t="n">
        <f aca="false">SUMIF($A$9:$A$132,"*"&amp;$A139&amp;"*",AE$9:AE$132)</f>
        <v>2350.75844348647</v>
      </c>
      <c r="AF139" s="12" t="n">
        <f aca="false">SUMIF($A$9:$A$132,"*"&amp;$A139&amp;"*",AF$9:AF$132)</f>
        <v>2350.75844348647</v>
      </c>
      <c r="AG139" s="12" t="n">
        <f aca="false">SUMIF($A$9:$A$132,"*"&amp;$A139&amp;"*",AG$9:AG$132)</f>
        <v>27592.8830890791</v>
      </c>
      <c r="AH139" s="12"/>
      <c r="AI139" s="9"/>
      <c r="AJ139" s="12"/>
    </row>
    <row r="140" customFormat="false" ht="13.5" hidden="false" customHeight="true" outlineLevel="0" collapsed="false">
      <c r="A140" s="23" t="s">
        <v>1390</v>
      </c>
      <c r="B140" s="12" t="n">
        <f aca="false">SUMIF($A$9:$A$132,"*"&amp;$A140&amp;"*",B$9:B$132)</f>
        <v>-3426.05</v>
      </c>
      <c r="C140" s="12" t="n">
        <f aca="false">SUMIF($A$9:$A$132,"*"&amp;$A140&amp;"*",C$9:C$132)</f>
        <v>1939.53</v>
      </c>
      <c r="D140" s="12" t="n">
        <f aca="false">SUMIF($A$9:$A$132,"*"&amp;$A140&amp;"*",D$9:D$132)</f>
        <v>6037.99</v>
      </c>
      <c r="E140" s="12" t="n">
        <f aca="false">SUMIF($A$9:$A$132,"*"&amp;$A140&amp;"*",E$9:E$132)</f>
        <v>6694.27</v>
      </c>
      <c r="F140" s="12" t="n">
        <f aca="false">SUMIF($A$9:$A$132,"*"&amp;$A140&amp;"*",F$9:F$132)</f>
        <v>5034.09</v>
      </c>
      <c r="G140" s="12" t="n">
        <f aca="false">SUMIF($A$9:$A$132,"*"&amp;$A140&amp;"*",G$9:G$132)</f>
        <v>5883.1</v>
      </c>
      <c r="H140" s="12" t="n">
        <f aca="false">SUMIF($A$9:$A$132,"*"&amp;$A140&amp;"*",H$9:H$132)</f>
        <v>1906.75</v>
      </c>
      <c r="I140" s="12" t="n">
        <f aca="false">SUMIF($A$9:$A$132,"*"&amp;$A140&amp;"*",I$9:I$132)</f>
        <v>5215.08</v>
      </c>
      <c r="J140" s="12" t="n">
        <f aca="false">SUMIF($A$9:$A$132,"*"&amp;$A140&amp;"*",J$9:J$132)</f>
        <v>4490</v>
      </c>
      <c r="K140" s="12" t="n">
        <f aca="false">SUMIF($A$9:$A$132,"*"&amp;$A140&amp;"*",K$9:K$132)</f>
        <v>4610</v>
      </c>
      <c r="L140" s="12" t="n">
        <f aca="false">SUMIF($A$9:$A$132,"*"&amp;$A140&amp;"*",L$9:L$132)</f>
        <v>4610</v>
      </c>
      <c r="M140" s="12" t="n">
        <f aca="false">SUMIF($A$9:$A$132,"*"&amp;$A140&amp;"*",M$9:M$132)</f>
        <v>4610</v>
      </c>
      <c r="N140" s="12" t="n">
        <f aca="false">SUMIF($A$9:$A$132,"*"&amp;$A140&amp;"*",N$9:N$132)</f>
        <v>47604.76</v>
      </c>
      <c r="O140" s="12"/>
      <c r="P140" s="12"/>
      <c r="Q140" s="12"/>
      <c r="R140" s="63"/>
      <c r="S140" s="63"/>
      <c r="T140" s="63"/>
      <c r="U140" s="12" t="n">
        <f aca="false">SUMIF($A$9:$A$132,"*"&amp;$A140&amp;"*",U$9:U$132)</f>
        <v>5204.0076694578</v>
      </c>
      <c r="V140" s="12" t="n">
        <f aca="false">SUMIF($A$9:$A$132,"*"&amp;$A140&amp;"*",V$9:V$132)</f>
        <v>5204.0076694578</v>
      </c>
      <c r="W140" s="12" t="n">
        <f aca="false">SUMIF($A$9:$A$132,"*"&amp;$A140&amp;"*",W$9:W$132)</f>
        <v>5204.0076694578</v>
      </c>
      <c r="X140" s="12" t="n">
        <f aca="false">SUMIF($A$9:$A$132,"*"&amp;$A140&amp;"*",X$9:X$132)</f>
        <v>5204.0076694578</v>
      </c>
      <c r="Y140" s="12" t="n">
        <f aca="false">SUMIF($A$9:$A$132,"*"&amp;$A140&amp;"*",Y$9:Y$132)</f>
        <v>5204.0076694578</v>
      </c>
      <c r="Z140" s="12" t="n">
        <f aca="false">SUMIF($A$9:$A$132,"*"&amp;$A140&amp;"*",Z$9:Z$132)</f>
        <v>5204.0076694578</v>
      </c>
      <c r="AA140" s="12" t="n">
        <f aca="false">SUMIF($A$9:$A$132,"*"&amp;$A140&amp;"*",AA$9:AA$132)</f>
        <v>5204.0076694578</v>
      </c>
      <c r="AB140" s="12" t="n">
        <f aca="false">SUMIF($A$9:$A$132,"*"&amp;$A140&amp;"*",AB$9:AB$132)</f>
        <v>5204.0076694578</v>
      </c>
      <c r="AC140" s="12" t="n">
        <f aca="false">SUMIF($A$9:$A$132,"*"&amp;$A140&amp;"*",AC$9:AC$132)</f>
        <v>5204.0076694578</v>
      </c>
      <c r="AD140" s="12" t="n">
        <f aca="false">SUMIF($A$9:$A$132,"*"&amp;$A140&amp;"*",AD$9:AD$132)</f>
        <v>5360.12789954154</v>
      </c>
      <c r="AE140" s="12" t="n">
        <f aca="false">SUMIF($A$9:$A$132,"*"&amp;$A140&amp;"*",AE$9:AE$132)</f>
        <v>5360.12789954154</v>
      </c>
      <c r="AF140" s="12" t="n">
        <f aca="false">SUMIF($A$9:$A$132,"*"&amp;$A140&amp;"*",AF$9:AF$132)</f>
        <v>5360.12789954154</v>
      </c>
      <c r="AG140" s="12" t="n">
        <f aca="false">SUMIF($A$9:$A$132,"*"&amp;$A140&amp;"*",AG$9:AG$132)</f>
        <v>62916.4527237448</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0.0255160458316388</v>
      </c>
      <c r="C142" s="24" t="n">
        <f aca="false">IFERROR(SUM(C139:C140)/SUM(C137:C138),"")</f>
        <v>1.17311175549343</v>
      </c>
      <c r="D142" s="24" t="n">
        <f aca="false">IFERROR(SUM(D139:D140)/SUM(D137:D138),"")</f>
        <v>0.141017536260444</v>
      </c>
      <c r="E142" s="24" t="n">
        <f aca="false">IFERROR(SUM(E139:E140)/SUM(E137:E138),"")</f>
        <v>0.168459410531355</v>
      </c>
      <c r="F142" s="24" t="n">
        <f aca="false">IFERROR(SUM(F139:F140)/SUM(F137:F138),"")</f>
        <v>0.171272614180994</v>
      </c>
      <c r="G142" s="24" t="n">
        <f aca="false">IFERROR(SUM(G139:G140)/SUM(G137:G138),"")</f>
        <v>0.188222155595377</v>
      </c>
      <c r="H142" s="24" t="n">
        <f aca="false">IFERROR(SUM(H139:H140)/SUM(H137:H138),"")</f>
        <v>0.116061822722449</v>
      </c>
      <c r="I142" s="24" t="n">
        <f aca="false">IFERROR(SUM(I139:I140)/SUM(I137:I138),"")</f>
        <v>0.225088084038228</v>
      </c>
      <c r="J142" s="24" t="n">
        <f aca="false">IFERROR(SUM(J139:J140)/SUM(J137:J138),"")</f>
        <v>0.14</v>
      </c>
      <c r="K142" s="24" t="n">
        <f aca="false">IFERROR(SUM(K139:K140)/SUM(K137:K138),"")</f>
        <v>0.14</v>
      </c>
      <c r="L142" s="24" t="n">
        <f aca="false">IFERROR(SUM(L139:L140)/SUM(L137:L138),"")</f>
        <v>0.14</v>
      </c>
      <c r="M142" s="24" t="n">
        <f aca="false">IFERROR(SUM(M139:M140)/SUM(M137:M138),"")</f>
        <v>0.14</v>
      </c>
      <c r="N142" s="24" t="n">
        <f aca="false">IFERROR(SUM(N139:N140)/SUM(N137:N138),"")</f>
        <v>0.194634689309352</v>
      </c>
      <c r="O142" s="24"/>
      <c r="P142" s="24"/>
      <c r="Q142" s="24"/>
      <c r="R142" s="63"/>
      <c r="S142" s="63"/>
      <c r="T142" s="63"/>
      <c r="U142" s="24" t="n">
        <f aca="false">IFERROR(SUM(U139:U140)/SUM(U137:U138),"")</f>
        <v>0.171272614180994</v>
      </c>
      <c r="V142" s="24" t="n">
        <f aca="false">IFERROR(SUM(V139:V140)/SUM(V137:V138),"")</f>
        <v>0.171272614180994</v>
      </c>
      <c r="W142" s="24" t="n">
        <f aca="false">IFERROR(SUM(W139:W140)/SUM(W137:W138),"")</f>
        <v>0.171272614180994</v>
      </c>
      <c r="X142" s="24" t="n">
        <f aca="false">IFERROR(SUM(X139:X140)/SUM(X137:X138),"")</f>
        <v>0.171272614180994</v>
      </c>
      <c r="Y142" s="24" t="n">
        <f aca="false">IFERROR(SUM(Y139:Y140)/SUM(Y137:Y138),"")</f>
        <v>0.171272614180994</v>
      </c>
      <c r="Z142" s="24" t="n">
        <f aca="false">IFERROR(SUM(Z139:Z140)/SUM(Z137:Z138),"")</f>
        <v>0.171272614180994</v>
      </c>
      <c r="AA142" s="24" t="n">
        <f aca="false">IFERROR(SUM(AA139:AA140)/SUM(AA137:AA138),"")</f>
        <v>0.171272614180994</v>
      </c>
      <c r="AB142" s="24" t="n">
        <f aca="false">IFERROR(SUM(AB139:AB140)/SUM(AB137:AB138),"")</f>
        <v>0.171272614180994</v>
      </c>
      <c r="AC142" s="24" t="n">
        <f aca="false">IFERROR(SUM(AC139:AC140)/SUM(AC137:AC138),"")</f>
        <v>0.171272614180994</v>
      </c>
      <c r="AD142" s="24" t="n">
        <f aca="false">IFERROR(SUM(AD139:AD140)/SUM(AD137:AD138),"")</f>
        <v>0.171272614180994</v>
      </c>
      <c r="AE142" s="24" t="n">
        <f aca="false">IFERROR(SUM(AE139:AE140)/SUM(AE137:AE138),"")</f>
        <v>0.171272614180994</v>
      </c>
      <c r="AF142" s="24" t="n">
        <f aca="false">IFERROR(SUM(AF139:AF140)/SUM(AF137:AF138),"")</f>
        <v>0.171272614180994</v>
      </c>
      <c r="AG142" s="24" t="n">
        <f aca="false">IFERROR(SUM(AG139:AG140)/SUM(AG137:AG138),"")</f>
        <v>0.171272614180994</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12.6328125" defaultRowHeight="15" zeroHeight="false" outlineLevelRow="0" outlineLevelCol="1"/>
  <cols>
    <col collapsed="false" customWidth="true" hidden="false" outlineLevel="0" max="1" min="1" style="6" width="47.88"/>
    <col collapsed="false" customWidth="true" hidden="false" outlineLevel="1" max="13" min="2" style="6" width="9.88"/>
    <col collapsed="false" customWidth="true" hidden="false" outlineLevel="0" max="14" min="14" style="6" width="12.5"/>
    <col collapsed="false" customWidth="true" hidden="false" outlineLevel="0" max="15" min="15" style="6" width="11.12"/>
    <col collapsed="false" customWidth="true" hidden="false" outlineLevel="0" max="17" min="16" style="6" width="6.63"/>
    <col collapsed="false" customWidth="true" hidden="false" outlineLevel="0" max="18" min="18" style="6" width="13.13"/>
    <col collapsed="false" customWidth="true" hidden="false" outlineLevel="0" max="19" min="19" style="6" width="12"/>
    <col collapsed="false" customWidth="true" hidden="false" outlineLevel="0" max="20" min="20" style="6" width="11.12"/>
    <col collapsed="false" customWidth="true" hidden="false" outlineLevel="1" max="32" min="21" style="6" width="9.88"/>
    <col collapsed="false" customWidth="true" hidden="false" outlineLevel="0" max="33" min="33" style="6" width="12.5"/>
    <col collapsed="false" customWidth="true" hidden="false" outlineLevel="0" max="34" min="34" style="6" width="11.12"/>
    <col collapsed="false" customWidth="true" hidden="false" outlineLevel="0" max="35" min="35" style="6" width="6.51"/>
    <col collapsed="false" customWidth="true" hidden="false" outlineLevel="0" max="36" min="36" style="6" width="11.5"/>
  </cols>
  <sheetData>
    <row r="1" customFormat="false" ht="13.5" hidden="false" customHeight="true" outlineLevel="0" collapsed="false">
      <c r="A1" s="54" t="s">
        <v>1417</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0</v>
      </c>
      <c r="C28" s="12" t="n">
        <v>0</v>
      </c>
      <c r="D28" s="12" t="n">
        <v>0</v>
      </c>
      <c r="E28" s="12" t="n">
        <v>1312.33</v>
      </c>
      <c r="F28" s="12" t="n">
        <v>0</v>
      </c>
      <c r="G28" s="12" t="n">
        <v>0</v>
      </c>
      <c r="H28" s="12" t="n">
        <v>0</v>
      </c>
      <c r="I28" s="12" t="n">
        <v>0</v>
      </c>
      <c r="J28" s="64" t="n">
        <v>0</v>
      </c>
      <c r="K28" s="64" t="n">
        <v>0</v>
      </c>
      <c r="L28" s="64" t="n">
        <v>0</v>
      </c>
      <c r="M28" s="64" t="n">
        <v>0</v>
      </c>
      <c r="N28" s="12" t="n">
        <f aca="false">SUM(B28:M28)</f>
        <v>1312.33</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1312.33</v>
      </c>
    </row>
    <row r="29" customFormat="false" ht="13.5" hidden="false" customHeight="true" outlineLevel="0" collapsed="false">
      <c r="A29" s="23" t="s">
        <v>1284</v>
      </c>
      <c r="B29" s="12" t="n">
        <v>118.63</v>
      </c>
      <c r="C29" s="12" t="n">
        <v>0</v>
      </c>
      <c r="D29" s="12" t="n">
        <v>0</v>
      </c>
      <c r="E29" s="12" t="n">
        <v>0</v>
      </c>
      <c r="F29" s="12" t="n">
        <v>14.38</v>
      </c>
      <c r="G29" s="12" t="n">
        <v>0</v>
      </c>
      <c r="H29" s="12" t="n">
        <v>0</v>
      </c>
      <c r="I29" s="12" t="n">
        <v>0</v>
      </c>
      <c r="J29" s="64" t="n">
        <v>0</v>
      </c>
      <c r="K29" s="64" t="n">
        <v>0</v>
      </c>
      <c r="L29" s="64" t="n">
        <v>0</v>
      </c>
      <c r="M29" s="64" t="n">
        <v>0</v>
      </c>
      <c r="N29" s="12" t="n">
        <f aca="false">SUM(B29:M29)</f>
        <v>133.01</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133.01</v>
      </c>
    </row>
    <row r="30" customFormat="false" ht="13.5" hidden="false" customHeight="true" outlineLevel="0" collapsed="false">
      <c r="A30" s="76" t="s">
        <v>1285</v>
      </c>
      <c r="B30" s="12" t="n">
        <v>6093.31</v>
      </c>
      <c r="C30" s="12" t="n">
        <v>3188.15</v>
      </c>
      <c r="D30" s="12" t="n">
        <v>6516.64</v>
      </c>
      <c r="E30" s="12" t="n">
        <v>4232.23</v>
      </c>
      <c r="F30" s="12" t="n">
        <v>13531.9</v>
      </c>
      <c r="G30" s="12" t="n">
        <v>2938.06</v>
      </c>
      <c r="H30" s="12" t="n">
        <v>3402.48</v>
      </c>
      <c r="I30" s="12" t="n">
        <v>5552.25</v>
      </c>
      <c r="J30" s="64" t="n">
        <v>13000</v>
      </c>
      <c r="K30" s="64" t="n">
        <v>13000</v>
      </c>
      <c r="L30" s="64" t="n">
        <v>9000</v>
      </c>
      <c r="M30" s="64" t="n">
        <v>7000</v>
      </c>
      <c r="N30" s="12" t="n">
        <f aca="false">SUM(B30:M30)</f>
        <v>87455.02</v>
      </c>
      <c r="O30" s="24" t="str">
        <f aca="false">IFERROR(N30/N$16,"")</f>
        <v/>
      </c>
      <c r="P30" s="12"/>
      <c r="Q30" s="12"/>
      <c r="R30" s="60" t="s">
        <v>1398</v>
      </c>
      <c r="S30" s="61" t="n">
        <v>0</v>
      </c>
      <c r="T30" s="62" t="n">
        <v>0.05</v>
      </c>
      <c r="U30" s="65" t="n">
        <f aca="false">'Fld Eng Budget'!B74</f>
        <v>16558.9107880838</v>
      </c>
      <c r="V30" s="65" t="n">
        <f aca="false">'Fld Eng Budget'!C74</f>
        <v>11039.2738587226</v>
      </c>
      <c r="W30" s="65" t="n">
        <f aca="false">'Fld Eng Budget'!D74</f>
        <v>0</v>
      </c>
      <c r="X30" s="65" t="n">
        <f aca="false">'Fld Eng Budget'!E74</f>
        <v>26052.6863065852</v>
      </c>
      <c r="Y30" s="65" t="n">
        <f aca="false">'Fld Eng Budget'!F74</f>
        <v>20533.0493772239</v>
      </c>
      <c r="Z30" s="65" t="n">
        <f aca="false">'Fld Eng Budget'!G74</f>
        <v>30026.8248957253</v>
      </c>
      <c r="AA30" s="65" t="n">
        <f aca="false">'Fld Eng Budget'!H74</f>
        <v>26052.6863065852</v>
      </c>
      <c r="AB30" s="65" t="n">
        <f aca="false">'Fld Eng Budget'!I74</f>
        <v>31572.3232359465</v>
      </c>
      <c r="AC30" s="65" t="n">
        <f aca="false">'Fld Eng Budget'!J74</f>
        <v>41066.0987544479</v>
      </c>
      <c r="AD30" s="65" t="n">
        <f aca="false">'Fld Eng Budget'!K74</f>
        <v>41066.0987544479</v>
      </c>
      <c r="AE30" s="65" t="n">
        <f aca="false">'Fld Eng Budget'!L74</f>
        <v>50559.8742729493</v>
      </c>
      <c r="AF30" s="65" t="n">
        <f aca="false">'Fld Eng Budget'!M74</f>
        <v>52105.3726131704</v>
      </c>
      <c r="AG30" s="12" t="n">
        <f aca="false">SUM(U30:AF30)</f>
        <v>346633.199163888</v>
      </c>
      <c r="AH30" s="24" t="str">
        <f aca="false">IFERROR(AG30/AG$16,"")</f>
        <v/>
      </c>
      <c r="AI30" s="9"/>
      <c r="AJ30" s="12" t="n">
        <f aca="false">N30-AG30</f>
        <v>-259178.179163888</v>
      </c>
    </row>
    <row r="31" customFormat="false" ht="13.5" hidden="false" customHeight="true" outlineLevel="0" collapsed="false">
      <c r="A31" s="76" t="s">
        <v>1286</v>
      </c>
      <c r="B31" s="12" t="n">
        <v>623.1</v>
      </c>
      <c r="C31" s="12" t="n">
        <v>491.08</v>
      </c>
      <c r="D31" s="12" t="n">
        <v>878.77</v>
      </c>
      <c r="E31" s="12" t="n">
        <v>846.11</v>
      </c>
      <c r="F31" s="12" t="n">
        <v>1479.8</v>
      </c>
      <c r="G31" s="12" t="n">
        <v>235.83</v>
      </c>
      <c r="H31" s="12" t="n">
        <v>436.9</v>
      </c>
      <c r="I31" s="12" t="n">
        <v>721.59</v>
      </c>
      <c r="J31" s="64" t="n">
        <v>1400</v>
      </c>
      <c r="K31" s="64" t="n">
        <v>1400</v>
      </c>
      <c r="L31" s="64" t="n">
        <v>1000</v>
      </c>
      <c r="M31" s="64" t="n">
        <v>800</v>
      </c>
      <c r="N31" s="12" t="n">
        <f aca="false">SUM(B31:M31)</f>
        <v>10313.18</v>
      </c>
      <c r="O31" s="24" t="str">
        <f aca="false">IFERROR(N31/N$16,"")</f>
        <v/>
      </c>
      <c r="P31" s="12"/>
      <c r="Q31" s="12"/>
      <c r="R31" s="60" t="s">
        <v>1398</v>
      </c>
      <c r="S31" s="61" t="n">
        <v>0</v>
      </c>
      <c r="T31" s="62" t="n">
        <v>0.05</v>
      </c>
      <c r="U31" s="65" t="n">
        <f aca="false">'Fld Eng Budget'!B75</f>
        <v>2014.99397382093</v>
      </c>
      <c r="V31" s="65" t="n">
        <f aca="false">'Fld Eng Budget'!C75</f>
        <v>1343.32931588062</v>
      </c>
      <c r="W31" s="65" t="n">
        <f aca="false">'Fld Eng Budget'!D75</f>
        <v>0</v>
      </c>
      <c r="X31" s="65" t="n">
        <f aca="false">'Fld Eng Budget'!E75</f>
        <v>3170.25718547827</v>
      </c>
      <c r="Y31" s="65" t="n">
        <f aca="false">'Fld Eng Budget'!F75</f>
        <v>2498.59252753796</v>
      </c>
      <c r="Z31" s="65" t="n">
        <f aca="false">'Fld Eng Budget'!G75</f>
        <v>3653.85573919529</v>
      </c>
      <c r="AA31" s="65" t="n">
        <f aca="false">'Fld Eng Budget'!H75</f>
        <v>3170.25718547827</v>
      </c>
      <c r="AB31" s="65" t="n">
        <f aca="false">'Fld Eng Budget'!I75</f>
        <v>3841.92184341858</v>
      </c>
      <c r="AC31" s="65" t="n">
        <f aca="false">'Fld Eng Budget'!J75</f>
        <v>4997.18505507591</v>
      </c>
      <c r="AD31" s="65" t="n">
        <f aca="false">'Fld Eng Budget'!K75</f>
        <v>4997.18505507591</v>
      </c>
      <c r="AE31" s="65" t="n">
        <f aca="false">'Fld Eng Budget'!L75</f>
        <v>6152.44826673325</v>
      </c>
      <c r="AF31" s="65" t="n">
        <f aca="false">'Fld Eng Budget'!M75</f>
        <v>6340.51437095654</v>
      </c>
      <c r="AG31" s="12" t="n">
        <f aca="false">SUM(U31:AF31)</f>
        <v>42180.5405186515</v>
      </c>
      <c r="AH31" s="24" t="str">
        <f aca="false">IFERROR(AG31/AG$16,"")</f>
        <v/>
      </c>
      <c r="AI31" s="9"/>
      <c r="AJ31" s="12" t="n">
        <f aca="false">N31-AG31</f>
        <v>-31867.3605186515</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0</v>
      </c>
      <c r="E33" s="12" t="n">
        <v>0</v>
      </c>
      <c r="F33" s="12" t="n">
        <v>0</v>
      </c>
      <c r="G33" s="12" t="n">
        <v>0</v>
      </c>
      <c r="H33" s="12" t="n">
        <v>0</v>
      </c>
      <c r="I33" s="12" t="n">
        <v>0</v>
      </c>
      <c r="J33" s="64" t="n">
        <v>0</v>
      </c>
      <c r="K33" s="64" t="n">
        <v>0</v>
      </c>
      <c r="L33" s="64" t="n">
        <v>0</v>
      </c>
      <c r="M33" s="64" t="n">
        <v>0</v>
      </c>
      <c r="N33" s="12" t="n">
        <f aca="false">SUM(B33:M33)</f>
        <v>0</v>
      </c>
      <c r="O33" s="24" t="str">
        <f aca="false">IFERROR(N33/N$16,"")</f>
        <v/>
      </c>
      <c r="P33" s="12"/>
      <c r="Q33" s="12"/>
      <c r="R33" s="63"/>
      <c r="S33" s="63"/>
      <c r="T33" s="63"/>
      <c r="U33" s="66"/>
      <c r="V33" s="66"/>
      <c r="W33" s="66"/>
      <c r="X33" s="66"/>
      <c r="Y33" s="66"/>
      <c r="Z33" s="66"/>
      <c r="AA33" s="66"/>
      <c r="AB33" s="66"/>
      <c r="AC33" s="66"/>
      <c r="AD33" s="66"/>
      <c r="AE33" s="66"/>
      <c r="AF33" s="66"/>
      <c r="AG33" s="12" t="n">
        <f aca="false">SUM(U33:AF33)</f>
        <v>0</v>
      </c>
      <c r="AH33" s="24" t="str">
        <f aca="false">IFERROR(AG33/AG$16,"")</f>
        <v/>
      </c>
      <c r="AI33" s="9"/>
      <c r="AJ33" s="12" t="n">
        <f aca="false">N33-AG33</f>
        <v>0</v>
      </c>
    </row>
    <row r="34" customFormat="false" ht="13.5" hidden="false" customHeight="true" outlineLevel="0" collapsed="false">
      <c r="A34" s="23" t="s">
        <v>1289</v>
      </c>
      <c r="B34" s="12" t="n">
        <v>0</v>
      </c>
      <c r="C34" s="12" t="n">
        <v>0</v>
      </c>
      <c r="D34" s="12" t="n">
        <v>0</v>
      </c>
      <c r="E34" s="12" t="n">
        <v>0</v>
      </c>
      <c r="F34" s="12" t="n">
        <v>0</v>
      </c>
      <c r="G34" s="12" t="n">
        <v>0</v>
      </c>
      <c r="H34" s="12" t="n">
        <v>0</v>
      </c>
      <c r="I34" s="12" t="n">
        <v>0</v>
      </c>
      <c r="J34" s="64" t="n">
        <v>0</v>
      </c>
      <c r="K34" s="64" t="n">
        <v>0</v>
      </c>
      <c r="L34" s="64" t="n">
        <v>0</v>
      </c>
      <c r="M34" s="64" t="n">
        <v>0</v>
      </c>
      <c r="N34" s="12" t="n">
        <f aca="false">SUM(B34:M34)</f>
        <v>0</v>
      </c>
      <c r="O34" s="24" t="str">
        <f aca="false">IFERROR(N34/N$16,"")</f>
        <v/>
      </c>
      <c r="P34" s="12"/>
      <c r="Q34" s="12"/>
      <c r="R34" s="63"/>
      <c r="S34" s="63"/>
      <c r="T34" s="63"/>
      <c r="U34" s="66"/>
      <c r="V34" s="66"/>
      <c r="W34" s="66"/>
      <c r="X34" s="66"/>
      <c r="Y34" s="66"/>
      <c r="Z34" s="66"/>
      <c r="AA34" s="66"/>
      <c r="AB34" s="66"/>
      <c r="AC34" s="66"/>
      <c r="AD34" s="66"/>
      <c r="AE34" s="66"/>
      <c r="AF34" s="66"/>
      <c r="AG34" s="12" t="n">
        <f aca="false">SUM(U34:AF34)</f>
        <v>0</v>
      </c>
      <c r="AH34" s="24" t="str">
        <f aca="false">IFERROR(AG34/AG$16,"")</f>
        <v/>
      </c>
      <c r="AI34" s="9"/>
      <c r="AJ34" s="12" t="n">
        <f aca="false">N34-AG34</f>
        <v>0</v>
      </c>
    </row>
    <row r="35" customFormat="false" ht="13.5" hidden="false" customHeight="true" outlineLevel="0" collapsed="false">
      <c r="A35" s="23" t="s">
        <v>1290</v>
      </c>
      <c r="B35" s="12" t="n">
        <v>0</v>
      </c>
      <c r="C35" s="12" t="n">
        <v>0</v>
      </c>
      <c r="D35" s="12" t="n">
        <v>0</v>
      </c>
      <c r="E35" s="12" t="n">
        <v>0</v>
      </c>
      <c r="F35" s="12" t="n">
        <v>0</v>
      </c>
      <c r="G35" s="12" t="n">
        <v>0</v>
      </c>
      <c r="H35" s="12" t="n">
        <v>0</v>
      </c>
      <c r="I35" s="12" t="n">
        <v>0</v>
      </c>
      <c r="J35" s="64" t="n">
        <v>0</v>
      </c>
      <c r="K35" s="64" t="n">
        <v>0</v>
      </c>
      <c r="L35" s="64" t="n">
        <v>0</v>
      </c>
      <c r="M35" s="64" t="n">
        <v>0</v>
      </c>
      <c r="N35" s="12" t="n">
        <f aca="false">SUM(B35:M35)</f>
        <v>0</v>
      </c>
      <c r="O35" s="24" t="str">
        <f aca="false">IFERROR(N35/N$16,"")</f>
        <v/>
      </c>
      <c r="P35" s="12"/>
      <c r="Q35" s="12"/>
      <c r="R35" s="63"/>
      <c r="S35" s="63"/>
      <c r="T35" s="63"/>
      <c r="U35" s="66"/>
      <c r="V35" s="66"/>
      <c r="W35" s="66"/>
      <c r="X35" s="66"/>
      <c r="Y35" s="66"/>
      <c r="Z35" s="66"/>
      <c r="AA35" s="66"/>
      <c r="AB35" s="66"/>
      <c r="AC35" s="66"/>
      <c r="AD35" s="66"/>
      <c r="AE35" s="66"/>
      <c r="AF35" s="66"/>
      <c r="AG35" s="12" t="n">
        <f aca="false">SUM(U35:AF35)</f>
        <v>0</v>
      </c>
      <c r="AH35" s="24" t="str">
        <f aca="false">IFERROR(AG35/AG$16,"")</f>
        <v/>
      </c>
      <c r="AI35" s="9"/>
      <c r="AJ35" s="12" t="n">
        <f aca="false">N35-AG35</f>
        <v>0</v>
      </c>
    </row>
    <row r="36" customFormat="false" ht="13.5" hidden="false" customHeight="true" outlineLevel="0" collapsed="false">
      <c r="A36" s="26" t="s">
        <v>1291</v>
      </c>
      <c r="B36" s="27" t="n">
        <f aca="false">SUM(B33:B35)</f>
        <v>0</v>
      </c>
      <c r="C36" s="27" t="n">
        <f aca="false">SUM(C33:C35)</f>
        <v>0</v>
      </c>
      <c r="D36" s="27" t="n">
        <f aca="false">SUM(D33:D35)</f>
        <v>0</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0</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0</v>
      </c>
    </row>
    <row r="37" customFormat="false" ht="13.5" hidden="false" customHeight="true" outlineLevel="0" collapsed="false">
      <c r="A37" s="26" t="s">
        <v>1292</v>
      </c>
      <c r="B37" s="27" t="n">
        <f aca="false">B19+B22+B27+B28+B29+B30+B31+B36+B20+B21</f>
        <v>6835.04</v>
      </c>
      <c r="C37" s="27" t="n">
        <f aca="false">C19+C22+C27+C28+C29+C30+C31+C36+C20+C21</f>
        <v>3679.23</v>
      </c>
      <c r="D37" s="27" t="n">
        <f aca="false">D19+D22+D27+D28+D29+D30+D31+D36+D20+D21</f>
        <v>7395.41</v>
      </c>
      <c r="E37" s="27" t="n">
        <f aca="false">E19+E22+E27+E28+E29+E30+E31+E36+E20+E21</f>
        <v>6390.67</v>
      </c>
      <c r="F37" s="27" t="n">
        <f aca="false">F19+F22+F27+F28+F29+F30+F31+F36+F20+F21</f>
        <v>15026.08</v>
      </c>
      <c r="G37" s="27" t="n">
        <f aca="false">G19+G22+G27+G28+G29+G30+G31+G36+G20+G21</f>
        <v>3173.89</v>
      </c>
      <c r="H37" s="27" t="n">
        <f aca="false">H19+H22+H27+H28+H29+H30+H31+H36+H20+H21</f>
        <v>3839.38</v>
      </c>
      <c r="I37" s="27" t="n">
        <f aca="false">I19+I22+I27+I28+I29+I30+I31+I36+I20+I21</f>
        <v>6273.84</v>
      </c>
      <c r="J37" s="27" t="n">
        <f aca="false">J19+J22+J27+J28+J29+J30+J31+J36+J20+J21</f>
        <v>14400</v>
      </c>
      <c r="K37" s="27" t="n">
        <f aca="false">K19+K22+K27+K28+K29+K30+K31+K36+K20+K21</f>
        <v>14400</v>
      </c>
      <c r="L37" s="27" t="n">
        <f aca="false">L19+L22+L27+L28+L29+L30+L31+L36+L20+L21</f>
        <v>10000</v>
      </c>
      <c r="M37" s="27" t="n">
        <f aca="false">M19+M22+M27+M28+M29+M30+M31+M36+M20+M21</f>
        <v>7800</v>
      </c>
      <c r="N37" s="27" t="n">
        <f aca="false">SUM(B37:M37)</f>
        <v>99213.54</v>
      </c>
      <c r="O37" s="28" t="str">
        <f aca="false">IFERROR(N37/N$16,"")</f>
        <v/>
      </c>
      <c r="P37" s="12"/>
      <c r="Q37" s="12"/>
      <c r="R37" s="63"/>
      <c r="S37" s="63"/>
      <c r="T37" s="63"/>
      <c r="U37" s="27" t="n">
        <f aca="false">U19+U22+U27+U28+U29+U30+U31+U36+U20+U21</f>
        <v>18573.9047619048</v>
      </c>
      <c r="V37" s="27" t="n">
        <f aca="false">V19+V22+V27+V28+V29+V30+V31+V36+V20+V21</f>
        <v>12382.6031746032</v>
      </c>
      <c r="W37" s="27" t="n">
        <f aca="false">W19+W22+W27+W28+W29+W30+W31+W36+W20+W21</f>
        <v>0</v>
      </c>
      <c r="X37" s="27" t="n">
        <f aca="false">X19+X22+X27+X28+X29+X30+X31+X36+X20+X21</f>
        <v>29222.9434920635</v>
      </c>
      <c r="Y37" s="27" t="n">
        <f aca="false">Y19+Y22+Y27+Y28+Y29+Y30+Y31+Y36+Y20+Y21</f>
        <v>23031.6419047619</v>
      </c>
      <c r="Z37" s="27" t="n">
        <f aca="false">Z19+Z22+Z27+Z28+Z29+Z30+Z31+Z36+Z20+Z21</f>
        <v>33680.6806349206</v>
      </c>
      <c r="AA37" s="27" t="n">
        <f aca="false">AA19+AA22+AA27+AA28+AA29+AA30+AA31+AA36+AA20+AA21</f>
        <v>29222.9434920635</v>
      </c>
      <c r="AB37" s="27" t="n">
        <f aca="false">AB19+AB22+AB27+AB28+AB29+AB30+AB31+AB36+AB20+AB21</f>
        <v>35414.2450793651</v>
      </c>
      <c r="AC37" s="27" t="n">
        <f aca="false">AC19+AC22+AC27+AC28+AC29+AC30+AC31+AC36+AC20+AC21</f>
        <v>46063.2838095238</v>
      </c>
      <c r="AD37" s="27" t="n">
        <f aca="false">AD19+AD22+AD27+AD28+AD29+AD30+AD31+AD36+AD20+AD21</f>
        <v>46063.2838095238</v>
      </c>
      <c r="AE37" s="27" t="n">
        <f aca="false">AE19+AE22+AE27+AE28+AE29+AE30+AE31+AE36+AE20+AE21</f>
        <v>56712.3225396825</v>
      </c>
      <c r="AF37" s="27" t="n">
        <f aca="false">AF19+AF22+AF27+AF28+AF29+AF30+AF31+AF36+AF20+AF21</f>
        <v>58445.886984127</v>
      </c>
      <c r="AG37" s="27" t="n">
        <f aca="false">SUM(U37:AF37)</f>
        <v>388813.73968254</v>
      </c>
      <c r="AH37" s="28" t="str">
        <f aca="false">IFERROR(AG37/AG$16,"")</f>
        <v/>
      </c>
      <c r="AI37" s="9"/>
      <c r="AJ37" s="27" t="n">
        <f aca="false">N37-AG37</f>
        <v>-289600.19968254</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0</v>
      </c>
      <c r="J39" s="64" t="n">
        <v>0</v>
      </c>
      <c r="K39" s="64" t="n">
        <v>0</v>
      </c>
      <c r="L39" s="64" t="n">
        <v>0</v>
      </c>
      <c r="M39" s="64" t="n">
        <v>0</v>
      </c>
      <c r="N39" s="12" t="n">
        <f aca="false">SUM(B39:M39)</f>
        <v>0</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0</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166.17</v>
      </c>
      <c r="C45" s="12" t="n">
        <v>0</v>
      </c>
      <c r="D45" s="12" t="n">
        <v>0</v>
      </c>
      <c r="E45" s="12" t="n">
        <v>0</v>
      </c>
      <c r="F45" s="12" t="n">
        <v>0</v>
      </c>
      <c r="G45" s="12" t="n">
        <v>0</v>
      </c>
      <c r="H45" s="12" t="n">
        <v>0</v>
      </c>
      <c r="I45" s="12" t="n">
        <v>0</v>
      </c>
      <c r="J45" s="64" t="n">
        <v>0</v>
      </c>
      <c r="K45" s="64" t="n">
        <v>0</v>
      </c>
      <c r="L45" s="64" t="n">
        <v>0</v>
      </c>
      <c r="M45" s="64" t="n">
        <v>0</v>
      </c>
      <c r="N45" s="12" t="n">
        <f aca="false">SUM(B45:M45)</f>
        <v>166.17</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166.17</v>
      </c>
    </row>
    <row r="46" customFormat="false" ht="13.5" hidden="false" customHeight="true" outlineLevel="0" collapsed="false">
      <c r="A46" s="23" t="s">
        <v>1301</v>
      </c>
      <c r="B46" s="12" t="n">
        <v>2183.21</v>
      </c>
      <c r="C46" s="12" t="n">
        <v>1487.15</v>
      </c>
      <c r="D46" s="12" t="n">
        <v>1055.56</v>
      </c>
      <c r="E46" s="12" t="n">
        <v>37.64</v>
      </c>
      <c r="F46" s="12" t="n">
        <v>1945.1</v>
      </c>
      <c r="G46" s="12" t="n">
        <v>359.11</v>
      </c>
      <c r="H46" s="12" t="n">
        <v>-16.62</v>
      </c>
      <c r="I46" s="12" t="n">
        <v>169.57</v>
      </c>
      <c r="J46" s="64" t="n">
        <v>1900</v>
      </c>
      <c r="K46" s="64" t="n">
        <v>1900</v>
      </c>
      <c r="L46" s="64" t="n">
        <v>1900</v>
      </c>
      <c r="M46" s="64" t="n">
        <v>1900</v>
      </c>
      <c r="N46" s="12" t="n">
        <f aca="false">SUM(B46:M46)</f>
        <v>14820.72</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14820.72</v>
      </c>
    </row>
    <row r="47" customFormat="false" ht="13.5" hidden="false" customHeight="true" outlineLevel="0" collapsed="false">
      <c r="A47" s="23" t="s">
        <v>1302</v>
      </c>
      <c r="B47" s="12" t="n">
        <v>245.8</v>
      </c>
      <c r="C47" s="12" t="n">
        <v>0</v>
      </c>
      <c r="D47" s="12" t="n">
        <v>0</v>
      </c>
      <c r="E47" s="12" t="n">
        <v>21.59</v>
      </c>
      <c r="F47" s="12" t="n">
        <v>12.62</v>
      </c>
      <c r="G47" s="12" t="n">
        <v>0</v>
      </c>
      <c r="H47" s="12" t="n">
        <v>0</v>
      </c>
      <c r="I47" s="12" t="n">
        <v>73.45</v>
      </c>
      <c r="J47" s="64" t="n">
        <v>0</v>
      </c>
      <c r="K47" s="64" t="n">
        <v>0</v>
      </c>
      <c r="L47" s="64" t="n">
        <v>0</v>
      </c>
      <c r="M47" s="64" t="n">
        <v>0</v>
      </c>
      <c r="N47" s="12" t="n">
        <f aca="false">SUM(B47:M47)</f>
        <v>353.46</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353.46</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60</v>
      </c>
      <c r="C49" s="12" t="n">
        <v>0</v>
      </c>
      <c r="D49" s="12" t="n">
        <v>281.44</v>
      </c>
      <c r="E49" s="12" t="n">
        <v>302.03</v>
      </c>
      <c r="F49" s="12" t="n">
        <v>0</v>
      </c>
      <c r="G49" s="12" t="n">
        <v>0</v>
      </c>
      <c r="H49" s="12" t="n">
        <v>0</v>
      </c>
      <c r="I49" s="12" t="n">
        <v>471.85</v>
      </c>
      <c r="J49" s="64" t="n">
        <v>0</v>
      </c>
      <c r="K49" s="64" t="n">
        <v>0</v>
      </c>
      <c r="L49" s="64" t="n">
        <v>0</v>
      </c>
      <c r="M49" s="64" t="n">
        <v>0</v>
      </c>
      <c r="N49" s="12" t="n">
        <f aca="false">SUM(B49:M49)</f>
        <v>1115.32</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1115.32</v>
      </c>
    </row>
    <row r="50" customFormat="false" ht="13.5" hidden="false" customHeight="true" outlineLevel="0" collapsed="false">
      <c r="A50" s="23" t="s">
        <v>1305</v>
      </c>
      <c r="B50" s="12" t="n">
        <v>0</v>
      </c>
      <c r="C50" s="12" t="n">
        <v>0</v>
      </c>
      <c r="D50" s="12" t="n">
        <v>160.63</v>
      </c>
      <c r="E50" s="12" t="n">
        <v>0</v>
      </c>
      <c r="F50" s="12" t="n">
        <v>0</v>
      </c>
      <c r="G50" s="12" t="n">
        <v>0</v>
      </c>
      <c r="H50" s="12" t="n">
        <v>0</v>
      </c>
      <c r="I50" s="12" t="n">
        <v>0</v>
      </c>
      <c r="J50" s="64" t="n">
        <v>0</v>
      </c>
      <c r="K50" s="64" t="n">
        <v>0</v>
      </c>
      <c r="L50" s="64" t="n">
        <v>0</v>
      </c>
      <c r="M50" s="64" t="n">
        <v>0</v>
      </c>
      <c r="N50" s="12" t="n">
        <f aca="false">SUM(B50:M50)</f>
        <v>160.63</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160.63</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2655.18</v>
      </c>
      <c r="C56" s="27" t="n">
        <f aca="false">C44+C45+C46+C47+C48+C49+C50+C55</f>
        <v>1487.15</v>
      </c>
      <c r="D56" s="27" t="n">
        <f aca="false">D44+D45+D46+D47+D48+D49+D50+D55</f>
        <v>1497.63</v>
      </c>
      <c r="E56" s="27" t="n">
        <f aca="false">E44+E45+E46+E47+E48+E49+E50+E55</f>
        <v>361.26</v>
      </c>
      <c r="F56" s="27" t="n">
        <f aca="false">F44+F45+F46+F47+F48+F49+F50+F55</f>
        <v>1957.72</v>
      </c>
      <c r="G56" s="27" t="n">
        <f aca="false">G44+G45+G46+G47+G48+G49+G50+G55</f>
        <v>359.11</v>
      </c>
      <c r="H56" s="27" t="n">
        <f aca="false">H44+H45+H46+H47+H48+H49+H50+H55</f>
        <v>-16.62</v>
      </c>
      <c r="I56" s="27" t="n">
        <f aca="false">I44+I45+I46+I47+I48+I49+I50+I55</f>
        <v>714.87</v>
      </c>
      <c r="J56" s="27" t="n">
        <f aca="false">J44+J45+J46+J47+J48+J49+J50+J55</f>
        <v>1900</v>
      </c>
      <c r="K56" s="27" t="n">
        <f aca="false">K44+K45+K46+K47+K48+K49+K50+K55</f>
        <v>1900</v>
      </c>
      <c r="L56" s="27" t="n">
        <f aca="false">L44+L45+L46+L47+L48+L49+L50+L55</f>
        <v>1900</v>
      </c>
      <c r="M56" s="27" t="n">
        <f aca="false">M44+M45+M46+M47+M48+M49+M50+M55</f>
        <v>1900</v>
      </c>
      <c r="N56" s="27" t="n">
        <f aca="false">SUM(B56:M56)</f>
        <v>16616.3</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16616.3</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0</v>
      </c>
      <c r="F58" s="12" t="n">
        <v>0</v>
      </c>
      <c r="G58" s="12" t="n">
        <v>0</v>
      </c>
      <c r="H58" s="12" t="n">
        <v>0</v>
      </c>
      <c r="I58" s="12" t="n">
        <v>93.99</v>
      </c>
      <c r="J58" s="64" t="n">
        <v>0</v>
      </c>
      <c r="K58" s="64" t="n">
        <v>0</v>
      </c>
      <c r="L58" s="64" t="n">
        <v>0</v>
      </c>
      <c r="M58" s="64" t="n">
        <v>0</v>
      </c>
      <c r="N58" s="12" t="n">
        <f aca="false">SUM(B58:M58)</f>
        <v>93.99</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93.99</v>
      </c>
    </row>
    <row r="59" customFormat="false" ht="13.5" hidden="false" customHeight="true" outlineLevel="0" collapsed="false">
      <c r="A59" s="23" t="s">
        <v>1314</v>
      </c>
      <c r="B59" s="12" t="n">
        <v>65</v>
      </c>
      <c r="C59" s="12" t="n">
        <v>0</v>
      </c>
      <c r="D59" s="12" t="n">
        <v>0</v>
      </c>
      <c r="E59" s="12" t="n">
        <v>0</v>
      </c>
      <c r="F59" s="12" t="n">
        <v>0</v>
      </c>
      <c r="G59" s="12" t="n">
        <v>0</v>
      </c>
      <c r="H59" s="12" t="n">
        <v>0</v>
      </c>
      <c r="I59" s="12" t="n">
        <v>0</v>
      </c>
      <c r="J59" s="64" t="n">
        <v>0</v>
      </c>
      <c r="K59" s="64" t="n">
        <v>0</v>
      </c>
      <c r="L59" s="64" t="n">
        <v>0</v>
      </c>
      <c r="M59" s="64" t="n">
        <v>0</v>
      </c>
      <c r="N59" s="12" t="n">
        <f aca="false">SUM(B59:M59)</f>
        <v>65</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65</v>
      </c>
    </row>
    <row r="60" customFormat="false" ht="13.5" hidden="false" customHeight="true" outlineLevel="0" collapsed="false">
      <c r="A60" s="23" t="s">
        <v>1315</v>
      </c>
      <c r="B60" s="12" t="n">
        <v>0</v>
      </c>
      <c r="C60" s="12" t="n">
        <v>0</v>
      </c>
      <c r="D60" s="12" t="n">
        <v>0</v>
      </c>
      <c r="E60" s="12" t="n">
        <v>0</v>
      </c>
      <c r="F60" s="12" t="n">
        <v>0</v>
      </c>
      <c r="G60" s="12" t="n">
        <v>0</v>
      </c>
      <c r="H60" s="12" t="n">
        <v>0</v>
      </c>
      <c r="I60" s="12" t="n">
        <v>0</v>
      </c>
      <c r="J60" s="64" t="n">
        <v>0</v>
      </c>
      <c r="K60" s="64" t="n">
        <v>0</v>
      </c>
      <c r="L60" s="64" t="n">
        <v>0</v>
      </c>
      <c r="M60" s="64" t="n">
        <v>0</v>
      </c>
      <c r="N60" s="12" t="n">
        <f aca="false">SUM(B60:M60)</f>
        <v>0</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0</v>
      </c>
    </row>
    <row r="61" customFormat="false" ht="13.5" hidden="false" customHeight="true" outlineLevel="0" collapsed="false">
      <c r="A61" s="26" t="s">
        <v>1316</v>
      </c>
      <c r="B61" s="32" t="n">
        <f aca="false">SUM(B58:B60)</f>
        <v>65</v>
      </c>
      <c r="C61" s="32" t="n">
        <f aca="false">SUM(C58:C60)</f>
        <v>0</v>
      </c>
      <c r="D61" s="32" t="n">
        <f aca="false">SUM(D58:D60)</f>
        <v>0</v>
      </c>
      <c r="E61" s="32" t="n">
        <f aca="false">SUM(E58:E60)</f>
        <v>0</v>
      </c>
      <c r="F61" s="32" t="n">
        <f aca="false">SUM(F58:F60)</f>
        <v>0</v>
      </c>
      <c r="G61" s="32" t="n">
        <f aca="false">SUM(G58:G60)</f>
        <v>0</v>
      </c>
      <c r="H61" s="32" t="n">
        <f aca="false">SUM(H58:H60)</f>
        <v>0</v>
      </c>
      <c r="I61" s="32" t="n">
        <f aca="false">SUM(I58:I60)</f>
        <v>93.99</v>
      </c>
      <c r="J61" s="32" t="n">
        <f aca="false">SUM(J58:J60)</f>
        <v>0</v>
      </c>
      <c r="K61" s="32" t="n">
        <f aca="false">SUM(K58:K60)</f>
        <v>0</v>
      </c>
      <c r="L61" s="32" t="n">
        <f aca="false">SUM(L58:L60)</f>
        <v>0</v>
      </c>
      <c r="M61" s="32" t="n">
        <f aca="false">SUM(M58:M60)</f>
        <v>0</v>
      </c>
      <c r="N61" s="32" t="n">
        <f aca="false">SUM(B61:M61)</f>
        <v>158.99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158.99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9555.22</v>
      </c>
      <c r="C63" s="27" t="n">
        <f aca="false">C37+C38+C39+C40+C41+C42+C56+C61+C62</f>
        <v>5166.38</v>
      </c>
      <c r="D63" s="27" t="n">
        <f aca="false">D37+D38+D39+D40+D41+D42+D56+D61+D62</f>
        <v>8893.04</v>
      </c>
      <c r="E63" s="27" t="n">
        <f aca="false">E37+E38+E39+E40+E41+E42+E56+E61+E62</f>
        <v>6751.93</v>
      </c>
      <c r="F63" s="27" t="n">
        <f aca="false">F37+F38+F39+F40+F41+F42+F56+F61+F62</f>
        <v>16983.8</v>
      </c>
      <c r="G63" s="27" t="n">
        <f aca="false">G37+G38+G39+G40+G41+G42+G56+G61+G62</f>
        <v>3533</v>
      </c>
      <c r="H63" s="27" t="n">
        <f aca="false">H37+H38+H39+H40+H41+H42+H56+H61+H62</f>
        <v>3822.76</v>
      </c>
      <c r="I63" s="27" t="n">
        <f aca="false">I37+I38+I39+I40+I41+I42+I56+I61+I62</f>
        <v>7082.7</v>
      </c>
      <c r="J63" s="27" t="n">
        <f aca="false">J37+J38+J39+J40+J41+J42+J56+J61+J62</f>
        <v>16300</v>
      </c>
      <c r="K63" s="27" t="n">
        <f aca="false">K37+K38+K39+K40+K41+K42+K56+K61+K62</f>
        <v>16300</v>
      </c>
      <c r="L63" s="27" t="n">
        <f aca="false">L37+L38+L39+L40+L41+L42+L56+L61+L62</f>
        <v>11900</v>
      </c>
      <c r="M63" s="27" t="n">
        <f aca="false">M37+M38+M39+M40+M41+M42+M56+M61+M62</f>
        <v>9700</v>
      </c>
      <c r="N63" s="27" t="n">
        <f aca="false">SUM(B63:M63)</f>
        <v>115988.83</v>
      </c>
      <c r="O63" s="28" t="str">
        <f aca="false">IFERROR(N63/N$16,"")</f>
        <v/>
      </c>
      <c r="P63" s="12"/>
      <c r="Q63" s="12"/>
      <c r="R63" s="63"/>
      <c r="S63" s="63"/>
      <c r="T63" s="63"/>
      <c r="U63" s="27" t="n">
        <f aca="false">U37+U38+U39+U40+U41+U42+U56+U61+U62</f>
        <v>18573.9047619048</v>
      </c>
      <c r="V63" s="27" t="n">
        <f aca="false">V37+V38+V39+V40+V41+V42+V56+V61+V62</f>
        <v>12382.6031746032</v>
      </c>
      <c r="W63" s="27" t="n">
        <f aca="false">W37+W38+W39+W40+W41+W42+W56+W61+W62</f>
        <v>0</v>
      </c>
      <c r="X63" s="27" t="n">
        <f aca="false">X37+X38+X39+X40+X41+X42+X56+X61+X62</f>
        <v>29222.9434920635</v>
      </c>
      <c r="Y63" s="27" t="n">
        <f aca="false">Y37+Y38+Y39+Y40+Y41+Y42+Y56+Y61+Y62</f>
        <v>23031.6419047619</v>
      </c>
      <c r="Z63" s="27" t="n">
        <f aca="false">Z37+Z38+Z39+Z40+Z41+Z42+Z56+Z61+Z62</f>
        <v>33680.6806349206</v>
      </c>
      <c r="AA63" s="27" t="n">
        <f aca="false">AA37+AA38+AA39+AA40+AA41+AA42+AA56+AA61+AA62</f>
        <v>29222.9434920635</v>
      </c>
      <c r="AB63" s="27" t="n">
        <f aca="false">AB37+AB38+AB39+AB40+AB41+AB42+AB56+AB61+AB62</f>
        <v>35414.2450793651</v>
      </c>
      <c r="AC63" s="27" t="n">
        <f aca="false">AC37+AC38+AC39+AC40+AC41+AC42+AC56+AC61+AC62</f>
        <v>46063.2838095238</v>
      </c>
      <c r="AD63" s="27" t="n">
        <f aca="false">AD37+AD38+AD39+AD40+AD41+AD42+AD56+AD61+AD62</f>
        <v>46063.2838095238</v>
      </c>
      <c r="AE63" s="27" t="n">
        <f aca="false">AE37+AE38+AE39+AE40+AE41+AE42+AE56+AE61+AE62</f>
        <v>56712.3225396825</v>
      </c>
      <c r="AF63" s="27" t="n">
        <f aca="false">AF37+AF38+AF39+AF40+AF41+AF42+AF56+AF61+AF62</f>
        <v>58445.886984127</v>
      </c>
      <c r="AG63" s="27" t="n">
        <f aca="false">SUM(U63:AF63)</f>
        <v>388813.73968254</v>
      </c>
      <c r="AH63" s="28" t="str">
        <f aca="false">IFERROR(AG63/AG$16,"")</f>
        <v/>
      </c>
      <c r="AI63" s="9"/>
      <c r="AJ63" s="27" t="n">
        <f aca="false">N63-AG63</f>
        <v>-272824.90968254</v>
      </c>
    </row>
    <row r="64" customFormat="false" ht="13.5" hidden="false" customHeight="true" outlineLevel="0" collapsed="false">
      <c r="A64" s="69" t="s">
        <v>19</v>
      </c>
      <c r="B64" s="27" t="n">
        <f aca="false">B16-B63</f>
        <v>-9555.22</v>
      </c>
      <c r="C64" s="27" t="n">
        <f aca="false">C16-C63</f>
        <v>-5166.38</v>
      </c>
      <c r="D64" s="27" t="n">
        <f aca="false">D16-D63</f>
        <v>-8893.04</v>
      </c>
      <c r="E64" s="27" t="n">
        <f aca="false">E16-E63</f>
        <v>-6751.93</v>
      </c>
      <c r="F64" s="27" t="n">
        <f aca="false">F16-F63</f>
        <v>-16983.8</v>
      </c>
      <c r="G64" s="27" t="n">
        <f aca="false">G16-G63</f>
        <v>-3533</v>
      </c>
      <c r="H64" s="27" t="n">
        <f aca="false">H16-H63</f>
        <v>-3822.76</v>
      </c>
      <c r="I64" s="27" t="n">
        <f aca="false">I16-I63</f>
        <v>-7082.7</v>
      </c>
      <c r="J64" s="27" t="n">
        <f aca="false">J16-J63</f>
        <v>-16300</v>
      </c>
      <c r="K64" s="27" t="n">
        <f aca="false">K16-K63</f>
        <v>-16300</v>
      </c>
      <c r="L64" s="27" t="n">
        <f aca="false">L16-L63</f>
        <v>-11900</v>
      </c>
      <c r="M64" s="27" t="n">
        <f aca="false">M16-M63</f>
        <v>-9700</v>
      </c>
      <c r="N64" s="27" t="n">
        <f aca="false">SUM(B64:M64)</f>
        <v>-115988.83</v>
      </c>
      <c r="O64" s="28" t="str">
        <f aca="false">IFERROR(N64/N$16,"")</f>
        <v/>
      </c>
      <c r="P64" s="12"/>
      <c r="Q64" s="12"/>
      <c r="R64" s="63"/>
      <c r="S64" s="63"/>
      <c r="T64" s="63"/>
      <c r="U64" s="27" t="n">
        <f aca="false">U16-U63</f>
        <v>-18573.9047619048</v>
      </c>
      <c r="V64" s="27" t="n">
        <f aca="false">V16-V63</f>
        <v>-12382.6031746032</v>
      </c>
      <c r="W64" s="27" t="n">
        <f aca="false">W16-W63</f>
        <v>0</v>
      </c>
      <c r="X64" s="27" t="n">
        <f aca="false">X16-X63</f>
        <v>-29222.9434920635</v>
      </c>
      <c r="Y64" s="27" t="n">
        <f aca="false">Y16-Y63</f>
        <v>-23031.6419047619</v>
      </c>
      <c r="Z64" s="27" t="n">
        <f aca="false">Z16-Z63</f>
        <v>-33680.6806349206</v>
      </c>
      <c r="AA64" s="27" t="n">
        <f aca="false">AA16-AA63</f>
        <v>-29222.9434920635</v>
      </c>
      <c r="AB64" s="27" t="n">
        <f aca="false">AB16-AB63</f>
        <v>-35414.2450793651</v>
      </c>
      <c r="AC64" s="27" t="n">
        <f aca="false">AC16-AC63</f>
        <v>-46063.2838095238</v>
      </c>
      <c r="AD64" s="27" t="n">
        <f aca="false">AD16-AD63</f>
        <v>-46063.2838095238</v>
      </c>
      <c r="AE64" s="27" t="n">
        <f aca="false">AE16-AE63</f>
        <v>-56712.3225396825</v>
      </c>
      <c r="AF64" s="27" t="n">
        <f aca="false">AF16-AF63</f>
        <v>-58445.886984127</v>
      </c>
      <c r="AG64" s="27" t="n">
        <f aca="false">SUM(U64:AF64)</f>
        <v>-388813.73968254</v>
      </c>
      <c r="AH64" s="28" t="str">
        <f aca="false">IFERROR(AG64/AG$16,"")</f>
        <v/>
      </c>
      <c r="AI64" s="9"/>
      <c r="AJ64" s="27" t="n">
        <f aca="false">AG64-N64</f>
        <v>-272824.90968254</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38333.32</v>
      </c>
      <c r="C67" s="12" t="n">
        <v>27897.23</v>
      </c>
      <c r="D67" s="12" t="n">
        <v>38333.32</v>
      </c>
      <c r="E67" s="12" t="n">
        <v>48324.65</v>
      </c>
      <c r="F67" s="12" t="n">
        <v>69698.22</v>
      </c>
      <c r="G67" s="12" t="n">
        <v>57128.18</v>
      </c>
      <c r="H67" s="12" t="n">
        <v>57596.54</v>
      </c>
      <c r="I67" s="12" t="n">
        <v>62503.19</v>
      </c>
      <c r="J67" s="64" t="n">
        <v>97900</v>
      </c>
      <c r="K67" s="64" t="n">
        <v>116100</v>
      </c>
      <c r="L67" s="64" t="n">
        <v>118400</v>
      </c>
      <c r="M67" s="64" t="n">
        <v>118400</v>
      </c>
      <c r="N67" s="12" t="n">
        <f aca="false">SUM(B67:M67)</f>
        <v>850614.65</v>
      </c>
      <c r="O67" s="24" t="str">
        <f aca="false">IFERROR(N67/N$16,"")</f>
        <v/>
      </c>
      <c r="P67" s="12"/>
      <c r="Q67" s="12"/>
      <c r="R67" s="75"/>
      <c r="S67" s="75"/>
      <c r="T67" s="75"/>
      <c r="U67" s="75" t="n">
        <f aca="false">'Fld Eng Budget'!B78</f>
        <v>56722.5833333333</v>
      </c>
      <c r="V67" s="75" t="n">
        <f aca="false">'Fld Eng Budget'!C78</f>
        <v>56722.5833333333</v>
      </c>
      <c r="W67" s="75" t="n">
        <f aca="false">'Fld Eng Budget'!D78</f>
        <v>56722.5833333333</v>
      </c>
      <c r="X67" s="75" t="n">
        <f aca="false">'Fld Eng Budget'!E78</f>
        <v>56722.5833333333</v>
      </c>
      <c r="Y67" s="75" t="n">
        <f aca="false">'Fld Eng Budget'!F78</f>
        <v>56722.5833333333</v>
      </c>
      <c r="Z67" s="75" t="n">
        <f aca="false">'Fld Eng Budget'!G78</f>
        <v>56722.5833333333</v>
      </c>
      <c r="AA67" s="75" t="n">
        <f aca="false">'Fld Eng Budget'!H78</f>
        <v>56722.5833333333</v>
      </c>
      <c r="AB67" s="75" t="n">
        <f aca="false">'Fld Eng Budget'!I78</f>
        <v>62139.25</v>
      </c>
      <c r="AC67" s="75" t="n">
        <f aca="false">'Fld Eng Budget'!J78</f>
        <v>62139.25</v>
      </c>
      <c r="AD67" s="75" t="n">
        <f aca="false">'Fld Eng Budget'!K78</f>
        <v>64003.4275</v>
      </c>
      <c r="AE67" s="75" t="n">
        <f aca="false">'Fld Eng Budget'!L78</f>
        <v>64003.4275</v>
      </c>
      <c r="AF67" s="75" t="n">
        <f aca="false">'Fld Eng Budget'!M78</f>
        <v>64003.4275</v>
      </c>
      <c r="AG67" s="12" t="n">
        <f aca="false">SUM(U67:AF67)</f>
        <v>713346.865833333</v>
      </c>
      <c r="AH67" s="24" t="str">
        <f aca="false">IFERROR(AG67/AG$16,"")</f>
        <v/>
      </c>
      <c r="AI67" s="9"/>
      <c r="AJ67" s="12" t="n">
        <f aca="false">N67-AG67</f>
        <v>137267.784166667</v>
      </c>
    </row>
    <row r="68" customFormat="false" ht="13.5" hidden="false" customHeight="true" outlineLevel="0" collapsed="false">
      <c r="A68" s="23" t="s">
        <v>1322</v>
      </c>
      <c r="B68" s="12" t="n">
        <v>2025.41</v>
      </c>
      <c r="C68" s="12" t="n">
        <v>6652.05</v>
      </c>
      <c r="D68" s="12" t="n">
        <v>1617.41</v>
      </c>
      <c r="E68" s="12" t="n">
        <v>1966.43</v>
      </c>
      <c r="F68" s="12" t="n">
        <v>2481.03</v>
      </c>
      <c r="G68" s="12" t="n">
        <v>1978.27</v>
      </c>
      <c r="H68" s="12" t="n">
        <v>1940.51</v>
      </c>
      <c r="I68" s="12" t="n">
        <v>3746.33</v>
      </c>
      <c r="J68" s="64" t="n">
        <v>3916</v>
      </c>
      <c r="K68" s="64" t="n">
        <v>4644</v>
      </c>
      <c r="L68" s="64" t="n">
        <v>4736</v>
      </c>
      <c r="M68" s="64" t="n">
        <v>4736</v>
      </c>
      <c r="N68" s="12" t="n">
        <f aca="false">SUM(B68:M68)</f>
        <v>40439.44</v>
      </c>
      <c r="O68" s="24" t="str">
        <f aca="false">IFERROR(N68/N$16,"")</f>
        <v/>
      </c>
      <c r="P68" s="12"/>
      <c r="Q68" s="12"/>
      <c r="R68" s="75"/>
      <c r="S68" s="75"/>
      <c r="T68" s="75"/>
      <c r="U68" s="75" t="n">
        <f aca="false">'Fld Eng Budget'!B79</f>
        <v>3857.13566666667</v>
      </c>
      <c r="V68" s="75" t="n">
        <f aca="false">'Fld Eng Budget'!C79</f>
        <v>3857.13566666667</v>
      </c>
      <c r="W68" s="75" t="n">
        <f aca="false">'Fld Eng Budget'!D79</f>
        <v>3857.13566666667</v>
      </c>
      <c r="X68" s="75" t="n">
        <f aca="false">'Fld Eng Budget'!E79</f>
        <v>3857.13566666667</v>
      </c>
      <c r="Y68" s="75" t="n">
        <f aca="false">'Fld Eng Budget'!F79</f>
        <v>3857.13566666667</v>
      </c>
      <c r="Z68" s="75" t="n">
        <f aca="false">'Fld Eng Budget'!G79</f>
        <v>3857.13566666667</v>
      </c>
      <c r="AA68" s="75" t="n">
        <f aca="false">'Fld Eng Budget'!H79</f>
        <v>3857.13566666667</v>
      </c>
      <c r="AB68" s="75" t="n">
        <f aca="false">'Fld Eng Budget'!I79</f>
        <v>4225.469</v>
      </c>
      <c r="AC68" s="75" t="n">
        <f aca="false">'Fld Eng Budget'!J79</f>
        <v>4225.469</v>
      </c>
      <c r="AD68" s="75" t="n">
        <f aca="false">'Fld Eng Budget'!K79</f>
        <v>4352.23307</v>
      </c>
      <c r="AE68" s="75" t="n">
        <f aca="false">'Fld Eng Budget'!L79</f>
        <v>4352.23307</v>
      </c>
      <c r="AF68" s="75" t="n">
        <f aca="false">'Fld Eng Budget'!M79</f>
        <v>4352.23307</v>
      </c>
      <c r="AG68" s="12" t="n">
        <f aca="false">SUM(U68:AF68)</f>
        <v>48507.5868766667</v>
      </c>
      <c r="AH68" s="24" t="str">
        <f aca="false">IFERROR(AG68/AG$16,"")</f>
        <v/>
      </c>
      <c r="AI68" s="9"/>
      <c r="AJ68" s="12" t="n">
        <f aca="false">N68-AG68</f>
        <v>-8068.14687666667</v>
      </c>
    </row>
    <row r="69" customFormat="false" ht="13.5" hidden="false" customHeight="true" outlineLevel="0" collapsed="false">
      <c r="A69" s="23" t="s">
        <v>1323</v>
      </c>
      <c r="B69" s="12" t="n">
        <v>2047.73</v>
      </c>
      <c r="C69" s="12" t="n">
        <v>5252.34</v>
      </c>
      <c r="D69" s="12" t="n">
        <v>3981.87</v>
      </c>
      <c r="E69" s="12" t="n">
        <v>4255.59</v>
      </c>
      <c r="F69" s="12" t="n">
        <v>4157.09</v>
      </c>
      <c r="G69" s="12" t="n">
        <v>4325.33</v>
      </c>
      <c r="H69" s="12" t="n">
        <v>3959.5</v>
      </c>
      <c r="I69" s="12" t="n">
        <v>3814.97</v>
      </c>
      <c r="J69" s="64" t="n">
        <v>10573</v>
      </c>
      <c r="K69" s="64" t="n">
        <v>12539</v>
      </c>
      <c r="L69" s="64" t="n">
        <v>12787</v>
      </c>
      <c r="M69" s="64" t="n">
        <v>12787</v>
      </c>
      <c r="N69" s="12" t="n">
        <f aca="false">SUM(B69:M69)</f>
        <v>80480.42</v>
      </c>
      <c r="O69" s="24" t="str">
        <f aca="false">IFERROR(N69/N$16,"")</f>
        <v/>
      </c>
      <c r="P69" s="12"/>
      <c r="Q69" s="12"/>
      <c r="R69" s="75"/>
      <c r="S69" s="75"/>
      <c r="T69" s="75"/>
      <c r="U69" s="75" t="n">
        <f aca="false">'Fld Eng Budget'!B80</f>
        <v>9302.50366666667</v>
      </c>
      <c r="V69" s="75" t="n">
        <f aca="false">'Fld Eng Budget'!C80</f>
        <v>9302.50366666667</v>
      </c>
      <c r="W69" s="75" t="n">
        <f aca="false">'Fld Eng Budget'!D80</f>
        <v>9302.50366666667</v>
      </c>
      <c r="X69" s="75" t="n">
        <f aca="false">'Fld Eng Budget'!E80</f>
        <v>9302.50366666667</v>
      </c>
      <c r="Y69" s="75" t="n">
        <f aca="false">'Fld Eng Budget'!F80</f>
        <v>9302.50366666667</v>
      </c>
      <c r="Z69" s="75" t="n">
        <f aca="false">'Fld Eng Budget'!G80</f>
        <v>9302.50366666667</v>
      </c>
      <c r="AA69" s="75" t="n">
        <f aca="false">'Fld Eng Budget'!H80</f>
        <v>9302.50366666667</v>
      </c>
      <c r="AB69" s="75" t="n">
        <f aca="false">'Fld Eng Budget'!I80</f>
        <v>10190.837</v>
      </c>
      <c r="AC69" s="75" t="n">
        <f aca="false">'Fld Eng Budget'!J80</f>
        <v>10190.837</v>
      </c>
      <c r="AD69" s="75" t="n">
        <f aca="false">'Fld Eng Budget'!K80</f>
        <v>10496.56211</v>
      </c>
      <c r="AE69" s="75" t="n">
        <f aca="false">'Fld Eng Budget'!L80</f>
        <v>10496.56211</v>
      </c>
      <c r="AF69" s="75" t="n">
        <f aca="false">'Fld Eng Budget'!M80</f>
        <v>10496.56211</v>
      </c>
      <c r="AG69" s="12" t="n">
        <f aca="false">SUM(U69:AF69)</f>
        <v>116988.885996667</v>
      </c>
      <c r="AH69" s="24" t="str">
        <f aca="false">IFERROR(AG69/AG$16,"")</f>
        <v/>
      </c>
      <c r="AI69" s="9"/>
      <c r="AJ69" s="12" t="n">
        <f aca="false">N69-AG69</f>
        <v>-36508.4659966667</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42406.46</v>
      </c>
      <c r="C73" s="27" t="n">
        <f aca="false">SUM(C67:C72)</f>
        <v>39801.62</v>
      </c>
      <c r="D73" s="27" t="n">
        <f aca="false">SUM(D67:D72)</f>
        <v>43932.6</v>
      </c>
      <c r="E73" s="27" t="n">
        <f aca="false">SUM(E67:E72)</f>
        <v>54546.67</v>
      </c>
      <c r="F73" s="27" t="n">
        <f aca="false">SUM(F67:F72)</f>
        <v>76336.34</v>
      </c>
      <c r="G73" s="27" t="n">
        <f aca="false">SUM(G67:G72)</f>
        <v>63431.78</v>
      </c>
      <c r="H73" s="27" t="n">
        <f aca="false">SUM(H67:H72)</f>
        <v>63496.55</v>
      </c>
      <c r="I73" s="27" t="n">
        <f aca="false">SUM(I67:I72)</f>
        <v>70064.49</v>
      </c>
      <c r="J73" s="27" t="n">
        <f aca="false">SUM(J67:J72)</f>
        <v>112389</v>
      </c>
      <c r="K73" s="27" t="n">
        <f aca="false">SUM(K67:K72)</f>
        <v>133283</v>
      </c>
      <c r="L73" s="27" t="n">
        <f aca="false">SUM(L67:L72)</f>
        <v>135923</v>
      </c>
      <c r="M73" s="27" t="n">
        <f aca="false">SUM(M67:M72)</f>
        <v>135923</v>
      </c>
      <c r="N73" s="27" t="n">
        <f aca="false">SUM(B73:M73)</f>
        <v>971534.51</v>
      </c>
      <c r="O73" s="28" t="str">
        <f aca="false">IFERROR(N73/N$16,"")</f>
        <v/>
      </c>
      <c r="P73" s="12"/>
      <c r="Q73" s="12"/>
      <c r="R73" s="63"/>
      <c r="S73" s="63"/>
      <c r="T73" s="63"/>
      <c r="U73" s="27" t="n">
        <f aca="false">SUM(U67:U72)</f>
        <v>69882.2226666667</v>
      </c>
      <c r="V73" s="27" t="n">
        <f aca="false">SUM(V67:V72)</f>
        <v>69882.2226666667</v>
      </c>
      <c r="W73" s="27" t="n">
        <f aca="false">SUM(W67:W72)</f>
        <v>69882.2226666667</v>
      </c>
      <c r="X73" s="27" t="n">
        <f aca="false">SUM(X67:X72)</f>
        <v>69882.2226666667</v>
      </c>
      <c r="Y73" s="27" t="n">
        <f aca="false">SUM(Y67:Y72)</f>
        <v>69882.2226666667</v>
      </c>
      <c r="Z73" s="27" t="n">
        <f aca="false">SUM(Z67:Z72)</f>
        <v>69882.2226666667</v>
      </c>
      <c r="AA73" s="27" t="n">
        <f aca="false">SUM(AA67:AA72)</f>
        <v>69882.2226666667</v>
      </c>
      <c r="AB73" s="27" t="n">
        <f aca="false">SUM(AB67:AB72)</f>
        <v>76555.556</v>
      </c>
      <c r="AC73" s="27" t="n">
        <f aca="false">SUM(AC67:AC72)</f>
        <v>76555.556</v>
      </c>
      <c r="AD73" s="27" t="n">
        <f aca="false">SUM(AD67:AD72)</f>
        <v>78852.22268</v>
      </c>
      <c r="AE73" s="27" t="n">
        <f aca="false">SUM(AE67:AE72)</f>
        <v>78852.22268</v>
      </c>
      <c r="AF73" s="27" t="n">
        <f aca="false">SUM(AF67:AF72)</f>
        <v>78852.22268</v>
      </c>
      <c r="AG73" s="27" t="n">
        <f aca="false">SUM(U73:AF73)</f>
        <v>878843.338706667</v>
      </c>
      <c r="AH73" s="28" t="str">
        <f aca="false">IFERROR(AG73/AG$16,"")</f>
        <v/>
      </c>
      <c r="AI73" s="9"/>
      <c r="AJ73" s="27" t="n">
        <f aca="false">N73-AG73</f>
        <v>92691.1712933333</v>
      </c>
    </row>
    <row r="74" customFormat="false" ht="13.5" hidden="false" customHeight="true" outlineLevel="0" collapsed="false">
      <c r="A74" s="76" t="s">
        <v>1328</v>
      </c>
      <c r="B74" s="12" t="n">
        <v>0</v>
      </c>
      <c r="C74" s="12" t="n">
        <v>-773.5</v>
      </c>
      <c r="D74" s="12" t="n">
        <v>1130.73</v>
      </c>
      <c r="E74" s="12" t="n">
        <v>8303.22</v>
      </c>
      <c r="F74" s="12" t="n">
        <v>2747.17</v>
      </c>
      <c r="G74" s="12" t="n">
        <v>7608.77</v>
      </c>
      <c r="H74" s="12" t="n">
        <v>1346.83</v>
      </c>
      <c r="I74" s="12" t="n">
        <v>2646.86</v>
      </c>
      <c r="J74" s="64" t="n">
        <v>3000</v>
      </c>
      <c r="K74" s="64" t="n">
        <v>3000</v>
      </c>
      <c r="L74" s="64" t="n">
        <v>3000</v>
      </c>
      <c r="M74" s="64" t="n">
        <v>3000</v>
      </c>
      <c r="N74" s="12" t="n">
        <f aca="false">SUM(B74:M74)</f>
        <v>35010.08</v>
      </c>
      <c r="O74" s="24" t="str">
        <f aca="false">IFERROR(N74/N$16,"")</f>
        <v/>
      </c>
      <c r="P74" s="12"/>
      <c r="Q74" s="12"/>
      <c r="R74" s="60" t="s">
        <v>1398</v>
      </c>
      <c r="S74" s="61" t="n">
        <v>0</v>
      </c>
      <c r="T74" s="62" t="n">
        <v>0.05</v>
      </c>
      <c r="U74" s="65" t="n">
        <f aca="false">'Fld Eng Budget'!B76</f>
        <v>3769.59375</v>
      </c>
      <c r="V74" s="65" t="n">
        <f aca="false">'Fld Eng Budget'!C76</f>
        <v>3769.59375</v>
      </c>
      <c r="W74" s="65" t="n">
        <f aca="false">'Fld Eng Budget'!D76</f>
        <v>3769.59375</v>
      </c>
      <c r="X74" s="65" t="n">
        <f aca="false">'Fld Eng Budget'!E76</f>
        <v>3769.59375</v>
      </c>
      <c r="Y74" s="65" t="n">
        <f aca="false">'Fld Eng Budget'!F76</f>
        <v>3769.59375</v>
      </c>
      <c r="Z74" s="65" t="n">
        <f aca="false">'Fld Eng Budget'!G76</f>
        <v>3769.59375</v>
      </c>
      <c r="AA74" s="65" t="n">
        <f aca="false">'Fld Eng Budget'!H76</f>
        <v>3769.59375</v>
      </c>
      <c r="AB74" s="65" t="n">
        <f aca="false">'Fld Eng Budget'!I76</f>
        <v>3769.59375</v>
      </c>
      <c r="AC74" s="65" t="n">
        <f aca="false">'Fld Eng Budget'!J76</f>
        <v>3769.59375</v>
      </c>
      <c r="AD74" s="65" t="n">
        <f aca="false">'Fld Eng Budget'!K76</f>
        <v>3769.59375</v>
      </c>
      <c r="AE74" s="65" t="n">
        <f aca="false">'Fld Eng Budget'!L76</f>
        <v>3769.59375</v>
      </c>
      <c r="AF74" s="65" t="n">
        <f aca="false">'Fld Eng Budget'!M76</f>
        <v>3769.59375</v>
      </c>
      <c r="AG74" s="12" t="n">
        <f aca="false">SUM(U74:AF74)</f>
        <v>45235.125</v>
      </c>
      <c r="AH74" s="24" t="str">
        <f aca="false">IFERROR(AG74/AG$16,"")</f>
        <v/>
      </c>
      <c r="AI74" s="9"/>
      <c r="AJ74" s="12" t="n">
        <f aca="false">N74-AG74</f>
        <v>-10225.045</v>
      </c>
    </row>
    <row r="75" customFormat="false" ht="13.5" hidden="false" customHeight="true" outlineLevel="0" collapsed="false">
      <c r="A75" s="76" t="s">
        <v>1329</v>
      </c>
      <c r="B75" s="12" t="n">
        <v>12.29</v>
      </c>
      <c r="C75" s="12" t="n">
        <v>0</v>
      </c>
      <c r="D75" s="12" t="n">
        <v>0</v>
      </c>
      <c r="E75" s="12" t="n">
        <v>2986.15</v>
      </c>
      <c r="F75" s="12" t="n">
        <v>0</v>
      </c>
      <c r="G75" s="12" t="n">
        <v>475.67</v>
      </c>
      <c r="H75" s="12" t="n">
        <v>234.79</v>
      </c>
      <c r="I75" s="12" t="n">
        <v>0</v>
      </c>
      <c r="J75" s="64" t="n">
        <v>400</v>
      </c>
      <c r="K75" s="64" t="n">
        <v>400</v>
      </c>
      <c r="L75" s="64" t="n">
        <v>400</v>
      </c>
      <c r="M75" s="64" t="n">
        <v>400</v>
      </c>
      <c r="N75" s="12" t="n">
        <f aca="false">SUM(B75:M75)</f>
        <v>5308.9</v>
      </c>
      <c r="O75" s="24" t="str">
        <f aca="false">IFERROR(N75/N$16,"")</f>
        <v/>
      </c>
      <c r="P75" s="12"/>
      <c r="Q75" s="12"/>
      <c r="R75" s="60" t="s">
        <v>1398</v>
      </c>
      <c r="S75" s="61" t="n">
        <v>0</v>
      </c>
      <c r="T75" s="62" t="n">
        <v>0.05</v>
      </c>
      <c r="U75" s="65" t="n">
        <f aca="false">'Fld Eng Budget'!B77</f>
        <v>604.6140625</v>
      </c>
      <c r="V75" s="65" t="n">
        <f aca="false">'Fld Eng Budget'!C77</f>
        <v>604.6140625</v>
      </c>
      <c r="W75" s="65" t="n">
        <f aca="false">'Fld Eng Budget'!D77</f>
        <v>604.6140625</v>
      </c>
      <c r="X75" s="65" t="n">
        <f aca="false">'Fld Eng Budget'!E77</f>
        <v>604.6140625</v>
      </c>
      <c r="Y75" s="65" t="n">
        <f aca="false">'Fld Eng Budget'!F77</f>
        <v>604.6140625</v>
      </c>
      <c r="Z75" s="65" t="n">
        <f aca="false">'Fld Eng Budget'!G77</f>
        <v>604.6140625</v>
      </c>
      <c r="AA75" s="65" t="n">
        <f aca="false">'Fld Eng Budget'!H77</f>
        <v>604.6140625</v>
      </c>
      <c r="AB75" s="65" t="n">
        <f aca="false">'Fld Eng Budget'!I77</f>
        <v>604.6140625</v>
      </c>
      <c r="AC75" s="65" t="n">
        <f aca="false">'Fld Eng Budget'!J77</f>
        <v>604.6140625</v>
      </c>
      <c r="AD75" s="65" t="n">
        <f aca="false">'Fld Eng Budget'!K77</f>
        <v>604.6140625</v>
      </c>
      <c r="AE75" s="65" t="n">
        <f aca="false">'Fld Eng Budget'!L77</f>
        <v>604.6140625</v>
      </c>
      <c r="AF75" s="65" t="n">
        <f aca="false">'Fld Eng Budget'!M77</f>
        <v>604.6140625</v>
      </c>
      <c r="AG75" s="12" t="n">
        <f aca="false">SUM(U75:AF75)</f>
        <v>7255.36875</v>
      </c>
      <c r="AH75" s="24" t="str">
        <f aca="false">IFERROR(AG75/AG$16,"")</f>
        <v/>
      </c>
      <c r="AI75" s="9"/>
      <c r="AJ75" s="12" t="n">
        <f aca="false">N75-AG75</f>
        <v>-1946.46875</v>
      </c>
    </row>
    <row r="76" customFormat="false" ht="13.5" hidden="false" customHeight="true" outlineLevel="0" collapsed="false">
      <c r="A76" s="23" t="s">
        <v>1330</v>
      </c>
      <c r="B76" s="12" t="n">
        <v>0</v>
      </c>
      <c r="C76" s="12" t="n">
        <v>0</v>
      </c>
      <c r="D76" s="12" t="n">
        <v>0</v>
      </c>
      <c r="E76" s="12" t="n">
        <v>28.2</v>
      </c>
      <c r="F76" s="12" t="n">
        <v>0</v>
      </c>
      <c r="G76" s="12" t="n">
        <v>0</v>
      </c>
      <c r="H76" s="12" t="n">
        <v>0</v>
      </c>
      <c r="I76" s="12" t="n">
        <v>0</v>
      </c>
      <c r="J76" s="64" t="n">
        <v>0</v>
      </c>
      <c r="K76" s="64" t="n">
        <v>0</v>
      </c>
      <c r="L76" s="64" t="n">
        <v>0</v>
      </c>
      <c r="M76" s="64" t="n">
        <v>0</v>
      </c>
      <c r="N76" s="12" t="n">
        <f aca="false">SUM(B76:M76)</f>
        <v>28.2</v>
      </c>
      <c r="O76" s="24" t="str">
        <f aca="false">IFERROR(N76/N$16,"")</f>
        <v/>
      </c>
      <c r="P76" s="12"/>
      <c r="Q76" s="12"/>
      <c r="R76" s="60" t="s">
        <v>1397</v>
      </c>
      <c r="S76" s="61" t="n">
        <v>0</v>
      </c>
      <c r="T76" s="62" t="n">
        <v>0.05</v>
      </c>
      <c r="U76" s="59" t="n">
        <f aca="false">IF($R76="Manual","",IFERROR(IF($R76="YOY Growth",$N76*(1+$T76)/12,$S76/12),""))</f>
        <v>0</v>
      </c>
      <c r="V76" s="59" t="n">
        <f aca="false">IF($R76="Manual","",IFERROR(IF($R76="YOY Growth",$N76*(1+$T76)/12,$S76/12),""))</f>
        <v>0</v>
      </c>
      <c r="W76" s="59" t="n">
        <f aca="false">IF($R76="Manual","",IFERROR(IF($R76="YOY Growth",$N76*(1+$T76)/12,$S76/12),""))</f>
        <v>0</v>
      </c>
      <c r="X76" s="59" t="n">
        <f aca="false">IF($R76="Manual","",IFERROR(IF($R76="YOY Growth",$N76*(1+$T76)/12,$S76/12),""))</f>
        <v>0</v>
      </c>
      <c r="Y76" s="59" t="n">
        <f aca="false">IF($R76="Manual","",IFERROR(IF($R76="YOY Growth",$N76*(1+$T76)/12,$S76/12),""))</f>
        <v>0</v>
      </c>
      <c r="Z76" s="59" t="n">
        <f aca="false">IF($R76="Manual","",IFERROR(IF($R76="YOY Growth",$N76*(1+$T76)/12,$S76/12),""))</f>
        <v>0</v>
      </c>
      <c r="AA76" s="59" t="n">
        <f aca="false">IF($R76="Manual","",IFERROR(IF($R76="YOY Growth",$N76*(1+$T76)/12,$S76/12),""))</f>
        <v>0</v>
      </c>
      <c r="AB76" s="59" t="n">
        <f aca="false">IF($R76="Manual","",IFERROR(IF($R76="YOY Growth",$N76*(1+$T76)/12,$S76/12),""))</f>
        <v>0</v>
      </c>
      <c r="AC76" s="59" t="n">
        <f aca="false">IF($R76="Manual","",IFERROR(IF($R76="YOY Growth",$N76*(1+$T76)/12,$S76/12),""))</f>
        <v>0</v>
      </c>
      <c r="AD76" s="59" t="n">
        <f aca="false">IF($R76="Manual","",IFERROR(IF($R76="YOY Growth",$N76*(1+$T76)/12,$S76/12),""))</f>
        <v>0</v>
      </c>
      <c r="AE76" s="59" t="n">
        <f aca="false">IF($R76="Manual","",IFERROR(IF($R76="YOY Growth",$N76*(1+$T76)/12,$S76/12),""))</f>
        <v>0</v>
      </c>
      <c r="AF76" s="59" t="n">
        <f aca="false">IF($R76="Manual","",IFERROR(IF($R76="YOY Growth",$N76*(1+$T76)/12,$S76/12),""))</f>
        <v>0</v>
      </c>
      <c r="AG76" s="12" t="n">
        <f aca="false">SUM(U76:AF76)</f>
        <v>0</v>
      </c>
      <c r="AH76" s="24" t="str">
        <f aca="false">IFERROR(AG76/AG$16,"")</f>
        <v/>
      </c>
      <c r="AI76" s="9"/>
      <c r="AJ76" s="12" t="n">
        <f aca="false">N76-AG76</f>
        <v>28.2</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0</v>
      </c>
      <c r="K78" s="64" t="n">
        <v>0</v>
      </c>
      <c r="L78" s="64" t="n">
        <v>0</v>
      </c>
      <c r="M78" s="64" t="n">
        <v>0</v>
      </c>
      <c r="N78" s="12" t="n">
        <f aca="false">SUM(B78:M78)</f>
        <v>0</v>
      </c>
      <c r="O78" s="24" t="str">
        <f aca="false">IFERROR(N78/N$16,"")</f>
        <v/>
      </c>
      <c r="P78" s="12"/>
      <c r="Q78" s="12"/>
      <c r="R78" s="60" t="s">
        <v>1397</v>
      </c>
      <c r="S78" s="61" t="n">
        <v>0</v>
      </c>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0</v>
      </c>
    </row>
    <row r="79" customFormat="false" ht="13.5" hidden="false" customHeight="true" outlineLevel="0" collapsed="false">
      <c r="A79" s="23" t="s">
        <v>1333</v>
      </c>
      <c r="B79" s="12" t="n">
        <v>0</v>
      </c>
      <c r="C79" s="12" t="n">
        <v>0</v>
      </c>
      <c r="D79" s="12" t="n">
        <v>0</v>
      </c>
      <c r="E79" s="12" t="n">
        <v>2674.33</v>
      </c>
      <c r="F79" s="12" t="n">
        <v>0</v>
      </c>
      <c r="G79" s="12" t="n">
        <v>0</v>
      </c>
      <c r="H79" s="12" t="n">
        <v>0</v>
      </c>
      <c r="I79" s="12" t="n">
        <v>0</v>
      </c>
      <c r="J79" s="64" t="n">
        <v>1000</v>
      </c>
      <c r="K79" s="64" t="n">
        <v>1000</v>
      </c>
      <c r="L79" s="64" t="n">
        <v>3000</v>
      </c>
      <c r="M79" s="64" t="n">
        <v>1000</v>
      </c>
      <c r="N79" s="12" t="n">
        <f aca="false">SUM(B79:M79)</f>
        <v>8674.33</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8674.33</v>
      </c>
    </row>
    <row r="80" customFormat="false" ht="13.5" hidden="false" customHeight="true" outlineLevel="0" collapsed="false">
      <c r="A80" s="23" t="s">
        <v>1334</v>
      </c>
      <c r="B80" s="12" t="n">
        <v>35.89</v>
      </c>
      <c r="C80" s="12" t="n">
        <v>0</v>
      </c>
      <c r="D80" s="12" t="n">
        <v>0</v>
      </c>
      <c r="E80" s="12" t="n">
        <v>0</v>
      </c>
      <c r="F80" s="12" t="n">
        <v>0</v>
      </c>
      <c r="G80" s="12" t="n">
        <v>0</v>
      </c>
      <c r="H80" s="12" t="n">
        <v>0</v>
      </c>
      <c r="I80" s="12" t="n">
        <v>0</v>
      </c>
      <c r="J80" s="64" t="n">
        <v>0</v>
      </c>
      <c r="K80" s="64" t="n">
        <v>0</v>
      </c>
      <c r="L80" s="64" t="n">
        <v>0</v>
      </c>
      <c r="M80" s="64" t="n">
        <v>0</v>
      </c>
      <c r="N80" s="12" t="n">
        <f aca="false">SUM(B80:M80)</f>
        <v>35.89</v>
      </c>
      <c r="O80" s="24" t="str">
        <f aca="false">IFERROR(N80/N$16,"")</f>
        <v/>
      </c>
      <c r="P80" s="12"/>
      <c r="Q80" s="12"/>
      <c r="R80" s="60" t="s">
        <v>1397</v>
      </c>
      <c r="S80" s="61" t="n">
        <v>0</v>
      </c>
      <c r="T80" s="62" t="n">
        <v>0.05</v>
      </c>
      <c r="U80" s="59" t="n">
        <f aca="false">IF($R80="Manual","",IFERROR(IF($R80="YOY Growth",$N80*(1+$T80)/12,$S80/12),""))</f>
        <v>0</v>
      </c>
      <c r="V80" s="59" t="n">
        <f aca="false">IF($R80="Manual","",IFERROR(IF($R80="YOY Growth",$N80*(1+$T80)/12,$S80/12),""))</f>
        <v>0</v>
      </c>
      <c r="W80" s="59" t="n">
        <f aca="false">IF($R80="Manual","",IFERROR(IF($R80="YOY Growth",$N80*(1+$T80)/12,$S80/12),""))</f>
        <v>0</v>
      </c>
      <c r="X80" s="59" t="n">
        <f aca="false">IF($R80="Manual","",IFERROR(IF($R80="YOY Growth",$N80*(1+$T80)/12,$S80/12),""))</f>
        <v>0</v>
      </c>
      <c r="Y80" s="59" t="n">
        <f aca="false">IF($R80="Manual","",IFERROR(IF($R80="YOY Growth",$N80*(1+$T80)/12,$S80/12),""))</f>
        <v>0</v>
      </c>
      <c r="Z80" s="59" t="n">
        <f aca="false">IF($R80="Manual","",IFERROR(IF($R80="YOY Growth",$N80*(1+$T80)/12,$S80/12),""))</f>
        <v>0</v>
      </c>
      <c r="AA80" s="59" t="n">
        <f aca="false">IF($R80="Manual","",IFERROR(IF($R80="YOY Growth",$N80*(1+$T80)/12,$S80/12),""))</f>
        <v>0</v>
      </c>
      <c r="AB80" s="59" t="n">
        <f aca="false">IF($R80="Manual","",IFERROR(IF($R80="YOY Growth",$N80*(1+$T80)/12,$S80/12),""))</f>
        <v>0</v>
      </c>
      <c r="AC80" s="59" t="n">
        <f aca="false">IF($R80="Manual","",IFERROR(IF($R80="YOY Growth",$N80*(1+$T80)/12,$S80/12),""))</f>
        <v>0</v>
      </c>
      <c r="AD80" s="59" t="n">
        <f aca="false">IF($R80="Manual","",IFERROR(IF($R80="YOY Growth",$N80*(1+$T80)/12,$S80/12),""))</f>
        <v>0</v>
      </c>
      <c r="AE80" s="59" t="n">
        <f aca="false">IF($R80="Manual","",IFERROR(IF($R80="YOY Growth",$N80*(1+$T80)/12,$S80/12),""))</f>
        <v>0</v>
      </c>
      <c r="AF80" s="59" t="n">
        <f aca="false">IF($R80="Manual","",IFERROR(IF($R80="YOY Growth",$N80*(1+$T80)/12,$S80/12),""))</f>
        <v>0</v>
      </c>
      <c r="AG80" s="12" t="n">
        <f aca="false">SUM(U80:AF80)</f>
        <v>0</v>
      </c>
      <c r="AH80" s="24" t="str">
        <f aca="false">IFERROR(AG80/AG$16,"")</f>
        <v/>
      </c>
      <c r="AI80" s="9"/>
      <c r="AJ80" s="12" t="n">
        <f aca="false">N80-AG80</f>
        <v>35.89</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20</v>
      </c>
      <c r="H84" s="12" t="n">
        <v>0</v>
      </c>
      <c r="I84" s="12" t="n">
        <v>0</v>
      </c>
      <c r="J84" s="64" t="n">
        <v>0</v>
      </c>
      <c r="K84" s="64" t="n">
        <v>0</v>
      </c>
      <c r="L84" s="64" t="n">
        <v>0</v>
      </c>
      <c r="M84" s="64" t="n">
        <v>0</v>
      </c>
      <c r="N84" s="12" t="n">
        <f aca="false">SUM(B84:M84)</f>
        <v>20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20</v>
      </c>
    </row>
    <row r="85" customFormat="false" ht="13.5" hidden="false" customHeight="true" outlineLevel="0" collapsed="false">
      <c r="A85" s="23" t="s">
        <v>1339</v>
      </c>
      <c r="B85" s="12" t="n">
        <v>1118.97</v>
      </c>
      <c r="C85" s="12" t="n">
        <v>1642.61</v>
      </c>
      <c r="D85" s="12" t="n">
        <v>0</v>
      </c>
      <c r="E85" s="12" t="n">
        <v>1638.14</v>
      </c>
      <c r="F85" s="12" t="n">
        <v>492.8</v>
      </c>
      <c r="G85" s="12" t="n">
        <v>0</v>
      </c>
      <c r="H85" s="12" t="n">
        <v>0</v>
      </c>
      <c r="I85" s="12" t="n">
        <v>0</v>
      </c>
      <c r="J85" s="64" t="n">
        <v>500</v>
      </c>
      <c r="K85" s="64" t="n">
        <v>500</v>
      </c>
      <c r="L85" s="64" t="n">
        <v>1500</v>
      </c>
      <c r="M85" s="64" t="n">
        <v>500</v>
      </c>
      <c r="N85" s="12" t="n">
        <f aca="false">SUM(B85:M85)</f>
        <v>7892.52</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7892.52</v>
      </c>
    </row>
    <row r="86" customFormat="false" ht="13.5" hidden="false" customHeight="true" outlineLevel="0" collapsed="false">
      <c r="A86" s="23" t="s">
        <v>1340</v>
      </c>
      <c r="B86" s="12" t="n">
        <v>0</v>
      </c>
      <c r="C86" s="12" t="n">
        <v>196.09</v>
      </c>
      <c r="D86" s="12" t="n">
        <v>0</v>
      </c>
      <c r="E86" s="12" t="n">
        <v>0</v>
      </c>
      <c r="F86" s="12" t="n">
        <v>0</v>
      </c>
      <c r="G86" s="12" t="n">
        <v>0</v>
      </c>
      <c r="H86" s="12" t="n">
        <v>0</v>
      </c>
      <c r="I86" s="12" t="n">
        <v>0</v>
      </c>
      <c r="J86" s="64" t="n">
        <v>0</v>
      </c>
      <c r="K86" s="64" t="n">
        <v>0</v>
      </c>
      <c r="L86" s="64" t="n">
        <v>0</v>
      </c>
      <c r="M86" s="64" t="n">
        <v>0</v>
      </c>
      <c r="N86" s="12" t="n">
        <f aca="false">SUM(B86:M86)</f>
        <v>196.09</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196.09</v>
      </c>
    </row>
    <row r="87" customFormat="false" ht="13.5" hidden="false" customHeight="true" outlineLevel="0" collapsed="false">
      <c r="A87" s="26" t="s">
        <v>1341</v>
      </c>
      <c r="B87" s="27" t="n">
        <f aca="false">SUM(B82:B86)</f>
        <v>1118.97</v>
      </c>
      <c r="C87" s="27" t="n">
        <f aca="false">SUM(C82:C86)</f>
        <v>1838.7</v>
      </c>
      <c r="D87" s="27" t="n">
        <f aca="false">SUM(D82:D86)</f>
        <v>0</v>
      </c>
      <c r="E87" s="27" t="n">
        <f aca="false">SUM(E82:E86)</f>
        <v>1638.14</v>
      </c>
      <c r="F87" s="27" t="n">
        <f aca="false">SUM(F82:F86)</f>
        <v>492.8</v>
      </c>
      <c r="G87" s="27" t="n">
        <f aca="false">SUM(G82:G86)</f>
        <v>20</v>
      </c>
      <c r="H87" s="27" t="n">
        <f aca="false">SUM(H82:H86)</f>
        <v>0</v>
      </c>
      <c r="I87" s="27" t="n">
        <f aca="false">SUM(I82:I86)</f>
        <v>0</v>
      </c>
      <c r="J87" s="27" t="n">
        <f aca="false">SUM(J82:J86)</f>
        <v>500</v>
      </c>
      <c r="K87" s="27" t="n">
        <f aca="false">SUM(K82:K86)</f>
        <v>500</v>
      </c>
      <c r="L87" s="27" t="n">
        <f aca="false">SUM(L82:L86)</f>
        <v>1500</v>
      </c>
      <c r="M87" s="27" t="n">
        <f aca="false">SUM(M82:M86)</f>
        <v>500</v>
      </c>
      <c r="N87" s="27" t="n">
        <f aca="false">SUM(B87:M87)</f>
        <v>8108.61</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8108.61</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29232.26</v>
      </c>
      <c r="E91" s="12" t="n">
        <v>32442.55</v>
      </c>
      <c r="F91" s="12" t="n">
        <v>36509.27</v>
      </c>
      <c r="G91" s="12" t="n">
        <v>56672.78</v>
      </c>
      <c r="H91" s="12" t="n">
        <v>0</v>
      </c>
      <c r="I91" s="12" t="n">
        <v>0</v>
      </c>
      <c r="J91" s="64" t="n">
        <v>0</v>
      </c>
      <c r="K91" s="64" t="n">
        <v>0</v>
      </c>
      <c r="L91" s="64" t="n">
        <v>0</v>
      </c>
      <c r="M91" s="64" t="n">
        <v>0</v>
      </c>
      <c r="N91" s="12" t="n">
        <f aca="false">SUM(B91:M91)</f>
        <v>154856.86</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154856.86</v>
      </c>
    </row>
    <row r="92" customFormat="false" ht="13.5" hidden="false" customHeight="true" outlineLevel="0" collapsed="false">
      <c r="A92" s="23" t="s">
        <v>1346</v>
      </c>
      <c r="B92" s="12" t="n">
        <v>281.89</v>
      </c>
      <c r="C92" s="12" t="n">
        <v>0</v>
      </c>
      <c r="D92" s="12" t="n">
        <v>148.38</v>
      </c>
      <c r="E92" s="12" t="n">
        <v>55.57</v>
      </c>
      <c r="F92" s="12" t="n">
        <v>0</v>
      </c>
      <c r="G92" s="12" t="n">
        <v>0</v>
      </c>
      <c r="H92" s="12" t="n">
        <v>0</v>
      </c>
      <c r="I92" s="12" t="n">
        <v>0</v>
      </c>
      <c r="J92" s="64" t="n">
        <v>0</v>
      </c>
      <c r="K92" s="64" t="n">
        <v>0</v>
      </c>
      <c r="L92" s="64" t="n">
        <v>0</v>
      </c>
      <c r="M92" s="64" t="n">
        <v>0</v>
      </c>
      <c r="N92" s="12" t="n">
        <f aca="false">SUM(B92:M92)</f>
        <v>485.84</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485.84</v>
      </c>
    </row>
    <row r="93" customFormat="false" ht="13.5" hidden="false" customHeight="true" outlineLevel="0" collapsed="false">
      <c r="A93" s="23" t="s">
        <v>1347</v>
      </c>
      <c r="B93" s="12" t="n">
        <v>373</v>
      </c>
      <c r="C93" s="12" t="n">
        <v>0</v>
      </c>
      <c r="D93" s="12" t="n">
        <v>0</v>
      </c>
      <c r="E93" s="12" t="n">
        <v>0</v>
      </c>
      <c r="F93" s="12" t="n">
        <v>0</v>
      </c>
      <c r="G93" s="12" t="n">
        <v>0</v>
      </c>
      <c r="H93" s="12" t="n">
        <v>0</v>
      </c>
      <c r="I93" s="12" t="n">
        <v>0</v>
      </c>
      <c r="J93" s="64" t="n">
        <v>0</v>
      </c>
      <c r="K93" s="64" t="n">
        <v>0</v>
      </c>
      <c r="L93" s="64" t="n">
        <v>0</v>
      </c>
      <c r="M93" s="64" t="n">
        <v>0</v>
      </c>
      <c r="N93" s="12" t="n">
        <f aca="false">SUM(B93:M93)</f>
        <v>373</v>
      </c>
      <c r="O93" s="24" t="str">
        <f aca="false">IFERROR(N93/N$16,"")</f>
        <v/>
      </c>
      <c r="P93" s="12"/>
      <c r="Q93" s="12"/>
      <c r="R93" s="60" t="s">
        <v>1397</v>
      </c>
      <c r="S93" s="61" t="n">
        <v>0</v>
      </c>
      <c r="T93" s="62" t="n">
        <v>0.05</v>
      </c>
      <c r="U93" s="59" t="n">
        <f aca="false">IF($R93="Manual","",IFERROR(IF($R93="YOY Growth",$N93*(1+$T93)/12,$S93/12),""))</f>
        <v>0</v>
      </c>
      <c r="V93" s="59" t="n">
        <f aca="false">IF($R93="Manual","",IFERROR(IF($R93="YOY Growth",$N93*(1+$T93)/12,$S93/12),""))</f>
        <v>0</v>
      </c>
      <c r="W93" s="59" t="n">
        <f aca="false">IF($R93="Manual","",IFERROR(IF($R93="YOY Growth",$N93*(1+$T93)/12,$S93/12),""))</f>
        <v>0</v>
      </c>
      <c r="X93" s="59" t="n">
        <f aca="false">IF($R93="Manual","",IFERROR(IF($R93="YOY Growth",$N93*(1+$T93)/12,$S93/12),""))</f>
        <v>0</v>
      </c>
      <c r="Y93" s="59" t="n">
        <f aca="false">IF($R93="Manual","",IFERROR(IF($R93="YOY Growth",$N93*(1+$T93)/12,$S93/12),""))</f>
        <v>0</v>
      </c>
      <c r="Z93" s="59" t="n">
        <f aca="false">IF($R93="Manual","",IFERROR(IF($R93="YOY Growth",$N93*(1+$T93)/12,$S93/12),""))</f>
        <v>0</v>
      </c>
      <c r="AA93" s="59" t="n">
        <f aca="false">IF($R93="Manual","",IFERROR(IF($R93="YOY Growth",$N93*(1+$T93)/12,$S93/12),""))</f>
        <v>0</v>
      </c>
      <c r="AB93" s="59" t="n">
        <f aca="false">IF($R93="Manual","",IFERROR(IF($R93="YOY Growth",$N93*(1+$T93)/12,$S93/12),""))</f>
        <v>0</v>
      </c>
      <c r="AC93" s="59" t="n">
        <f aca="false">IF($R93="Manual","",IFERROR(IF($R93="YOY Growth",$N93*(1+$T93)/12,$S93/12),""))</f>
        <v>0</v>
      </c>
      <c r="AD93" s="59" t="n">
        <f aca="false">IF($R93="Manual","",IFERROR(IF($R93="YOY Growth",$N93*(1+$T93)/12,$S93/12),""))</f>
        <v>0</v>
      </c>
      <c r="AE93" s="59" t="n">
        <f aca="false">IF($R93="Manual","",IFERROR(IF($R93="YOY Growth",$N93*(1+$T93)/12,$S93/12),""))</f>
        <v>0</v>
      </c>
      <c r="AF93" s="59" t="n">
        <f aca="false">IF($R93="Manual","",IFERROR(IF($R93="YOY Growth",$N93*(1+$T93)/12,$S93/12),""))</f>
        <v>0</v>
      </c>
      <c r="AG93" s="12" t="n">
        <f aca="false">SUM(U93:AF93)</f>
        <v>0</v>
      </c>
      <c r="AH93" s="24" t="str">
        <f aca="false">IFERROR(AG93/AG$16,"")</f>
        <v/>
      </c>
      <c r="AI93" s="9"/>
      <c r="AJ93" s="12" t="n">
        <f aca="false">N93-AG93</f>
        <v>373</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1254.52</v>
      </c>
      <c r="C95" s="12" t="n">
        <v>126.85</v>
      </c>
      <c r="D95" s="12" t="n">
        <v>0</v>
      </c>
      <c r="E95" s="12" t="n">
        <v>122.17</v>
      </c>
      <c r="F95" s="12" t="n">
        <v>0</v>
      </c>
      <c r="G95" s="12" t="n">
        <v>0</v>
      </c>
      <c r="H95" s="12" t="n">
        <v>0</v>
      </c>
      <c r="I95" s="12" t="n">
        <v>0</v>
      </c>
      <c r="J95" s="64" t="n">
        <v>450</v>
      </c>
      <c r="K95" s="64" t="n">
        <v>450</v>
      </c>
      <c r="L95" s="64" t="n">
        <v>450</v>
      </c>
      <c r="M95" s="64" t="n">
        <v>450</v>
      </c>
      <c r="N95" s="12" t="n">
        <f aca="false">SUM(B95:M95)</f>
        <v>3303.54</v>
      </c>
      <c r="O95" s="24" t="str">
        <f aca="false">IFERROR(N95/N$16,"")</f>
        <v/>
      </c>
      <c r="P95" s="12"/>
      <c r="Q95" s="12"/>
      <c r="R95" s="60" t="s">
        <v>1397</v>
      </c>
      <c r="S95" s="61" t="n">
        <v>0</v>
      </c>
      <c r="T95" s="62" t="n">
        <v>0.05</v>
      </c>
      <c r="U95" s="59" t="n">
        <f aca="false">IF($R95="Manual","",IFERROR(IF($R95="YOY Growth",$N95*(1+$T95)/12,$S95/12),""))</f>
        <v>0</v>
      </c>
      <c r="V95" s="59" t="n">
        <f aca="false">IF($R95="Manual","",IFERROR(IF($R95="YOY Growth",$N95*(1+$T95)/12,$S95/12),""))</f>
        <v>0</v>
      </c>
      <c r="W95" s="59" t="n">
        <f aca="false">IF($R95="Manual","",IFERROR(IF($R95="YOY Growth",$N95*(1+$T95)/12,$S95/12),""))</f>
        <v>0</v>
      </c>
      <c r="X95" s="59" t="n">
        <f aca="false">IF($R95="Manual","",IFERROR(IF($R95="YOY Growth",$N95*(1+$T95)/12,$S95/12),""))</f>
        <v>0</v>
      </c>
      <c r="Y95" s="59" t="n">
        <f aca="false">IF($R95="Manual","",IFERROR(IF($R95="YOY Growth",$N95*(1+$T95)/12,$S95/12),""))</f>
        <v>0</v>
      </c>
      <c r="Z95" s="59" t="n">
        <f aca="false">IF($R95="Manual","",IFERROR(IF($R95="YOY Growth",$N95*(1+$T95)/12,$S95/12),""))</f>
        <v>0</v>
      </c>
      <c r="AA95" s="59" t="n">
        <f aca="false">IF($R95="Manual","",IFERROR(IF($R95="YOY Growth",$N95*(1+$T95)/12,$S95/12),""))</f>
        <v>0</v>
      </c>
      <c r="AB95" s="59" t="n">
        <f aca="false">IF($R95="Manual","",IFERROR(IF($R95="YOY Growth",$N95*(1+$T95)/12,$S95/12),""))</f>
        <v>0</v>
      </c>
      <c r="AC95" s="59" t="n">
        <f aca="false">IF($R95="Manual","",IFERROR(IF($R95="YOY Growth",$N95*(1+$T95)/12,$S95/12),""))</f>
        <v>0</v>
      </c>
      <c r="AD95" s="59" t="n">
        <f aca="false">IF($R95="Manual","",IFERROR(IF($R95="YOY Growth",$N95*(1+$T95)/12,$S95/12),""))</f>
        <v>0</v>
      </c>
      <c r="AE95" s="59" t="n">
        <f aca="false">IF($R95="Manual","",IFERROR(IF($R95="YOY Growth",$N95*(1+$T95)/12,$S95/12),""))</f>
        <v>0</v>
      </c>
      <c r="AF95" s="59" t="n">
        <f aca="false">IF($R95="Manual","",IFERROR(IF($R95="YOY Growth",$N95*(1+$T95)/12,$S95/12),""))</f>
        <v>0</v>
      </c>
      <c r="AG95" s="12" t="n">
        <f aca="false">SUM(U95:AF95)</f>
        <v>0</v>
      </c>
      <c r="AH95" s="24" t="str">
        <f aca="false">IFERROR(AG95/AG$16,"")</f>
        <v/>
      </c>
      <c r="AI95" s="9"/>
      <c r="AJ95" s="12" t="n">
        <f aca="false">N95-AG95</f>
        <v>3303.54</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55</v>
      </c>
      <c r="C99" s="12" t="n">
        <v>20</v>
      </c>
      <c r="D99" s="12" t="n">
        <v>80</v>
      </c>
      <c r="E99" s="12" t="n">
        <v>0</v>
      </c>
      <c r="F99" s="12" t="n">
        <v>20</v>
      </c>
      <c r="G99" s="12" t="n">
        <v>0</v>
      </c>
      <c r="H99" s="12" t="n">
        <v>0</v>
      </c>
      <c r="I99" s="12" t="n">
        <v>0</v>
      </c>
      <c r="J99" s="64" t="n">
        <v>100</v>
      </c>
      <c r="K99" s="64" t="n">
        <v>100</v>
      </c>
      <c r="L99" s="64" t="n">
        <v>100</v>
      </c>
      <c r="M99" s="64" t="n">
        <v>100</v>
      </c>
      <c r="N99" s="12" t="n">
        <f aca="false">SUM(B99:M99)</f>
        <v>575</v>
      </c>
      <c r="O99" s="24" t="str">
        <f aca="false">IFERROR(N99/N$16,"")</f>
        <v/>
      </c>
      <c r="P99" s="12"/>
      <c r="Q99" s="12"/>
      <c r="R99" s="60" t="s">
        <v>1397</v>
      </c>
      <c r="S99" s="61" t="n">
        <v>0</v>
      </c>
      <c r="T99" s="62" t="n">
        <v>0.05</v>
      </c>
      <c r="U99" s="59" t="n">
        <f aca="false">IF($R99="Manual","",IFERROR(IF($R99="YOY Growth",$N99*(1+$T99)/12,$S99/12),""))</f>
        <v>0</v>
      </c>
      <c r="V99" s="59" t="n">
        <f aca="false">IF($R99="Manual","",IFERROR(IF($R99="YOY Growth",$N99*(1+$T99)/12,$S99/12),""))</f>
        <v>0</v>
      </c>
      <c r="W99" s="59" t="n">
        <f aca="false">IF($R99="Manual","",IFERROR(IF($R99="YOY Growth",$N99*(1+$T99)/12,$S99/12),""))</f>
        <v>0</v>
      </c>
      <c r="X99" s="59" t="n">
        <f aca="false">IF($R99="Manual","",IFERROR(IF($R99="YOY Growth",$N99*(1+$T99)/12,$S99/12),""))</f>
        <v>0</v>
      </c>
      <c r="Y99" s="59" t="n">
        <f aca="false">IF($R99="Manual","",IFERROR(IF($R99="YOY Growth",$N99*(1+$T99)/12,$S99/12),""))</f>
        <v>0</v>
      </c>
      <c r="Z99" s="59" t="n">
        <f aca="false">IF($R99="Manual","",IFERROR(IF($R99="YOY Growth",$N99*(1+$T99)/12,$S99/12),""))</f>
        <v>0</v>
      </c>
      <c r="AA99" s="59" t="n">
        <f aca="false">IF($R99="Manual","",IFERROR(IF($R99="YOY Growth",$N99*(1+$T99)/12,$S99/12),""))</f>
        <v>0</v>
      </c>
      <c r="AB99" s="59" t="n">
        <f aca="false">IF($R99="Manual","",IFERROR(IF($R99="YOY Growth",$N99*(1+$T99)/12,$S99/12),""))</f>
        <v>0</v>
      </c>
      <c r="AC99" s="59" t="n">
        <f aca="false">IF($R99="Manual","",IFERROR(IF($R99="YOY Growth",$N99*(1+$T99)/12,$S99/12),""))</f>
        <v>0</v>
      </c>
      <c r="AD99" s="59" t="n">
        <f aca="false">IF($R99="Manual","",IFERROR(IF($R99="YOY Growth",$N99*(1+$T99)/12,$S99/12),""))</f>
        <v>0</v>
      </c>
      <c r="AE99" s="59" t="n">
        <f aca="false">IF($R99="Manual","",IFERROR(IF($R99="YOY Growth",$N99*(1+$T99)/12,$S99/12),""))</f>
        <v>0</v>
      </c>
      <c r="AF99" s="59" t="n">
        <f aca="false">IF($R99="Manual","",IFERROR(IF($R99="YOY Growth",$N99*(1+$T99)/12,$S99/12),""))</f>
        <v>0</v>
      </c>
      <c r="AG99" s="12" t="n">
        <f aca="false">SUM(U99:AF99)</f>
        <v>0</v>
      </c>
      <c r="AH99" s="24" t="str">
        <f aca="false">IFERROR(AG99/AG$16,"")</f>
        <v/>
      </c>
      <c r="AI99" s="9"/>
      <c r="AJ99" s="12" t="n">
        <f aca="false">N99-AG99</f>
        <v>575</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67.12</v>
      </c>
      <c r="E101" s="12" t="n">
        <v>0</v>
      </c>
      <c r="F101" s="12" t="n">
        <v>0</v>
      </c>
      <c r="G101" s="12" t="n">
        <v>0</v>
      </c>
      <c r="H101" s="12" t="n">
        <v>0</v>
      </c>
      <c r="I101" s="12" t="n">
        <v>0</v>
      </c>
      <c r="J101" s="64" t="n">
        <v>0</v>
      </c>
      <c r="K101" s="64" t="n">
        <v>0</v>
      </c>
      <c r="L101" s="64" t="n">
        <v>0</v>
      </c>
      <c r="M101" s="64" t="n">
        <v>0</v>
      </c>
      <c r="N101" s="12" t="n">
        <f aca="false">SUM(B101:M101)</f>
        <v>67.12</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67.12</v>
      </c>
    </row>
    <row r="102" customFormat="false" ht="13.5" hidden="false" customHeight="true" outlineLevel="0" collapsed="false">
      <c r="A102" s="23" t="s">
        <v>1356</v>
      </c>
      <c r="B102" s="12" t="n">
        <v>0</v>
      </c>
      <c r="C102" s="12" t="n">
        <v>1.7</v>
      </c>
      <c r="D102" s="12" t="n">
        <v>0</v>
      </c>
      <c r="E102" s="12" t="n">
        <v>0</v>
      </c>
      <c r="F102" s="12" t="n">
        <v>0</v>
      </c>
      <c r="G102" s="12" t="n">
        <v>10.06</v>
      </c>
      <c r="H102" s="12" t="n">
        <v>0</v>
      </c>
      <c r="I102" s="12" t="n">
        <v>0</v>
      </c>
      <c r="J102" s="64" t="n">
        <v>0</v>
      </c>
      <c r="K102" s="64" t="n">
        <v>0</v>
      </c>
      <c r="L102" s="64" t="n">
        <v>0</v>
      </c>
      <c r="M102" s="64" t="n">
        <v>0</v>
      </c>
      <c r="N102" s="12" t="n">
        <f aca="false">SUM(B102:M102)</f>
        <v>11.76</v>
      </c>
      <c r="O102" s="24" t="str">
        <f aca="false">IFERROR(N102/N$16,"")</f>
        <v/>
      </c>
      <c r="P102" s="12"/>
      <c r="Q102" s="12"/>
      <c r="R102" s="60" t="s">
        <v>1397</v>
      </c>
      <c r="S102" s="61" t="n">
        <v>0</v>
      </c>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f>
        <v>0</v>
      </c>
      <c r="Z102" s="59" t="n">
        <f aca="false">IF($R102="Manual","",IFERROR(IF($R102="YOY Growth",$N102*(1+$T102)/12,$S102/12),""))</f>
        <v>0</v>
      </c>
      <c r="AA102" s="59" t="n">
        <f aca="false">IF($R102="Manual","",IFERROR(IF($R102="YOY Growth",$N102*(1+$T102)/12,$S102/12),""))</f>
        <v>0</v>
      </c>
      <c r="AB102" s="59" t="n">
        <f aca="false">IF($R102="Manual","",IFERROR(IF($R102="YOY Growth",$N102*(1+$T102)/12,$S102/12),""))</f>
        <v>0</v>
      </c>
      <c r="AC102" s="59" t="n">
        <f aca="false">IF($R102="Manual","",IFERROR(IF($R102="YOY Growth",$N102*(1+$T102)/12,$S102/12),""))</f>
        <v>0</v>
      </c>
      <c r="AD102" s="59" t="n">
        <f aca="false">IF($R102="Manual","",IFERROR(IF($R102="YOY Growth",$N102*(1+$T102)/12,$S102/12),""))</f>
        <v>0</v>
      </c>
      <c r="AE102" s="59" t="n">
        <f aca="false">IF($R102="Manual","",IFERROR(IF($R102="YOY Growth",$N102*(1+$T102)/12,$S102/12),""))</f>
        <v>0</v>
      </c>
      <c r="AF102" s="59" t="n">
        <f aca="false">IF($R102="Manual","",IFERROR(IF($R102="YOY Growth",$N102*(1+$T102)/12,$S102/12),""))</f>
        <v>0</v>
      </c>
      <c r="AG102" s="12" t="n">
        <f aca="false">SUM(U102:AF102)</f>
        <v>0</v>
      </c>
      <c r="AH102" s="24" t="str">
        <f aca="false">IFERROR(AG102/AG$16,"")</f>
        <v/>
      </c>
      <c r="AI102" s="9"/>
      <c r="AJ102" s="12" t="n">
        <f aca="false">N102-AG102</f>
        <v>11.76</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917.16</v>
      </c>
      <c r="C106" s="12" t="n">
        <v>0</v>
      </c>
      <c r="D106" s="12" t="n">
        <v>0</v>
      </c>
      <c r="E106" s="12" t="n">
        <v>0</v>
      </c>
      <c r="F106" s="12" t="n">
        <v>0</v>
      </c>
      <c r="G106" s="12" t="n">
        <v>0</v>
      </c>
      <c r="H106" s="12" t="n">
        <v>0</v>
      </c>
      <c r="I106" s="12" t="n">
        <v>0</v>
      </c>
      <c r="J106" s="64" t="n">
        <v>0</v>
      </c>
      <c r="K106" s="64" t="n">
        <v>0</v>
      </c>
      <c r="L106" s="64" t="n">
        <v>0</v>
      </c>
      <c r="M106" s="64" t="n">
        <v>0</v>
      </c>
      <c r="N106" s="12" t="n">
        <f aca="false">SUM(B106:M106)</f>
        <v>917.16</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917.16</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6515</v>
      </c>
      <c r="H110" s="12" t="n">
        <v>0</v>
      </c>
      <c r="I110" s="12" t="n">
        <v>0</v>
      </c>
      <c r="J110" s="64" t="n">
        <v>0</v>
      </c>
      <c r="K110" s="64" t="n">
        <v>0</v>
      </c>
      <c r="L110" s="64" t="n">
        <v>0</v>
      </c>
      <c r="M110" s="64" t="n">
        <v>0</v>
      </c>
      <c r="N110" s="12" t="n">
        <f aca="false">SUM(B110:M110)</f>
        <v>6515</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6515</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46455.18</v>
      </c>
      <c r="C116" s="27" t="n">
        <f aca="false">C73+SUM(C74:C80)+C87+SUM(C88:C115)</f>
        <v>41015.37</v>
      </c>
      <c r="D116" s="27" t="n">
        <f aca="false">D73+SUM(D74:D80)+D87+SUM(D88:D115)</f>
        <v>74591.09</v>
      </c>
      <c r="E116" s="27" t="n">
        <f aca="false">E73+SUM(E74:E80)+E87+SUM(E88:E115)</f>
        <v>102797</v>
      </c>
      <c r="F116" s="27" t="n">
        <f aca="false">F73+SUM(F74:F80)+F87+SUM(F88:F115)</f>
        <v>116105.58</v>
      </c>
      <c r="G116" s="27" t="n">
        <f aca="false">G73+SUM(G74:G80)+G87+SUM(G88:G115)</f>
        <v>134734.06</v>
      </c>
      <c r="H116" s="27" t="n">
        <f aca="false">H73+SUM(H74:H80)+H87+SUM(H88:H115)</f>
        <v>65078.17</v>
      </c>
      <c r="I116" s="27" t="n">
        <f aca="false">I73+SUM(I74:I80)+I87+SUM(I88:I115)</f>
        <v>72711.35</v>
      </c>
      <c r="J116" s="27" t="n">
        <f aca="false">J73+SUM(J74:J80)+J87+SUM(J88:J115)</f>
        <v>117839</v>
      </c>
      <c r="K116" s="27" t="n">
        <f aca="false">K73+SUM(K74:K80)+K87+SUM(K88:K115)</f>
        <v>138733</v>
      </c>
      <c r="L116" s="27" t="n">
        <f aca="false">L73+SUM(L74:L80)+L87+SUM(L88:L115)</f>
        <v>144373</v>
      </c>
      <c r="M116" s="27" t="n">
        <f aca="false">M73+SUM(M74:M80)+M87+SUM(M88:M115)</f>
        <v>141373</v>
      </c>
      <c r="N116" s="27" t="n">
        <f aca="false">SUM(B116:M116)</f>
        <v>1195805.8</v>
      </c>
      <c r="O116" s="28" t="str">
        <f aca="false">IFERROR(N116/N$16,"")</f>
        <v/>
      </c>
      <c r="P116" s="12"/>
      <c r="Q116" s="12"/>
      <c r="R116" s="63"/>
      <c r="S116" s="63"/>
      <c r="T116" s="63"/>
      <c r="U116" s="27" t="n">
        <f aca="false">U73+SUM(U74:U80)+U87+SUM(U88:U115)</f>
        <v>74256.4304791667</v>
      </c>
      <c r="V116" s="27" t="n">
        <f aca="false">V73+SUM(V74:V80)+V87+SUM(V88:V115)</f>
        <v>74256.4304791667</v>
      </c>
      <c r="W116" s="27" t="n">
        <f aca="false">W73+SUM(W74:W80)+W87+SUM(W88:W115)</f>
        <v>74256.4304791667</v>
      </c>
      <c r="X116" s="27" t="n">
        <f aca="false">X73+SUM(X74:X80)+X87+SUM(X88:X115)</f>
        <v>74256.4304791667</v>
      </c>
      <c r="Y116" s="27" t="n">
        <f aca="false">Y73+SUM(Y74:Y80)+Y87+SUM(Y88:Y115)</f>
        <v>74256.4304791667</v>
      </c>
      <c r="Z116" s="27" t="n">
        <f aca="false">Z73+SUM(Z74:Z80)+Z87+SUM(Z88:Z115)</f>
        <v>74256.4304791667</v>
      </c>
      <c r="AA116" s="27" t="n">
        <f aca="false">AA73+SUM(AA74:AA80)+AA87+SUM(AA88:AA115)</f>
        <v>74256.4304791667</v>
      </c>
      <c r="AB116" s="27" t="n">
        <f aca="false">AB73+SUM(AB74:AB80)+AB87+SUM(AB88:AB115)</f>
        <v>80929.7638125</v>
      </c>
      <c r="AC116" s="27" t="n">
        <f aca="false">AC73+SUM(AC74:AC80)+AC87+SUM(AC88:AC115)</f>
        <v>80929.7638125</v>
      </c>
      <c r="AD116" s="27" t="n">
        <f aca="false">AD73+SUM(AD74:AD80)+AD87+SUM(AD88:AD115)</f>
        <v>83226.4304925</v>
      </c>
      <c r="AE116" s="27" t="n">
        <f aca="false">AE73+SUM(AE74:AE80)+AE87+SUM(AE88:AE115)</f>
        <v>83226.4304925</v>
      </c>
      <c r="AF116" s="27" t="n">
        <f aca="false">AF73+SUM(AF74:AF80)+AF87+SUM(AF88:AF115)</f>
        <v>83226.4304925</v>
      </c>
      <c r="AG116" s="27" t="n">
        <f aca="false">SUM(U116:AF116)</f>
        <v>931333.832456667</v>
      </c>
      <c r="AH116" s="28" t="str">
        <f aca="false">IFERROR(AG116/AG$16,"")</f>
        <v/>
      </c>
      <c r="AI116" s="9"/>
      <c r="AJ116" s="27" t="n">
        <f aca="false">N116-AG116</f>
        <v>264471.967543333</v>
      </c>
    </row>
    <row r="117" customFormat="false" ht="13.5" hidden="false" customHeight="true" outlineLevel="0" collapsed="false">
      <c r="A117" s="41" t="s">
        <v>1371</v>
      </c>
      <c r="B117" s="27" t="n">
        <f aca="false">B64-B116</f>
        <v>-56010.4</v>
      </c>
      <c r="C117" s="27" t="n">
        <f aca="false">C64-C116</f>
        <v>-46181.75</v>
      </c>
      <c r="D117" s="27" t="n">
        <f aca="false">D64-D116</f>
        <v>-83484.13</v>
      </c>
      <c r="E117" s="27" t="n">
        <f aca="false">E64-E116</f>
        <v>-109548.93</v>
      </c>
      <c r="F117" s="27" t="n">
        <f aca="false">F64-F116</f>
        <v>-133089.38</v>
      </c>
      <c r="G117" s="27" t="n">
        <f aca="false">G64-G116</f>
        <v>-138267.06</v>
      </c>
      <c r="H117" s="27" t="n">
        <f aca="false">H64-H116</f>
        <v>-68900.93</v>
      </c>
      <c r="I117" s="27" t="n">
        <f aca="false">I64-I116</f>
        <v>-79794.05</v>
      </c>
      <c r="J117" s="27" t="n">
        <f aca="false">J64-J116</f>
        <v>-134139</v>
      </c>
      <c r="K117" s="27" t="n">
        <f aca="false">K64-K116</f>
        <v>-155033</v>
      </c>
      <c r="L117" s="27" t="n">
        <f aca="false">L64-L116</f>
        <v>-156273</v>
      </c>
      <c r="M117" s="27" t="n">
        <f aca="false">M64-M116</f>
        <v>-151073</v>
      </c>
      <c r="N117" s="27" t="n">
        <f aca="false">SUM(B117:M117)</f>
        <v>-1311794.63</v>
      </c>
      <c r="O117" s="28" t="str">
        <f aca="false">IFERROR(N117/N$16,"")</f>
        <v/>
      </c>
      <c r="P117" s="12"/>
      <c r="Q117" s="12"/>
      <c r="R117" s="63"/>
      <c r="S117" s="63"/>
      <c r="T117" s="63"/>
      <c r="U117" s="27" t="n">
        <f aca="false">U64-U116</f>
        <v>-92830.3352410714</v>
      </c>
      <c r="V117" s="27" t="n">
        <f aca="false">V64-V116</f>
        <v>-86639.0336537699</v>
      </c>
      <c r="W117" s="27" t="n">
        <f aca="false">W64-W116</f>
        <v>-74256.4304791667</v>
      </c>
      <c r="X117" s="27" t="n">
        <f aca="false">X64-X116</f>
        <v>-103479.37397123</v>
      </c>
      <c r="Y117" s="27" t="n">
        <f aca="false">Y64-Y116</f>
        <v>-97288.0723839286</v>
      </c>
      <c r="Z117" s="27" t="n">
        <f aca="false">Z64-Z116</f>
        <v>-107937.111114087</v>
      </c>
      <c r="AA117" s="27" t="n">
        <f aca="false">AA64-AA116</f>
        <v>-103479.37397123</v>
      </c>
      <c r="AB117" s="27" t="n">
        <f aca="false">AB64-AB116</f>
        <v>-116344.008891865</v>
      </c>
      <c r="AC117" s="27" t="n">
        <f aca="false">AC64-AC116</f>
        <v>-126993.047622024</v>
      </c>
      <c r="AD117" s="27" t="n">
        <f aca="false">AD64-AD116</f>
        <v>-129289.714302024</v>
      </c>
      <c r="AE117" s="27" t="n">
        <f aca="false">AE64-AE116</f>
        <v>-139938.753032183</v>
      </c>
      <c r="AF117" s="27" t="n">
        <f aca="false">AF64-AF116</f>
        <v>-141672.317476627</v>
      </c>
      <c r="AG117" s="27" t="n">
        <f aca="false">SUM(U117:AF117)</f>
        <v>-1320147.57213921</v>
      </c>
      <c r="AH117" s="28" t="str">
        <f aca="false">IFERROR(AG117/AG$16,"")</f>
        <v/>
      </c>
      <c r="AI117" s="9"/>
      <c r="AJ117" s="27" t="n">
        <f aca="false">AG117-N117</f>
        <v>-8352.94213920622</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-56010.4</v>
      </c>
      <c r="C132" s="71" t="n">
        <f aca="false">C117+C131</f>
        <v>-46181.75</v>
      </c>
      <c r="D132" s="71" t="n">
        <f aca="false">D117+D131</f>
        <v>-83484.13</v>
      </c>
      <c r="E132" s="71" t="n">
        <f aca="false">E117+E131</f>
        <v>-109548.93</v>
      </c>
      <c r="F132" s="71" t="n">
        <f aca="false">F117+F131</f>
        <v>-133089.38</v>
      </c>
      <c r="G132" s="71" t="n">
        <f aca="false">G117+G131</f>
        <v>-138267.06</v>
      </c>
      <c r="H132" s="71" t="n">
        <f aca="false">H117+H131</f>
        <v>-68900.93</v>
      </c>
      <c r="I132" s="71" t="n">
        <f aca="false">I117+I131</f>
        <v>-79794.05</v>
      </c>
      <c r="J132" s="71" t="n">
        <f aca="false">J117+J131</f>
        <v>-134139</v>
      </c>
      <c r="K132" s="71" t="n">
        <f aca="false">K117+K131</f>
        <v>-155033</v>
      </c>
      <c r="L132" s="71" t="n">
        <f aca="false">L117+L131</f>
        <v>-156273</v>
      </c>
      <c r="M132" s="71" t="n">
        <f aca="false">M117+M131</f>
        <v>-151073</v>
      </c>
      <c r="N132" s="71" t="n">
        <f aca="false">SUM(B132:M132)</f>
        <v>-1311794.63</v>
      </c>
      <c r="O132" s="72" t="str">
        <f aca="false">IFERROR(N132/N$16,"")</f>
        <v/>
      </c>
      <c r="P132" s="12"/>
      <c r="Q132" s="12"/>
      <c r="R132" s="63"/>
      <c r="S132" s="63"/>
      <c r="T132" s="63"/>
      <c r="U132" s="71" t="n">
        <f aca="false">U117+U131</f>
        <v>-92830.3352410714</v>
      </c>
      <c r="V132" s="71" t="n">
        <f aca="false">V117+V131</f>
        <v>-86639.0336537699</v>
      </c>
      <c r="W132" s="71" t="n">
        <f aca="false">W117+W131</f>
        <v>-74256.4304791667</v>
      </c>
      <c r="X132" s="71" t="n">
        <f aca="false">X117+X131</f>
        <v>-103479.37397123</v>
      </c>
      <c r="Y132" s="71" t="n">
        <f aca="false">Y117+Y131</f>
        <v>-97288.0723839286</v>
      </c>
      <c r="Z132" s="71" t="n">
        <f aca="false">Z117+Z131</f>
        <v>-107937.111114087</v>
      </c>
      <c r="AA132" s="71" t="n">
        <f aca="false">AA117+AA131</f>
        <v>-103479.37397123</v>
      </c>
      <c r="AB132" s="71" t="n">
        <f aca="false">AB117+AB131</f>
        <v>-116344.008891865</v>
      </c>
      <c r="AC132" s="71" t="n">
        <f aca="false">AC117+AC131</f>
        <v>-126993.047622024</v>
      </c>
      <c r="AD132" s="71" t="n">
        <f aca="false">AD117+AD131</f>
        <v>-129289.714302024</v>
      </c>
      <c r="AE132" s="71" t="n">
        <f aca="false">AE117+AE131</f>
        <v>-139938.753032183</v>
      </c>
      <c r="AF132" s="71" t="n">
        <f aca="false">AF117+AF131</f>
        <v>-141672.317476627</v>
      </c>
      <c r="AG132" s="71" t="n">
        <f aca="false">SUM(U132:AF132)</f>
        <v>-1320147.57213921</v>
      </c>
      <c r="AH132" s="72" t="str">
        <f aca="false">IFERROR(AG132/AG$16,"")</f>
        <v/>
      </c>
      <c r="AI132" s="9"/>
      <c r="AJ132" s="71" t="n">
        <f aca="false">AG132-N132</f>
        <v>-8352.94213920622</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38333.32</v>
      </c>
      <c r="C137" s="12" t="n">
        <f aca="false">SUMIF($A$9:$A$132,"*"&amp;$A137&amp;"*",C$9:C$132)</f>
        <v>27897.23</v>
      </c>
      <c r="D137" s="12" t="n">
        <f aca="false">SUMIF($A$9:$A$132,"*"&amp;$A137&amp;"*",D$9:D$132)</f>
        <v>38333.32</v>
      </c>
      <c r="E137" s="12" t="n">
        <f aca="false">SUMIF($A$9:$A$132,"*"&amp;$A137&amp;"*",E$9:E$132)</f>
        <v>48324.65</v>
      </c>
      <c r="F137" s="12" t="n">
        <f aca="false">SUMIF($A$9:$A$132,"*"&amp;$A137&amp;"*",F$9:F$132)</f>
        <v>69698.22</v>
      </c>
      <c r="G137" s="12" t="n">
        <f aca="false">SUMIF($A$9:$A$132,"*"&amp;$A137&amp;"*",G$9:G$132)</f>
        <v>57128.18</v>
      </c>
      <c r="H137" s="12" t="n">
        <f aca="false">SUMIF($A$9:$A$132,"*"&amp;$A137&amp;"*",H$9:H$132)</f>
        <v>57596.54</v>
      </c>
      <c r="I137" s="12" t="n">
        <f aca="false">SUMIF($A$9:$A$132,"*"&amp;$A137&amp;"*",I$9:I$132)</f>
        <v>62503.19</v>
      </c>
      <c r="J137" s="12" t="n">
        <f aca="false">SUMIF($A$9:$A$132,"*"&amp;$A137&amp;"*",J$9:J$132)</f>
        <v>97900</v>
      </c>
      <c r="K137" s="12" t="n">
        <f aca="false">SUMIF($A$9:$A$132,"*"&amp;$A137&amp;"*",K$9:K$132)</f>
        <v>116100</v>
      </c>
      <c r="L137" s="12" t="n">
        <f aca="false">SUMIF($A$9:$A$132,"*"&amp;$A137&amp;"*",L$9:L$132)</f>
        <v>118400</v>
      </c>
      <c r="M137" s="12" t="n">
        <f aca="false">SUMIF($A$9:$A$132,"*"&amp;$A137&amp;"*",M$9:M$132)</f>
        <v>118400</v>
      </c>
      <c r="N137" s="12" t="n">
        <f aca="false">SUMIF($A$9:$A$132,"*"&amp;$A137&amp;"*",N$9:N$132)</f>
        <v>850614.65</v>
      </c>
      <c r="O137" s="24"/>
      <c r="P137" s="9"/>
      <c r="Q137" s="9"/>
      <c r="R137" s="63"/>
      <c r="S137" s="63"/>
      <c r="T137" s="63"/>
      <c r="U137" s="12" t="n">
        <f aca="false">SUMIF($A$9:$A$132,"*"&amp;$A137&amp;"*",U$9:U$132)</f>
        <v>56722.5833333333</v>
      </c>
      <c r="V137" s="12" t="n">
        <f aca="false">SUMIF($A$9:$A$132,"*"&amp;$A137&amp;"*",V$9:V$132)</f>
        <v>56722.5833333333</v>
      </c>
      <c r="W137" s="12" t="n">
        <f aca="false">SUMIF($A$9:$A$132,"*"&amp;$A137&amp;"*",W$9:W$132)</f>
        <v>56722.5833333333</v>
      </c>
      <c r="X137" s="12" t="n">
        <f aca="false">SUMIF($A$9:$A$132,"*"&amp;$A137&amp;"*",X$9:X$132)</f>
        <v>56722.5833333333</v>
      </c>
      <c r="Y137" s="12" t="n">
        <f aca="false">SUMIF($A$9:$A$132,"*"&amp;$A137&amp;"*",Y$9:Y$132)</f>
        <v>56722.5833333333</v>
      </c>
      <c r="Z137" s="12" t="n">
        <f aca="false">SUMIF($A$9:$A$132,"*"&amp;$A137&amp;"*",Z$9:Z$132)</f>
        <v>56722.5833333333</v>
      </c>
      <c r="AA137" s="12" t="n">
        <f aca="false">SUMIF($A$9:$A$132,"*"&amp;$A137&amp;"*",AA$9:AA$132)</f>
        <v>56722.5833333333</v>
      </c>
      <c r="AB137" s="12" t="n">
        <f aca="false">SUMIF($A$9:$A$132,"*"&amp;$A137&amp;"*",AB$9:AB$132)</f>
        <v>62139.25</v>
      </c>
      <c r="AC137" s="12" t="n">
        <f aca="false">SUMIF($A$9:$A$132,"*"&amp;$A137&amp;"*",AC$9:AC$132)</f>
        <v>62139.25</v>
      </c>
      <c r="AD137" s="12" t="n">
        <f aca="false">SUMIF($A$9:$A$132,"*"&amp;$A137&amp;"*",AD$9:AD$132)</f>
        <v>64003.4275</v>
      </c>
      <c r="AE137" s="12" t="n">
        <f aca="false">SUMIF($A$9:$A$132,"*"&amp;$A137&amp;"*",AE$9:AE$132)</f>
        <v>64003.4275</v>
      </c>
      <c r="AF137" s="12" t="n">
        <f aca="false">SUMIF($A$9:$A$132,"*"&amp;$A137&amp;"*",AF$9:AF$132)</f>
        <v>64003.4275</v>
      </c>
      <c r="AG137" s="12" t="n">
        <f aca="false">SUMIF($A$9:$A$132,"*"&amp;$A137&amp;"*",AG$9:AG$132)</f>
        <v>713346.865833333</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2025.41</v>
      </c>
      <c r="C139" s="12" t="n">
        <f aca="false">SUMIF($A$9:$A$132,"*"&amp;$A139&amp;"*",C$9:C$132)</f>
        <v>6652.05</v>
      </c>
      <c r="D139" s="12" t="n">
        <f aca="false">SUMIF($A$9:$A$132,"*"&amp;$A139&amp;"*",D$9:D$132)</f>
        <v>1617.41</v>
      </c>
      <c r="E139" s="12" t="n">
        <f aca="false">SUMIF($A$9:$A$132,"*"&amp;$A139&amp;"*",E$9:E$132)</f>
        <v>1966.43</v>
      </c>
      <c r="F139" s="12" t="n">
        <f aca="false">SUMIF($A$9:$A$132,"*"&amp;$A139&amp;"*",F$9:F$132)</f>
        <v>2481.03</v>
      </c>
      <c r="G139" s="12" t="n">
        <f aca="false">SUMIF($A$9:$A$132,"*"&amp;$A139&amp;"*",G$9:G$132)</f>
        <v>1978.27</v>
      </c>
      <c r="H139" s="12" t="n">
        <f aca="false">SUMIF($A$9:$A$132,"*"&amp;$A139&amp;"*",H$9:H$132)</f>
        <v>1940.51</v>
      </c>
      <c r="I139" s="12" t="n">
        <f aca="false">SUMIF($A$9:$A$132,"*"&amp;$A139&amp;"*",I$9:I$132)</f>
        <v>3746.33</v>
      </c>
      <c r="J139" s="12" t="n">
        <f aca="false">SUMIF($A$9:$A$132,"*"&amp;$A139&amp;"*",J$9:J$132)</f>
        <v>3916</v>
      </c>
      <c r="K139" s="12" t="n">
        <f aca="false">SUMIF($A$9:$A$132,"*"&amp;$A139&amp;"*",K$9:K$132)</f>
        <v>4644</v>
      </c>
      <c r="L139" s="12" t="n">
        <f aca="false">SUMIF($A$9:$A$132,"*"&amp;$A139&amp;"*",L$9:L$132)</f>
        <v>4736</v>
      </c>
      <c r="M139" s="12" t="n">
        <f aca="false">SUMIF($A$9:$A$132,"*"&amp;$A139&amp;"*",M$9:M$132)</f>
        <v>4736</v>
      </c>
      <c r="N139" s="12" t="n">
        <f aca="false">SUMIF($A$9:$A$132,"*"&amp;$A139&amp;"*",N$9:N$132)</f>
        <v>40439.44</v>
      </c>
      <c r="O139" s="12"/>
      <c r="P139" s="12"/>
      <c r="Q139" s="12"/>
      <c r="R139" s="63"/>
      <c r="S139" s="63"/>
      <c r="T139" s="63"/>
      <c r="U139" s="12" t="n">
        <f aca="false">SUMIF($A$9:$A$132,"*"&amp;$A139&amp;"*",U$9:U$132)</f>
        <v>3857.13566666667</v>
      </c>
      <c r="V139" s="12" t="n">
        <f aca="false">SUMIF($A$9:$A$132,"*"&amp;$A139&amp;"*",V$9:V$132)</f>
        <v>3857.13566666667</v>
      </c>
      <c r="W139" s="12" t="n">
        <f aca="false">SUMIF($A$9:$A$132,"*"&amp;$A139&amp;"*",W$9:W$132)</f>
        <v>3857.13566666667</v>
      </c>
      <c r="X139" s="12" t="n">
        <f aca="false">SUMIF($A$9:$A$132,"*"&amp;$A139&amp;"*",X$9:X$132)</f>
        <v>3857.13566666667</v>
      </c>
      <c r="Y139" s="12" t="n">
        <f aca="false">SUMIF($A$9:$A$132,"*"&amp;$A139&amp;"*",Y$9:Y$132)</f>
        <v>3857.13566666667</v>
      </c>
      <c r="Z139" s="12" t="n">
        <f aca="false">SUMIF($A$9:$A$132,"*"&amp;$A139&amp;"*",Z$9:Z$132)</f>
        <v>3857.13566666667</v>
      </c>
      <c r="AA139" s="12" t="n">
        <f aca="false">SUMIF($A$9:$A$132,"*"&amp;$A139&amp;"*",AA$9:AA$132)</f>
        <v>3857.13566666667</v>
      </c>
      <c r="AB139" s="12" t="n">
        <f aca="false">SUMIF($A$9:$A$132,"*"&amp;$A139&amp;"*",AB$9:AB$132)</f>
        <v>4225.469</v>
      </c>
      <c r="AC139" s="12" t="n">
        <f aca="false">SUMIF($A$9:$A$132,"*"&amp;$A139&amp;"*",AC$9:AC$132)</f>
        <v>4225.469</v>
      </c>
      <c r="AD139" s="12" t="n">
        <f aca="false">SUMIF($A$9:$A$132,"*"&amp;$A139&amp;"*",AD$9:AD$132)</f>
        <v>4352.23307</v>
      </c>
      <c r="AE139" s="12" t="n">
        <f aca="false">SUMIF($A$9:$A$132,"*"&amp;$A139&amp;"*",AE$9:AE$132)</f>
        <v>4352.23307</v>
      </c>
      <c r="AF139" s="12" t="n">
        <f aca="false">SUMIF($A$9:$A$132,"*"&amp;$A139&amp;"*",AF$9:AF$132)</f>
        <v>4352.23307</v>
      </c>
      <c r="AG139" s="12" t="n">
        <f aca="false">SUMIF($A$9:$A$132,"*"&amp;$A139&amp;"*",AG$9:AG$132)</f>
        <v>48507.5868766667</v>
      </c>
      <c r="AH139" s="12"/>
      <c r="AI139" s="9"/>
      <c r="AJ139" s="12"/>
    </row>
    <row r="140" customFormat="false" ht="13.5" hidden="false" customHeight="true" outlineLevel="0" collapsed="false">
      <c r="A140" s="23" t="s">
        <v>1390</v>
      </c>
      <c r="B140" s="12" t="n">
        <f aca="false">SUMIF($A$9:$A$132,"*"&amp;$A140&amp;"*",B$9:B$132)</f>
        <v>2047.73</v>
      </c>
      <c r="C140" s="12" t="n">
        <f aca="false">SUMIF($A$9:$A$132,"*"&amp;$A140&amp;"*",C$9:C$132)</f>
        <v>5252.34</v>
      </c>
      <c r="D140" s="12" t="n">
        <f aca="false">SUMIF($A$9:$A$132,"*"&amp;$A140&amp;"*",D$9:D$132)</f>
        <v>3981.87</v>
      </c>
      <c r="E140" s="12" t="n">
        <f aca="false">SUMIF($A$9:$A$132,"*"&amp;$A140&amp;"*",E$9:E$132)</f>
        <v>4255.59</v>
      </c>
      <c r="F140" s="12" t="n">
        <f aca="false">SUMIF($A$9:$A$132,"*"&amp;$A140&amp;"*",F$9:F$132)</f>
        <v>4157.09</v>
      </c>
      <c r="G140" s="12" t="n">
        <f aca="false">SUMIF($A$9:$A$132,"*"&amp;$A140&amp;"*",G$9:G$132)</f>
        <v>4325.33</v>
      </c>
      <c r="H140" s="12" t="n">
        <f aca="false">SUMIF($A$9:$A$132,"*"&amp;$A140&amp;"*",H$9:H$132)</f>
        <v>3959.5</v>
      </c>
      <c r="I140" s="12" t="n">
        <f aca="false">SUMIF($A$9:$A$132,"*"&amp;$A140&amp;"*",I$9:I$132)</f>
        <v>3814.97</v>
      </c>
      <c r="J140" s="12" t="n">
        <f aca="false">SUMIF($A$9:$A$132,"*"&amp;$A140&amp;"*",J$9:J$132)</f>
        <v>10573</v>
      </c>
      <c r="K140" s="12" t="n">
        <f aca="false">SUMIF($A$9:$A$132,"*"&amp;$A140&amp;"*",K$9:K$132)</f>
        <v>12539</v>
      </c>
      <c r="L140" s="12" t="n">
        <f aca="false">SUMIF($A$9:$A$132,"*"&amp;$A140&amp;"*",L$9:L$132)</f>
        <v>12787</v>
      </c>
      <c r="M140" s="12" t="n">
        <f aca="false">SUMIF($A$9:$A$132,"*"&amp;$A140&amp;"*",M$9:M$132)</f>
        <v>12787</v>
      </c>
      <c r="N140" s="12" t="n">
        <f aca="false">SUMIF($A$9:$A$132,"*"&amp;$A140&amp;"*",N$9:N$132)</f>
        <v>80480.42</v>
      </c>
      <c r="O140" s="12"/>
      <c r="P140" s="12"/>
      <c r="Q140" s="12"/>
      <c r="R140" s="63"/>
      <c r="S140" s="63"/>
      <c r="T140" s="63"/>
      <c r="U140" s="12" t="n">
        <f aca="false">SUMIF($A$9:$A$132,"*"&amp;$A140&amp;"*",U$9:U$132)</f>
        <v>9302.50366666667</v>
      </c>
      <c r="V140" s="12" t="n">
        <f aca="false">SUMIF($A$9:$A$132,"*"&amp;$A140&amp;"*",V$9:V$132)</f>
        <v>9302.50366666667</v>
      </c>
      <c r="W140" s="12" t="n">
        <f aca="false">SUMIF($A$9:$A$132,"*"&amp;$A140&amp;"*",W$9:W$132)</f>
        <v>9302.50366666667</v>
      </c>
      <c r="X140" s="12" t="n">
        <f aca="false">SUMIF($A$9:$A$132,"*"&amp;$A140&amp;"*",X$9:X$132)</f>
        <v>9302.50366666667</v>
      </c>
      <c r="Y140" s="12" t="n">
        <f aca="false">SUMIF($A$9:$A$132,"*"&amp;$A140&amp;"*",Y$9:Y$132)</f>
        <v>9302.50366666667</v>
      </c>
      <c r="Z140" s="12" t="n">
        <f aca="false">SUMIF($A$9:$A$132,"*"&amp;$A140&amp;"*",Z$9:Z$132)</f>
        <v>9302.50366666667</v>
      </c>
      <c r="AA140" s="12" t="n">
        <f aca="false">SUMIF($A$9:$A$132,"*"&amp;$A140&amp;"*",AA$9:AA$132)</f>
        <v>9302.50366666667</v>
      </c>
      <c r="AB140" s="12" t="n">
        <f aca="false">SUMIF($A$9:$A$132,"*"&amp;$A140&amp;"*",AB$9:AB$132)</f>
        <v>10190.837</v>
      </c>
      <c r="AC140" s="12" t="n">
        <f aca="false">SUMIF($A$9:$A$132,"*"&amp;$A140&amp;"*",AC$9:AC$132)</f>
        <v>10190.837</v>
      </c>
      <c r="AD140" s="12" t="n">
        <f aca="false">SUMIF($A$9:$A$132,"*"&amp;$A140&amp;"*",AD$9:AD$132)</f>
        <v>10496.56211</v>
      </c>
      <c r="AE140" s="12" t="n">
        <f aca="false">SUMIF($A$9:$A$132,"*"&amp;$A140&amp;"*",AE$9:AE$132)</f>
        <v>10496.56211</v>
      </c>
      <c r="AF140" s="12" t="n">
        <f aca="false">SUMIF($A$9:$A$132,"*"&amp;$A140&amp;"*",AF$9:AF$132)</f>
        <v>10496.56211</v>
      </c>
      <c r="AG140" s="12" t="n">
        <f aca="false">SUMIF($A$9:$A$132,"*"&amp;$A140&amp;"*",AG$9:AG$132)</f>
        <v>116988.885996667</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0.106255863045518</v>
      </c>
      <c r="C142" s="24" t="n">
        <f aca="false">IFERROR(SUM(C139:C140)/SUM(C137:C138),"")</f>
        <v>0.426723011567815</v>
      </c>
      <c r="D142" s="24" t="n">
        <f aca="false">IFERROR(SUM(D139:D140)/SUM(D137:D138),"")</f>
        <v>0.146068224719383</v>
      </c>
      <c r="E142" s="24" t="n">
        <f aca="false">IFERROR(SUM(E139:E140)/SUM(E137:E138),"")</f>
        <v>0.128754579702078</v>
      </c>
      <c r="F142" s="24" t="n">
        <f aca="false">IFERROR(SUM(F139:F140)/SUM(F137:F138),"")</f>
        <v>0.0952408827657292</v>
      </c>
      <c r="G142" s="24" t="n">
        <f aca="false">IFERROR(SUM(G139:G140)/SUM(G137:G138),"")</f>
        <v>0.11034134117348</v>
      </c>
      <c r="H142" s="24" t="n">
        <f aca="false">IFERROR(SUM(H139:H140)/SUM(H137:H138),"")</f>
        <v>0.102436882493289</v>
      </c>
      <c r="I142" s="24" t="n">
        <f aca="false">IFERROR(SUM(I139:I140)/SUM(I137:I138),"")</f>
        <v>0.120974625455117</v>
      </c>
      <c r="J142" s="24" t="n">
        <f aca="false">IFERROR(SUM(J139:J140)/SUM(J137:J138),"")</f>
        <v>0.147997957099081</v>
      </c>
      <c r="K142" s="24" t="n">
        <f aca="false">IFERROR(SUM(K139:K140)/SUM(K137:K138),"")</f>
        <v>0.148001722652885</v>
      </c>
      <c r="L142" s="24" t="n">
        <f aca="false">IFERROR(SUM(L139:L140)/SUM(L137:L138),"")</f>
        <v>0.147998310810811</v>
      </c>
      <c r="M142" s="24" t="n">
        <f aca="false">IFERROR(SUM(M139:M140)/SUM(M137:M138),"")</f>
        <v>0.147998310810811</v>
      </c>
      <c r="N142" s="24" t="n">
        <f aca="false">IFERROR(SUM(N139:N140)/SUM(N137:N138),"")</f>
        <v>0.142155863410065</v>
      </c>
      <c r="O142" s="24"/>
      <c r="P142" s="24"/>
      <c r="Q142" s="24"/>
      <c r="R142" s="63"/>
      <c r="S142" s="63"/>
      <c r="T142" s="63"/>
      <c r="U142" s="24" t="n">
        <f aca="false">IFERROR(SUM(U139:U140)/SUM(U137:U138),"")</f>
        <v>0.232</v>
      </c>
      <c r="V142" s="24" t="n">
        <f aca="false">IFERROR(SUM(V139:V140)/SUM(V137:V138),"")</f>
        <v>0.232</v>
      </c>
      <c r="W142" s="24" t="n">
        <f aca="false">IFERROR(SUM(W139:W140)/SUM(W137:W138),"")</f>
        <v>0.232</v>
      </c>
      <c r="X142" s="24" t="n">
        <f aca="false">IFERROR(SUM(X139:X140)/SUM(X137:X138),"")</f>
        <v>0.232</v>
      </c>
      <c r="Y142" s="24" t="n">
        <f aca="false">IFERROR(SUM(Y139:Y140)/SUM(Y137:Y138),"")</f>
        <v>0.232</v>
      </c>
      <c r="Z142" s="24" t="n">
        <f aca="false">IFERROR(SUM(Z139:Z140)/SUM(Z137:Z138),"")</f>
        <v>0.232</v>
      </c>
      <c r="AA142" s="24" t="n">
        <f aca="false">IFERROR(SUM(AA139:AA140)/SUM(AA137:AA138),"")</f>
        <v>0.232</v>
      </c>
      <c r="AB142" s="24" t="n">
        <f aca="false">IFERROR(SUM(AB139:AB140)/SUM(AB137:AB138),"")</f>
        <v>0.232</v>
      </c>
      <c r="AC142" s="24" t="n">
        <f aca="false">IFERROR(SUM(AC139:AC140)/SUM(AC137:AC138),"")</f>
        <v>0.232</v>
      </c>
      <c r="AD142" s="24" t="n">
        <f aca="false">IFERROR(SUM(AD139:AD140)/SUM(AD137:AD138),"")</f>
        <v>0.232</v>
      </c>
      <c r="AE142" s="24" t="n">
        <f aca="false">IFERROR(SUM(AE139:AE140)/SUM(AE137:AE138),"")</f>
        <v>0.232</v>
      </c>
      <c r="AF142" s="24" t="n">
        <f aca="false">IFERROR(SUM(AF139:AF140)/SUM(AF137:AF138),"")</f>
        <v>0.232</v>
      </c>
      <c r="AG142" s="24" t="n">
        <f aca="false">IFERROR(SUM(AG139:AG140)/SUM(AG137:AG138),"")</f>
        <v>0.232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c r="Z146" s="9"/>
      <c r="AA146" s="9"/>
      <c r="AB146" s="9"/>
      <c r="AC146" s="9"/>
      <c r="AD146" s="9"/>
      <c r="AE146" s="9"/>
      <c r="AF146" s="9"/>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3E5A1"/>
    <pageSetUpPr fitToPage="false"/>
  </sheetPr>
  <dimension ref="A1:A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B9" activeCellId="0" sqref="B9"/>
    </sheetView>
  </sheetViews>
  <sheetFormatPr defaultColWidth="14.43359375" defaultRowHeight="15" zeroHeight="false" outlineLevelRow="0" outlineLevelCol="1"/>
  <cols>
    <col collapsed="false" customWidth="true" hidden="false" outlineLevel="0" max="1" min="1" style="6" width="54.71"/>
    <col collapsed="false" customWidth="true" hidden="false" outlineLevel="1" max="13" min="2" style="6" width="11.29"/>
    <col collapsed="false" customWidth="true" hidden="false" outlineLevel="0" max="14" min="14" style="6" width="14.29"/>
    <col collapsed="false" customWidth="true" hidden="false" outlineLevel="0" max="15" min="15" style="6" width="12.71"/>
    <col collapsed="false" customWidth="true" hidden="false" outlineLevel="0" max="17" min="16" style="6" width="6.71"/>
    <col collapsed="false" customWidth="true" hidden="false" outlineLevel="0" max="18" min="18" style="6" width="15"/>
    <col collapsed="false" customWidth="true" hidden="false" outlineLevel="0" max="19" min="19" style="6" width="13.71"/>
    <col collapsed="false" customWidth="true" hidden="false" outlineLevel="0" max="20" min="20" style="6" width="12.71"/>
    <col collapsed="false" customWidth="true" hidden="false" outlineLevel="1" max="32" min="21" style="6" width="11.29"/>
    <col collapsed="false" customWidth="true" hidden="false" outlineLevel="0" max="33" min="33" style="6" width="14.29"/>
    <col collapsed="false" customWidth="true" hidden="false" outlineLevel="0" max="34" min="34" style="6" width="12.71"/>
    <col collapsed="false" customWidth="true" hidden="false" outlineLevel="0" max="35" min="35" style="6" width="7.43"/>
    <col collapsed="false" customWidth="true" hidden="false" outlineLevel="0" max="36" min="36" style="6" width="13.15"/>
  </cols>
  <sheetData>
    <row r="1" customFormat="false" ht="13.5" hidden="false" customHeight="true" outlineLevel="0" collapsed="false">
      <c r="A1" s="54" t="s">
        <v>1418</v>
      </c>
      <c r="B1" s="9"/>
      <c r="C1" s="9"/>
      <c r="D1" s="9"/>
      <c r="E1" s="9"/>
      <c r="F1" s="9"/>
      <c r="G1" s="9"/>
      <c r="H1" s="9"/>
      <c r="I1" s="9"/>
      <c r="J1" s="9"/>
      <c r="K1" s="9"/>
      <c r="L1" s="9"/>
      <c r="M1" s="9"/>
      <c r="N1" s="9"/>
      <c r="O1" s="9"/>
      <c r="P1" s="9"/>
      <c r="Q1" s="9"/>
      <c r="R1" s="9"/>
      <c r="S1" s="9"/>
      <c r="T1" s="9"/>
      <c r="U1" s="55"/>
      <c r="V1" s="55"/>
      <c r="W1" s="55"/>
      <c r="X1" s="55"/>
      <c r="Y1" s="55"/>
      <c r="Z1" s="55"/>
      <c r="AA1" s="55"/>
      <c r="AB1" s="55"/>
      <c r="AC1" s="55"/>
      <c r="AD1" s="55"/>
      <c r="AE1" s="55"/>
      <c r="AF1" s="55"/>
      <c r="AG1" s="9"/>
      <c r="AH1" s="9"/>
      <c r="AI1" s="9"/>
      <c r="AJ1" s="9"/>
    </row>
    <row r="2" customFormat="false" ht="13.5" hidden="false" customHeight="true" outlineLevel="0" collapsed="false">
      <c r="A2" s="10" t="s">
        <v>1244</v>
      </c>
      <c r="B2" s="9"/>
      <c r="C2" s="9"/>
      <c r="D2" s="9"/>
      <c r="E2" s="9"/>
      <c r="F2" s="9"/>
      <c r="G2" s="9"/>
      <c r="H2" s="9"/>
      <c r="I2" s="9"/>
      <c r="J2" s="9"/>
      <c r="K2" s="9"/>
      <c r="L2" s="9"/>
      <c r="M2" s="9"/>
      <c r="N2" s="9"/>
      <c r="O2" s="9"/>
      <c r="P2" s="9"/>
      <c r="Q2" s="9"/>
      <c r="R2" s="9"/>
      <c r="S2" s="9"/>
      <c r="T2" s="9"/>
      <c r="U2" s="55"/>
      <c r="V2" s="55"/>
      <c r="W2" s="55"/>
      <c r="X2" s="55"/>
      <c r="Y2" s="55"/>
      <c r="Z2" s="55"/>
      <c r="AA2" s="55"/>
      <c r="AB2" s="55"/>
      <c r="AC2" s="55"/>
      <c r="AD2" s="55"/>
      <c r="AE2" s="55"/>
      <c r="AF2" s="55"/>
      <c r="AG2" s="9"/>
      <c r="AH2" s="9"/>
      <c r="AI2" s="9"/>
      <c r="AJ2" s="9"/>
    </row>
    <row r="3" customFormat="false" ht="13.5" hidden="false" customHeight="true" outlineLevel="0" collapsed="false">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customFormat="false" ht="13.5" hidden="false" customHeight="true" outlineLevel="0" collapsed="false">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customFormat="false" ht="13.5" hidden="false" customHeight="true" outlineLevel="0" collapsed="false">
      <c r="A5" s="9"/>
      <c r="B5" s="9"/>
      <c r="C5" s="9"/>
      <c r="D5" s="9"/>
      <c r="E5" s="9"/>
      <c r="F5" s="9"/>
      <c r="G5" s="9"/>
      <c r="H5" s="9"/>
      <c r="I5" s="9"/>
      <c r="J5" s="9"/>
      <c r="K5" s="9"/>
      <c r="L5" s="9"/>
      <c r="M5" s="9"/>
      <c r="N5" s="9"/>
      <c r="O5" s="9"/>
      <c r="P5" s="9"/>
      <c r="Q5" s="9"/>
      <c r="R5" s="9"/>
      <c r="S5" s="9"/>
      <c r="T5" s="9"/>
      <c r="U5" s="56"/>
      <c r="V5" s="56"/>
      <c r="W5" s="56"/>
      <c r="X5" s="56"/>
      <c r="Y5" s="56"/>
      <c r="Z5" s="56"/>
      <c r="AA5" s="56"/>
      <c r="AB5" s="56"/>
      <c r="AC5" s="56"/>
      <c r="AD5" s="56"/>
      <c r="AE5" s="56"/>
      <c r="AF5" s="56"/>
      <c r="AG5" s="9"/>
      <c r="AH5" s="9"/>
      <c r="AI5" s="9"/>
      <c r="AJ5" s="9"/>
    </row>
    <row r="6" customFormat="false" ht="13.5" hidden="false" customHeight="true" outlineLevel="0" collapsed="false">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customFormat="false" ht="13.5" hidden="false" customHeight="true" outlineLevel="0" collapsed="false">
      <c r="A7" s="13"/>
      <c r="B7" s="14" t="s">
        <v>1245</v>
      </c>
      <c r="C7" s="14" t="s">
        <v>1245</v>
      </c>
      <c r="D7" s="14" t="s">
        <v>1245</v>
      </c>
      <c r="E7" s="14" t="s">
        <v>1245</v>
      </c>
      <c r="F7" s="14" t="s">
        <v>1245</v>
      </c>
      <c r="G7" s="14" t="s">
        <v>1245</v>
      </c>
      <c r="H7" s="14" t="s">
        <v>1245</v>
      </c>
      <c r="I7" s="14" t="s">
        <v>1245</v>
      </c>
      <c r="J7" s="15" t="s">
        <v>1246</v>
      </c>
      <c r="K7" s="15" t="s">
        <v>1246</v>
      </c>
      <c r="L7" s="15" t="s">
        <v>1246</v>
      </c>
      <c r="M7" s="15" t="s">
        <v>1246</v>
      </c>
      <c r="N7" s="15" t="s">
        <v>1246</v>
      </c>
      <c r="O7" s="15" t="s">
        <v>1246</v>
      </c>
      <c r="P7" s="9"/>
      <c r="Q7" s="9"/>
      <c r="R7" s="57"/>
      <c r="S7" s="58" t="s">
        <v>1393</v>
      </c>
      <c r="T7" s="58" t="s">
        <v>1248</v>
      </c>
      <c r="U7" s="16" t="s">
        <v>1247</v>
      </c>
      <c r="V7" s="16" t="s">
        <v>1247</v>
      </c>
      <c r="W7" s="16" t="s">
        <v>1247</v>
      </c>
      <c r="X7" s="16" t="s">
        <v>1247</v>
      </c>
      <c r="Y7" s="16" t="s">
        <v>1247</v>
      </c>
      <c r="Z7" s="16" t="s">
        <v>1247</v>
      </c>
      <c r="AA7" s="16" t="s">
        <v>1247</v>
      </c>
      <c r="AB7" s="16" t="s">
        <v>1247</v>
      </c>
      <c r="AC7" s="16" t="s">
        <v>1247</v>
      </c>
      <c r="AD7" s="16" t="s">
        <v>1247</v>
      </c>
      <c r="AE7" s="16" t="s">
        <v>1247</v>
      </c>
      <c r="AF7" s="16" t="s">
        <v>1247</v>
      </c>
      <c r="AG7" s="16" t="s">
        <v>1247</v>
      </c>
      <c r="AH7" s="16" t="s">
        <v>1247</v>
      </c>
      <c r="AI7" s="9"/>
      <c r="AJ7" s="17" t="s">
        <v>1248</v>
      </c>
    </row>
    <row r="8" customFormat="false" ht="13.5" hidden="false" customHeight="true" outlineLevel="0" collapsed="false">
      <c r="A8" s="13" t="s">
        <v>1249</v>
      </c>
      <c r="B8" s="18" t="s">
        <v>1250</v>
      </c>
      <c r="C8" s="18" t="s">
        <v>1251</v>
      </c>
      <c r="D8" s="18" t="s">
        <v>1252</v>
      </c>
      <c r="E8" s="18" t="s">
        <v>1253</v>
      </c>
      <c r="F8" s="18" t="s">
        <v>1254</v>
      </c>
      <c r="G8" s="18" t="s">
        <v>1255</v>
      </c>
      <c r="H8" s="18" t="s">
        <v>1256</v>
      </c>
      <c r="I8" s="18" t="s">
        <v>1257</v>
      </c>
      <c r="J8" s="18" t="s">
        <v>1258</v>
      </c>
      <c r="K8" s="18" t="s">
        <v>1259</v>
      </c>
      <c r="L8" s="18" t="s">
        <v>1260</v>
      </c>
      <c r="M8" s="18" t="s">
        <v>1261</v>
      </c>
      <c r="N8" s="14" t="n">
        <v>2026</v>
      </c>
      <c r="O8" s="14" t="s">
        <v>1262</v>
      </c>
      <c r="P8" s="9"/>
      <c r="Q8" s="9"/>
      <c r="R8" s="57" t="s">
        <v>1394</v>
      </c>
      <c r="S8" s="58" t="s">
        <v>1395</v>
      </c>
      <c r="T8" s="58" t="s">
        <v>1396</v>
      </c>
      <c r="U8" s="19" t="s">
        <v>1250</v>
      </c>
      <c r="V8" s="19" t="s">
        <v>1251</v>
      </c>
      <c r="W8" s="19" t="s">
        <v>1252</v>
      </c>
      <c r="X8" s="19" t="s">
        <v>1253</v>
      </c>
      <c r="Y8" s="19" t="s">
        <v>1254</v>
      </c>
      <c r="Z8" s="19" t="s">
        <v>1255</v>
      </c>
      <c r="AA8" s="19" t="s">
        <v>1256</v>
      </c>
      <c r="AB8" s="19" t="s">
        <v>1257</v>
      </c>
      <c r="AC8" s="19" t="s">
        <v>1258</v>
      </c>
      <c r="AD8" s="19" t="s">
        <v>1259</v>
      </c>
      <c r="AE8" s="19" t="s">
        <v>1260</v>
      </c>
      <c r="AF8" s="19" t="s">
        <v>1261</v>
      </c>
      <c r="AG8" s="19" t="s">
        <v>1263</v>
      </c>
      <c r="AH8" s="16" t="s">
        <v>1262</v>
      </c>
      <c r="AI8" s="9"/>
      <c r="AJ8" s="20" t="s">
        <v>1264</v>
      </c>
    </row>
    <row r="9" customFormat="false" ht="13.5" hidden="false" customHeight="true" outlineLevel="0" collapsed="false">
      <c r="A9" s="21" t="s">
        <v>1265</v>
      </c>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9"/>
      <c r="AI9" s="9"/>
      <c r="AJ9" s="9"/>
    </row>
    <row r="10" customFormat="false" ht="13.5" hidden="false" customHeight="true" outlineLevel="0" collapsed="false">
      <c r="A10" s="22" t="s">
        <v>1266</v>
      </c>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9"/>
      <c r="AI10" s="9"/>
      <c r="AJ10" s="9"/>
    </row>
    <row r="11" customFormat="false" ht="13.5" hidden="false" customHeight="true" outlineLevel="0" collapsed="false">
      <c r="A11" s="22" t="s">
        <v>1267</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9"/>
      <c r="AI11" s="9"/>
      <c r="AJ11" s="9"/>
    </row>
    <row r="12" customFormat="false" ht="13.5" hidden="false" customHeight="true" outlineLevel="0" collapsed="false">
      <c r="A12" s="23" t="s">
        <v>1268</v>
      </c>
      <c r="B12" s="12" t="n">
        <v>0</v>
      </c>
      <c r="C12" s="12" t="n">
        <v>0</v>
      </c>
      <c r="D12" s="12" t="n">
        <v>0</v>
      </c>
      <c r="E12" s="12" t="n">
        <v>0</v>
      </c>
      <c r="F12" s="12" t="n">
        <v>0</v>
      </c>
      <c r="G12" s="12" t="n">
        <v>0</v>
      </c>
      <c r="H12" s="12" t="n">
        <v>0</v>
      </c>
      <c r="I12" s="12" t="n">
        <v>0</v>
      </c>
      <c r="J12" s="59"/>
      <c r="K12" s="59"/>
      <c r="L12" s="59"/>
      <c r="M12" s="59"/>
      <c r="N12" s="12" t="n">
        <f aca="false">SUM(B12:M12)</f>
        <v>0</v>
      </c>
      <c r="O12" s="24" t="str">
        <f aca="false">IFERROR(N12/N$16,"")</f>
        <v/>
      </c>
      <c r="P12" s="12"/>
      <c r="Q12" s="12"/>
      <c r="R12" s="60" t="s">
        <v>1397</v>
      </c>
      <c r="S12" s="61"/>
      <c r="T12" s="62" t="n">
        <v>0.05</v>
      </c>
      <c r="U12" s="59" t="n">
        <f aca="false">IF($R12="Manual","",IFERROR(IF($R12="YOY Growth",$N12*(1+$T12)/12,$S12/12),""))</f>
        <v>0</v>
      </c>
      <c r="V12" s="59" t="n">
        <f aca="false">IF($R12="Manual","",IFERROR(IF($R12="YOY Growth",$N12*(1+$T12)/12,$S12/12),""))</f>
        <v>0</v>
      </c>
      <c r="W12" s="59" t="n">
        <f aca="false">IF($R12="Manual","",IFERROR(IF($R12="YOY Growth",$N12*(1+$T12)/12,$S12/12),""))</f>
        <v>0</v>
      </c>
      <c r="X12" s="59" t="n">
        <f aca="false">IF($R12="Manual","",IFERROR(IF($R12="YOY Growth",$N12*(1+$T12)/12,$S12/12),""))</f>
        <v>0</v>
      </c>
      <c r="Y12" s="59" t="n">
        <f aca="false">IF($R12="Manual","",IFERROR(IF($R12="YOY Growth",$N12*(1+$T12)/12,$S12/12),""))</f>
        <v>0</v>
      </c>
      <c r="Z12" s="59" t="n">
        <f aca="false">IF($R12="Manual","",IFERROR(IF($R12="YOY Growth",$N12*(1+$T12)/12,$S12/12),""))</f>
        <v>0</v>
      </c>
      <c r="AA12" s="59" t="n">
        <f aca="false">IF($R12="Manual","",IFERROR(IF($R12="YOY Growth",$N12*(1+$T12)/12,$S12/12),""))</f>
        <v>0</v>
      </c>
      <c r="AB12" s="59" t="n">
        <f aca="false">IF($R12="Manual","",IFERROR(IF($R12="YOY Growth",$N12*(1+$T12)/12,$S12/12),""))</f>
        <v>0</v>
      </c>
      <c r="AC12" s="59" t="n">
        <f aca="false">IF($R12="Manual","",IFERROR(IF($R12="YOY Growth",$N12*(1+$T12)/12,$S12/12),""))</f>
        <v>0</v>
      </c>
      <c r="AD12" s="59" t="n">
        <f aca="false">IF($R12="Manual","",IFERROR(IF($R12="YOY Growth",$N12*(1+$T12)/12,$S12/12),""))</f>
        <v>0</v>
      </c>
      <c r="AE12" s="59" t="n">
        <f aca="false">IF($R12="Manual","",IFERROR(IF($R12="YOY Growth",$N12*(1+$T12)/12,$S12/12),""))</f>
        <v>0</v>
      </c>
      <c r="AF12" s="59" t="n">
        <f aca="false">IF($R12="Manual","",IFERROR(IF($R12="YOY Growth",$N12*(1+$T12)/12,$S12/12),""))</f>
        <v>0</v>
      </c>
      <c r="AG12" s="12" t="n">
        <f aca="false">SUM(U12:AF12)</f>
        <v>0</v>
      </c>
      <c r="AH12" s="24" t="str">
        <f aca="false">IFERROR(AG12/AG$16,"")</f>
        <v/>
      </c>
      <c r="AI12" s="9"/>
      <c r="AJ12" s="12" t="n">
        <f aca="false">AG12-N12</f>
        <v>0</v>
      </c>
    </row>
    <row r="13" customFormat="false" ht="13.5" hidden="false" customHeight="true" outlineLevel="0" collapsed="false">
      <c r="A13" s="23" t="s">
        <v>1269</v>
      </c>
      <c r="B13" s="12" t="n">
        <v>0</v>
      </c>
      <c r="C13" s="12" t="n">
        <v>0</v>
      </c>
      <c r="D13" s="12" t="n">
        <v>0</v>
      </c>
      <c r="E13" s="12" t="n">
        <v>0</v>
      </c>
      <c r="F13" s="12" t="n">
        <v>0</v>
      </c>
      <c r="G13" s="12" t="n">
        <v>0</v>
      </c>
      <c r="H13" s="12" t="n">
        <v>0</v>
      </c>
      <c r="I13" s="12" t="n">
        <v>0</v>
      </c>
      <c r="J13" s="59"/>
      <c r="K13" s="59"/>
      <c r="L13" s="59"/>
      <c r="M13" s="59"/>
      <c r="N13" s="12" t="n">
        <f aca="false">SUM(B13:M13)</f>
        <v>0</v>
      </c>
      <c r="O13" s="24" t="str">
        <f aca="false">IFERROR(N13/N$16,"")</f>
        <v/>
      </c>
      <c r="P13" s="12"/>
      <c r="Q13" s="12"/>
      <c r="R13" s="60" t="s">
        <v>1397</v>
      </c>
      <c r="S13" s="61" t="n">
        <v>0</v>
      </c>
      <c r="T13" s="62" t="n">
        <v>0.05</v>
      </c>
      <c r="U13" s="59" t="n">
        <f aca="false">IF($R13="Manual","",IFERROR(IF($R13="YOY Growth",$N13*(1+$T13)/12,$S13/12),""))</f>
        <v>0</v>
      </c>
      <c r="V13" s="59" t="n">
        <f aca="false">IF($R13="Manual","",IFERROR(IF($R13="YOY Growth",$N13*(1+$T13)/12,$S13/12),""))</f>
        <v>0</v>
      </c>
      <c r="W13" s="59" t="n">
        <f aca="false">IF($R13="Manual","",IFERROR(IF($R13="YOY Growth",$N13*(1+$T13)/12,$S13/12),""))</f>
        <v>0</v>
      </c>
      <c r="X13" s="59" t="n">
        <f aca="false">IF($R13="Manual","",IFERROR(IF($R13="YOY Growth",$N13*(1+$T13)/12,$S13/12),""))</f>
        <v>0</v>
      </c>
      <c r="Y13" s="59" t="n">
        <f aca="false">IF($R13="Manual","",IFERROR(IF($R13="YOY Growth",$N13*(1+$T13)/12,$S13/12),""))</f>
        <v>0</v>
      </c>
      <c r="Z13" s="59" t="n">
        <f aca="false">IF($R13="Manual","",IFERROR(IF($R13="YOY Growth",$N13*(1+$T13)/12,$S13/12),""))</f>
        <v>0</v>
      </c>
      <c r="AA13" s="59" t="n">
        <f aca="false">IF($R13="Manual","",IFERROR(IF($R13="YOY Growth",$N13*(1+$T13)/12,$S13/12),""))</f>
        <v>0</v>
      </c>
      <c r="AB13" s="59" t="n">
        <f aca="false">IF($R13="Manual","",IFERROR(IF($R13="YOY Growth",$N13*(1+$T13)/12,$S13/12),""))</f>
        <v>0</v>
      </c>
      <c r="AC13" s="59" t="n">
        <f aca="false">IF($R13="Manual","",IFERROR(IF($R13="YOY Growth",$N13*(1+$T13)/12,$S13/12),""))</f>
        <v>0</v>
      </c>
      <c r="AD13" s="59" t="n">
        <f aca="false">IF($R13="Manual","",IFERROR(IF($R13="YOY Growth",$N13*(1+$T13)/12,$S13/12),""))</f>
        <v>0</v>
      </c>
      <c r="AE13" s="59" t="n">
        <f aca="false">IF($R13="Manual","",IFERROR(IF($R13="YOY Growth",$N13*(1+$T13)/12,$S13/12),""))</f>
        <v>0</v>
      </c>
      <c r="AF13" s="59" t="n">
        <f aca="false">IF($R13="Manual","",IFERROR(IF($R13="YOY Growth",$N13*(1+$T13)/12,$S13/12),""))</f>
        <v>0</v>
      </c>
      <c r="AG13" s="12" t="n">
        <f aca="false">SUM(U13:AF13)</f>
        <v>0</v>
      </c>
      <c r="AH13" s="24" t="str">
        <f aca="false">IFERROR(AG13/AG$16,"")</f>
        <v/>
      </c>
      <c r="AI13" s="9"/>
      <c r="AJ13" s="12" t="n">
        <f aca="false">AG13-N13</f>
        <v>0</v>
      </c>
    </row>
    <row r="14" customFormat="false" ht="13.5" hidden="false" customHeight="true" outlineLevel="0" collapsed="false">
      <c r="A14" s="26" t="s">
        <v>1270</v>
      </c>
      <c r="B14" s="27" t="n">
        <f aca="false">SUM(B12:B13)</f>
        <v>0</v>
      </c>
      <c r="C14" s="27" t="n">
        <f aca="false">SUM(C12:C13)</f>
        <v>0</v>
      </c>
      <c r="D14" s="27" t="n">
        <f aca="false">SUM(D12:D13)</f>
        <v>0</v>
      </c>
      <c r="E14" s="27" t="n">
        <f aca="false">SUM(E12:E13)</f>
        <v>0</v>
      </c>
      <c r="F14" s="27" t="n">
        <f aca="false">SUM(F12:F13)</f>
        <v>0</v>
      </c>
      <c r="G14" s="27" t="n">
        <f aca="false">SUM(G12:G13)</f>
        <v>0</v>
      </c>
      <c r="H14" s="27" t="n">
        <f aca="false">SUM(H12:H13)</f>
        <v>0</v>
      </c>
      <c r="I14" s="27" t="n">
        <f aca="false">SUM(I12:I13)</f>
        <v>0</v>
      </c>
      <c r="J14" s="27" t="n">
        <f aca="false">SUM(J12:J13)</f>
        <v>0</v>
      </c>
      <c r="K14" s="27" t="n">
        <f aca="false">SUM(K12:K13)</f>
        <v>0</v>
      </c>
      <c r="L14" s="27" t="n">
        <f aca="false">SUM(L12:L13)</f>
        <v>0</v>
      </c>
      <c r="M14" s="27" t="n">
        <f aca="false">SUM(M12:M13)</f>
        <v>0</v>
      </c>
      <c r="N14" s="27" t="n">
        <f aca="false">SUM(B14:M14)</f>
        <v>0</v>
      </c>
      <c r="O14" s="28" t="n">
        <f aca="false">SUM(O12:O13)</f>
        <v>0</v>
      </c>
      <c r="P14" s="12"/>
      <c r="Q14" s="12"/>
      <c r="R14" s="63"/>
      <c r="S14" s="63"/>
      <c r="T14" s="63"/>
      <c r="U14" s="27" t="n">
        <f aca="false">SUM(U12:U13)</f>
        <v>0</v>
      </c>
      <c r="V14" s="27" t="n">
        <f aca="false">SUM(V12:V13)</f>
        <v>0</v>
      </c>
      <c r="W14" s="27" t="n">
        <f aca="false">SUM(W12:W13)</f>
        <v>0</v>
      </c>
      <c r="X14" s="27" t="n">
        <f aca="false">SUM(X12:X13)</f>
        <v>0</v>
      </c>
      <c r="Y14" s="27" t="n">
        <f aca="false">SUM(Y12:Y13)</f>
        <v>0</v>
      </c>
      <c r="Z14" s="27" t="n">
        <f aca="false">SUM(Z12:Z13)</f>
        <v>0</v>
      </c>
      <c r="AA14" s="27" t="n">
        <f aca="false">SUM(AA12:AA13)</f>
        <v>0</v>
      </c>
      <c r="AB14" s="27" t="n">
        <f aca="false">SUM(AB12:AB13)</f>
        <v>0</v>
      </c>
      <c r="AC14" s="27" t="n">
        <f aca="false">SUM(AC12:AC13)</f>
        <v>0</v>
      </c>
      <c r="AD14" s="27" t="n">
        <f aca="false">SUM(AD12:AD13)</f>
        <v>0</v>
      </c>
      <c r="AE14" s="27" t="n">
        <f aca="false">SUM(AE12:AE13)</f>
        <v>0</v>
      </c>
      <c r="AF14" s="27" t="n">
        <f aca="false">SUM(AF12:AF13)</f>
        <v>0</v>
      </c>
      <c r="AG14" s="27" t="n">
        <f aca="false">SUM(U14:AF14)</f>
        <v>0</v>
      </c>
      <c r="AH14" s="28" t="n">
        <f aca="false">SUM(AH12:AH13)</f>
        <v>0</v>
      </c>
      <c r="AI14" s="9"/>
      <c r="AJ14" s="27" t="n">
        <f aca="false">AG14-N14</f>
        <v>0</v>
      </c>
    </row>
    <row r="15" customFormat="false" ht="13.5" hidden="false" customHeight="true" outlineLevel="0" collapsed="false">
      <c r="A15" s="23" t="s">
        <v>1271</v>
      </c>
      <c r="B15" s="12" t="n">
        <v>0</v>
      </c>
      <c r="C15" s="12" t="n">
        <v>0</v>
      </c>
      <c r="D15" s="12" t="n">
        <v>0</v>
      </c>
      <c r="E15" s="12" t="n">
        <v>0</v>
      </c>
      <c r="F15" s="12" t="n">
        <v>0</v>
      </c>
      <c r="G15" s="12" t="n">
        <v>0</v>
      </c>
      <c r="H15" s="12" t="n">
        <v>0</v>
      </c>
      <c r="I15" s="12" t="n">
        <v>0</v>
      </c>
      <c r="J15" s="59"/>
      <c r="K15" s="59"/>
      <c r="L15" s="59"/>
      <c r="M15" s="59"/>
      <c r="N15" s="12" t="n">
        <f aca="false">SUM(B15:M15)</f>
        <v>0</v>
      </c>
      <c r="O15" s="24" t="str">
        <f aca="false">IFERROR(N15/N$16,"")</f>
        <v/>
      </c>
      <c r="P15" s="12"/>
      <c r="Q15" s="12"/>
      <c r="R15" s="60" t="s">
        <v>1397</v>
      </c>
      <c r="S15" s="61" t="n">
        <v>0</v>
      </c>
      <c r="T15" s="62" t="n">
        <v>0.05</v>
      </c>
      <c r="U15" s="59" t="n">
        <f aca="false">IF($R15="Manual","",IFERROR(IF($R15="YOY Growth",$N15*(1+$T15)/12,$S15/12),""))</f>
        <v>0</v>
      </c>
      <c r="V15" s="59" t="n">
        <f aca="false">IF($R15="Manual","",IFERROR(IF($R15="YOY Growth",$N15*(1+$T15)/12,$S15/12),""))</f>
        <v>0</v>
      </c>
      <c r="W15" s="59" t="n">
        <f aca="false">IF($R15="Manual","",IFERROR(IF($R15="YOY Growth",$N15*(1+$T15)/12,$S15/12),""))</f>
        <v>0</v>
      </c>
      <c r="X15" s="59" t="n">
        <f aca="false">IF($R15="Manual","",IFERROR(IF($R15="YOY Growth",$N15*(1+$T15)/12,$S15/12),""))</f>
        <v>0</v>
      </c>
      <c r="Y15" s="59" t="n">
        <f aca="false">IF($R15="Manual","",IFERROR(IF($R15="YOY Growth",$N15*(1+$T15)/12,$S15/12),""))</f>
        <v>0</v>
      </c>
      <c r="Z15" s="59" t="n">
        <f aca="false">IF($R15="Manual","",IFERROR(IF($R15="YOY Growth",$N15*(1+$T15)/12,$S15/12),""))</f>
        <v>0</v>
      </c>
      <c r="AA15" s="59" t="n">
        <f aca="false">IF($R15="Manual","",IFERROR(IF($R15="YOY Growth",$N15*(1+$T15)/12,$S15/12),""))</f>
        <v>0</v>
      </c>
      <c r="AB15" s="59" t="n">
        <f aca="false">IF($R15="Manual","",IFERROR(IF($R15="YOY Growth",$N15*(1+$T15)/12,$S15/12),""))</f>
        <v>0</v>
      </c>
      <c r="AC15" s="59" t="n">
        <f aca="false">IF($R15="Manual","",IFERROR(IF($R15="YOY Growth",$N15*(1+$T15)/12,$S15/12),""))</f>
        <v>0</v>
      </c>
      <c r="AD15" s="59" t="n">
        <f aca="false">IF($R15="Manual","",IFERROR(IF($R15="YOY Growth",$N15*(1+$T15)/12,$S15/12),""))</f>
        <v>0</v>
      </c>
      <c r="AE15" s="59" t="n">
        <f aca="false">IF($R15="Manual","",IFERROR(IF($R15="YOY Growth",$N15*(1+$T15)/12,$S15/12),""))</f>
        <v>0</v>
      </c>
      <c r="AF15" s="59" t="n">
        <f aca="false">IF($R15="Manual","",IFERROR(IF($R15="YOY Growth",$N15*(1+$T15)/12,$S15/12),""))</f>
        <v>0</v>
      </c>
      <c r="AG15" s="12" t="n">
        <f aca="false">SUM(U15:AF15)</f>
        <v>0</v>
      </c>
      <c r="AH15" s="24" t="str">
        <f aca="false">IFERROR(AG15/AG$16,"")</f>
        <v/>
      </c>
      <c r="AI15" s="9"/>
      <c r="AJ15" s="12" t="n">
        <f aca="false">AG15-N15</f>
        <v>0</v>
      </c>
    </row>
    <row r="16" customFormat="false" ht="13.5" hidden="false" customHeight="true" outlineLevel="0" collapsed="false">
      <c r="A16" s="26" t="s">
        <v>1272</v>
      </c>
      <c r="B16" s="27" t="n">
        <f aca="false">B14+B15</f>
        <v>0</v>
      </c>
      <c r="C16" s="27" t="n">
        <f aca="false">C14+C15</f>
        <v>0</v>
      </c>
      <c r="D16" s="27" t="n">
        <f aca="false">D14+D15</f>
        <v>0</v>
      </c>
      <c r="E16" s="27" t="n">
        <f aca="false">E14+E15</f>
        <v>0</v>
      </c>
      <c r="F16" s="27" t="n">
        <f aca="false">F14+F15</f>
        <v>0</v>
      </c>
      <c r="G16" s="27" t="n">
        <f aca="false">G14+G15</f>
        <v>0</v>
      </c>
      <c r="H16" s="27" t="n">
        <f aca="false">H14+H15</f>
        <v>0</v>
      </c>
      <c r="I16" s="27" t="n">
        <f aca="false">I14+I15</f>
        <v>0</v>
      </c>
      <c r="J16" s="27" t="n">
        <f aca="false">J14+J15</f>
        <v>0</v>
      </c>
      <c r="K16" s="27" t="n">
        <f aca="false">K14+K15</f>
        <v>0</v>
      </c>
      <c r="L16" s="27" t="n">
        <f aca="false">L14+L15</f>
        <v>0</v>
      </c>
      <c r="M16" s="27" t="n">
        <f aca="false">M14+M15</f>
        <v>0</v>
      </c>
      <c r="N16" s="27" t="n">
        <f aca="false">SUM(B16:M16)</f>
        <v>0</v>
      </c>
      <c r="O16" s="28" t="n">
        <f aca="false">SUM(O14:O15)</f>
        <v>0</v>
      </c>
      <c r="P16" s="12"/>
      <c r="Q16" s="12"/>
      <c r="R16" s="63"/>
      <c r="S16" s="63"/>
      <c r="T16" s="63"/>
      <c r="U16" s="27" t="n">
        <f aca="false">U14+U15</f>
        <v>0</v>
      </c>
      <c r="V16" s="27" t="n">
        <f aca="false">V14+V15</f>
        <v>0</v>
      </c>
      <c r="W16" s="27" t="n">
        <f aca="false">W14+W15</f>
        <v>0</v>
      </c>
      <c r="X16" s="27" t="n">
        <f aca="false">X14+X15</f>
        <v>0</v>
      </c>
      <c r="Y16" s="27" t="n">
        <f aca="false">Y14+Y15</f>
        <v>0</v>
      </c>
      <c r="Z16" s="27" t="n">
        <f aca="false">Z14+Z15</f>
        <v>0</v>
      </c>
      <c r="AA16" s="27" t="n">
        <f aca="false">AA14+AA15</f>
        <v>0</v>
      </c>
      <c r="AB16" s="27" t="n">
        <f aca="false">AB14+AB15</f>
        <v>0</v>
      </c>
      <c r="AC16" s="27" t="n">
        <f aca="false">AC14+AC15</f>
        <v>0</v>
      </c>
      <c r="AD16" s="27" t="n">
        <f aca="false">AD14+AD15</f>
        <v>0</v>
      </c>
      <c r="AE16" s="27" t="n">
        <f aca="false">AE14+AE15</f>
        <v>0</v>
      </c>
      <c r="AF16" s="27" t="n">
        <f aca="false">AF14+AF15</f>
        <v>0</v>
      </c>
      <c r="AG16" s="27" t="n">
        <f aca="false">SUM(U16:AF16)</f>
        <v>0</v>
      </c>
      <c r="AH16" s="28" t="n">
        <f aca="false">SUM(AH14:AH15)</f>
        <v>0</v>
      </c>
      <c r="AI16" s="9"/>
      <c r="AJ16" s="27" t="n">
        <f aca="false">AG16-N16</f>
        <v>0</v>
      </c>
    </row>
    <row r="17" customFormat="false" ht="13.5" hidden="false" customHeight="true" outlineLevel="0" collapsed="false">
      <c r="A17" s="22" t="s">
        <v>1273</v>
      </c>
      <c r="B17" s="12"/>
      <c r="C17" s="12"/>
      <c r="D17" s="12"/>
      <c r="E17" s="12"/>
      <c r="F17" s="12"/>
      <c r="G17" s="12"/>
      <c r="H17" s="12"/>
      <c r="I17" s="12"/>
      <c r="J17" s="12"/>
      <c r="K17" s="12"/>
      <c r="L17" s="12"/>
      <c r="M17" s="12"/>
      <c r="N17" s="12"/>
      <c r="O17" s="24"/>
      <c r="P17" s="12"/>
      <c r="Q17" s="12"/>
      <c r="R17" s="63"/>
      <c r="S17" s="63"/>
      <c r="T17" s="63"/>
      <c r="U17" s="12"/>
      <c r="V17" s="12"/>
      <c r="W17" s="12"/>
      <c r="X17" s="12"/>
      <c r="Y17" s="12"/>
      <c r="Z17" s="12"/>
      <c r="AA17" s="12"/>
      <c r="AB17" s="12"/>
      <c r="AC17" s="12"/>
      <c r="AD17" s="12"/>
      <c r="AE17" s="12"/>
      <c r="AF17" s="12"/>
      <c r="AG17" s="12"/>
      <c r="AH17" s="24"/>
      <c r="AI17" s="9"/>
      <c r="AJ17" s="12"/>
    </row>
    <row r="18" customFormat="false" ht="13.5" hidden="false" customHeight="true" outlineLevel="0" collapsed="false">
      <c r="A18" s="22" t="s">
        <v>1274</v>
      </c>
      <c r="B18" s="12"/>
      <c r="C18" s="12"/>
      <c r="D18" s="12"/>
      <c r="E18" s="12"/>
      <c r="F18" s="12"/>
      <c r="G18" s="12"/>
      <c r="H18" s="12"/>
      <c r="I18" s="12"/>
      <c r="J18" s="12"/>
      <c r="K18" s="12"/>
      <c r="L18" s="12"/>
      <c r="M18" s="12"/>
      <c r="N18" s="12"/>
      <c r="O18" s="24"/>
      <c r="P18" s="12"/>
      <c r="Q18" s="12"/>
      <c r="R18" s="63"/>
      <c r="S18" s="63"/>
      <c r="T18" s="63"/>
      <c r="U18" s="12"/>
      <c r="V18" s="12"/>
      <c r="W18" s="12"/>
      <c r="X18" s="12"/>
      <c r="Y18" s="12"/>
      <c r="Z18" s="12"/>
      <c r="AA18" s="12"/>
      <c r="AB18" s="12"/>
      <c r="AC18" s="12"/>
      <c r="AD18" s="12"/>
      <c r="AE18" s="12"/>
      <c r="AF18" s="12"/>
      <c r="AG18" s="12"/>
      <c r="AH18" s="24"/>
      <c r="AI18" s="9"/>
      <c r="AJ18" s="12"/>
    </row>
    <row r="19" customFormat="false" ht="13.5" hidden="false" customHeight="true" outlineLevel="0" collapsed="false">
      <c r="A19" s="23" t="s">
        <v>1275</v>
      </c>
      <c r="B19" s="12" t="n">
        <v>0</v>
      </c>
      <c r="C19" s="12" t="n">
        <v>0</v>
      </c>
      <c r="D19" s="12" t="n">
        <v>0</v>
      </c>
      <c r="E19" s="12" t="n">
        <v>0</v>
      </c>
      <c r="F19" s="12" t="n">
        <v>0</v>
      </c>
      <c r="G19" s="12" t="n">
        <v>0</v>
      </c>
      <c r="H19" s="12" t="n">
        <v>0</v>
      </c>
      <c r="I19" s="12" t="n">
        <v>0</v>
      </c>
      <c r="J19" s="59"/>
      <c r="K19" s="59"/>
      <c r="L19" s="59"/>
      <c r="M19" s="59"/>
      <c r="N19" s="12" t="n">
        <f aca="false">SUM(B19:M19)</f>
        <v>0</v>
      </c>
      <c r="O19" s="24" t="str">
        <f aca="false">IFERROR(N19/N$16,"")</f>
        <v/>
      </c>
      <c r="P19" s="12"/>
      <c r="Q19" s="12"/>
      <c r="R19" s="60" t="s">
        <v>1397</v>
      </c>
      <c r="S19" s="61" t="n">
        <v>0</v>
      </c>
      <c r="T19" s="62" t="n">
        <v>0.05</v>
      </c>
      <c r="U19" s="59" t="n">
        <f aca="false">IF($R19="Manual","",IFERROR(IF($R19="YOY Growth",$N19*(1+$T19)/12,$S19/12),""))</f>
        <v>0</v>
      </c>
      <c r="V19" s="59" t="n">
        <f aca="false">IF($R19="Manual","",IFERROR(IF($R19="YOY Growth",$N19*(1+$T19)/12,$S19/12),""))</f>
        <v>0</v>
      </c>
      <c r="W19" s="59" t="n">
        <f aca="false">IF($R19="Manual","",IFERROR(IF($R19="YOY Growth",$N19*(1+$T19)/12,$S19/12),""))</f>
        <v>0</v>
      </c>
      <c r="X19" s="59" t="n">
        <f aca="false">IF($R19="Manual","",IFERROR(IF($R19="YOY Growth",$N19*(1+$T19)/12,$S19/12),""))</f>
        <v>0</v>
      </c>
      <c r="Y19" s="59" t="n">
        <f aca="false">IF($R19="Manual","",IFERROR(IF($R19="YOY Growth",$N19*(1+$T19)/12,$S19/12),""))</f>
        <v>0</v>
      </c>
      <c r="Z19" s="59" t="n">
        <f aca="false">IF($R19="Manual","",IFERROR(IF($R19="YOY Growth",$N19*(1+$T19)/12,$S19/12),""))</f>
        <v>0</v>
      </c>
      <c r="AA19" s="59" t="n">
        <f aca="false">IF($R19="Manual","",IFERROR(IF($R19="YOY Growth",$N19*(1+$T19)/12,$S19/12),""))</f>
        <v>0</v>
      </c>
      <c r="AB19" s="59" t="n">
        <f aca="false">IF($R19="Manual","",IFERROR(IF($R19="YOY Growth",$N19*(1+$T19)/12,$S19/12),""))</f>
        <v>0</v>
      </c>
      <c r="AC19" s="59" t="n">
        <f aca="false">IF($R19="Manual","",IFERROR(IF($R19="YOY Growth",$N19*(1+$T19)/12,$S19/12),""))</f>
        <v>0</v>
      </c>
      <c r="AD19" s="59" t="n">
        <f aca="false">IF($R19="Manual","",IFERROR(IF($R19="YOY Growth",$N19*(1+$T19)/12,$S19/12),""))</f>
        <v>0</v>
      </c>
      <c r="AE19" s="59" t="n">
        <f aca="false">IF($R19="Manual","",IFERROR(IF($R19="YOY Growth",$N19*(1+$T19)/12,$S19/12),""))</f>
        <v>0</v>
      </c>
      <c r="AF19" s="59" t="n">
        <f aca="false">IF($R19="Manual","",IFERROR(IF($R19="YOY Growth",$N19*(1+$T19)/12,$S19/12),""))</f>
        <v>0</v>
      </c>
      <c r="AG19" s="12" t="n">
        <f aca="false">SUM(U19:AF19)</f>
        <v>0</v>
      </c>
      <c r="AH19" s="24" t="str">
        <f aca="false">IFERROR(AG19/AG$16,"")</f>
        <v/>
      </c>
      <c r="AI19" s="9"/>
      <c r="AJ19" s="12" t="n">
        <f aca="false">N19-AG19</f>
        <v>0</v>
      </c>
    </row>
    <row r="20" customFormat="false" ht="13.5" hidden="false" customHeight="true" outlineLevel="0" collapsed="false">
      <c r="A20" s="23" t="s">
        <v>1276</v>
      </c>
      <c r="B20" s="12" t="n">
        <v>0</v>
      </c>
      <c r="C20" s="12" t="n">
        <v>0</v>
      </c>
      <c r="D20" s="12" t="n">
        <v>0</v>
      </c>
      <c r="E20" s="12" t="n">
        <v>0</v>
      </c>
      <c r="F20" s="12" t="n">
        <v>0</v>
      </c>
      <c r="G20" s="12" t="n">
        <v>0</v>
      </c>
      <c r="H20" s="12" t="n">
        <v>0</v>
      </c>
      <c r="I20" s="12" t="n">
        <v>0</v>
      </c>
      <c r="J20" s="59"/>
      <c r="K20" s="59"/>
      <c r="L20" s="59"/>
      <c r="M20" s="59"/>
      <c r="N20" s="12" t="n">
        <f aca="false">SUM(B20:M20)</f>
        <v>0</v>
      </c>
      <c r="O20" s="24" t="str">
        <f aca="false">IFERROR(N20/N$16,"")</f>
        <v/>
      </c>
      <c r="P20" s="12"/>
      <c r="Q20" s="12"/>
      <c r="R20" s="60" t="s">
        <v>1397</v>
      </c>
      <c r="S20" s="61" t="n">
        <v>0</v>
      </c>
      <c r="T20" s="62" t="n">
        <v>0.05</v>
      </c>
      <c r="U20" s="59" t="n">
        <f aca="false">IF($R20="Manual","",IFERROR(IF($R20="YOY Growth",$N20*(1+$T20)/12,$S20/12),""))</f>
        <v>0</v>
      </c>
      <c r="V20" s="59" t="n">
        <f aca="false">IF($R20="Manual","",IFERROR(IF($R20="YOY Growth",$N20*(1+$T20)/12,$S20/12),""))</f>
        <v>0</v>
      </c>
      <c r="W20" s="59" t="n">
        <f aca="false">IF($R20="Manual","",IFERROR(IF($R20="YOY Growth",$N20*(1+$T20)/12,$S20/12),""))</f>
        <v>0</v>
      </c>
      <c r="X20" s="59" t="n">
        <f aca="false">IF($R20="Manual","",IFERROR(IF($R20="YOY Growth",$N20*(1+$T20)/12,$S20/12),""))</f>
        <v>0</v>
      </c>
      <c r="Y20" s="59" t="n">
        <f aca="false">IF($R20="Manual","",IFERROR(IF($R20="YOY Growth",$N20*(1+$T20)/12,$S20/12),""))</f>
        <v>0</v>
      </c>
      <c r="Z20" s="59" t="n">
        <f aca="false">IF($R20="Manual","",IFERROR(IF($R20="YOY Growth",$N20*(1+$T20)/12,$S20/12),""))</f>
        <v>0</v>
      </c>
      <c r="AA20" s="59" t="n">
        <f aca="false">IF($R20="Manual","",IFERROR(IF($R20="YOY Growth",$N20*(1+$T20)/12,$S20/12),""))</f>
        <v>0</v>
      </c>
      <c r="AB20" s="59" t="n">
        <f aca="false">IF($R20="Manual","",IFERROR(IF($R20="YOY Growth",$N20*(1+$T20)/12,$S20/12),""))</f>
        <v>0</v>
      </c>
      <c r="AC20" s="59" t="n">
        <f aca="false">IF($R20="Manual","",IFERROR(IF($R20="YOY Growth",$N20*(1+$T20)/12,$S20/12),""))</f>
        <v>0</v>
      </c>
      <c r="AD20" s="59" t="n">
        <f aca="false">IF($R20="Manual","",IFERROR(IF($R20="YOY Growth",$N20*(1+$T20)/12,$S20/12),""))</f>
        <v>0</v>
      </c>
      <c r="AE20" s="59" t="n">
        <f aca="false">IF($R20="Manual","",IFERROR(IF($R20="YOY Growth",$N20*(1+$T20)/12,$S20/12),""))</f>
        <v>0</v>
      </c>
      <c r="AF20" s="59" t="n">
        <f aca="false">IF($R20="Manual","",IFERROR(IF($R20="YOY Growth",$N20*(1+$T20)/12,$S20/12),""))</f>
        <v>0</v>
      </c>
      <c r="AG20" s="12" t="n">
        <f aca="false">SUM(U20:AF20)</f>
        <v>0</v>
      </c>
      <c r="AH20" s="24" t="str">
        <f aca="false">IFERROR(AG20/AG$16,"")</f>
        <v/>
      </c>
      <c r="AI20" s="9"/>
      <c r="AJ20" s="12" t="n">
        <f aca="false">N20-AG20</f>
        <v>0</v>
      </c>
    </row>
    <row r="21" customFormat="false" ht="13.5" hidden="false" customHeight="true" outlineLevel="0" collapsed="false">
      <c r="A21" s="23" t="s">
        <v>1277</v>
      </c>
      <c r="B21" s="12" t="n">
        <v>0</v>
      </c>
      <c r="C21" s="12" t="n">
        <v>0</v>
      </c>
      <c r="D21" s="12" t="n">
        <v>0</v>
      </c>
      <c r="E21" s="12" t="n">
        <v>0</v>
      </c>
      <c r="F21" s="12" t="n">
        <v>0</v>
      </c>
      <c r="G21" s="12" t="n">
        <v>0</v>
      </c>
      <c r="H21" s="12" t="n">
        <v>0</v>
      </c>
      <c r="I21" s="12" t="n">
        <v>0</v>
      </c>
      <c r="J21" s="59"/>
      <c r="K21" s="59"/>
      <c r="L21" s="59"/>
      <c r="M21" s="59"/>
      <c r="N21" s="12" t="n">
        <f aca="false">SUM(B21:M21)</f>
        <v>0</v>
      </c>
      <c r="O21" s="24" t="str">
        <f aca="false">IFERROR(N21/N$16,"")</f>
        <v/>
      </c>
      <c r="P21" s="12"/>
      <c r="Q21" s="12"/>
      <c r="R21" s="60" t="s">
        <v>1397</v>
      </c>
      <c r="S21" s="61" t="n">
        <v>0</v>
      </c>
      <c r="T21" s="62" t="n">
        <v>0.05</v>
      </c>
      <c r="U21" s="59" t="n">
        <f aca="false">IF($R21="Manual","",IFERROR(IF($R21="YOY Growth",$N21*(1+$T21)/12,$S21/12),""))</f>
        <v>0</v>
      </c>
      <c r="V21" s="59" t="n">
        <f aca="false">IF($R21="Manual","",IFERROR(IF($R21="YOY Growth",$N21*(1+$T21)/12,$S21/12),""))</f>
        <v>0</v>
      </c>
      <c r="W21" s="59" t="n">
        <f aca="false">IF($R21="Manual","",IFERROR(IF($R21="YOY Growth",$N21*(1+$T21)/12,$S21/12),""))</f>
        <v>0</v>
      </c>
      <c r="X21" s="59" t="n">
        <f aca="false">IF($R21="Manual","",IFERROR(IF($R21="YOY Growth",$N21*(1+$T21)/12,$S21/12),""))</f>
        <v>0</v>
      </c>
      <c r="Y21" s="59" t="n">
        <f aca="false">IF($R21="Manual","",IFERROR(IF($R21="YOY Growth",$N21*(1+$T21)/12,$S21/12),""))</f>
        <v>0</v>
      </c>
      <c r="Z21" s="59" t="n">
        <f aca="false">IF($R21="Manual","",IFERROR(IF($R21="YOY Growth",$N21*(1+$T21)/12,$S21/12),""))</f>
        <v>0</v>
      </c>
      <c r="AA21" s="59" t="n">
        <f aca="false">IF($R21="Manual","",IFERROR(IF($R21="YOY Growth",$N21*(1+$T21)/12,$S21/12),""))</f>
        <v>0</v>
      </c>
      <c r="AB21" s="59" t="n">
        <f aca="false">IF($R21="Manual","",IFERROR(IF($R21="YOY Growth",$N21*(1+$T21)/12,$S21/12),""))</f>
        <v>0</v>
      </c>
      <c r="AC21" s="59" t="n">
        <f aca="false">IF($R21="Manual","",IFERROR(IF($R21="YOY Growth",$N21*(1+$T21)/12,$S21/12),""))</f>
        <v>0</v>
      </c>
      <c r="AD21" s="59" t="n">
        <f aca="false">IF($R21="Manual","",IFERROR(IF($R21="YOY Growth",$N21*(1+$T21)/12,$S21/12),""))</f>
        <v>0</v>
      </c>
      <c r="AE21" s="59" t="n">
        <f aca="false">IF($R21="Manual","",IFERROR(IF($R21="YOY Growth",$N21*(1+$T21)/12,$S21/12),""))</f>
        <v>0</v>
      </c>
      <c r="AF21" s="59" t="n">
        <f aca="false">IF($R21="Manual","",IFERROR(IF($R21="YOY Growth",$N21*(1+$T21)/12,$S21/12),""))</f>
        <v>0</v>
      </c>
      <c r="AG21" s="12" t="n">
        <f aca="false">SUM(U21:AF21)</f>
        <v>0</v>
      </c>
      <c r="AH21" s="24" t="str">
        <f aca="false">IFERROR(AG21/AG$16,"")</f>
        <v/>
      </c>
      <c r="AI21" s="9"/>
      <c r="AJ21" s="12" t="n">
        <f aca="false">N21-AG21</f>
        <v>0</v>
      </c>
    </row>
    <row r="22" customFormat="false" ht="13.5" hidden="false" customHeight="true" outlineLevel="0" collapsed="false">
      <c r="A22" s="23" t="s">
        <v>1278</v>
      </c>
      <c r="B22" s="12" t="n">
        <v>0</v>
      </c>
      <c r="C22" s="12" t="n">
        <v>0</v>
      </c>
      <c r="D22" s="12" t="n">
        <v>0</v>
      </c>
      <c r="E22" s="12" t="n">
        <v>0</v>
      </c>
      <c r="F22" s="12" t="n">
        <v>0</v>
      </c>
      <c r="G22" s="12" t="n">
        <v>0</v>
      </c>
      <c r="H22" s="12" t="n">
        <v>0</v>
      </c>
      <c r="I22" s="12" t="n">
        <v>0</v>
      </c>
      <c r="J22" s="59"/>
      <c r="K22" s="59"/>
      <c r="L22" s="59"/>
      <c r="M22" s="59"/>
      <c r="N22" s="12" t="n">
        <f aca="false">SUM(B22:M22)</f>
        <v>0</v>
      </c>
      <c r="O22" s="24" t="str">
        <f aca="false">IFERROR(N22/N$16,"")</f>
        <v/>
      </c>
      <c r="P22" s="12"/>
      <c r="Q22" s="12"/>
      <c r="R22" s="60" t="s">
        <v>1397</v>
      </c>
      <c r="S22" s="61" t="n">
        <v>0</v>
      </c>
      <c r="T22" s="62" t="n">
        <v>0.05</v>
      </c>
      <c r="U22" s="59" t="n">
        <f aca="false">IF($R22="Manual","",IFERROR(IF($R22="YOY Growth",$N22*(1+$T22)/12,$S22/12),""))</f>
        <v>0</v>
      </c>
      <c r="V22" s="59" t="n">
        <f aca="false">IF($R22="Manual","",IFERROR(IF($R22="YOY Growth",$N22*(1+$T22)/12,$S22/12),""))</f>
        <v>0</v>
      </c>
      <c r="W22" s="59" t="n">
        <f aca="false">IF($R22="Manual","",IFERROR(IF($R22="YOY Growth",$N22*(1+$T22)/12,$S22/12),""))</f>
        <v>0</v>
      </c>
      <c r="X22" s="59" t="n">
        <f aca="false">IF($R22="Manual","",IFERROR(IF($R22="YOY Growth",$N22*(1+$T22)/12,$S22/12),""))</f>
        <v>0</v>
      </c>
      <c r="Y22" s="59" t="n">
        <f aca="false">IF($R22="Manual","",IFERROR(IF($R22="YOY Growth",$N22*(1+$T22)/12,$S22/12),""))</f>
        <v>0</v>
      </c>
      <c r="Z22" s="59" t="n">
        <f aca="false">IF($R22="Manual","",IFERROR(IF($R22="YOY Growth",$N22*(1+$T22)/12,$S22/12),""))</f>
        <v>0</v>
      </c>
      <c r="AA22" s="59" t="n">
        <f aca="false">IF($R22="Manual","",IFERROR(IF($R22="YOY Growth",$N22*(1+$T22)/12,$S22/12),""))</f>
        <v>0</v>
      </c>
      <c r="AB22" s="59" t="n">
        <f aca="false">IF($R22="Manual","",IFERROR(IF($R22="YOY Growth",$N22*(1+$T22)/12,$S22/12),""))</f>
        <v>0</v>
      </c>
      <c r="AC22" s="59" t="n">
        <f aca="false">IF($R22="Manual","",IFERROR(IF($R22="YOY Growth",$N22*(1+$T22)/12,$S22/12),""))</f>
        <v>0</v>
      </c>
      <c r="AD22" s="59" t="n">
        <f aca="false">IF($R22="Manual","",IFERROR(IF($R22="YOY Growth",$N22*(1+$T22)/12,$S22/12),""))</f>
        <v>0</v>
      </c>
      <c r="AE22" s="59" t="n">
        <f aca="false">IF($R22="Manual","",IFERROR(IF($R22="YOY Growth",$N22*(1+$T22)/12,$S22/12),""))</f>
        <v>0</v>
      </c>
      <c r="AF22" s="59" t="n">
        <f aca="false">IF($R22="Manual","",IFERROR(IF($R22="YOY Growth",$N22*(1+$T22)/12,$S22/12),""))</f>
        <v>0</v>
      </c>
      <c r="AG22" s="12" t="n">
        <f aca="false">SUM(U22:AF22)</f>
        <v>0</v>
      </c>
      <c r="AH22" s="24" t="str">
        <f aca="false">IFERROR(AG22/AG$16,"")</f>
        <v/>
      </c>
      <c r="AI22" s="9"/>
      <c r="AJ22" s="12" t="n">
        <f aca="false">N22-AG22</f>
        <v>0</v>
      </c>
    </row>
    <row r="23" customFormat="false" ht="13.5" hidden="false" customHeight="true" outlineLevel="0" collapsed="false">
      <c r="A23" s="22" t="s">
        <v>1279</v>
      </c>
      <c r="B23" s="12"/>
      <c r="C23" s="12"/>
      <c r="D23" s="12"/>
      <c r="E23" s="12"/>
      <c r="F23" s="12"/>
      <c r="G23" s="12"/>
      <c r="H23" s="12"/>
      <c r="I23" s="12"/>
      <c r="J23" s="12"/>
      <c r="K23" s="12"/>
      <c r="L23" s="12"/>
      <c r="M23" s="12"/>
      <c r="N23" s="12"/>
      <c r="O23" s="24"/>
      <c r="P23" s="12"/>
      <c r="Q23" s="12"/>
      <c r="R23" s="63"/>
      <c r="S23" s="63"/>
      <c r="T23" s="63"/>
      <c r="U23" s="12"/>
      <c r="V23" s="12"/>
      <c r="W23" s="12"/>
      <c r="X23" s="12"/>
      <c r="Y23" s="12"/>
      <c r="Z23" s="12"/>
      <c r="AA23" s="12"/>
      <c r="AB23" s="12"/>
      <c r="AC23" s="12"/>
      <c r="AD23" s="12"/>
      <c r="AE23" s="12"/>
      <c r="AF23" s="12"/>
      <c r="AG23" s="12"/>
      <c r="AH23" s="24"/>
      <c r="AI23" s="9"/>
      <c r="AJ23" s="12"/>
    </row>
    <row r="24" customFormat="false" ht="13.5" hidden="false" customHeight="true" outlineLevel="0" collapsed="false">
      <c r="A24" s="23" t="s">
        <v>1279</v>
      </c>
      <c r="B24" s="12" t="n">
        <v>0</v>
      </c>
      <c r="C24" s="12" t="n">
        <v>0</v>
      </c>
      <c r="D24" s="12" t="n">
        <v>0</v>
      </c>
      <c r="E24" s="12" t="n">
        <v>0</v>
      </c>
      <c r="F24" s="12" t="n">
        <v>0</v>
      </c>
      <c r="G24" s="12" t="n">
        <v>0</v>
      </c>
      <c r="H24" s="12" t="n">
        <v>0</v>
      </c>
      <c r="I24" s="12" t="n">
        <v>0</v>
      </c>
      <c r="J24" s="64" t="n">
        <v>0</v>
      </c>
      <c r="K24" s="64" t="n">
        <v>0</v>
      </c>
      <c r="L24" s="64" t="n">
        <v>0</v>
      </c>
      <c r="M24" s="64" t="n">
        <v>0</v>
      </c>
      <c r="N24" s="12" t="n">
        <f aca="false">SUM(B24:M24)</f>
        <v>0</v>
      </c>
      <c r="O24" s="24" t="str">
        <f aca="false">IFERROR(N24/N$16,"")</f>
        <v/>
      </c>
      <c r="P24" s="12"/>
      <c r="Q24" s="12"/>
      <c r="R24" s="60" t="s">
        <v>1397</v>
      </c>
      <c r="S24" s="61" t="n">
        <v>0</v>
      </c>
      <c r="T24" s="62" t="n">
        <v>0.05</v>
      </c>
      <c r="U24" s="59" t="n">
        <f aca="false">IF($R24="Manual","",IFERROR(IF($R24="YOY Growth",$N24*(1+$T24)/12,$S24/12),""))</f>
        <v>0</v>
      </c>
      <c r="V24" s="59" t="n">
        <f aca="false">IF($R24="Manual","",IFERROR(IF($R24="YOY Growth",$N24*(1+$T24)/12,$S24/12),""))</f>
        <v>0</v>
      </c>
      <c r="W24" s="59" t="n">
        <f aca="false">IF($R24="Manual","",IFERROR(IF($R24="YOY Growth",$N24*(1+$T24)/12,$S24/12),""))</f>
        <v>0</v>
      </c>
      <c r="X24" s="59" t="n">
        <f aca="false">IF($R24="Manual","",IFERROR(IF($R24="YOY Growth",$N24*(1+$T24)/12,$S24/12),""))</f>
        <v>0</v>
      </c>
      <c r="Y24" s="59" t="n">
        <f aca="false">IF($R24="Manual","",IFERROR(IF($R24="YOY Growth",$N24*(1+$T24)/12,$S24/12),""))</f>
        <v>0</v>
      </c>
      <c r="Z24" s="59" t="n">
        <f aca="false">IF($R24="Manual","",IFERROR(IF($R24="YOY Growth",$N24*(1+$T24)/12,$S24/12),""))</f>
        <v>0</v>
      </c>
      <c r="AA24" s="59" t="n">
        <f aca="false">IF($R24="Manual","",IFERROR(IF($R24="YOY Growth",$N24*(1+$T24)/12,$S24/12),""))</f>
        <v>0</v>
      </c>
      <c r="AB24" s="59" t="n">
        <f aca="false">IF($R24="Manual","",IFERROR(IF($R24="YOY Growth",$N24*(1+$T24)/12,$S24/12),""))</f>
        <v>0</v>
      </c>
      <c r="AC24" s="59" t="n">
        <f aca="false">IF($R24="Manual","",IFERROR(IF($R24="YOY Growth",$N24*(1+$T24)/12,$S24/12),""))</f>
        <v>0</v>
      </c>
      <c r="AD24" s="59" t="n">
        <f aca="false">IF($R24="Manual","",IFERROR(IF($R24="YOY Growth",$N24*(1+$T24)/12,$S24/12),""))</f>
        <v>0</v>
      </c>
      <c r="AE24" s="59" t="n">
        <f aca="false">IF($R24="Manual","",IFERROR(IF($R24="YOY Growth",$N24*(1+$T24)/12,$S24/12),""))</f>
        <v>0</v>
      </c>
      <c r="AF24" s="59" t="n">
        <f aca="false">IF($R24="Manual","",IFERROR(IF($R24="YOY Growth",$N24*(1+$T24)/12,$S24/12),""))</f>
        <v>0</v>
      </c>
      <c r="AG24" s="12" t="n">
        <f aca="false">SUM(U24:AF24)</f>
        <v>0</v>
      </c>
      <c r="AH24" s="24" t="str">
        <f aca="false">IFERROR(AG24/AG$16,"")</f>
        <v/>
      </c>
      <c r="AI24" s="9"/>
      <c r="AJ24" s="12" t="n">
        <f aca="false">N24-AG24</f>
        <v>0</v>
      </c>
    </row>
    <row r="25" customFormat="false" ht="13.5" hidden="false" customHeight="true" outlineLevel="0" collapsed="false">
      <c r="A25" s="23" t="s">
        <v>1280</v>
      </c>
      <c r="B25" s="12" t="n">
        <v>0</v>
      </c>
      <c r="C25" s="12" t="n">
        <v>0</v>
      </c>
      <c r="D25" s="12" t="n">
        <v>0</v>
      </c>
      <c r="E25" s="12" t="n">
        <v>0</v>
      </c>
      <c r="F25" s="12" t="n">
        <v>0</v>
      </c>
      <c r="G25" s="12" t="n">
        <v>0</v>
      </c>
      <c r="H25" s="12" t="n">
        <v>0</v>
      </c>
      <c r="I25" s="12" t="n">
        <v>0</v>
      </c>
      <c r="J25" s="64" t="n">
        <v>0</v>
      </c>
      <c r="K25" s="64" t="n">
        <v>0</v>
      </c>
      <c r="L25" s="64" t="n">
        <v>0</v>
      </c>
      <c r="M25" s="64" t="n">
        <v>0</v>
      </c>
      <c r="N25" s="12" t="n">
        <f aca="false">SUM(B25:M25)</f>
        <v>0</v>
      </c>
      <c r="O25" s="24" t="str">
        <f aca="false">IFERROR(N25/N$16,"")</f>
        <v/>
      </c>
      <c r="P25" s="12"/>
      <c r="Q25" s="12"/>
      <c r="R25" s="60" t="s">
        <v>1397</v>
      </c>
      <c r="S25" s="61" t="n">
        <v>0</v>
      </c>
      <c r="T25" s="62" t="n">
        <v>0.05</v>
      </c>
      <c r="U25" s="59" t="n">
        <f aca="false">IF($R25="Manual","",IFERROR(IF($R25="YOY Growth",$N25*(1+$T25)/12,$S25/12),""))</f>
        <v>0</v>
      </c>
      <c r="V25" s="59" t="n">
        <f aca="false">IF($R25="Manual","",IFERROR(IF($R25="YOY Growth",$N25*(1+$T25)/12,$S25/12),""))</f>
        <v>0</v>
      </c>
      <c r="W25" s="59" t="n">
        <f aca="false">IF($R25="Manual","",IFERROR(IF($R25="YOY Growth",$N25*(1+$T25)/12,$S25/12),""))</f>
        <v>0</v>
      </c>
      <c r="X25" s="59" t="n">
        <f aca="false">IF($R25="Manual","",IFERROR(IF($R25="YOY Growth",$N25*(1+$T25)/12,$S25/12),""))</f>
        <v>0</v>
      </c>
      <c r="Y25" s="59" t="n">
        <f aca="false">IF($R25="Manual","",IFERROR(IF($R25="YOY Growth",$N25*(1+$T25)/12,$S25/12),""))</f>
        <v>0</v>
      </c>
      <c r="Z25" s="59" t="n">
        <f aca="false">IF($R25="Manual","",IFERROR(IF($R25="YOY Growth",$N25*(1+$T25)/12,$S25/12),""))</f>
        <v>0</v>
      </c>
      <c r="AA25" s="59" t="n">
        <f aca="false">IF($R25="Manual","",IFERROR(IF($R25="YOY Growth",$N25*(1+$T25)/12,$S25/12),""))</f>
        <v>0</v>
      </c>
      <c r="AB25" s="59" t="n">
        <f aca="false">IF($R25="Manual","",IFERROR(IF($R25="YOY Growth",$N25*(1+$T25)/12,$S25/12),""))</f>
        <v>0</v>
      </c>
      <c r="AC25" s="59" t="n">
        <f aca="false">IF($R25="Manual","",IFERROR(IF($R25="YOY Growth",$N25*(1+$T25)/12,$S25/12),""))</f>
        <v>0</v>
      </c>
      <c r="AD25" s="59" t="n">
        <f aca="false">IF($R25="Manual","",IFERROR(IF($R25="YOY Growth",$N25*(1+$T25)/12,$S25/12),""))</f>
        <v>0</v>
      </c>
      <c r="AE25" s="59" t="n">
        <f aca="false">IF($R25="Manual","",IFERROR(IF($R25="YOY Growth",$N25*(1+$T25)/12,$S25/12),""))</f>
        <v>0</v>
      </c>
      <c r="AF25" s="59" t="n">
        <f aca="false">IF($R25="Manual","",IFERROR(IF($R25="YOY Growth",$N25*(1+$T25)/12,$S25/12),""))</f>
        <v>0</v>
      </c>
      <c r="AG25" s="12" t="n">
        <f aca="false">SUM(U25:AF25)</f>
        <v>0</v>
      </c>
      <c r="AH25" s="24" t="str">
        <f aca="false">IFERROR(AG25/AG$16,"")</f>
        <v/>
      </c>
      <c r="AI25" s="9"/>
      <c r="AJ25" s="12" t="n">
        <f aca="false">N25-AG25</f>
        <v>0</v>
      </c>
    </row>
    <row r="26" customFormat="false" ht="13.5" hidden="false" customHeight="true" outlineLevel="0" collapsed="false">
      <c r="A26" s="23" t="s">
        <v>1281</v>
      </c>
      <c r="B26" s="12" t="n">
        <v>0</v>
      </c>
      <c r="C26" s="12" t="n">
        <v>0</v>
      </c>
      <c r="D26" s="12" t="n">
        <v>0</v>
      </c>
      <c r="E26" s="12" t="n">
        <v>0</v>
      </c>
      <c r="F26" s="12" t="n">
        <v>0</v>
      </c>
      <c r="G26" s="12" t="n">
        <v>0</v>
      </c>
      <c r="H26" s="12" t="n">
        <v>0</v>
      </c>
      <c r="I26" s="12" t="n">
        <v>0</v>
      </c>
      <c r="J26" s="64" t="n">
        <v>0</v>
      </c>
      <c r="K26" s="64" t="n">
        <v>0</v>
      </c>
      <c r="L26" s="64" t="n">
        <v>0</v>
      </c>
      <c r="M26" s="64" t="n">
        <v>0</v>
      </c>
      <c r="N26" s="12" t="n">
        <f aca="false">SUM(B26:M26)</f>
        <v>0</v>
      </c>
      <c r="O26" s="24" t="str">
        <f aca="false">IFERROR(N26/N$16,"")</f>
        <v/>
      </c>
      <c r="P26" s="12"/>
      <c r="Q26" s="12"/>
      <c r="R26" s="60" t="s">
        <v>1397</v>
      </c>
      <c r="S26" s="61" t="n">
        <v>0</v>
      </c>
      <c r="T26" s="62" t="n">
        <v>0.05</v>
      </c>
      <c r="U26" s="59" t="n">
        <f aca="false">IF($R26="Manual","",IFERROR(IF($R26="YOY Growth",$N26*(1+$T26)/12,$S26/12),""))</f>
        <v>0</v>
      </c>
      <c r="V26" s="59" t="n">
        <f aca="false">IF($R26="Manual","",IFERROR(IF($R26="YOY Growth",$N26*(1+$T26)/12,$S26/12),""))</f>
        <v>0</v>
      </c>
      <c r="W26" s="59" t="n">
        <f aca="false">IF($R26="Manual","",IFERROR(IF($R26="YOY Growth",$N26*(1+$T26)/12,$S26/12),""))</f>
        <v>0</v>
      </c>
      <c r="X26" s="59" t="n">
        <f aca="false">IF($R26="Manual","",IFERROR(IF($R26="YOY Growth",$N26*(1+$T26)/12,$S26/12),""))</f>
        <v>0</v>
      </c>
      <c r="Y26" s="59" t="n">
        <f aca="false">IF($R26="Manual","",IFERROR(IF($R26="YOY Growth",$N26*(1+$T26)/12,$S26/12),""))</f>
        <v>0</v>
      </c>
      <c r="Z26" s="59" t="n">
        <f aca="false">IF($R26="Manual","",IFERROR(IF($R26="YOY Growth",$N26*(1+$T26)/12,$S26/12),""))</f>
        <v>0</v>
      </c>
      <c r="AA26" s="59" t="n">
        <f aca="false">IF($R26="Manual","",IFERROR(IF($R26="YOY Growth",$N26*(1+$T26)/12,$S26/12),""))</f>
        <v>0</v>
      </c>
      <c r="AB26" s="59" t="n">
        <f aca="false">IF($R26="Manual","",IFERROR(IF($R26="YOY Growth",$N26*(1+$T26)/12,$S26/12),""))</f>
        <v>0</v>
      </c>
      <c r="AC26" s="59" t="n">
        <f aca="false">IF($R26="Manual","",IFERROR(IF($R26="YOY Growth",$N26*(1+$T26)/12,$S26/12),""))</f>
        <v>0</v>
      </c>
      <c r="AD26" s="59" t="n">
        <f aca="false">IF($R26="Manual","",IFERROR(IF($R26="YOY Growth",$N26*(1+$T26)/12,$S26/12),""))</f>
        <v>0</v>
      </c>
      <c r="AE26" s="59" t="n">
        <f aca="false">IF($R26="Manual","",IFERROR(IF($R26="YOY Growth",$N26*(1+$T26)/12,$S26/12),""))</f>
        <v>0</v>
      </c>
      <c r="AF26" s="59" t="n">
        <f aca="false">IF($R26="Manual","",IFERROR(IF($R26="YOY Growth",$N26*(1+$T26)/12,$S26/12),""))</f>
        <v>0</v>
      </c>
      <c r="AG26" s="12" t="n">
        <f aca="false">SUM(U26:AF26)</f>
        <v>0</v>
      </c>
      <c r="AH26" s="24" t="str">
        <f aca="false">IFERROR(AG26/AG$16,"")</f>
        <v/>
      </c>
      <c r="AI26" s="9"/>
      <c r="AJ26" s="12" t="n">
        <f aca="false">N26-AG26</f>
        <v>0</v>
      </c>
    </row>
    <row r="27" customFormat="false" ht="13.5" hidden="false" customHeight="true" outlineLevel="0" collapsed="false">
      <c r="A27" s="26" t="s">
        <v>1282</v>
      </c>
      <c r="B27" s="27" t="n">
        <f aca="false">SUM(B24:B26)</f>
        <v>0</v>
      </c>
      <c r="C27" s="27" t="n">
        <f aca="false">SUM(C24:C26)</f>
        <v>0</v>
      </c>
      <c r="D27" s="27" t="n">
        <f aca="false">SUM(D24:D26)</f>
        <v>0</v>
      </c>
      <c r="E27" s="27" t="n">
        <f aca="false">SUM(E24:E26)</f>
        <v>0</v>
      </c>
      <c r="F27" s="27" t="n">
        <f aca="false">SUM(F24:F26)</f>
        <v>0</v>
      </c>
      <c r="G27" s="27" t="n">
        <f aca="false">SUM(G24:G26)</f>
        <v>0</v>
      </c>
      <c r="H27" s="27" t="n">
        <f aca="false">SUM(H24:H26)</f>
        <v>0</v>
      </c>
      <c r="I27" s="27" t="n">
        <f aca="false">SUM(I24:I26)</f>
        <v>0</v>
      </c>
      <c r="J27" s="27" t="n">
        <f aca="false">SUM(J24:J26)</f>
        <v>0</v>
      </c>
      <c r="K27" s="27" t="n">
        <f aca="false">SUM(K24:K26)</f>
        <v>0</v>
      </c>
      <c r="L27" s="27" t="n">
        <f aca="false">SUM(L24:L26)</f>
        <v>0</v>
      </c>
      <c r="M27" s="27" t="n">
        <f aca="false">SUM(M24:M26)</f>
        <v>0</v>
      </c>
      <c r="N27" s="27" t="n">
        <f aca="false">SUM(B27:M27)</f>
        <v>0</v>
      </c>
      <c r="O27" s="28" t="str">
        <f aca="false">IFERROR(N27/N$16,"")</f>
        <v/>
      </c>
      <c r="P27" s="12"/>
      <c r="Q27" s="12"/>
      <c r="R27" s="63"/>
      <c r="S27" s="63"/>
      <c r="T27" s="63"/>
      <c r="U27" s="27" t="n">
        <f aca="false">SUM(U24:U26)</f>
        <v>0</v>
      </c>
      <c r="V27" s="27" t="n">
        <f aca="false">SUM(V24:V26)</f>
        <v>0</v>
      </c>
      <c r="W27" s="27" t="n">
        <f aca="false">SUM(W24:W26)</f>
        <v>0</v>
      </c>
      <c r="X27" s="27" t="n">
        <f aca="false">SUM(X24:X26)</f>
        <v>0</v>
      </c>
      <c r="Y27" s="27" t="n">
        <f aca="false">SUM(Y24:Y26)</f>
        <v>0</v>
      </c>
      <c r="Z27" s="27" t="n">
        <f aca="false">SUM(Z24:Z26)</f>
        <v>0</v>
      </c>
      <c r="AA27" s="27" t="n">
        <f aca="false">SUM(AA24:AA26)</f>
        <v>0</v>
      </c>
      <c r="AB27" s="27" t="n">
        <f aca="false">SUM(AB24:AB26)</f>
        <v>0</v>
      </c>
      <c r="AC27" s="27" t="n">
        <f aca="false">SUM(AC24:AC26)</f>
        <v>0</v>
      </c>
      <c r="AD27" s="27" t="n">
        <f aca="false">SUM(AD24:AD26)</f>
        <v>0</v>
      </c>
      <c r="AE27" s="27" t="n">
        <f aca="false">SUM(AE24:AE26)</f>
        <v>0</v>
      </c>
      <c r="AF27" s="27" t="n">
        <f aca="false">SUM(AF24:AF26)</f>
        <v>0</v>
      </c>
      <c r="AG27" s="27" t="n">
        <f aca="false">SUM(U27:AF27)</f>
        <v>0</v>
      </c>
      <c r="AH27" s="28" t="str">
        <f aca="false">IFERROR(AG27/AG$16,"")</f>
        <v/>
      </c>
      <c r="AI27" s="9"/>
      <c r="AJ27" s="27" t="n">
        <f aca="false">N27-AG27</f>
        <v>0</v>
      </c>
    </row>
    <row r="28" customFormat="false" ht="13.5" hidden="false" customHeight="true" outlineLevel="0" collapsed="false">
      <c r="A28" s="23" t="s">
        <v>1283</v>
      </c>
      <c r="B28" s="12" t="n">
        <v>39.88</v>
      </c>
      <c r="C28" s="12" t="n">
        <v>1540.02</v>
      </c>
      <c r="D28" s="12" t="n">
        <v>137.24</v>
      </c>
      <c r="E28" s="12" t="n">
        <v>42.45</v>
      </c>
      <c r="F28" s="12" t="n">
        <v>0</v>
      </c>
      <c r="G28" s="12" t="n">
        <v>232.93</v>
      </c>
      <c r="H28" s="12" t="n">
        <v>375.64</v>
      </c>
      <c r="I28" s="12" t="n">
        <v>5222.07</v>
      </c>
      <c r="J28" s="64" t="n">
        <v>0</v>
      </c>
      <c r="K28" s="64" t="n">
        <v>0</v>
      </c>
      <c r="L28" s="64" t="n">
        <v>0</v>
      </c>
      <c r="M28" s="64" t="n">
        <v>0</v>
      </c>
      <c r="N28" s="12" t="n">
        <f aca="false">SUM(B28:M28)</f>
        <v>7590.23</v>
      </c>
      <c r="O28" s="24" t="str">
        <f aca="false">IFERROR(N28/N$16,"")</f>
        <v/>
      </c>
      <c r="P28" s="12"/>
      <c r="Q28" s="12"/>
      <c r="R28" s="60" t="s">
        <v>1397</v>
      </c>
      <c r="S28" s="61" t="n">
        <v>0</v>
      </c>
      <c r="T28" s="62" t="n">
        <v>0.05</v>
      </c>
      <c r="U28" s="59" t="n">
        <f aca="false">IF($R28="Manual","",IFERROR(IF($R28="YOY Growth",$N28*(1+$T28)/12,$S28/12),""))</f>
        <v>0</v>
      </c>
      <c r="V28" s="59" t="n">
        <f aca="false">IF($R28="Manual","",IFERROR(IF($R28="YOY Growth",$N28*(1+$T28)/12,$S28/12),""))</f>
        <v>0</v>
      </c>
      <c r="W28" s="59" t="n">
        <f aca="false">IF($R28="Manual","",IFERROR(IF($R28="YOY Growth",$N28*(1+$T28)/12,$S28/12),""))</f>
        <v>0</v>
      </c>
      <c r="X28" s="59" t="n">
        <f aca="false">IF($R28="Manual","",IFERROR(IF($R28="YOY Growth",$N28*(1+$T28)/12,$S28/12),""))</f>
        <v>0</v>
      </c>
      <c r="Y28" s="59" t="n">
        <f aca="false">IF($R28="Manual","",IFERROR(IF($R28="YOY Growth",$N28*(1+$T28)/12,$S28/12),""))</f>
        <v>0</v>
      </c>
      <c r="Z28" s="59" t="n">
        <f aca="false">IF($R28="Manual","",IFERROR(IF($R28="YOY Growth",$N28*(1+$T28)/12,$S28/12),""))</f>
        <v>0</v>
      </c>
      <c r="AA28" s="59" t="n">
        <f aca="false">IF($R28="Manual","",IFERROR(IF($R28="YOY Growth",$N28*(1+$T28)/12,$S28/12),""))</f>
        <v>0</v>
      </c>
      <c r="AB28" s="59" t="n">
        <f aca="false">IF($R28="Manual","",IFERROR(IF($R28="YOY Growth",$N28*(1+$T28)/12,$S28/12),""))</f>
        <v>0</v>
      </c>
      <c r="AC28" s="59" t="n">
        <f aca="false">IF($R28="Manual","",IFERROR(IF($R28="YOY Growth",$N28*(1+$T28)/12,$S28/12),""))</f>
        <v>0</v>
      </c>
      <c r="AD28" s="59" t="n">
        <f aca="false">IF($R28="Manual","",IFERROR(IF($R28="YOY Growth",$N28*(1+$T28)/12,$S28/12),""))</f>
        <v>0</v>
      </c>
      <c r="AE28" s="59" t="n">
        <f aca="false">IF($R28="Manual","",IFERROR(IF($R28="YOY Growth",$N28*(1+$T28)/12,$S28/12),""))</f>
        <v>0</v>
      </c>
      <c r="AF28" s="59" t="n">
        <f aca="false">IF($R28="Manual","",IFERROR(IF($R28="YOY Growth",$N28*(1+$T28)/12,$S28/12),""))</f>
        <v>0</v>
      </c>
      <c r="AG28" s="12" t="n">
        <f aca="false">SUM(U28:AF28)</f>
        <v>0</v>
      </c>
      <c r="AH28" s="24" t="str">
        <f aca="false">IFERROR(AG28/AG$16,"")</f>
        <v/>
      </c>
      <c r="AI28" s="9"/>
      <c r="AJ28" s="12" t="n">
        <f aca="false">N28-AG28</f>
        <v>7590.23</v>
      </c>
    </row>
    <row r="29" customFormat="false" ht="13.5" hidden="false" customHeight="true" outlineLevel="0" collapsed="false">
      <c r="A29" s="23" t="s">
        <v>1284</v>
      </c>
      <c r="B29" s="12" t="n">
        <v>0</v>
      </c>
      <c r="C29" s="12" t="n">
        <v>0</v>
      </c>
      <c r="D29" s="12" t="n">
        <v>0</v>
      </c>
      <c r="E29" s="12" t="n">
        <v>0</v>
      </c>
      <c r="F29" s="12" t="n">
        <v>0</v>
      </c>
      <c r="G29" s="12" t="n">
        <v>0</v>
      </c>
      <c r="H29" s="12" t="n">
        <v>0</v>
      </c>
      <c r="I29" s="12" t="n">
        <v>0</v>
      </c>
      <c r="J29" s="64" t="n">
        <v>0</v>
      </c>
      <c r="K29" s="64" t="n">
        <v>0</v>
      </c>
      <c r="L29" s="64" t="n">
        <v>0</v>
      </c>
      <c r="M29" s="64" t="n">
        <v>0</v>
      </c>
      <c r="N29" s="12" t="n">
        <f aca="false">SUM(B29:M29)</f>
        <v>0</v>
      </c>
      <c r="O29" s="24" t="str">
        <f aca="false">IFERROR(N29/N$16,"")</f>
        <v/>
      </c>
      <c r="P29" s="12"/>
      <c r="Q29" s="12"/>
      <c r="R29" s="60" t="s">
        <v>1397</v>
      </c>
      <c r="S29" s="61" t="n">
        <v>0</v>
      </c>
      <c r="T29" s="62" t="n">
        <v>0.05</v>
      </c>
      <c r="U29" s="59" t="n">
        <f aca="false">IF($R29="Manual","",IFERROR(IF($R29="YOY Growth",$N29*(1+$T29)/12,$S29/12),""))</f>
        <v>0</v>
      </c>
      <c r="V29" s="59" t="n">
        <f aca="false">IF($R29="Manual","",IFERROR(IF($R29="YOY Growth",$N29*(1+$T29)/12,$S29/12),""))</f>
        <v>0</v>
      </c>
      <c r="W29" s="59" t="n">
        <f aca="false">IF($R29="Manual","",IFERROR(IF($R29="YOY Growth",$N29*(1+$T29)/12,$S29/12),""))</f>
        <v>0</v>
      </c>
      <c r="X29" s="59" t="n">
        <f aca="false">IF($R29="Manual","",IFERROR(IF($R29="YOY Growth",$N29*(1+$T29)/12,$S29/12),""))</f>
        <v>0</v>
      </c>
      <c r="Y29" s="59" t="n">
        <f aca="false">IF($R29="Manual","",IFERROR(IF($R29="YOY Growth",$N29*(1+$T29)/12,$S29/12),""))</f>
        <v>0</v>
      </c>
      <c r="Z29" s="59" t="n">
        <f aca="false">IF($R29="Manual","",IFERROR(IF($R29="YOY Growth",$N29*(1+$T29)/12,$S29/12),""))</f>
        <v>0</v>
      </c>
      <c r="AA29" s="59" t="n">
        <f aca="false">IF($R29="Manual","",IFERROR(IF($R29="YOY Growth",$N29*(1+$T29)/12,$S29/12),""))</f>
        <v>0</v>
      </c>
      <c r="AB29" s="59" t="n">
        <f aca="false">IF($R29="Manual","",IFERROR(IF($R29="YOY Growth",$N29*(1+$T29)/12,$S29/12),""))</f>
        <v>0</v>
      </c>
      <c r="AC29" s="59" t="n">
        <f aca="false">IF($R29="Manual","",IFERROR(IF($R29="YOY Growth",$N29*(1+$T29)/12,$S29/12),""))</f>
        <v>0</v>
      </c>
      <c r="AD29" s="59" t="n">
        <f aca="false">IF($R29="Manual","",IFERROR(IF($R29="YOY Growth",$N29*(1+$T29)/12,$S29/12),""))</f>
        <v>0</v>
      </c>
      <c r="AE29" s="59" t="n">
        <f aca="false">IF($R29="Manual","",IFERROR(IF($R29="YOY Growth",$N29*(1+$T29)/12,$S29/12),""))</f>
        <v>0</v>
      </c>
      <c r="AF29" s="59" t="n">
        <f aca="false">IF($R29="Manual","",IFERROR(IF($R29="YOY Growth",$N29*(1+$T29)/12,$S29/12),""))</f>
        <v>0</v>
      </c>
      <c r="AG29" s="12" t="n">
        <f aca="false">SUM(U29:AF29)</f>
        <v>0</v>
      </c>
      <c r="AH29" s="24" t="str">
        <f aca="false">IFERROR(AG29/AG$16,"")</f>
        <v/>
      </c>
      <c r="AI29" s="9"/>
      <c r="AJ29" s="12" t="n">
        <f aca="false">N29-AG29</f>
        <v>0</v>
      </c>
    </row>
    <row r="30" customFormat="false" ht="13.5" hidden="false" customHeight="true" outlineLevel="0" collapsed="false">
      <c r="A30" s="23" t="s">
        <v>1285</v>
      </c>
      <c r="B30" s="12" t="n">
        <v>0</v>
      </c>
      <c r="C30" s="12" t="n">
        <v>0</v>
      </c>
      <c r="D30" s="12" t="n">
        <v>0</v>
      </c>
      <c r="E30" s="12" t="n">
        <v>0</v>
      </c>
      <c r="F30" s="12" t="n">
        <v>0</v>
      </c>
      <c r="G30" s="12" t="n">
        <v>0</v>
      </c>
      <c r="H30" s="12" t="n">
        <v>0</v>
      </c>
      <c r="I30" s="12" t="n">
        <v>0</v>
      </c>
      <c r="J30" s="64" t="n">
        <v>0</v>
      </c>
      <c r="K30" s="64" t="n">
        <v>0</v>
      </c>
      <c r="L30" s="64" t="n">
        <v>0</v>
      </c>
      <c r="M30" s="64" t="n">
        <v>0</v>
      </c>
      <c r="N30" s="12" t="n">
        <f aca="false">SUM(B30:M30)</f>
        <v>0</v>
      </c>
      <c r="O30" s="24" t="str">
        <f aca="false">IFERROR(N30/N$16,"")</f>
        <v/>
      </c>
      <c r="P30" s="12"/>
      <c r="Q30" s="12"/>
      <c r="R30" s="60" t="s">
        <v>1397</v>
      </c>
      <c r="S30" s="61" t="n">
        <v>0</v>
      </c>
      <c r="T30" s="62" t="n">
        <v>0.05</v>
      </c>
      <c r="U30" s="59" t="n">
        <f aca="false">IF($R30="Manual","",IFERROR(IF($R30="YOY Growth",$N30*(1+$T30)/12,$S30/12),""))</f>
        <v>0</v>
      </c>
      <c r="V30" s="59" t="n">
        <f aca="false">IF($R30="Manual","",IFERROR(IF($R30="YOY Growth",$N30*(1+$T30)/12,$S30/12),""))</f>
        <v>0</v>
      </c>
      <c r="W30" s="59" t="n">
        <f aca="false">IF($R30="Manual","",IFERROR(IF($R30="YOY Growth",$N30*(1+$T30)/12,$S30/12),""))</f>
        <v>0</v>
      </c>
      <c r="X30" s="59" t="n">
        <f aca="false">IF($R30="Manual","",IFERROR(IF($R30="YOY Growth",$N30*(1+$T30)/12,$S30/12),""))</f>
        <v>0</v>
      </c>
      <c r="Y30" s="59" t="n">
        <f aca="false">IF($R30="Manual","",IFERROR(IF($R30="YOY Growth",$N30*(1+$T30)/12,$S30/12),""))</f>
        <v>0</v>
      </c>
      <c r="Z30" s="59" t="n">
        <f aca="false">IF($R30="Manual","",IFERROR(IF($R30="YOY Growth",$N30*(1+$T30)/12,$S30/12),""))</f>
        <v>0</v>
      </c>
      <c r="AA30" s="59" t="n">
        <f aca="false">IF($R30="Manual","",IFERROR(IF($R30="YOY Growth",$N30*(1+$T30)/12,$S30/12),""))</f>
        <v>0</v>
      </c>
      <c r="AB30" s="59" t="n">
        <f aca="false">IF($R30="Manual","",IFERROR(IF($R30="YOY Growth",$N30*(1+$T30)/12,$S30/12),""))</f>
        <v>0</v>
      </c>
      <c r="AC30" s="59" t="n">
        <f aca="false">IF($R30="Manual","",IFERROR(IF($R30="YOY Growth",$N30*(1+$T30)/12,$S30/12),""))</f>
        <v>0</v>
      </c>
      <c r="AD30" s="59" t="n">
        <f aca="false">IF($R30="Manual","",IFERROR(IF($R30="YOY Growth",$N30*(1+$T30)/12,$S30/12),""))</f>
        <v>0</v>
      </c>
      <c r="AE30" s="59" t="n">
        <f aca="false">IF($R30="Manual","",IFERROR(IF($R30="YOY Growth",$N30*(1+$T30)/12,$S30/12),""))</f>
        <v>0</v>
      </c>
      <c r="AF30" s="59" t="n">
        <f aca="false">IF($R30="Manual","",IFERROR(IF($R30="YOY Growth",$N30*(1+$T30)/12,$S30/12),""))</f>
        <v>0</v>
      </c>
      <c r="AG30" s="12" t="n">
        <f aca="false">SUM(U30:AF30)</f>
        <v>0</v>
      </c>
      <c r="AH30" s="24" t="str">
        <f aca="false">IFERROR(AG30/AG$16,"")</f>
        <v/>
      </c>
      <c r="AI30" s="9"/>
      <c r="AJ30" s="12" t="n">
        <f aca="false">N30-AG30</f>
        <v>0</v>
      </c>
    </row>
    <row r="31" customFormat="false" ht="13.5" hidden="false" customHeight="true" outlineLevel="0" collapsed="false">
      <c r="A31" s="23" t="s">
        <v>1286</v>
      </c>
      <c r="B31" s="12" t="n">
        <v>0</v>
      </c>
      <c r="C31" s="12" t="n">
        <v>0</v>
      </c>
      <c r="D31" s="12" t="n">
        <v>0</v>
      </c>
      <c r="E31" s="12" t="n">
        <v>0</v>
      </c>
      <c r="F31" s="12" t="n">
        <v>0</v>
      </c>
      <c r="G31" s="12" t="n">
        <v>0</v>
      </c>
      <c r="H31" s="12" t="n">
        <v>0</v>
      </c>
      <c r="I31" s="12" t="n">
        <v>0</v>
      </c>
      <c r="J31" s="64" t="n">
        <v>0</v>
      </c>
      <c r="K31" s="64" t="n">
        <v>0</v>
      </c>
      <c r="L31" s="64" t="n">
        <v>0</v>
      </c>
      <c r="M31" s="64" t="n">
        <v>0</v>
      </c>
      <c r="N31" s="12" t="n">
        <f aca="false">SUM(B31:M31)</f>
        <v>0</v>
      </c>
      <c r="O31" s="24" t="str">
        <f aca="false">IFERROR(N31/N$16,"")</f>
        <v/>
      </c>
      <c r="P31" s="12"/>
      <c r="Q31" s="12"/>
      <c r="R31" s="60" t="s">
        <v>1397</v>
      </c>
      <c r="S31" s="61" t="n">
        <v>0</v>
      </c>
      <c r="T31" s="62" t="n">
        <v>0.05</v>
      </c>
      <c r="U31" s="59" t="n">
        <f aca="false">IF($R31="Manual","",IFERROR(IF($R31="YOY Growth",$N31*(1+$T31)/12,$S31/12),""))</f>
        <v>0</v>
      </c>
      <c r="V31" s="59" t="n">
        <f aca="false">IF($R31="Manual","",IFERROR(IF($R31="YOY Growth",$N31*(1+$T31)/12,$S31/12),""))</f>
        <v>0</v>
      </c>
      <c r="W31" s="59" t="n">
        <f aca="false">IF($R31="Manual","",IFERROR(IF($R31="YOY Growth",$N31*(1+$T31)/12,$S31/12),""))</f>
        <v>0</v>
      </c>
      <c r="X31" s="59" t="n">
        <f aca="false">IF($R31="Manual","",IFERROR(IF($R31="YOY Growth",$N31*(1+$T31)/12,$S31/12),""))</f>
        <v>0</v>
      </c>
      <c r="Y31" s="59" t="n">
        <f aca="false">IF($R31="Manual","",IFERROR(IF($R31="YOY Growth",$N31*(1+$T31)/12,$S31/12),""))</f>
        <v>0</v>
      </c>
      <c r="Z31" s="59" t="n">
        <f aca="false">IF($R31="Manual","",IFERROR(IF($R31="YOY Growth",$N31*(1+$T31)/12,$S31/12),""))</f>
        <v>0</v>
      </c>
      <c r="AA31" s="59" t="n">
        <f aca="false">IF($R31="Manual","",IFERROR(IF($R31="YOY Growth",$N31*(1+$T31)/12,$S31/12),""))</f>
        <v>0</v>
      </c>
      <c r="AB31" s="59" t="n">
        <f aca="false">IF($R31="Manual","",IFERROR(IF($R31="YOY Growth",$N31*(1+$T31)/12,$S31/12),""))</f>
        <v>0</v>
      </c>
      <c r="AC31" s="59" t="n">
        <f aca="false">IF($R31="Manual","",IFERROR(IF($R31="YOY Growth",$N31*(1+$T31)/12,$S31/12),""))</f>
        <v>0</v>
      </c>
      <c r="AD31" s="59" t="n">
        <f aca="false">IF($R31="Manual","",IFERROR(IF($R31="YOY Growth",$N31*(1+$T31)/12,$S31/12),""))</f>
        <v>0</v>
      </c>
      <c r="AE31" s="59" t="n">
        <f aca="false">IF($R31="Manual","",IFERROR(IF($R31="YOY Growth",$N31*(1+$T31)/12,$S31/12),""))</f>
        <v>0</v>
      </c>
      <c r="AF31" s="59" t="n">
        <f aca="false">IF($R31="Manual","",IFERROR(IF($R31="YOY Growth",$N31*(1+$T31)/12,$S31/12),""))</f>
        <v>0</v>
      </c>
      <c r="AG31" s="12" t="n">
        <f aca="false">SUM(U31:AF31)</f>
        <v>0</v>
      </c>
      <c r="AH31" s="24" t="str">
        <f aca="false">IFERROR(AG31/AG$16,"")</f>
        <v/>
      </c>
      <c r="AI31" s="9"/>
      <c r="AJ31" s="12" t="n">
        <f aca="false">N31-AG31</f>
        <v>0</v>
      </c>
    </row>
    <row r="32" customFormat="false" ht="13.5" hidden="false" customHeight="true" outlineLevel="0" collapsed="false">
      <c r="A32" s="22" t="s">
        <v>1287</v>
      </c>
      <c r="B32" s="12"/>
      <c r="C32" s="12"/>
      <c r="D32" s="12"/>
      <c r="E32" s="12"/>
      <c r="F32" s="12"/>
      <c r="G32" s="12"/>
      <c r="H32" s="12"/>
      <c r="I32" s="12"/>
      <c r="J32" s="12"/>
      <c r="K32" s="12"/>
      <c r="L32" s="12"/>
      <c r="M32" s="12"/>
      <c r="N32" s="12"/>
      <c r="O32" s="24"/>
      <c r="P32" s="12"/>
      <c r="Q32" s="12"/>
      <c r="R32" s="63"/>
      <c r="S32" s="63"/>
      <c r="T32" s="63"/>
      <c r="U32" s="12"/>
      <c r="V32" s="12"/>
      <c r="W32" s="12"/>
      <c r="X32" s="12"/>
      <c r="Y32" s="12"/>
      <c r="Z32" s="12"/>
      <c r="AA32" s="12"/>
      <c r="AB32" s="12"/>
      <c r="AC32" s="12"/>
      <c r="AD32" s="12"/>
      <c r="AE32" s="12"/>
      <c r="AF32" s="12"/>
      <c r="AG32" s="12"/>
      <c r="AH32" s="24"/>
      <c r="AI32" s="9"/>
      <c r="AJ32" s="12"/>
    </row>
    <row r="33" customFormat="false" ht="13.5" hidden="false" customHeight="true" outlineLevel="0" collapsed="false">
      <c r="A33" s="23" t="s">
        <v>1288</v>
      </c>
      <c r="B33" s="12" t="n">
        <v>0</v>
      </c>
      <c r="C33" s="12" t="n">
        <v>0</v>
      </c>
      <c r="D33" s="12" t="n">
        <v>65376.84</v>
      </c>
      <c r="E33" s="12" t="n">
        <v>0</v>
      </c>
      <c r="F33" s="12" t="n">
        <v>0</v>
      </c>
      <c r="G33" s="12" t="n">
        <v>0</v>
      </c>
      <c r="H33" s="12" t="n">
        <v>0</v>
      </c>
      <c r="I33" s="12" t="n">
        <v>0</v>
      </c>
      <c r="J33" s="64" t="n">
        <v>0</v>
      </c>
      <c r="K33" s="64" t="n">
        <v>0</v>
      </c>
      <c r="L33" s="64" t="n">
        <v>0</v>
      </c>
      <c r="M33" s="64" t="n">
        <v>0</v>
      </c>
      <c r="N33" s="12" t="n">
        <f aca="false">SUM(B33:M33)</f>
        <v>65376.84</v>
      </c>
      <c r="O33" s="24" t="str">
        <f aca="false">IFERROR(N33/N$16,"")</f>
        <v/>
      </c>
      <c r="P33" s="12"/>
      <c r="Q33" s="12"/>
      <c r="R33" s="66"/>
      <c r="S33" s="66"/>
      <c r="T33" s="66"/>
      <c r="U33" s="66"/>
      <c r="V33" s="66"/>
      <c r="W33" s="66"/>
      <c r="X33" s="66"/>
      <c r="Y33" s="66"/>
      <c r="Z33" s="66"/>
      <c r="AA33" s="66"/>
      <c r="AB33" s="66"/>
      <c r="AC33" s="66"/>
      <c r="AD33" s="66"/>
      <c r="AE33" s="66"/>
      <c r="AF33" s="66"/>
      <c r="AG33" s="12" t="n">
        <f aca="false">SUM(U33:AF33)</f>
        <v>0</v>
      </c>
      <c r="AH33" s="24" t="str">
        <f aca="false">IFERROR(AG33/AG$16,"")</f>
        <v/>
      </c>
      <c r="AI33" s="9"/>
      <c r="AJ33" s="12" t="n">
        <f aca="false">N33-AG33</f>
        <v>65376.84</v>
      </c>
    </row>
    <row r="34" customFormat="false" ht="13.5" hidden="false" customHeight="true" outlineLevel="0" collapsed="false">
      <c r="A34" s="23" t="s">
        <v>1289</v>
      </c>
      <c r="B34" s="12" t="n">
        <v>0</v>
      </c>
      <c r="C34" s="12" t="n">
        <v>0</v>
      </c>
      <c r="D34" s="12" t="n">
        <v>2360.75</v>
      </c>
      <c r="E34" s="12" t="n">
        <v>0</v>
      </c>
      <c r="F34" s="12" t="n">
        <v>0</v>
      </c>
      <c r="G34" s="12" t="n">
        <v>0</v>
      </c>
      <c r="H34" s="12" t="n">
        <v>0</v>
      </c>
      <c r="I34" s="12" t="n">
        <v>0</v>
      </c>
      <c r="J34" s="64" t="n">
        <v>0</v>
      </c>
      <c r="K34" s="64" t="n">
        <v>0</v>
      </c>
      <c r="L34" s="64" t="n">
        <v>0</v>
      </c>
      <c r="M34" s="64" t="n">
        <v>0</v>
      </c>
      <c r="N34" s="12" t="n">
        <f aca="false">SUM(B34:M34)</f>
        <v>2360.75</v>
      </c>
      <c r="O34" s="24" t="str">
        <f aca="false">IFERROR(N34/N$16,"")</f>
        <v/>
      </c>
      <c r="P34" s="12"/>
      <c r="Q34" s="12"/>
      <c r="R34" s="66"/>
      <c r="S34" s="66"/>
      <c r="T34" s="66"/>
      <c r="U34" s="66"/>
      <c r="V34" s="66"/>
      <c r="W34" s="66"/>
      <c r="X34" s="66"/>
      <c r="Y34" s="66"/>
      <c r="Z34" s="66"/>
      <c r="AA34" s="66"/>
      <c r="AB34" s="66"/>
      <c r="AC34" s="66"/>
      <c r="AD34" s="66"/>
      <c r="AE34" s="66"/>
      <c r="AF34" s="66"/>
      <c r="AG34" s="12" t="n">
        <f aca="false">SUM(U34:AF34)</f>
        <v>0</v>
      </c>
      <c r="AH34" s="24" t="str">
        <f aca="false">IFERROR(AG34/AG$16,"")</f>
        <v/>
      </c>
      <c r="AI34" s="9"/>
      <c r="AJ34" s="12" t="n">
        <f aca="false">N34-AG34</f>
        <v>2360.75</v>
      </c>
    </row>
    <row r="35" customFormat="false" ht="13.5" hidden="false" customHeight="true" outlineLevel="0" collapsed="false">
      <c r="A35" s="23" t="s">
        <v>1290</v>
      </c>
      <c r="B35" s="12" t="n">
        <v>-54670.96</v>
      </c>
      <c r="C35" s="12" t="n">
        <v>0</v>
      </c>
      <c r="D35" s="12" t="n">
        <v>-1593.15</v>
      </c>
      <c r="E35" s="12" t="n">
        <v>0</v>
      </c>
      <c r="F35" s="12" t="n">
        <v>0</v>
      </c>
      <c r="G35" s="12" t="n">
        <v>0</v>
      </c>
      <c r="H35" s="12" t="n">
        <v>0</v>
      </c>
      <c r="I35" s="12" t="n">
        <v>0</v>
      </c>
      <c r="J35" s="64" t="n">
        <v>0</v>
      </c>
      <c r="K35" s="64" t="n">
        <v>0</v>
      </c>
      <c r="L35" s="64" t="n">
        <v>0</v>
      </c>
      <c r="M35" s="64" t="n">
        <v>0</v>
      </c>
      <c r="N35" s="12" t="n">
        <f aca="false">SUM(B35:M35)</f>
        <v>-56264.11</v>
      </c>
      <c r="O35" s="24" t="str">
        <f aca="false">IFERROR(N35/N$16,"")</f>
        <v/>
      </c>
      <c r="P35" s="12"/>
      <c r="Q35" s="12"/>
      <c r="R35" s="66"/>
      <c r="S35" s="66"/>
      <c r="T35" s="66"/>
      <c r="U35" s="66"/>
      <c r="V35" s="66"/>
      <c r="W35" s="66"/>
      <c r="X35" s="66"/>
      <c r="Y35" s="66"/>
      <c r="Z35" s="66"/>
      <c r="AA35" s="66"/>
      <c r="AB35" s="66"/>
      <c r="AC35" s="66"/>
      <c r="AD35" s="66"/>
      <c r="AE35" s="66"/>
      <c r="AF35" s="66"/>
      <c r="AG35" s="12" t="n">
        <f aca="false">SUM(U35:AF35)</f>
        <v>0</v>
      </c>
      <c r="AH35" s="24" t="str">
        <f aca="false">IFERROR(AG35/AG$16,"")</f>
        <v/>
      </c>
      <c r="AI35" s="9"/>
      <c r="AJ35" s="12" t="n">
        <f aca="false">N35-AG35</f>
        <v>-56264.11</v>
      </c>
    </row>
    <row r="36" customFormat="false" ht="13.5" hidden="false" customHeight="true" outlineLevel="0" collapsed="false">
      <c r="A36" s="26" t="s">
        <v>1291</v>
      </c>
      <c r="B36" s="27" t="n">
        <f aca="false">SUM(B33:B35)</f>
        <v>-54670.96</v>
      </c>
      <c r="C36" s="27" t="n">
        <f aca="false">SUM(C33:C35)</f>
        <v>0</v>
      </c>
      <c r="D36" s="27" t="n">
        <f aca="false">SUM(D33:D35)</f>
        <v>66144.44</v>
      </c>
      <c r="E36" s="27" t="n">
        <f aca="false">SUM(E33:E35)</f>
        <v>0</v>
      </c>
      <c r="F36" s="27" t="n">
        <f aca="false">SUM(F33:F35)</f>
        <v>0</v>
      </c>
      <c r="G36" s="27" t="n">
        <f aca="false">SUM(G33:G35)</f>
        <v>0</v>
      </c>
      <c r="H36" s="27" t="n">
        <f aca="false">SUM(H33:H35)</f>
        <v>0</v>
      </c>
      <c r="I36" s="27" t="n">
        <f aca="false">SUM(I33:I35)</f>
        <v>0</v>
      </c>
      <c r="J36" s="27" t="n">
        <f aca="false">SUM(J33:J35)</f>
        <v>0</v>
      </c>
      <c r="K36" s="27" t="n">
        <f aca="false">SUM(K33:K35)</f>
        <v>0</v>
      </c>
      <c r="L36" s="27" t="n">
        <f aca="false">SUM(L33:L35)</f>
        <v>0</v>
      </c>
      <c r="M36" s="27" t="n">
        <f aca="false">SUM(M33:M35)</f>
        <v>0</v>
      </c>
      <c r="N36" s="27" t="n">
        <f aca="false">SUM(B36:M36)</f>
        <v>11473.48</v>
      </c>
      <c r="O36" s="28" t="str">
        <f aca="false">IFERROR(N36/N$16,"")</f>
        <v/>
      </c>
      <c r="P36" s="12"/>
      <c r="Q36" s="12"/>
      <c r="R36" s="63"/>
      <c r="S36" s="63"/>
      <c r="T36" s="63"/>
      <c r="U36" s="27" t="n">
        <f aca="false">SUM(U33:U35)</f>
        <v>0</v>
      </c>
      <c r="V36" s="27" t="n">
        <f aca="false">SUM(V33:V35)</f>
        <v>0</v>
      </c>
      <c r="W36" s="27" t="n">
        <f aca="false">SUM(W33:W35)</f>
        <v>0</v>
      </c>
      <c r="X36" s="27" t="n">
        <f aca="false">SUM(X33:X35)</f>
        <v>0</v>
      </c>
      <c r="Y36" s="27" t="n">
        <f aca="false">SUM(Y33:Y35)</f>
        <v>0</v>
      </c>
      <c r="Z36" s="27" t="n">
        <f aca="false">SUM(Z33:Z35)</f>
        <v>0</v>
      </c>
      <c r="AA36" s="27" t="n">
        <f aca="false">SUM(AA33:AA35)</f>
        <v>0</v>
      </c>
      <c r="AB36" s="27" t="n">
        <f aca="false">SUM(AB33:AB35)</f>
        <v>0</v>
      </c>
      <c r="AC36" s="27" t="n">
        <f aca="false">SUM(AC33:AC35)</f>
        <v>0</v>
      </c>
      <c r="AD36" s="27" t="n">
        <f aca="false">SUM(AD33:AD35)</f>
        <v>0</v>
      </c>
      <c r="AE36" s="27" t="n">
        <f aca="false">SUM(AE33:AE35)</f>
        <v>0</v>
      </c>
      <c r="AF36" s="27" t="n">
        <f aca="false">SUM(AF33:AF35)</f>
        <v>0</v>
      </c>
      <c r="AG36" s="27" t="n">
        <f aca="false">SUM(U36:AF36)</f>
        <v>0</v>
      </c>
      <c r="AH36" s="28" t="str">
        <f aca="false">IFERROR(AG36/AG$16,"")</f>
        <v/>
      </c>
      <c r="AI36" s="9"/>
      <c r="AJ36" s="27" t="n">
        <f aca="false">N36-AG36</f>
        <v>11473.48</v>
      </c>
    </row>
    <row r="37" customFormat="false" ht="13.5" hidden="false" customHeight="true" outlineLevel="0" collapsed="false">
      <c r="A37" s="26" t="s">
        <v>1292</v>
      </c>
      <c r="B37" s="27" t="n">
        <f aca="false">B19+B22+B27+B28+B29+B30+B31+B36+B20+B21</f>
        <v>-54631.08</v>
      </c>
      <c r="C37" s="27" t="n">
        <f aca="false">C19+C22+C27+C28+C29+C30+C31+C36+C20+C21</f>
        <v>1540.02</v>
      </c>
      <c r="D37" s="27" t="n">
        <f aca="false">D19+D22+D27+D28+D29+D30+D31+D36+D20+D21</f>
        <v>66281.68</v>
      </c>
      <c r="E37" s="27" t="n">
        <f aca="false">E19+E22+E27+E28+E29+E30+E31+E36+E20+E21</f>
        <v>42.45</v>
      </c>
      <c r="F37" s="27" t="n">
        <f aca="false">F19+F22+F27+F28+F29+F30+F31+F36+F20+F21</f>
        <v>0</v>
      </c>
      <c r="G37" s="27" t="n">
        <f aca="false">G19+G22+G27+G28+G29+G30+G31+G36+G20+G21</f>
        <v>232.93</v>
      </c>
      <c r="H37" s="27" t="n">
        <f aca="false">H19+H22+H27+H28+H29+H30+H31+H36+H20+H21</f>
        <v>375.64</v>
      </c>
      <c r="I37" s="27" t="n">
        <f aca="false">I19+I22+I27+I28+I29+I30+I31+I36+I20+I21</f>
        <v>5222.07</v>
      </c>
      <c r="J37" s="27" t="n">
        <f aca="false">J19+J22+J27+J28+J29+J30+J31+J36+J20+J21</f>
        <v>0</v>
      </c>
      <c r="K37" s="27" t="n">
        <f aca="false">K19+K22+K27+K28+K29+K30+K31+K36+K20+K21</f>
        <v>0</v>
      </c>
      <c r="L37" s="27" t="n">
        <f aca="false">L19+L22+L27+L28+L29+L30+L31+L36+L20+L21</f>
        <v>0</v>
      </c>
      <c r="M37" s="27" t="n">
        <f aca="false">M19+M22+M27+M28+M29+M30+M31+M36+M20+M21</f>
        <v>0</v>
      </c>
      <c r="N37" s="27" t="n">
        <f aca="false">SUM(B37:M37)</f>
        <v>19063.71</v>
      </c>
      <c r="O37" s="28" t="str">
        <f aca="false">IFERROR(N37/N$16,"")</f>
        <v/>
      </c>
      <c r="P37" s="12"/>
      <c r="Q37" s="12"/>
      <c r="R37" s="63"/>
      <c r="S37" s="63"/>
      <c r="T37" s="63"/>
      <c r="U37" s="27" t="n">
        <f aca="false">U19+U22+U27+U28+U29+U30+U31+U36+U20+U21</f>
        <v>0</v>
      </c>
      <c r="V37" s="27" t="n">
        <f aca="false">V19+V22+V27+V28+V29+V30+V31+V36+V20+V21</f>
        <v>0</v>
      </c>
      <c r="W37" s="27" t="n">
        <f aca="false">W19+W22+W27+W28+W29+W30+W31+W36+W20+W21</f>
        <v>0</v>
      </c>
      <c r="X37" s="27" t="n">
        <f aca="false">X19+X22+X27+X28+X29+X30+X31+X36+X20+X21</f>
        <v>0</v>
      </c>
      <c r="Y37" s="27" t="n">
        <f aca="false">Y19+Y22+Y27+Y28+Y29+Y30+Y31+Y36+Y20+Y21</f>
        <v>0</v>
      </c>
      <c r="Z37" s="27" t="n">
        <f aca="false">Z19+Z22+Z27+Z28+Z29+Z30+Z31+Z36+Z20+Z21</f>
        <v>0</v>
      </c>
      <c r="AA37" s="27" t="n">
        <f aca="false">AA19+AA22+AA27+AA28+AA29+AA30+AA31+AA36+AA20+AA21</f>
        <v>0</v>
      </c>
      <c r="AB37" s="27" t="n">
        <f aca="false">AB19+AB22+AB27+AB28+AB29+AB30+AB31+AB36+AB20+AB21</f>
        <v>0</v>
      </c>
      <c r="AC37" s="27" t="n">
        <f aca="false">AC19+AC22+AC27+AC28+AC29+AC30+AC31+AC36+AC20+AC21</f>
        <v>0</v>
      </c>
      <c r="AD37" s="27" t="n">
        <f aca="false">AD19+AD22+AD27+AD28+AD29+AD30+AD31+AD36+AD20+AD21</f>
        <v>0</v>
      </c>
      <c r="AE37" s="27" t="n">
        <f aca="false">AE19+AE22+AE27+AE28+AE29+AE30+AE31+AE36+AE20+AE21</f>
        <v>0</v>
      </c>
      <c r="AF37" s="27" t="n">
        <f aca="false">AF19+AF22+AF27+AF28+AF29+AF30+AF31+AF36+AF20+AF21</f>
        <v>0</v>
      </c>
      <c r="AG37" s="27" t="n">
        <f aca="false">SUM(U37:AF37)</f>
        <v>0</v>
      </c>
      <c r="AH37" s="28" t="str">
        <f aca="false">IFERROR(AG37/AG$16,"")</f>
        <v/>
      </c>
      <c r="AI37" s="9"/>
      <c r="AJ37" s="27" t="n">
        <f aca="false">N37-AG37</f>
        <v>19063.71</v>
      </c>
    </row>
    <row r="38" customFormat="false" ht="13.5" hidden="false" customHeight="true" outlineLevel="0" collapsed="false">
      <c r="A38" s="23" t="s">
        <v>1293</v>
      </c>
      <c r="B38" s="12" t="n">
        <v>0</v>
      </c>
      <c r="C38" s="12" t="n">
        <v>0</v>
      </c>
      <c r="D38" s="12" t="n">
        <v>0</v>
      </c>
      <c r="E38" s="12" t="n">
        <v>0</v>
      </c>
      <c r="F38" s="12" t="n">
        <v>0</v>
      </c>
      <c r="G38" s="12" t="n">
        <v>0</v>
      </c>
      <c r="H38" s="12" t="n">
        <v>0</v>
      </c>
      <c r="I38" s="12" t="n">
        <v>0</v>
      </c>
      <c r="J38" s="64" t="n">
        <v>0</v>
      </c>
      <c r="K38" s="64" t="n">
        <v>0</v>
      </c>
      <c r="L38" s="64" t="n">
        <v>0</v>
      </c>
      <c r="M38" s="64" t="n">
        <v>0</v>
      </c>
      <c r="N38" s="12" t="n">
        <f aca="false">SUM(B38:M38)</f>
        <v>0</v>
      </c>
      <c r="O38" s="24" t="str">
        <f aca="false">IFERROR(N38/N$16,"")</f>
        <v/>
      </c>
      <c r="P38" s="12"/>
      <c r="Q38" s="12"/>
      <c r="R38" s="60" t="s">
        <v>1397</v>
      </c>
      <c r="S38" s="61" t="n">
        <v>0</v>
      </c>
      <c r="T38" s="62" t="n">
        <v>0.05</v>
      </c>
      <c r="U38" s="59" t="n">
        <f aca="false">IF($R38="Manual","",IFERROR(IF($R38="YOY Growth",$N38*(1+$T38)/12,$S38/12),""))</f>
        <v>0</v>
      </c>
      <c r="V38" s="59" t="n">
        <f aca="false">IF($R38="Manual","",IFERROR(IF($R38="YOY Growth",$N38*(1+$T38)/12,$S38/12),""))</f>
        <v>0</v>
      </c>
      <c r="W38" s="59" t="n">
        <f aca="false">IF($R38="Manual","",IFERROR(IF($R38="YOY Growth",$N38*(1+$T38)/12,$S38/12),""))</f>
        <v>0</v>
      </c>
      <c r="X38" s="59" t="n">
        <f aca="false">IF($R38="Manual","",IFERROR(IF($R38="YOY Growth",$N38*(1+$T38)/12,$S38/12),""))</f>
        <v>0</v>
      </c>
      <c r="Y38" s="59" t="n">
        <f aca="false">IF($R38="Manual","",IFERROR(IF($R38="YOY Growth",$N38*(1+$T38)/12,$S38/12),""))</f>
        <v>0</v>
      </c>
      <c r="Z38" s="59" t="n">
        <f aca="false">IF($R38="Manual","",IFERROR(IF($R38="YOY Growth",$N38*(1+$T38)/12,$S38/12),""))</f>
        <v>0</v>
      </c>
      <c r="AA38" s="59" t="n">
        <f aca="false">IF($R38="Manual","",IFERROR(IF($R38="YOY Growth",$N38*(1+$T38)/12,$S38/12),""))</f>
        <v>0</v>
      </c>
      <c r="AB38" s="59" t="n">
        <f aca="false">IF($R38="Manual","",IFERROR(IF($R38="YOY Growth",$N38*(1+$T38)/12,$S38/12),""))</f>
        <v>0</v>
      </c>
      <c r="AC38" s="59" t="n">
        <f aca="false">IF($R38="Manual","",IFERROR(IF($R38="YOY Growth",$N38*(1+$T38)/12,$S38/12),""))</f>
        <v>0</v>
      </c>
      <c r="AD38" s="59" t="n">
        <f aca="false">IF($R38="Manual","",IFERROR(IF($R38="YOY Growth",$N38*(1+$T38)/12,$S38/12),""))</f>
        <v>0</v>
      </c>
      <c r="AE38" s="59" t="n">
        <f aca="false">IF($R38="Manual","",IFERROR(IF($R38="YOY Growth",$N38*(1+$T38)/12,$S38/12),""))</f>
        <v>0</v>
      </c>
      <c r="AF38" s="59" t="n">
        <f aca="false">IF($R38="Manual","",IFERROR(IF($R38="YOY Growth",$N38*(1+$T38)/12,$S38/12),""))</f>
        <v>0</v>
      </c>
      <c r="AG38" s="12" t="n">
        <f aca="false">SUM(U38:AF38)</f>
        <v>0</v>
      </c>
      <c r="AH38" s="24" t="str">
        <f aca="false">IFERROR(AG38/AG$16,"")</f>
        <v/>
      </c>
      <c r="AI38" s="9"/>
      <c r="AJ38" s="12" t="n">
        <f aca="false">N38-AG38</f>
        <v>0</v>
      </c>
    </row>
    <row r="39" customFormat="false" ht="13.5" hidden="false" customHeight="true" outlineLevel="0" collapsed="false">
      <c r="A39" s="23" t="s">
        <v>1294</v>
      </c>
      <c r="B39" s="12" t="n">
        <v>0</v>
      </c>
      <c r="C39" s="12" t="n">
        <v>0</v>
      </c>
      <c r="D39" s="12" t="n">
        <v>0</v>
      </c>
      <c r="E39" s="12" t="n">
        <v>0</v>
      </c>
      <c r="F39" s="12" t="n">
        <v>0</v>
      </c>
      <c r="G39" s="12" t="n">
        <v>0</v>
      </c>
      <c r="H39" s="12" t="n">
        <v>0</v>
      </c>
      <c r="I39" s="12" t="n">
        <v>4693.58</v>
      </c>
      <c r="J39" s="64" t="n">
        <v>0</v>
      </c>
      <c r="K39" s="64" t="n">
        <v>0</v>
      </c>
      <c r="L39" s="64" t="n">
        <v>0</v>
      </c>
      <c r="M39" s="64" t="n">
        <v>0</v>
      </c>
      <c r="N39" s="12" t="n">
        <f aca="false">SUM(B39:M39)</f>
        <v>4693.58</v>
      </c>
      <c r="O39" s="24" t="str">
        <f aca="false">IFERROR(N39/N$16,"")</f>
        <v/>
      </c>
      <c r="P39" s="12"/>
      <c r="Q39" s="12"/>
      <c r="R39" s="60" t="s">
        <v>1397</v>
      </c>
      <c r="S39" s="61" t="n">
        <v>0</v>
      </c>
      <c r="T39" s="62" t="n">
        <v>0.05</v>
      </c>
      <c r="U39" s="59" t="n">
        <f aca="false">IF($R39="Manual","",IFERROR(IF($R39="YOY Growth",$N39*(1+$T39)/12,$S39/12),""))</f>
        <v>0</v>
      </c>
      <c r="V39" s="59" t="n">
        <f aca="false">IF($R39="Manual","",IFERROR(IF($R39="YOY Growth",$N39*(1+$T39)/12,$S39/12),""))</f>
        <v>0</v>
      </c>
      <c r="W39" s="59" t="n">
        <f aca="false">IF($R39="Manual","",IFERROR(IF($R39="YOY Growth",$N39*(1+$T39)/12,$S39/12),""))</f>
        <v>0</v>
      </c>
      <c r="X39" s="59" t="n">
        <f aca="false">IF($R39="Manual","",IFERROR(IF($R39="YOY Growth",$N39*(1+$T39)/12,$S39/12),""))</f>
        <v>0</v>
      </c>
      <c r="Y39" s="59" t="n">
        <f aca="false">IF($R39="Manual","",IFERROR(IF($R39="YOY Growth",$N39*(1+$T39)/12,$S39/12),""))</f>
        <v>0</v>
      </c>
      <c r="Z39" s="59" t="n">
        <f aca="false">IF($R39="Manual","",IFERROR(IF($R39="YOY Growth",$N39*(1+$T39)/12,$S39/12),""))</f>
        <v>0</v>
      </c>
      <c r="AA39" s="59" t="n">
        <f aca="false">IF($R39="Manual","",IFERROR(IF($R39="YOY Growth",$N39*(1+$T39)/12,$S39/12),""))</f>
        <v>0</v>
      </c>
      <c r="AB39" s="59" t="n">
        <f aca="false">IF($R39="Manual","",IFERROR(IF($R39="YOY Growth",$N39*(1+$T39)/12,$S39/12),""))</f>
        <v>0</v>
      </c>
      <c r="AC39" s="59" t="n">
        <f aca="false">IF($R39="Manual","",IFERROR(IF($R39="YOY Growth",$N39*(1+$T39)/12,$S39/12),""))</f>
        <v>0</v>
      </c>
      <c r="AD39" s="59" t="n">
        <f aca="false">IF($R39="Manual","",IFERROR(IF($R39="YOY Growth",$N39*(1+$T39)/12,$S39/12),""))</f>
        <v>0</v>
      </c>
      <c r="AE39" s="59" t="n">
        <f aca="false">IF($R39="Manual","",IFERROR(IF($R39="YOY Growth",$N39*(1+$T39)/12,$S39/12),""))</f>
        <v>0</v>
      </c>
      <c r="AF39" s="59" t="n">
        <f aca="false">IF($R39="Manual","",IFERROR(IF($R39="YOY Growth",$N39*(1+$T39)/12,$S39/12),""))</f>
        <v>0</v>
      </c>
      <c r="AG39" s="12" t="n">
        <f aca="false">SUM(U39:AF39)</f>
        <v>0</v>
      </c>
      <c r="AH39" s="24" t="str">
        <f aca="false">IFERROR(AG39/AG$16,"")</f>
        <v/>
      </c>
      <c r="AI39" s="9"/>
      <c r="AJ39" s="12" t="n">
        <f aca="false">N39-AG39</f>
        <v>4693.58</v>
      </c>
    </row>
    <row r="40" customFormat="false" ht="13.5" hidden="false" customHeight="true" outlineLevel="0" collapsed="false">
      <c r="A40" s="23" t="s">
        <v>1295</v>
      </c>
      <c r="B40" s="12" t="n">
        <v>0</v>
      </c>
      <c r="C40" s="12" t="n">
        <v>0</v>
      </c>
      <c r="D40" s="12" t="n">
        <v>0</v>
      </c>
      <c r="E40" s="12" t="n">
        <v>0</v>
      </c>
      <c r="F40" s="12" t="n">
        <v>0</v>
      </c>
      <c r="G40" s="12" t="n">
        <v>0</v>
      </c>
      <c r="H40" s="12" t="n">
        <v>0</v>
      </c>
      <c r="I40" s="12" t="n">
        <v>0</v>
      </c>
      <c r="J40" s="64" t="n">
        <v>0</v>
      </c>
      <c r="K40" s="64" t="n">
        <v>0</v>
      </c>
      <c r="L40" s="64" t="n">
        <v>0</v>
      </c>
      <c r="M40" s="64" t="n">
        <v>0</v>
      </c>
      <c r="N40" s="12" t="n">
        <f aca="false">SUM(B40:M40)</f>
        <v>0</v>
      </c>
      <c r="O40" s="24" t="str">
        <f aca="false">IFERROR(N40/N$16,"")</f>
        <v/>
      </c>
      <c r="P40" s="12"/>
      <c r="Q40" s="12"/>
      <c r="R40" s="60" t="s">
        <v>1397</v>
      </c>
      <c r="S40" s="61" t="n">
        <v>0</v>
      </c>
      <c r="T40" s="62" t="n">
        <v>0.05</v>
      </c>
      <c r="U40" s="59" t="n">
        <f aca="false">IF($R40="Manual","",IFERROR(IF($R40="YOY Growth",$N40*(1+$T40)/12,$S40/12),""))</f>
        <v>0</v>
      </c>
      <c r="V40" s="59" t="n">
        <f aca="false">IF($R40="Manual","",IFERROR(IF($R40="YOY Growth",$N40*(1+$T40)/12,$S40/12),""))</f>
        <v>0</v>
      </c>
      <c r="W40" s="59" t="n">
        <f aca="false">IF($R40="Manual","",IFERROR(IF($R40="YOY Growth",$N40*(1+$T40)/12,$S40/12),""))</f>
        <v>0</v>
      </c>
      <c r="X40" s="59" t="n">
        <f aca="false">IF($R40="Manual","",IFERROR(IF($R40="YOY Growth",$N40*(1+$T40)/12,$S40/12),""))</f>
        <v>0</v>
      </c>
      <c r="Y40" s="59" t="n">
        <f aca="false">IF($R40="Manual","",IFERROR(IF($R40="YOY Growth",$N40*(1+$T40)/12,$S40/12),""))</f>
        <v>0</v>
      </c>
      <c r="Z40" s="59" t="n">
        <f aca="false">IF($R40="Manual","",IFERROR(IF($R40="YOY Growth",$N40*(1+$T40)/12,$S40/12),""))</f>
        <v>0</v>
      </c>
      <c r="AA40" s="59" t="n">
        <f aca="false">IF($R40="Manual","",IFERROR(IF($R40="YOY Growth",$N40*(1+$T40)/12,$S40/12),""))</f>
        <v>0</v>
      </c>
      <c r="AB40" s="59" t="n">
        <f aca="false">IF($R40="Manual","",IFERROR(IF($R40="YOY Growth",$N40*(1+$T40)/12,$S40/12),""))</f>
        <v>0</v>
      </c>
      <c r="AC40" s="59" t="n">
        <f aca="false">IF($R40="Manual","",IFERROR(IF($R40="YOY Growth",$N40*(1+$T40)/12,$S40/12),""))</f>
        <v>0</v>
      </c>
      <c r="AD40" s="59" t="n">
        <f aca="false">IF($R40="Manual","",IFERROR(IF($R40="YOY Growth",$N40*(1+$T40)/12,$S40/12),""))</f>
        <v>0</v>
      </c>
      <c r="AE40" s="59" t="n">
        <f aca="false">IF($R40="Manual","",IFERROR(IF($R40="YOY Growth",$N40*(1+$T40)/12,$S40/12),""))</f>
        <v>0</v>
      </c>
      <c r="AF40" s="59" t="n">
        <f aca="false">IF($R40="Manual","",IFERROR(IF($R40="YOY Growth",$N40*(1+$T40)/12,$S40/12),""))</f>
        <v>0</v>
      </c>
      <c r="AG40" s="12" t="n">
        <f aca="false">SUM(U40:AF40)</f>
        <v>0</v>
      </c>
      <c r="AH40" s="24" t="str">
        <f aca="false">IFERROR(AG40/AG$16,"")</f>
        <v/>
      </c>
      <c r="AI40" s="9"/>
      <c r="AJ40" s="12" t="n">
        <f aca="false">N40-AG40</f>
        <v>0</v>
      </c>
    </row>
    <row r="41" customFormat="false" ht="13.5" hidden="false" customHeight="true" outlineLevel="0" collapsed="false">
      <c r="A41" s="23" t="s">
        <v>1296</v>
      </c>
      <c r="B41" s="12" t="n">
        <v>0</v>
      </c>
      <c r="C41" s="12" t="n">
        <v>0</v>
      </c>
      <c r="D41" s="12" t="n">
        <v>0</v>
      </c>
      <c r="E41" s="12" t="n">
        <v>0</v>
      </c>
      <c r="F41" s="12" t="n">
        <v>0</v>
      </c>
      <c r="G41" s="12" t="n">
        <v>0</v>
      </c>
      <c r="H41" s="12" t="n">
        <v>0</v>
      </c>
      <c r="I41" s="12" t="n">
        <v>0</v>
      </c>
      <c r="J41" s="64"/>
      <c r="K41" s="64"/>
      <c r="L41" s="64"/>
      <c r="M41" s="64"/>
      <c r="N41" s="12" t="n">
        <f aca="false">SUM(B41:M41)</f>
        <v>0</v>
      </c>
      <c r="O41" s="24" t="str">
        <f aca="false">IFERROR(N41/N$16,"")</f>
        <v/>
      </c>
      <c r="P41" s="12"/>
      <c r="Q41" s="12"/>
      <c r="R41" s="60" t="s">
        <v>1397</v>
      </c>
      <c r="S41" s="61" t="n">
        <v>0</v>
      </c>
      <c r="T41" s="62" t="n">
        <v>0.05</v>
      </c>
      <c r="U41" s="59" t="n">
        <f aca="false">IF($R41="Manual","",IFERROR(IF($R41="YOY Growth",$N41*(1+$T41)/12,$S41/12),""))</f>
        <v>0</v>
      </c>
      <c r="V41" s="59" t="n">
        <f aca="false">IF($R41="Manual","",IFERROR(IF($R41="YOY Growth",$N41*(1+$T41)/12,$S41/12),""))</f>
        <v>0</v>
      </c>
      <c r="W41" s="59" t="n">
        <f aca="false">IF($R41="Manual","",IFERROR(IF($R41="YOY Growth",$N41*(1+$T41)/12,$S41/12),""))</f>
        <v>0</v>
      </c>
      <c r="X41" s="59" t="n">
        <f aca="false">IF($R41="Manual","",IFERROR(IF($R41="YOY Growth",$N41*(1+$T41)/12,$S41/12),""))</f>
        <v>0</v>
      </c>
      <c r="Y41" s="59" t="n">
        <f aca="false">IF($R41="Manual","",IFERROR(IF($R41="YOY Growth",$N41*(1+$T41)/12,$S41/12),""))</f>
        <v>0</v>
      </c>
      <c r="Z41" s="59" t="n">
        <f aca="false">IF($R41="Manual","",IFERROR(IF($R41="YOY Growth",$N41*(1+$T41)/12,$S41/12),""))</f>
        <v>0</v>
      </c>
      <c r="AA41" s="59" t="n">
        <f aca="false">IF($R41="Manual","",IFERROR(IF($R41="YOY Growth",$N41*(1+$T41)/12,$S41/12),""))</f>
        <v>0</v>
      </c>
      <c r="AB41" s="59" t="n">
        <f aca="false">IF($R41="Manual","",IFERROR(IF($R41="YOY Growth",$N41*(1+$T41)/12,$S41/12),""))</f>
        <v>0</v>
      </c>
      <c r="AC41" s="59" t="n">
        <f aca="false">IF($R41="Manual","",IFERROR(IF($R41="YOY Growth",$N41*(1+$T41)/12,$S41/12),""))</f>
        <v>0</v>
      </c>
      <c r="AD41" s="59" t="n">
        <f aca="false">IF($R41="Manual","",IFERROR(IF($R41="YOY Growth",$N41*(1+$T41)/12,$S41/12),""))</f>
        <v>0</v>
      </c>
      <c r="AE41" s="59" t="n">
        <f aca="false">IF($R41="Manual","",IFERROR(IF($R41="YOY Growth",$N41*(1+$T41)/12,$S41/12),""))</f>
        <v>0</v>
      </c>
      <c r="AF41" s="59" t="n">
        <f aca="false">IF($R41="Manual","",IFERROR(IF($R41="YOY Growth",$N41*(1+$T41)/12,$S41/12),""))</f>
        <v>0</v>
      </c>
      <c r="AG41" s="12" t="n">
        <f aca="false">SUM(U41:AF41)</f>
        <v>0</v>
      </c>
      <c r="AH41" s="24" t="str">
        <f aca="false">IFERROR(AG41/AG$16,"")</f>
        <v/>
      </c>
      <c r="AI41" s="9"/>
      <c r="AJ41" s="12" t="n">
        <f aca="false">N41-AG41</f>
        <v>0</v>
      </c>
    </row>
    <row r="42" customFormat="false" ht="13.5" hidden="false" customHeight="true" outlineLevel="0" collapsed="false">
      <c r="A42" s="23" t="s">
        <v>1297</v>
      </c>
      <c r="B42" s="12" t="n">
        <v>0</v>
      </c>
      <c r="C42" s="12" t="n">
        <v>0</v>
      </c>
      <c r="D42" s="12" t="n">
        <v>0</v>
      </c>
      <c r="E42" s="12" t="n">
        <v>0</v>
      </c>
      <c r="F42" s="12" t="n">
        <v>0</v>
      </c>
      <c r="G42" s="12" t="n">
        <v>0</v>
      </c>
      <c r="H42" s="12" t="n">
        <v>0</v>
      </c>
      <c r="I42" s="12" t="n">
        <v>0</v>
      </c>
      <c r="J42" s="64" t="n">
        <v>0</v>
      </c>
      <c r="K42" s="64" t="n">
        <v>0</v>
      </c>
      <c r="L42" s="64" t="n">
        <v>0</v>
      </c>
      <c r="M42" s="64" t="n">
        <v>0</v>
      </c>
      <c r="N42" s="12" t="n">
        <f aca="false">SUM(B42:M42)</f>
        <v>0</v>
      </c>
      <c r="O42" s="24" t="str">
        <f aca="false">IFERROR(N42/N$16,"")</f>
        <v/>
      </c>
      <c r="P42" s="12"/>
      <c r="Q42" s="12"/>
      <c r="R42" s="60" t="s">
        <v>1397</v>
      </c>
      <c r="S42" s="61" t="n">
        <v>0</v>
      </c>
      <c r="T42" s="62" t="n">
        <v>0.05</v>
      </c>
      <c r="U42" s="59" t="n">
        <f aca="false">IF($R42="Manual","",IFERROR(IF($R42="YOY Growth",$N42*(1+$T42)/12,$S42/12),""))</f>
        <v>0</v>
      </c>
      <c r="V42" s="59" t="n">
        <f aca="false">IF($R42="Manual","",IFERROR(IF($R42="YOY Growth",$N42*(1+$T42)/12,$S42/12),""))</f>
        <v>0</v>
      </c>
      <c r="W42" s="59" t="n">
        <f aca="false">IF($R42="Manual","",IFERROR(IF($R42="YOY Growth",$N42*(1+$T42)/12,$S42/12),""))</f>
        <v>0</v>
      </c>
      <c r="X42" s="59" t="n">
        <f aca="false">IF($R42="Manual","",IFERROR(IF($R42="YOY Growth",$N42*(1+$T42)/12,$S42/12),""))</f>
        <v>0</v>
      </c>
      <c r="Y42" s="59" t="n">
        <f aca="false">IF($R42="Manual","",IFERROR(IF($R42="YOY Growth",$N42*(1+$T42)/12,$S42/12),""))</f>
        <v>0</v>
      </c>
      <c r="Z42" s="59" t="n">
        <f aca="false">IF($R42="Manual","",IFERROR(IF($R42="YOY Growth",$N42*(1+$T42)/12,$S42/12),""))</f>
        <v>0</v>
      </c>
      <c r="AA42" s="59" t="n">
        <f aca="false">IF($R42="Manual","",IFERROR(IF($R42="YOY Growth",$N42*(1+$T42)/12,$S42/12),""))</f>
        <v>0</v>
      </c>
      <c r="AB42" s="59" t="n">
        <f aca="false">IF($R42="Manual","",IFERROR(IF($R42="YOY Growth",$N42*(1+$T42)/12,$S42/12),""))</f>
        <v>0</v>
      </c>
      <c r="AC42" s="59" t="n">
        <f aca="false">IF($R42="Manual","",IFERROR(IF($R42="YOY Growth",$N42*(1+$T42)/12,$S42/12),""))</f>
        <v>0</v>
      </c>
      <c r="AD42" s="59" t="n">
        <f aca="false">IF($R42="Manual","",IFERROR(IF($R42="YOY Growth",$N42*(1+$T42)/12,$S42/12),""))</f>
        <v>0</v>
      </c>
      <c r="AE42" s="59" t="n">
        <f aca="false">IF($R42="Manual","",IFERROR(IF($R42="YOY Growth",$N42*(1+$T42)/12,$S42/12),""))</f>
        <v>0</v>
      </c>
      <c r="AF42" s="59" t="n">
        <f aca="false">IF($R42="Manual","",IFERROR(IF($R42="YOY Growth",$N42*(1+$T42)/12,$S42/12),""))</f>
        <v>0</v>
      </c>
      <c r="AG42" s="12" t="n">
        <f aca="false">SUM(U42:AF42)</f>
        <v>0</v>
      </c>
      <c r="AH42" s="24" t="str">
        <f aca="false">IFERROR(AG42/AG$16,"")</f>
        <v/>
      </c>
      <c r="AI42" s="9"/>
      <c r="AJ42" s="12" t="n">
        <f aca="false">N42-AG42</f>
        <v>0</v>
      </c>
    </row>
    <row r="43" customFormat="false" ht="13.5" hidden="false" customHeight="true" outlineLevel="0" collapsed="false">
      <c r="A43" s="22" t="s">
        <v>1298</v>
      </c>
      <c r="B43" s="12"/>
      <c r="C43" s="12"/>
      <c r="D43" s="12"/>
      <c r="E43" s="12"/>
      <c r="F43" s="12"/>
      <c r="G43" s="12"/>
      <c r="H43" s="12"/>
      <c r="I43" s="12"/>
      <c r="J43" s="12"/>
      <c r="K43" s="12"/>
      <c r="L43" s="12"/>
      <c r="M43" s="12"/>
      <c r="N43" s="12"/>
      <c r="O43" s="24"/>
      <c r="P43" s="12"/>
      <c r="Q43" s="12"/>
      <c r="R43" s="63"/>
      <c r="S43" s="63"/>
      <c r="T43" s="63"/>
      <c r="U43" s="12"/>
      <c r="V43" s="12"/>
      <c r="W43" s="12"/>
      <c r="X43" s="12"/>
      <c r="Y43" s="12"/>
      <c r="Z43" s="12"/>
      <c r="AA43" s="12"/>
      <c r="AB43" s="12"/>
      <c r="AC43" s="12"/>
      <c r="AD43" s="12"/>
      <c r="AE43" s="12"/>
      <c r="AF43" s="12"/>
      <c r="AG43" s="12"/>
      <c r="AH43" s="24"/>
      <c r="AI43" s="9"/>
      <c r="AJ43" s="12"/>
    </row>
    <row r="44" customFormat="false" ht="13.5" hidden="false" customHeight="true" outlineLevel="0" collapsed="false">
      <c r="A44" s="23" t="s">
        <v>1299</v>
      </c>
      <c r="B44" s="12" t="n">
        <v>0</v>
      </c>
      <c r="C44" s="12" t="n">
        <v>0</v>
      </c>
      <c r="D44" s="12" t="n">
        <v>0</v>
      </c>
      <c r="E44" s="12" t="n">
        <v>0</v>
      </c>
      <c r="F44" s="12" t="n">
        <v>0</v>
      </c>
      <c r="G44" s="12" t="n">
        <v>0</v>
      </c>
      <c r="H44" s="12" t="n">
        <v>0</v>
      </c>
      <c r="I44" s="12" t="n">
        <v>0</v>
      </c>
      <c r="J44" s="64" t="n">
        <v>0</v>
      </c>
      <c r="K44" s="64" t="n">
        <v>0</v>
      </c>
      <c r="L44" s="64" t="n">
        <v>0</v>
      </c>
      <c r="M44" s="64" t="n">
        <v>0</v>
      </c>
      <c r="N44" s="12" t="n">
        <f aca="false">SUM(B44:M44)</f>
        <v>0</v>
      </c>
      <c r="O44" s="24" t="str">
        <f aca="false">IFERROR(N44/N$16,"")</f>
        <v/>
      </c>
      <c r="P44" s="12"/>
      <c r="Q44" s="12"/>
      <c r="R44" s="60" t="s">
        <v>1397</v>
      </c>
      <c r="S44" s="61" t="n">
        <v>0</v>
      </c>
      <c r="T44" s="62" t="n">
        <v>0.05</v>
      </c>
      <c r="U44" s="59" t="n">
        <f aca="false">IF($R44="Manual","",IFERROR(IF($R44="YOY Growth",$N44*(1+$T44)/12,$S44/12),""))</f>
        <v>0</v>
      </c>
      <c r="V44" s="59" t="n">
        <f aca="false">IF($R44="Manual","",IFERROR(IF($R44="YOY Growth",$N44*(1+$T44)/12,$S44/12),""))</f>
        <v>0</v>
      </c>
      <c r="W44" s="59" t="n">
        <f aca="false">IF($R44="Manual","",IFERROR(IF($R44="YOY Growth",$N44*(1+$T44)/12,$S44/12),""))</f>
        <v>0</v>
      </c>
      <c r="X44" s="59" t="n">
        <f aca="false">IF($R44="Manual","",IFERROR(IF($R44="YOY Growth",$N44*(1+$T44)/12,$S44/12),""))</f>
        <v>0</v>
      </c>
      <c r="Y44" s="59" t="n">
        <f aca="false">IF($R44="Manual","",IFERROR(IF($R44="YOY Growth",$N44*(1+$T44)/12,$S44/12),""))</f>
        <v>0</v>
      </c>
      <c r="Z44" s="59" t="n">
        <f aca="false">IF($R44="Manual","",IFERROR(IF($R44="YOY Growth",$N44*(1+$T44)/12,$S44/12),""))</f>
        <v>0</v>
      </c>
      <c r="AA44" s="59" t="n">
        <f aca="false">IF($R44="Manual","",IFERROR(IF($R44="YOY Growth",$N44*(1+$T44)/12,$S44/12),""))</f>
        <v>0</v>
      </c>
      <c r="AB44" s="59" t="n">
        <f aca="false">IF($R44="Manual","",IFERROR(IF($R44="YOY Growth",$N44*(1+$T44)/12,$S44/12),""))</f>
        <v>0</v>
      </c>
      <c r="AC44" s="59" t="n">
        <f aca="false">IF($R44="Manual","",IFERROR(IF($R44="YOY Growth",$N44*(1+$T44)/12,$S44/12),""))</f>
        <v>0</v>
      </c>
      <c r="AD44" s="59" t="n">
        <f aca="false">IF($R44="Manual","",IFERROR(IF($R44="YOY Growth",$N44*(1+$T44)/12,$S44/12),""))</f>
        <v>0</v>
      </c>
      <c r="AE44" s="59" t="n">
        <f aca="false">IF($R44="Manual","",IFERROR(IF($R44="YOY Growth",$N44*(1+$T44)/12,$S44/12),""))</f>
        <v>0</v>
      </c>
      <c r="AF44" s="59" t="n">
        <f aca="false">IF($R44="Manual","",IFERROR(IF($R44="YOY Growth",$N44*(1+$T44)/12,$S44/12),""))</f>
        <v>0</v>
      </c>
      <c r="AG44" s="12" t="n">
        <f aca="false">SUM(U44:AF44)</f>
        <v>0</v>
      </c>
      <c r="AH44" s="24" t="str">
        <f aca="false">IFERROR(AG44/AG$16,"")</f>
        <v/>
      </c>
      <c r="AI44" s="9"/>
      <c r="AJ44" s="12" t="n">
        <f aca="false">N44-AG44</f>
        <v>0</v>
      </c>
    </row>
    <row r="45" customFormat="false" ht="13.5" hidden="false" customHeight="true" outlineLevel="0" collapsed="false">
      <c r="A45" s="23" t="s">
        <v>1300</v>
      </c>
      <c r="B45" s="12" t="n">
        <v>0</v>
      </c>
      <c r="C45" s="12" t="n">
        <v>0</v>
      </c>
      <c r="D45" s="12" t="n">
        <v>0</v>
      </c>
      <c r="E45" s="12" t="n">
        <v>0</v>
      </c>
      <c r="F45" s="12" t="n">
        <v>0</v>
      </c>
      <c r="G45" s="12" t="n">
        <v>0</v>
      </c>
      <c r="H45" s="12" t="n">
        <v>0</v>
      </c>
      <c r="I45" s="12" t="n">
        <v>0</v>
      </c>
      <c r="J45" s="64" t="n">
        <v>0</v>
      </c>
      <c r="K45" s="64" t="n">
        <v>0</v>
      </c>
      <c r="L45" s="64" t="n">
        <v>0</v>
      </c>
      <c r="M45" s="64" t="n">
        <v>0</v>
      </c>
      <c r="N45" s="12" t="n">
        <f aca="false">SUM(B45:M45)</f>
        <v>0</v>
      </c>
      <c r="O45" s="24" t="str">
        <f aca="false">IFERROR(N45/N$16,"")</f>
        <v/>
      </c>
      <c r="P45" s="12"/>
      <c r="Q45" s="12"/>
      <c r="R45" s="60" t="s">
        <v>1397</v>
      </c>
      <c r="S45" s="61" t="n">
        <v>0</v>
      </c>
      <c r="T45" s="62" t="n">
        <v>0.05</v>
      </c>
      <c r="U45" s="59" t="n">
        <f aca="false">IF($R45="Manual","",IFERROR(IF($R45="YOY Growth",$N45*(1+$T45)/12,$S45/12),""))</f>
        <v>0</v>
      </c>
      <c r="V45" s="59" t="n">
        <f aca="false">IF($R45="Manual","",IFERROR(IF($R45="YOY Growth",$N45*(1+$T45)/12,$S45/12),""))</f>
        <v>0</v>
      </c>
      <c r="W45" s="59" t="n">
        <f aca="false">IF($R45="Manual","",IFERROR(IF($R45="YOY Growth",$N45*(1+$T45)/12,$S45/12),""))</f>
        <v>0</v>
      </c>
      <c r="X45" s="59" t="n">
        <f aca="false">IF($R45="Manual","",IFERROR(IF($R45="YOY Growth",$N45*(1+$T45)/12,$S45/12),""))</f>
        <v>0</v>
      </c>
      <c r="Y45" s="59" t="n">
        <f aca="false">IF($R45="Manual","",IFERROR(IF($R45="YOY Growth",$N45*(1+$T45)/12,$S45/12),""))</f>
        <v>0</v>
      </c>
      <c r="Z45" s="59" t="n">
        <f aca="false">IF($R45="Manual","",IFERROR(IF($R45="YOY Growth",$N45*(1+$T45)/12,$S45/12),""))</f>
        <v>0</v>
      </c>
      <c r="AA45" s="59" t="n">
        <f aca="false">IF($R45="Manual","",IFERROR(IF($R45="YOY Growth",$N45*(1+$T45)/12,$S45/12),""))</f>
        <v>0</v>
      </c>
      <c r="AB45" s="59" t="n">
        <f aca="false">IF($R45="Manual","",IFERROR(IF($R45="YOY Growth",$N45*(1+$T45)/12,$S45/12),""))</f>
        <v>0</v>
      </c>
      <c r="AC45" s="59" t="n">
        <f aca="false">IF($R45="Manual","",IFERROR(IF($R45="YOY Growth",$N45*(1+$T45)/12,$S45/12),""))</f>
        <v>0</v>
      </c>
      <c r="AD45" s="59" t="n">
        <f aca="false">IF($R45="Manual","",IFERROR(IF($R45="YOY Growth",$N45*(1+$T45)/12,$S45/12),""))</f>
        <v>0</v>
      </c>
      <c r="AE45" s="59" t="n">
        <f aca="false">IF($R45="Manual","",IFERROR(IF($R45="YOY Growth",$N45*(1+$T45)/12,$S45/12),""))</f>
        <v>0</v>
      </c>
      <c r="AF45" s="59" t="n">
        <f aca="false">IF($R45="Manual","",IFERROR(IF($R45="YOY Growth",$N45*(1+$T45)/12,$S45/12),""))</f>
        <v>0</v>
      </c>
      <c r="AG45" s="12" t="n">
        <f aca="false">SUM(U45:AF45)</f>
        <v>0</v>
      </c>
      <c r="AH45" s="24" t="str">
        <f aca="false">IFERROR(AG45/AG$16,"")</f>
        <v/>
      </c>
      <c r="AI45" s="9"/>
      <c r="AJ45" s="12" t="n">
        <f aca="false">N45-AG45</f>
        <v>0</v>
      </c>
    </row>
    <row r="46" customFormat="false" ht="13.5" hidden="false" customHeight="true" outlineLevel="0" collapsed="false">
      <c r="A46" s="23" t="s">
        <v>1301</v>
      </c>
      <c r="B46" s="12" t="n">
        <v>0</v>
      </c>
      <c r="C46" s="12" t="n">
        <v>0</v>
      </c>
      <c r="D46" s="12" t="n">
        <v>0</v>
      </c>
      <c r="E46" s="12" t="n">
        <v>0</v>
      </c>
      <c r="F46" s="12" t="n">
        <v>0</v>
      </c>
      <c r="G46" s="12" t="n">
        <v>0</v>
      </c>
      <c r="H46" s="12" t="n">
        <v>0</v>
      </c>
      <c r="I46" s="12" t="n">
        <v>0</v>
      </c>
      <c r="J46" s="64" t="n">
        <v>0</v>
      </c>
      <c r="K46" s="64" t="n">
        <v>0</v>
      </c>
      <c r="L46" s="64" t="n">
        <v>0</v>
      </c>
      <c r="M46" s="64" t="n">
        <v>0</v>
      </c>
      <c r="N46" s="12" t="n">
        <f aca="false">SUM(B46:M46)</f>
        <v>0</v>
      </c>
      <c r="O46" s="24" t="str">
        <f aca="false">IFERROR(N46/N$16,"")</f>
        <v/>
      </c>
      <c r="P46" s="12"/>
      <c r="Q46" s="12"/>
      <c r="R46" s="60" t="s">
        <v>1397</v>
      </c>
      <c r="S46" s="61" t="n">
        <v>0</v>
      </c>
      <c r="T46" s="62" t="n">
        <v>0.05</v>
      </c>
      <c r="U46" s="59" t="n">
        <f aca="false">IF($R46="Manual","",IFERROR(IF($R46="YOY Growth",$N46*(1+$T46)/12,$S46/12),""))</f>
        <v>0</v>
      </c>
      <c r="V46" s="59" t="n">
        <f aca="false">IF($R46="Manual","",IFERROR(IF($R46="YOY Growth",$N46*(1+$T46)/12,$S46/12),""))</f>
        <v>0</v>
      </c>
      <c r="W46" s="59" t="n">
        <f aca="false">IF($R46="Manual","",IFERROR(IF($R46="YOY Growth",$N46*(1+$T46)/12,$S46/12),""))</f>
        <v>0</v>
      </c>
      <c r="X46" s="59" t="n">
        <f aca="false">IF($R46="Manual","",IFERROR(IF($R46="YOY Growth",$N46*(1+$T46)/12,$S46/12),""))</f>
        <v>0</v>
      </c>
      <c r="Y46" s="59" t="n">
        <f aca="false">IF($R46="Manual","",IFERROR(IF($R46="YOY Growth",$N46*(1+$T46)/12,$S46/12),""))</f>
        <v>0</v>
      </c>
      <c r="Z46" s="59" t="n">
        <f aca="false">IF($R46="Manual","",IFERROR(IF($R46="YOY Growth",$N46*(1+$T46)/12,$S46/12),""))</f>
        <v>0</v>
      </c>
      <c r="AA46" s="59" t="n">
        <f aca="false">IF($R46="Manual","",IFERROR(IF($R46="YOY Growth",$N46*(1+$T46)/12,$S46/12),""))</f>
        <v>0</v>
      </c>
      <c r="AB46" s="59" t="n">
        <f aca="false">IF($R46="Manual","",IFERROR(IF($R46="YOY Growth",$N46*(1+$T46)/12,$S46/12),""))</f>
        <v>0</v>
      </c>
      <c r="AC46" s="59" t="n">
        <f aca="false">IF($R46="Manual","",IFERROR(IF($R46="YOY Growth",$N46*(1+$T46)/12,$S46/12),""))</f>
        <v>0</v>
      </c>
      <c r="AD46" s="59" t="n">
        <f aca="false">IF($R46="Manual","",IFERROR(IF($R46="YOY Growth",$N46*(1+$T46)/12,$S46/12),""))</f>
        <v>0</v>
      </c>
      <c r="AE46" s="59" t="n">
        <f aca="false">IF($R46="Manual","",IFERROR(IF($R46="YOY Growth",$N46*(1+$T46)/12,$S46/12),""))</f>
        <v>0</v>
      </c>
      <c r="AF46" s="59" t="n">
        <f aca="false">IF($R46="Manual","",IFERROR(IF($R46="YOY Growth",$N46*(1+$T46)/12,$S46/12),""))</f>
        <v>0</v>
      </c>
      <c r="AG46" s="12" t="n">
        <f aca="false">SUM(U46:AF46)</f>
        <v>0</v>
      </c>
      <c r="AH46" s="24" t="str">
        <f aca="false">IFERROR(AG46/AG$16,"")</f>
        <v/>
      </c>
      <c r="AI46" s="9"/>
      <c r="AJ46" s="12" t="n">
        <f aca="false">N46-AG46</f>
        <v>0</v>
      </c>
    </row>
    <row r="47" customFormat="false" ht="13.5" hidden="false" customHeight="true" outlineLevel="0" collapsed="false">
      <c r="A47" s="23" t="s">
        <v>1302</v>
      </c>
      <c r="B47" s="12" t="n">
        <v>0</v>
      </c>
      <c r="C47" s="12" t="n">
        <v>0</v>
      </c>
      <c r="D47" s="12" t="n">
        <v>0</v>
      </c>
      <c r="E47" s="12" t="n">
        <v>0</v>
      </c>
      <c r="F47" s="12" t="n">
        <v>0</v>
      </c>
      <c r="G47" s="12" t="n">
        <v>0</v>
      </c>
      <c r="H47" s="12" t="n">
        <v>0</v>
      </c>
      <c r="I47" s="12" t="n">
        <v>0</v>
      </c>
      <c r="J47" s="64" t="n">
        <v>0</v>
      </c>
      <c r="K47" s="64" t="n">
        <v>0</v>
      </c>
      <c r="L47" s="64" t="n">
        <v>0</v>
      </c>
      <c r="M47" s="64" t="n">
        <v>0</v>
      </c>
      <c r="N47" s="12" t="n">
        <f aca="false">SUM(B47:M47)</f>
        <v>0</v>
      </c>
      <c r="O47" s="24" t="str">
        <f aca="false">IFERROR(N47/N$16,"")</f>
        <v/>
      </c>
      <c r="P47" s="12"/>
      <c r="Q47" s="12"/>
      <c r="R47" s="60" t="s">
        <v>1397</v>
      </c>
      <c r="S47" s="61" t="n">
        <v>0</v>
      </c>
      <c r="T47" s="62" t="n">
        <v>0.05</v>
      </c>
      <c r="U47" s="59" t="n">
        <f aca="false">IF($R47="Manual","",IFERROR(IF($R47="YOY Growth",$N47*(1+$T47)/12,$S47/12),""))</f>
        <v>0</v>
      </c>
      <c r="V47" s="59" t="n">
        <f aca="false">IF($R47="Manual","",IFERROR(IF($R47="YOY Growth",$N47*(1+$T47)/12,$S47/12),""))</f>
        <v>0</v>
      </c>
      <c r="W47" s="59" t="n">
        <f aca="false">IF($R47="Manual","",IFERROR(IF($R47="YOY Growth",$N47*(1+$T47)/12,$S47/12),""))</f>
        <v>0</v>
      </c>
      <c r="X47" s="59" t="n">
        <f aca="false">IF($R47="Manual","",IFERROR(IF($R47="YOY Growth",$N47*(1+$T47)/12,$S47/12),""))</f>
        <v>0</v>
      </c>
      <c r="Y47" s="59" t="n">
        <f aca="false">IF($R47="Manual","",IFERROR(IF($R47="YOY Growth",$N47*(1+$T47)/12,$S47/12),""))</f>
        <v>0</v>
      </c>
      <c r="Z47" s="59" t="n">
        <f aca="false">IF($R47="Manual","",IFERROR(IF($R47="YOY Growth",$N47*(1+$T47)/12,$S47/12),""))</f>
        <v>0</v>
      </c>
      <c r="AA47" s="59" t="n">
        <f aca="false">IF($R47="Manual","",IFERROR(IF($R47="YOY Growth",$N47*(1+$T47)/12,$S47/12),""))</f>
        <v>0</v>
      </c>
      <c r="AB47" s="59" t="n">
        <f aca="false">IF($R47="Manual","",IFERROR(IF($R47="YOY Growth",$N47*(1+$T47)/12,$S47/12),""))</f>
        <v>0</v>
      </c>
      <c r="AC47" s="59" t="n">
        <f aca="false">IF($R47="Manual","",IFERROR(IF($R47="YOY Growth",$N47*(1+$T47)/12,$S47/12),""))</f>
        <v>0</v>
      </c>
      <c r="AD47" s="59" t="n">
        <f aca="false">IF($R47="Manual","",IFERROR(IF($R47="YOY Growth",$N47*(1+$T47)/12,$S47/12),""))</f>
        <v>0</v>
      </c>
      <c r="AE47" s="59" t="n">
        <f aca="false">IF($R47="Manual","",IFERROR(IF($R47="YOY Growth",$N47*(1+$T47)/12,$S47/12),""))</f>
        <v>0</v>
      </c>
      <c r="AF47" s="59" t="n">
        <f aca="false">IF($R47="Manual","",IFERROR(IF($R47="YOY Growth",$N47*(1+$T47)/12,$S47/12),""))</f>
        <v>0</v>
      </c>
      <c r="AG47" s="12" t="n">
        <f aca="false">SUM(U47:AF47)</f>
        <v>0</v>
      </c>
      <c r="AH47" s="24" t="str">
        <f aca="false">IFERROR(AG47/AG$16,"")</f>
        <v/>
      </c>
      <c r="AI47" s="9"/>
      <c r="AJ47" s="12" t="n">
        <f aca="false">N47-AG47</f>
        <v>0</v>
      </c>
    </row>
    <row r="48" customFormat="false" ht="13.5" hidden="false" customHeight="true" outlineLevel="0" collapsed="false">
      <c r="A48" s="23" t="s">
        <v>1303</v>
      </c>
      <c r="B48" s="12" t="n">
        <v>0</v>
      </c>
      <c r="C48" s="12" t="n">
        <v>0</v>
      </c>
      <c r="D48" s="12" t="n">
        <v>0</v>
      </c>
      <c r="E48" s="12" t="n">
        <v>0</v>
      </c>
      <c r="F48" s="12" t="n">
        <v>0</v>
      </c>
      <c r="G48" s="12" t="n">
        <v>0</v>
      </c>
      <c r="H48" s="12" t="n">
        <v>0</v>
      </c>
      <c r="I48" s="12" t="n">
        <v>0</v>
      </c>
      <c r="J48" s="64" t="n">
        <v>0</v>
      </c>
      <c r="K48" s="64" t="n">
        <v>0</v>
      </c>
      <c r="L48" s="64" t="n">
        <v>0</v>
      </c>
      <c r="M48" s="64" t="n">
        <v>0</v>
      </c>
      <c r="N48" s="12" t="n">
        <f aca="false">SUM(B48:M48)</f>
        <v>0</v>
      </c>
      <c r="O48" s="24" t="str">
        <f aca="false">IFERROR(N48/N$16,"")</f>
        <v/>
      </c>
      <c r="P48" s="12"/>
      <c r="Q48" s="12"/>
      <c r="R48" s="60" t="s">
        <v>1397</v>
      </c>
      <c r="S48" s="61" t="n">
        <v>0</v>
      </c>
      <c r="T48" s="62" t="n">
        <v>0.05</v>
      </c>
      <c r="U48" s="59" t="n">
        <f aca="false">IF($R48="Manual","",IFERROR(IF($R48="YOY Growth",$N48*(1+$T48)/12,$S48/12),""))</f>
        <v>0</v>
      </c>
      <c r="V48" s="59" t="n">
        <f aca="false">IF($R48="Manual","",IFERROR(IF($R48="YOY Growth",$N48*(1+$T48)/12,$S48/12),""))</f>
        <v>0</v>
      </c>
      <c r="W48" s="59" t="n">
        <f aca="false">IF($R48="Manual","",IFERROR(IF($R48="YOY Growth",$N48*(1+$T48)/12,$S48/12),""))</f>
        <v>0</v>
      </c>
      <c r="X48" s="59" t="n">
        <f aca="false">IF($R48="Manual","",IFERROR(IF($R48="YOY Growth",$N48*(1+$T48)/12,$S48/12),""))</f>
        <v>0</v>
      </c>
      <c r="Y48" s="59" t="n">
        <f aca="false">IF($R48="Manual","",IFERROR(IF($R48="YOY Growth",$N48*(1+$T48)/12,$S48/12),""))</f>
        <v>0</v>
      </c>
      <c r="Z48" s="59" t="n">
        <f aca="false">IF($R48="Manual","",IFERROR(IF($R48="YOY Growth",$N48*(1+$T48)/12,$S48/12),""))</f>
        <v>0</v>
      </c>
      <c r="AA48" s="59" t="n">
        <f aca="false">IF($R48="Manual","",IFERROR(IF($R48="YOY Growth",$N48*(1+$T48)/12,$S48/12),""))</f>
        <v>0</v>
      </c>
      <c r="AB48" s="59" t="n">
        <f aca="false">IF($R48="Manual","",IFERROR(IF($R48="YOY Growth",$N48*(1+$T48)/12,$S48/12),""))</f>
        <v>0</v>
      </c>
      <c r="AC48" s="59" t="n">
        <f aca="false">IF($R48="Manual","",IFERROR(IF($R48="YOY Growth",$N48*(1+$T48)/12,$S48/12),""))</f>
        <v>0</v>
      </c>
      <c r="AD48" s="59" t="n">
        <f aca="false">IF($R48="Manual","",IFERROR(IF($R48="YOY Growth",$N48*(1+$T48)/12,$S48/12),""))</f>
        <v>0</v>
      </c>
      <c r="AE48" s="59" t="n">
        <f aca="false">IF($R48="Manual","",IFERROR(IF($R48="YOY Growth",$N48*(1+$T48)/12,$S48/12),""))</f>
        <v>0</v>
      </c>
      <c r="AF48" s="59" t="n">
        <f aca="false">IF($R48="Manual","",IFERROR(IF($R48="YOY Growth",$N48*(1+$T48)/12,$S48/12),""))</f>
        <v>0</v>
      </c>
      <c r="AG48" s="12" t="n">
        <f aca="false">SUM(U48:AF48)</f>
        <v>0</v>
      </c>
      <c r="AH48" s="24" t="str">
        <f aca="false">IFERROR(AG48/AG$16,"")</f>
        <v/>
      </c>
      <c r="AI48" s="9"/>
      <c r="AJ48" s="12" t="n">
        <f aca="false">N48-AG48</f>
        <v>0</v>
      </c>
    </row>
    <row r="49" customFormat="false" ht="13.5" hidden="false" customHeight="true" outlineLevel="0" collapsed="false">
      <c r="A49" s="23" t="s">
        <v>1304</v>
      </c>
      <c r="B49" s="12" t="n">
        <v>0</v>
      </c>
      <c r="C49" s="12" t="n">
        <v>0</v>
      </c>
      <c r="D49" s="12" t="n">
        <v>0</v>
      </c>
      <c r="E49" s="12" t="n">
        <v>0</v>
      </c>
      <c r="F49" s="12" t="n">
        <v>0</v>
      </c>
      <c r="G49" s="12" t="n">
        <v>0</v>
      </c>
      <c r="H49" s="12" t="n">
        <v>0</v>
      </c>
      <c r="I49" s="12" t="n">
        <v>0</v>
      </c>
      <c r="J49" s="64" t="n">
        <v>0</v>
      </c>
      <c r="K49" s="64" t="n">
        <v>0</v>
      </c>
      <c r="L49" s="64" t="n">
        <v>0</v>
      </c>
      <c r="M49" s="64" t="n">
        <v>0</v>
      </c>
      <c r="N49" s="12" t="n">
        <f aca="false">SUM(B49:M49)</f>
        <v>0</v>
      </c>
      <c r="O49" s="24" t="str">
        <f aca="false">IFERROR(N49/N$16,"")</f>
        <v/>
      </c>
      <c r="P49" s="12"/>
      <c r="Q49" s="12"/>
      <c r="R49" s="60" t="s">
        <v>1397</v>
      </c>
      <c r="S49" s="61" t="n">
        <v>0</v>
      </c>
      <c r="T49" s="62" t="n">
        <v>0.05</v>
      </c>
      <c r="U49" s="59" t="n">
        <f aca="false">IF($R49="Manual","",IFERROR(IF($R49="YOY Growth",$N49*(1+$T49)/12,$S49/12),""))</f>
        <v>0</v>
      </c>
      <c r="V49" s="59" t="n">
        <f aca="false">IF($R49="Manual","",IFERROR(IF($R49="YOY Growth",$N49*(1+$T49)/12,$S49/12),""))</f>
        <v>0</v>
      </c>
      <c r="W49" s="59" t="n">
        <f aca="false">IF($R49="Manual","",IFERROR(IF($R49="YOY Growth",$N49*(1+$T49)/12,$S49/12),""))</f>
        <v>0</v>
      </c>
      <c r="X49" s="59" t="n">
        <f aca="false">IF($R49="Manual","",IFERROR(IF($R49="YOY Growth",$N49*(1+$T49)/12,$S49/12),""))</f>
        <v>0</v>
      </c>
      <c r="Y49" s="59" t="n">
        <f aca="false">IF($R49="Manual","",IFERROR(IF($R49="YOY Growth",$N49*(1+$T49)/12,$S49/12),""))</f>
        <v>0</v>
      </c>
      <c r="Z49" s="59" t="n">
        <f aca="false">IF($R49="Manual","",IFERROR(IF($R49="YOY Growth",$N49*(1+$T49)/12,$S49/12),""))</f>
        <v>0</v>
      </c>
      <c r="AA49" s="59" t="n">
        <f aca="false">IF($R49="Manual","",IFERROR(IF($R49="YOY Growth",$N49*(1+$T49)/12,$S49/12),""))</f>
        <v>0</v>
      </c>
      <c r="AB49" s="59" t="n">
        <f aca="false">IF($R49="Manual","",IFERROR(IF($R49="YOY Growth",$N49*(1+$T49)/12,$S49/12),""))</f>
        <v>0</v>
      </c>
      <c r="AC49" s="59" t="n">
        <f aca="false">IF($R49="Manual","",IFERROR(IF($R49="YOY Growth",$N49*(1+$T49)/12,$S49/12),""))</f>
        <v>0</v>
      </c>
      <c r="AD49" s="59" t="n">
        <f aca="false">IF($R49="Manual","",IFERROR(IF($R49="YOY Growth",$N49*(1+$T49)/12,$S49/12),""))</f>
        <v>0</v>
      </c>
      <c r="AE49" s="59" t="n">
        <f aca="false">IF($R49="Manual","",IFERROR(IF($R49="YOY Growth",$N49*(1+$T49)/12,$S49/12),""))</f>
        <v>0</v>
      </c>
      <c r="AF49" s="59" t="n">
        <f aca="false">IF($R49="Manual","",IFERROR(IF($R49="YOY Growth",$N49*(1+$T49)/12,$S49/12),""))</f>
        <v>0</v>
      </c>
      <c r="AG49" s="12" t="n">
        <f aca="false">SUM(U49:AF49)</f>
        <v>0</v>
      </c>
      <c r="AH49" s="24" t="str">
        <f aca="false">IFERROR(AG49/AG$16,"")</f>
        <v/>
      </c>
      <c r="AI49" s="9"/>
      <c r="AJ49" s="12" t="n">
        <f aca="false">N49-AG49</f>
        <v>0</v>
      </c>
    </row>
    <row r="50" customFormat="false" ht="13.5" hidden="false" customHeight="true" outlineLevel="0" collapsed="false">
      <c r="A50" s="23" t="s">
        <v>1305</v>
      </c>
      <c r="B50" s="12" t="n">
        <v>0</v>
      </c>
      <c r="C50" s="12" t="n">
        <v>0</v>
      </c>
      <c r="D50" s="12" t="n">
        <v>0</v>
      </c>
      <c r="E50" s="12" t="n">
        <v>0</v>
      </c>
      <c r="F50" s="12" t="n">
        <v>0</v>
      </c>
      <c r="G50" s="12" t="n">
        <v>0</v>
      </c>
      <c r="H50" s="12" t="n">
        <v>0</v>
      </c>
      <c r="I50" s="12" t="n">
        <v>0</v>
      </c>
      <c r="J50" s="64" t="n">
        <v>0</v>
      </c>
      <c r="K50" s="64" t="n">
        <v>0</v>
      </c>
      <c r="L50" s="64" t="n">
        <v>0</v>
      </c>
      <c r="M50" s="64" t="n">
        <v>0</v>
      </c>
      <c r="N50" s="12" t="n">
        <f aca="false">SUM(B50:M50)</f>
        <v>0</v>
      </c>
      <c r="O50" s="24" t="str">
        <f aca="false">IFERROR(N50/N$16,"")</f>
        <v/>
      </c>
      <c r="P50" s="12"/>
      <c r="Q50" s="12"/>
      <c r="R50" s="60" t="s">
        <v>1397</v>
      </c>
      <c r="S50" s="61" t="n">
        <v>0</v>
      </c>
      <c r="T50" s="62" t="n">
        <v>0.05</v>
      </c>
      <c r="U50" s="59" t="n">
        <f aca="false">IF($R50="Manual","",IFERROR(IF($R50="YOY Growth",$N50*(1+$T50)/12,$S50/12),""))</f>
        <v>0</v>
      </c>
      <c r="V50" s="59" t="n">
        <f aca="false">IF($R50="Manual","",IFERROR(IF($R50="YOY Growth",$N50*(1+$T50)/12,$S50/12),""))</f>
        <v>0</v>
      </c>
      <c r="W50" s="59" t="n">
        <f aca="false">IF($R50="Manual","",IFERROR(IF($R50="YOY Growth",$N50*(1+$T50)/12,$S50/12),""))</f>
        <v>0</v>
      </c>
      <c r="X50" s="59" t="n">
        <f aca="false">IF($R50="Manual","",IFERROR(IF($R50="YOY Growth",$N50*(1+$T50)/12,$S50/12),""))</f>
        <v>0</v>
      </c>
      <c r="Y50" s="59" t="n">
        <f aca="false">IF($R50="Manual","",IFERROR(IF($R50="YOY Growth",$N50*(1+$T50)/12,$S50/12),""))</f>
        <v>0</v>
      </c>
      <c r="Z50" s="59" t="n">
        <f aca="false">IF($R50="Manual","",IFERROR(IF($R50="YOY Growth",$N50*(1+$T50)/12,$S50/12),""))</f>
        <v>0</v>
      </c>
      <c r="AA50" s="59" t="n">
        <f aca="false">IF($R50="Manual","",IFERROR(IF($R50="YOY Growth",$N50*(1+$T50)/12,$S50/12),""))</f>
        <v>0</v>
      </c>
      <c r="AB50" s="59" t="n">
        <f aca="false">IF($R50="Manual","",IFERROR(IF($R50="YOY Growth",$N50*(1+$T50)/12,$S50/12),""))</f>
        <v>0</v>
      </c>
      <c r="AC50" s="59" t="n">
        <f aca="false">IF($R50="Manual","",IFERROR(IF($R50="YOY Growth",$N50*(1+$T50)/12,$S50/12),""))</f>
        <v>0</v>
      </c>
      <c r="AD50" s="59" t="n">
        <f aca="false">IF($R50="Manual","",IFERROR(IF($R50="YOY Growth",$N50*(1+$T50)/12,$S50/12),""))</f>
        <v>0</v>
      </c>
      <c r="AE50" s="59" t="n">
        <f aca="false">IF($R50="Manual","",IFERROR(IF($R50="YOY Growth",$N50*(1+$T50)/12,$S50/12),""))</f>
        <v>0</v>
      </c>
      <c r="AF50" s="59" t="n">
        <f aca="false">IF($R50="Manual","",IFERROR(IF($R50="YOY Growth",$N50*(1+$T50)/12,$S50/12),""))</f>
        <v>0</v>
      </c>
      <c r="AG50" s="12" t="n">
        <f aca="false">SUM(U50:AF50)</f>
        <v>0</v>
      </c>
      <c r="AH50" s="24" t="str">
        <f aca="false">IFERROR(AG50/AG$16,"")</f>
        <v/>
      </c>
      <c r="AI50" s="9"/>
      <c r="AJ50" s="12" t="n">
        <f aca="false">N50-AG50</f>
        <v>0</v>
      </c>
    </row>
    <row r="51" customFormat="false" ht="13.5" hidden="false" customHeight="true" outlineLevel="0" collapsed="false">
      <c r="A51" s="22" t="s">
        <v>1306</v>
      </c>
      <c r="B51" s="12"/>
      <c r="C51" s="12"/>
      <c r="D51" s="12"/>
      <c r="E51" s="12"/>
      <c r="F51" s="12"/>
      <c r="G51" s="12"/>
      <c r="H51" s="12"/>
      <c r="I51" s="12"/>
      <c r="J51" s="12"/>
      <c r="K51" s="12"/>
      <c r="L51" s="12"/>
      <c r="M51" s="12"/>
      <c r="N51" s="12"/>
      <c r="O51" s="24"/>
      <c r="P51" s="12"/>
      <c r="Q51" s="12"/>
      <c r="R51" s="63"/>
      <c r="S51" s="63"/>
      <c r="T51" s="63"/>
      <c r="U51" s="12"/>
      <c r="V51" s="12"/>
      <c r="W51" s="12"/>
      <c r="X51" s="12"/>
      <c r="Y51" s="12"/>
      <c r="Z51" s="12"/>
      <c r="AA51" s="12"/>
      <c r="AB51" s="12"/>
      <c r="AC51" s="12"/>
      <c r="AD51" s="12"/>
      <c r="AE51" s="12"/>
      <c r="AF51" s="12"/>
      <c r="AG51" s="12"/>
      <c r="AH51" s="24"/>
      <c r="AI51" s="9"/>
      <c r="AJ51" s="12"/>
    </row>
    <row r="52" customFormat="false" ht="13.5" hidden="false" customHeight="true" outlineLevel="0" collapsed="false">
      <c r="A52" s="23" t="s">
        <v>1307</v>
      </c>
      <c r="B52" s="12" t="n">
        <v>0</v>
      </c>
      <c r="C52" s="12" t="n">
        <v>0</v>
      </c>
      <c r="D52" s="12" t="n">
        <v>0</v>
      </c>
      <c r="E52" s="12" t="n">
        <v>0</v>
      </c>
      <c r="F52" s="12" t="n">
        <v>0</v>
      </c>
      <c r="G52" s="12" t="n">
        <v>0</v>
      </c>
      <c r="H52" s="12" t="n">
        <v>0</v>
      </c>
      <c r="I52" s="12" t="n">
        <v>0</v>
      </c>
      <c r="J52" s="64" t="n">
        <v>0</v>
      </c>
      <c r="K52" s="64" t="n">
        <v>0</v>
      </c>
      <c r="L52" s="64" t="n">
        <v>0</v>
      </c>
      <c r="M52" s="64" t="n">
        <v>0</v>
      </c>
      <c r="N52" s="12" t="n">
        <f aca="false">SUM(B52:M52)</f>
        <v>0</v>
      </c>
      <c r="O52" s="24" t="str">
        <f aca="false">IFERROR(N52/N$16,"")</f>
        <v/>
      </c>
      <c r="P52" s="12"/>
      <c r="Q52" s="12"/>
      <c r="R52" s="66"/>
      <c r="S52" s="66"/>
      <c r="T52" s="66"/>
      <c r="U52" s="66"/>
      <c r="V52" s="66"/>
      <c r="W52" s="66"/>
      <c r="X52" s="66"/>
      <c r="Y52" s="66"/>
      <c r="Z52" s="66"/>
      <c r="AA52" s="66"/>
      <c r="AB52" s="66"/>
      <c r="AC52" s="66"/>
      <c r="AD52" s="66"/>
      <c r="AE52" s="66"/>
      <c r="AF52" s="66"/>
      <c r="AG52" s="12" t="n">
        <f aca="false">SUM(U52:AF52)</f>
        <v>0</v>
      </c>
      <c r="AH52" s="24" t="str">
        <f aca="false">IFERROR(AG52/AG$16,"")</f>
        <v/>
      </c>
      <c r="AI52" s="9"/>
      <c r="AJ52" s="12" t="n">
        <f aca="false">N52-AG52</f>
        <v>0</v>
      </c>
    </row>
    <row r="53" customFormat="false" ht="13.5" hidden="false" customHeight="true" outlineLevel="0" collapsed="false">
      <c r="A53" s="23" t="s">
        <v>1308</v>
      </c>
      <c r="B53" s="12" t="n">
        <v>0</v>
      </c>
      <c r="C53" s="12" t="n">
        <v>0</v>
      </c>
      <c r="D53" s="12" t="n">
        <v>0</v>
      </c>
      <c r="E53" s="12" t="n">
        <v>0</v>
      </c>
      <c r="F53" s="12" t="n">
        <v>0</v>
      </c>
      <c r="G53" s="12" t="n">
        <v>0</v>
      </c>
      <c r="H53" s="12" t="n">
        <v>0</v>
      </c>
      <c r="I53" s="12" t="n">
        <v>0</v>
      </c>
      <c r="J53" s="64" t="n">
        <v>0</v>
      </c>
      <c r="K53" s="64" t="n">
        <v>0</v>
      </c>
      <c r="L53" s="64" t="n">
        <v>0</v>
      </c>
      <c r="M53" s="64" t="n">
        <v>0</v>
      </c>
      <c r="N53" s="12" t="n">
        <f aca="false">SUM(B53:M53)</f>
        <v>0</v>
      </c>
      <c r="O53" s="24" t="str">
        <f aca="false">IFERROR(N53/N$16,"")</f>
        <v/>
      </c>
      <c r="P53" s="12"/>
      <c r="Q53" s="12"/>
      <c r="R53" s="66"/>
      <c r="S53" s="66"/>
      <c r="T53" s="66"/>
      <c r="U53" s="66"/>
      <c r="V53" s="66"/>
      <c r="W53" s="66"/>
      <c r="X53" s="66"/>
      <c r="Y53" s="66"/>
      <c r="Z53" s="66"/>
      <c r="AA53" s="66"/>
      <c r="AB53" s="66"/>
      <c r="AC53" s="66"/>
      <c r="AD53" s="66"/>
      <c r="AE53" s="66"/>
      <c r="AF53" s="66"/>
      <c r="AG53" s="12" t="n">
        <f aca="false">SUM(U53:AF53)</f>
        <v>0</v>
      </c>
      <c r="AH53" s="24" t="str">
        <f aca="false">IFERROR(AG53/AG$16,"")</f>
        <v/>
      </c>
      <c r="AI53" s="9"/>
      <c r="AJ53" s="12" t="n">
        <f aca="false">N53-AG53</f>
        <v>0</v>
      </c>
    </row>
    <row r="54" customFormat="false" ht="13.5" hidden="false" customHeight="true" outlineLevel="0" collapsed="false">
      <c r="A54" s="23" t="s">
        <v>1309</v>
      </c>
      <c r="B54" s="12" t="n">
        <v>0</v>
      </c>
      <c r="C54" s="12" t="n">
        <v>0</v>
      </c>
      <c r="D54" s="12" t="n">
        <v>0</v>
      </c>
      <c r="E54" s="12" t="n">
        <v>0</v>
      </c>
      <c r="F54" s="12" t="n">
        <v>0</v>
      </c>
      <c r="G54" s="12" t="n">
        <v>0</v>
      </c>
      <c r="H54" s="12" t="n">
        <v>0</v>
      </c>
      <c r="I54" s="12" t="n">
        <v>0</v>
      </c>
      <c r="J54" s="64" t="n">
        <v>0</v>
      </c>
      <c r="K54" s="64" t="n">
        <v>0</v>
      </c>
      <c r="L54" s="64" t="n">
        <v>0</v>
      </c>
      <c r="M54" s="64" t="n">
        <v>0</v>
      </c>
      <c r="N54" s="12" t="n">
        <f aca="false">SUM(B54:M54)</f>
        <v>0</v>
      </c>
      <c r="O54" s="24" t="str">
        <f aca="false">IFERROR(N54/N$16,"")</f>
        <v/>
      </c>
      <c r="P54" s="12"/>
      <c r="Q54" s="12"/>
      <c r="R54" s="66"/>
      <c r="S54" s="66"/>
      <c r="T54" s="66"/>
      <c r="U54" s="66"/>
      <c r="V54" s="66"/>
      <c r="W54" s="66"/>
      <c r="X54" s="66"/>
      <c r="Y54" s="66"/>
      <c r="Z54" s="66"/>
      <c r="AA54" s="66"/>
      <c r="AB54" s="66"/>
      <c r="AC54" s="66"/>
      <c r="AD54" s="66"/>
      <c r="AE54" s="66"/>
      <c r="AF54" s="66"/>
      <c r="AG54" s="12" t="n">
        <f aca="false">SUM(U54:AF54)</f>
        <v>0</v>
      </c>
      <c r="AH54" s="24" t="str">
        <f aca="false">IFERROR(AG54/AG$16,"")</f>
        <v/>
      </c>
      <c r="AI54" s="9"/>
      <c r="AJ54" s="12" t="n">
        <f aca="false">N54-AG54</f>
        <v>0</v>
      </c>
    </row>
    <row r="55" customFormat="false" ht="13.5" hidden="false" customHeight="true" outlineLevel="0" collapsed="false">
      <c r="A55" s="26" t="s">
        <v>1310</v>
      </c>
      <c r="B55" s="27" t="n">
        <f aca="false">SUM(B52:B54)</f>
        <v>0</v>
      </c>
      <c r="C55" s="27" t="n">
        <f aca="false">SUM(C52:C54)</f>
        <v>0</v>
      </c>
      <c r="D55" s="27" t="n">
        <f aca="false">SUM(D52:D54)</f>
        <v>0</v>
      </c>
      <c r="E55" s="27" t="n">
        <f aca="false">SUM(E52:E54)</f>
        <v>0</v>
      </c>
      <c r="F55" s="27" t="n">
        <f aca="false">SUM(F52:F54)</f>
        <v>0</v>
      </c>
      <c r="G55" s="27" t="n">
        <f aca="false">SUM(G52:G54)</f>
        <v>0</v>
      </c>
      <c r="H55" s="27" t="n">
        <f aca="false">SUM(H52:H54)</f>
        <v>0</v>
      </c>
      <c r="I55" s="27" t="n">
        <f aca="false">SUM(I52:I54)</f>
        <v>0</v>
      </c>
      <c r="J55" s="27" t="n">
        <f aca="false">SUM(J52:J54)</f>
        <v>0</v>
      </c>
      <c r="K55" s="27" t="n">
        <f aca="false">SUM(K52:K54)</f>
        <v>0</v>
      </c>
      <c r="L55" s="27" t="n">
        <f aca="false">SUM(L52:L54)</f>
        <v>0</v>
      </c>
      <c r="M55" s="27" t="n">
        <f aca="false">SUM(M52:M54)</f>
        <v>0</v>
      </c>
      <c r="N55" s="27" t="n">
        <f aca="false">SUM(B55:M55)</f>
        <v>0</v>
      </c>
      <c r="O55" s="28" t="str">
        <f aca="false">IFERROR(N55/N$16,"")</f>
        <v/>
      </c>
      <c r="P55" s="12"/>
      <c r="Q55" s="12"/>
      <c r="R55" s="68"/>
      <c r="S55" s="68"/>
      <c r="T55" s="68"/>
      <c r="U55" s="27" t="n">
        <f aca="false">SUM(U52:U54)</f>
        <v>0</v>
      </c>
      <c r="V55" s="27" t="n">
        <f aca="false">SUM(V52:V54)</f>
        <v>0</v>
      </c>
      <c r="W55" s="27" t="n">
        <f aca="false">SUM(W52:W54)</f>
        <v>0</v>
      </c>
      <c r="X55" s="27" t="n">
        <f aca="false">SUM(X52:X54)</f>
        <v>0</v>
      </c>
      <c r="Y55" s="27" t="n">
        <f aca="false">SUM(Y52:Y54)</f>
        <v>0</v>
      </c>
      <c r="Z55" s="27" t="n">
        <f aca="false">SUM(Z52:Z54)</f>
        <v>0</v>
      </c>
      <c r="AA55" s="27" t="n">
        <f aca="false">SUM(AA52:AA54)</f>
        <v>0</v>
      </c>
      <c r="AB55" s="27" t="n">
        <f aca="false">SUM(AB52:AB54)</f>
        <v>0</v>
      </c>
      <c r="AC55" s="27" t="n">
        <f aca="false">SUM(AC52:AC54)</f>
        <v>0</v>
      </c>
      <c r="AD55" s="27" t="n">
        <f aca="false">SUM(AD52:AD54)</f>
        <v>0</v>
      </c>
      <c r="AE55" s="27" t="n">
        <f aca="false">SUM(AE52:AE54)</f>
        <v>0</v>
      </c>
      <c r="AF55" s="27" t="n">
        <f aca="false">SUM(AF52:AF54)</f>
        <v>0</v>
      </c>
      <c r="AG55" s="27" t="n">
        <f aca="false">SUM(U55:AF55)</f>
        <v>0</v>
      </c>
      <c r="AH55" s="28" t="str">
        <f aca="false">IFERROR(AG55/AG$16,"")</f>
        <v/>
      </c>
      <c r="AI55" s="9"/>
      <c r="AJ55" s="27" t="n">
        <f aca="false">N55-AG55</f>
        <v>0</v>
      </c>
    </row>
    <row r="56" customFormat="false" ht="13.5" hidden="false" customHeight="true" outlineLevel="0" collapsed="false">
      <c r="A56" s="26" t="s">
        <v>1311</v>
      </c>
      <c r="B56" s="27" t="n">
        <f aca="false">B44+B45+B46+B47+B48+B49+B50+B55</f>
        <v>0</v>
      </c>
      <c r="C56" s="27" t="n">
        <f aca="false">C44+C45+C46+C47+C48+C49+C50+C55</f>
        <v>0</v>
      </c>
      <c r="D56" s="27" t="n">
        <f aca="false">D44+D45+D46+D47+D48+D49+D50+D55</f>
        <v>0</v>
      </c>
      <c r="E56" s="27" t="n">
        <f aca="false">E44+E45+E46+E47+E48+E49+E50+E55</f>
        <v>0</v>
      </c>
      <c r="F56" s="27" t="n">
        <f aca="false">F44+F45+F46+F47+F48+F49+F50+F55</f>
        <v>0</v>
      </c>
      <c r="G56" s="27" t="n">
        <f aca="false">G44+G45+G46+G47+G48+G49+G50+G55</f>
        <v>0</v>
      </c>
      <c r="H56" s="27" t="n">
        <f aca="false">H44+H45+H46+H47+H48+H49+H50+H55</f>
        <v>0</v>
      </c>
      <c r="I56" s="27" t="n">
        <f aca="false">I44+I45+I46+I47+I48+I49+I50+I55</f>
        <v>0</v>
      </c>
      <c r="J56" s="27" t="n">
        <f aca="false">J44+J45+J46+J47+J48+J49+J50+J55</f>
        <v>0</v>
      </c>
      <c r="K56" s="27" t="n">
        <f aca="false">K44+K45+K46+K47+K48+K49+K50+K55</f>
        <v>0</v>
      </c>
      <c r="L56" s="27" t="n">
        <f aca="false">L44+L45+L46+L47+L48+L49+L50+L55</f>
        <v>0</v>
      </c>
      <c r="M56" s="27" t="n">
        <f aca="false">M44+M45+M46+M47+M48+M49+M50+M55</f>
        <v>0</v>
      </c>
      <c r="N56" s="27" t="n">
        <f aca="false">SUM(B56:M56)</f>
        <v>0</v>
      </c>
      <c r="O56" s="28" t="str">
        <f aca="false">IFERROR(N56/N$16,"")</f>
        <v/>
      </c>
      <c r="P56" s="12"/>
      <c r="Q56" s="12"/>
      <c r="R56" s="63"/>
      <c r="S56" s="63"/>
      <c r="T56" s="63"/>
      <c r="U56" s="27" t="n">
        <f aca="false">U44+U45+U46+U47+U48+U49+U50+U55</f>
        <v>0</v>
      </c>
      <c r="V56" s="27" t="n">
        <f aca="false">V44+V45+V46+V47+V48+V49+V50+V55</f>
        <v>0</v>
      </c>
      <c r="W56" s="27" t="n">
        <f aca="false">W44+W45+W46+W47+W48+W49+W50+W55</f>
        <v>0</v>
      </c>
      <c r="X56" s="27" t="n">
        <f aca="false">X44+X45+X46+X47+X48+X49+X50+X55</f>
        <v>0</v>
      </c>
      <c r="Y56" s="27" t="n">
        <f aca="false">Y44+Y45+Y46+Y47+Y48+Y49+Y50+Y55</f>
        <v>0</v>
      </c>
      <c r="Z56" s="27" t="n">
        <f aca="false">Z44+Z45+Z46+Z47+Z48+Z49+Z50+Z55</f>
        <v>0</v>
      </c>
      <c r="AA56" s="27" t="n">
        <f aca="false">AA44+AA45+AA46+AA47+AA48+AA49+AA50+AA55</f>
        <v>0</v>
      </c>
      <c r="AB56" s="27" t="n">
        <f aca="false">AB44+AB45+AB46+AB47+AB48+AB49+AB50+AB55</f>
        <v>0</v>
      </c>
      <c r="AC56" s="27" t="n">
        <f aca="false">AC44+AC45+AC46+AC47+AC48+AC49+AC50+AC55</f>
        <v>0</v>
      </c>
      <c r="AD56" s="27" t="n">
        <f aca="false">AD44+AD45+AD46+AD47+AD48+AD49+AD50+AD55</f>
        <v>0</v>
      </c>
      <c r="AE56" s="27" t="n">
        <f aca="false">AE44+AE45+AE46+AE47+AE48+AE49+AE50+AE55</f>
        <v>0</v>
      </c>
      <c r="AF56" s="27" t="n">
        <f aca="false">AF44+AF45+AF46+AF47+AF48+AF49+AF50+AF55</f>
        <v>0</v>
      </c>
      <c r="AG56" s="27" t="n">
        <f aca="false">SUM(U56:AF56)</f>
        <v>0</v>
      </c>
      <c r="AH56" s="28" t="str">
        <f aca="false">IFERROR(AG56/AG$16,"")</f>
        <v/>
      </c>
      <c r="AI56" s="9"/>
      <c r="AJ56" s="27" t="n">
        <f aca="false">N56-AG56</f>
        <v>0</v>
      </c>
    </row>
    <row r="57" customFormat="false" ht="13.5" hidden="false" customHeight="true" outlineLevel="0" collapsed="false">
      <c r="A57" s="22" t="s">
        <v>1312</v>
      </c>
      <c r="B57" s="12"/>
      <c r="C57" s="12"/>
      <c r="D57" s="12"/>
      <c r="E57" s="12"/>
      <c r="F57" s="12"/>
      <c r="G57" s="12"/>
      <c r="H57" s="12"/>
      <c r="I57" s="12"/>
      <c r="J57" s="12"/>
      <c r="K57" s="12"/>
      <c r="L57" s="12"/>
      <c r="M57" s="12"/>
      <c r="N57" s="12"/>
      <c r="O57" s="24"/>
      <c r="P57" s="12"/>
      <c r="Q57" s="12"/>
      <c r="R57" s="63"/>
      <c r="S57" s="63"/>
      <c r="T57" s="63"/>
      <c r="U57" s="12"/>
      <c r="V57" s="12"/>
      <c r="W57" s="12"/>
      <c r="X57" s="12"/>
      <c r="Y57" s="12"/>
      <c r="Z57" s="12"/>
      <c r="AA57" s="12"/>
      <c r="AB57" s="12"/>
      <c r="AC57" s="12"/>
      <c r="AD57" s="12"/>
      <c r="AE57" s="12"/>
      <c r="AF57" s="12"/>
      <c r="AG57" s="12"/>
      <c r="AH57" s="24"/>
      <c r="AI57" s="9"/>
      <c r="AJ57" s="12"/>
    </row>
    <row r="58" customFormat="false" ht="13.5" hidden="false" customHeight="true" outlineLevel="0" collapsed="false">
      <c r="A58" s="23" t="s">
        <v>1313</v>
      </c>
      <c r="B58" s="12" t="n">
        <v>0</v>
      </c>
      <c r="C58" s="12" t="n">
        <v>0</v>
      </c>
      <c r="D58" s="12" t="n">
        <v>0</v>
      </c>
      <c r="E58" s="12" t="n">
        <v>34.99</v>
      </c>
      <c r="F58" s="12" t="n">
        <v>0</v>
      </c>
      <c r="G58" s="12" t="n">
        <v>0</v>
      </c>
      <c r="H58" s="12" t="n">
        <v>0</v>
      </c>
      <c r="I58" s="12" t="n">
        <v>0</v>
      </c>
      <c r="J58" s="64" t="n">
        <v>0</v>
      </c>
      <c r="K58" s="64" t="n">
        <v>0</v>
      </c>
      <c r="L58" s="64" t="n">
        <v>0</v>
      </c>
      <c r="M58" s="64" t="n">
        <v>0</v>
      </c>
      <c r="N58" s="12" t="n">
        <f aca="false">SUM(B58:M58)</f>
        <v>34.99</v>
      </c>
      <c r="O58" s="24" t="str">
        <f aca="false">IFERROR(N58/N$16,"")</f>
        <v/>
      </c>
      <c r="P58" s="12"/>
      <c r="Q58" s="12"/>
      <c r="R58" s="60" t="s">
        <v>1397</v>
      </c>
      <c r="S58" s="61" t="n">
        <v>0</v>
      </c>
      <c r="T58" s="62" t="n">
        <v>0.05</v>
      </c>
      <c r="U58" s="59" t="n">
        <f aca="false">IF($R58="Manual","",IFERROR(IF($R58="YOY Growth",$N58*(1+$T58)/12,$S58/12),""))</f>
        <v>0</v>
      </c>
      <c r="V58" s="59" t="n">
        <f aca="false">IF($R58="Manual","",IFERROR(IF($R58="YOY Growth",$N58*(1+$T58)/12,$S58/12),""))</f>
        <v>0</v>
      </c>
      <c r="W58" s="59" t="n">
        <f aca="false">IF($R58="Manual","",IFERROR(IF($R58="YOY Growth",$N58*(1+$T58)/12,$S58/12),""))</f>
        <v>0</v>
      </c>
      <c r="X58" s="59" t="n">
        <f aca="false">IF($R58="Manual","",IFERROR(IF($R58="YOY Growth",$N58*(1+$T58)/12,$S58/12),""))</f>
        <v>0</v>
      </c>
      <c r="Y58" s="59" t="n">
        <f aca="false">IF($R58="Manual","",IFERROR(IF($R58="YOY Growth",$N58*(1+$T58)/12,$S58/12),""))</f>
        <v>0</v>
      </c>
      <c r="Z58" s="59" t="n">
        <f aca="false">IF($R58="Manual","",IFERROR(IF($R58="YOY Growth",$N58*(1+$T58)/12,$S58/12),""))</f>
        <v>0</v>
      </c>
      <c r="AA58" s="59" t="n">
        <f aca="false">IF($R58="Manual","",IFERROR(IF($R58="YOY Growth",$N58*(1+$T58)/12,$S58/12),""))</f>
        <v>0</v>
      </c>
      <c r="AB58" s="59" t="n">
        <f aca="false">IF($R58="Manual","",IFERROR(IF($R58="YOY Growth",$N58*(1+$T58)/12,$S58/12),""))</f>
        <v>0</v>
      </c>
      <c r="AC58" s="59" t="n">
        <f aca="false">IF($R58="Manual","",IFERROR(IF($R58="YOY Growth",$N58*(1+$T58)/12,$S58/12),""))</f>
        <v>0</v>
      </c>
      <c r="AD58" s="59" t="n">
        <f aca="false">IF($R58="Manual","",IFERROR(IF($R58="YOY Growth",$N58*(1+$T58)/12,$S58/12),""))</f>
        <v>0</v>
      </c>
      <c r="AE58" s="59" t="n">
        <f aca="false">IF($R58="Manual","",IFERROR(IF($R58="YOY Growth",$N58*(1+$T58)/12,$S58/12),""))</f>
        <v>0</v>
      </c>
      <c r="AF58" s="59" t="n">
        <f aca="false">IF($R58="Manual","",IFERROR(IF($R58="YOY Growth",$N58*(1+$T58)/12,$S58/12),""))</f>
        <v>0</v>
      </c>
      <c r="AG58" s="12" t="n">
        <f aca="false">SUM(U58:AF58)</f>
        <v>0</v>
      </c>
      <c r="AH58" s="24" t="str">
        <f aca="false">IFERROR(AG58/AG$16,"")</f>
        <v/>
      </c>
      <c r="AI58" s="9"/>
      <c r="AJ58" s="12" t="n">
        <f aca="false">N58-AG58</f>
        <v>34.99</v>
      </c>
    </row>
    <row r="59" customFormat="false" ht="13.5" hidden="false" customHeight="true" outlineLevel="0" collapsed="false">
      <c r="A59" s="23" t="s">
        <v>1314</v>
      </c>
      <c r="B59" s="12" t="n">
        <v>0</v>
      </c>
      <c r="C59" s="12" t="n">
        <v>0</v>
      </c>
      <c r="D59" s="12" t="n">
        <v>0</v>
      </c>
      <c r="E59" s="12" t="n">
        <v>0</v>
      </c>
      <c r="F59" s="12" t="n">
        <v>0</v>
      </c>
      <c r="G59" s="12" t="n">
        <v>0</v>
      </c>
      <c r="H59" s="12" t="n">
        <v>0</v>
      </c>
      <c r="I59" s="12" t="n">
        <v>0</v>
      </c>
      <c r="J59" s="64" t="n">
        <v>0</v>
      </c>
      <c r="K59" s="64" t="n">
        <v>0</v>
      </c>
      <c r="L59" s="64" t="n">
        <v>0</v>
      </c>
      <c r="M59" s="64" t="n">
        <v>0</v>
      </c>
      <c r="N59" s="12" t="n">
        <f aca="false">SUM(B59:M59)</f>
        <v>0</v>
      </c>
      <c r="O59" s="24" t="str">
        <f aca="false">IFERROR(N59/N$16,"")</f>
        <v/>
      </c>
      <c r="P59" s="12"/>
      <c r="Q59" s="12"/>
      <c r="R59" s="60" t="s">
        <v>1397</v>
      </c>
      <c r="S59" s="61" t="n">
        <v>0</v>
      </c>
      <c r="T59" s="62" t="n">
        <v>0.05</v>
      </c>
      <c r="U59" s="59" t="n">
        <f aca="false">IF($R59="Manual","",IFERROR(IF($R59="YOY Growth",$N59*(1+$T59)/12,$S59/12),""))</f>
        <v>0</v>
      </c>
      <c r="V59" s="59" t="n">
        <f aca="false">IF($R59="Manual","",IFERROR(IF($R59="YOY Growth",$N59*(1+$T59)/12,$S59/12),""))</f>
        <v>0</v>
      </c>
      <c r="W59" s="59" t="n">
        <f aca="false">IF($R59="Manual","",IFERROR(IF($R59="YOY Growth",$N59*(1+$T59)/12,$S59/12),""))</f>
        <v>0</v>
      </c>
      <c r="X59" s="59" t="n">
        <f aca="false">IF($R59="Manual","",IFERROR(IF($R59="YOY Growth",$N59*(1+$T59)/12,$S59/12),""))</f>
        <v>0</v>
      </c>
      <c r="Y59" s="59" t="n">
        <f aca="false">IF($R59="Manual","",IFERROR(IF($R59="YOY Growth",$N59*(1+$T59)/12,$S59/12),""))</f>
        <v>0</v>
      </c>
      <c r="Z59" s="59" t="n">
        <f aca="false">IF($R59="Manual","",IFERROR(IF($R59="YOY Growth",$N59*(1+$T59)/12,$S59/12),""))</f>
        <v>0</v>
      </c>
      <c r="AA59" s="59" t="n">
        <f aca="false">IF($R59="Manual","",IFERROR(IF($R59="YOY Growth",$N59*(1+$T59)/12,$S59/12),""))</f>
        <v>0</v>
      </c>
      <c r="AB59" s="59" t="n">
        <f aca="false">IF($R59="Manual","",IFERROR(IF($R59="YOY Growth",$N59*(1+$T59)/12,$S59/12),""))</f>
        <v>0</v>
      </c>
      <c r="AC59" s="59" t="n">
        <f aca="false">IF($R59="Manual","",IFERROR(IF($R59="YOY Growth",$N59*(1+$T59)/12,$S59/12),""))</f>
        <v>0</v>
      </c>
      <c r="AD59" s="59" t="n">
        <f aca="false">IF($R59="Manual","",IFERROR(IF($R59="YOY Growth",$N59*(1+$T59)/12,$S59/12),""))</f>
        <v>0</v>
      </c>
      <c r="AE59" s="59" t="n">
        <f aca="false">IF($R59="Manual","",IFERROR(IF($R59="YOY Growth",$N59*(1+$T59)/12,$S59/12),""))</f>
        <v>0</v>
      </c>
      <c r="AF59" s="59" t="n">
        <f aca="false">IF($R59="Manual","",IFERROR(IF($R59="YOY Growth",$N59*(1+$T59)/12,$S59/12),""))</f>
        <v>0</v>
      </c>
      <c r="AG59" s="12" t="n">
        <f aca="false">SUM(U59:AF59)</f>
        <v>0</v>
      </c>
      <c r="AH59" s="24" t="str">
        <f aca="false">IFERROR(AG59/AG$16,"")</f>
        <v/>
      </c>
      <c r="AI59" s="9"/>
      <c r="AJ59" s="12" t="n">
        <f aca="false">N59-AG59</f>
        <v>0</v>
      </c>
    </row>
    <row r="60" customFormat="false" ht="13.5" hidden="false" customHeight="true" outlineLevel="0" collapsed="false">
      <c r="A60" s="23" t="s">
        <v>1315</v>
      </c>
      <c r="B60" s="12" t="n">
        <v>0</v>
      </c>
      <c r="C60" s="12" t="n">
        <v>0</v>
      </c>
      <c r="D60" s="12" t="n">
        <v>0</v>
      </c>
      <c r="E60" s="12" t="n">
        <v>0</v>
      </c>
      <c r="F60" s="12" t="n">
        <v>0</v>
      </c>
      <c r="G60" s="12" t="n">
        <v>0</v>
      </c>
      <c r="H60" s="12" t="n">
        <v>0</v>
      </c>
      <c r="I60" s="12" t="n">
        <v>321.5</v>
      </c>
      <c r="J60" s="64" t="n">
        <v>0</v>
      </c>
      <c r="K60" s="64" t="n">
        <v>0</v>
      </c>
      <c r="L60" s="64" t="n">
        <v>0</v>
      </c>
      <c r="M60" s="64" t="n">
        <v>0</v>
      </c>
      <c r="N60" s="12" t="n">
        <f aca="false">SUM(B60:M60)</f>
        <v>321.5</v>
      </c>
      <c r="O60" s="24" t="str">
        <f aca="false">IFERROR(N60/N$16,"")</f>
        <v/>
      </c>
      <c r="P60" s="12"/>
      <c r="Q60" s="12"/>
      <c r="R60" s="60" t="s">
        <v>1397</v>
      </c>
      <c r="S60" s="61" t="n">
        <v>0</v>
      </c>
      <c r="T60" s="62" t="n">
        <v>0.05</v>
      </c>
      <c r="U60" s="59" t="n">
        <f aca="false">IF($R60="Manual","",IFERROR(IF($R60="YOY Growth",$N60*(1+$T60)/12,$S60/12),""))</f>
        <v>0</v>
      </c>
      <c r="V60" s="59" t="n">
        <f aca="false">IF($R60="Manual","",IFERROR(IF($R60="YOY Growth",$N60*(1+$T60)/12,$S60/12),""))</f>
        <v>0</v>
      </c>
      <c r="W60" s="59" t="n">
        <f aca="false">IF($R60="Manual","",IFERROR(IF($R60="YOY Growth",$N60*(1+$T60)/12,$S60/12),""))</f>
        <v>0</v>
      </c>
      <c r="X60" s="59" t="n">
        <f aca="false">IF($R60="Manual","",IFERROR(IF($R60="YOY Growth",$N60*(1+$T60)/12,$S60/12),""))</f>
        <v>0</v>
      </c>
      <c r="Y60" s="59" t="n">
        <f aca="false">IF($R60="Manual","",IFERROR(IF($R60="YOY Growth",$N60*(1+$T60)/12,$S60/12),""))</f>
        <v>0</v>
      </c>
      <c r="Z60" s="59" t="n">
        <f aca="false">IF($R60="Manual","",IFERROR(IF($R60="YOY Growth",$N60*(1+$T60)/12,$S60/12),""))</f>
        <v>0</v>
      </c>
      <c r="AA60" s="59" t="n">
        <f aca="false">IF($R60="Manual","",IFERROR(IF($R60="YOY Growth",$N60*(1+$T60)/12,$S60/12),""))</f>
        <v>0</v>
      </c>
      <c r="AB60" s="59" t="n">
        <f aca="false">IF($R60="Manual","",IFERROR(IF($R60="YOY Growth",$N60*(1+$T60)/12,$S60/12),""))</f>
        <v>0</v>
      </c>
      <c r="AC60" s="59" t="n">
        <f aca="false">IF($R60="Manual","",IFERROR(IF($R60="YOY Growth",$N60*(1+$T60)/12,$S60/12),""))</f>
        <v>0</v>
      </c>
      <c r="AD60" s="59" t="n">
        <f aca="false">IF($R60="Manual","",IFERROR(IF($R60="YOY Growth",$N60*(1+$T60)/12,$S60/12),""))</f>
        <v>0</v>
      </c>
      <c r="AE60" s="59" t="n">
        <f aca="false">IF($R60="Manual","",IFERROR(IF($R60="YOY Growth",$N60*(1+$T60)/12,$S60/12),""))</f>
        <v>0</v>
      </c>
      <c r="AF60" s="59" t="n">
        <f aca="false">IF($R60="Manual","",IFERROR(IF($R60="YOY Growth",$N60*(1+$T60)/12,$S60/12),""))</f>
        <v>0</v>
      </c>
      <c r="AG60" s="12" t="n">
        <f aca="false">SUM(U60:AF60)</f>
        <v>0</v>
      </c>
      <c r="AH60" s="24" t="str">
        <f aca="false">IFERROR(AG60/AG$16,"")</f>
        <v/>
      </c>
      <c r="AI60" s="9"/>
      <c r="AJ60" s="12" t="n">
        <f aca="false">N60-AG60</f>
        <v>321.5</v>
      </c>
    </row>
    <row r="61" customFormat="false" ht="13.5" hidden="false" customHeight="true" outlineLevel="0" collapsed="false">
      <c r="A61" s="26" t="s">
        <v>1316</v>
      </c>
      <c r="B61" s="32" t="n">
        <f aca="false">SUM(B58:B60)</f>
        <v>0</v>
      </c>
      <c r="C61" s="32" t="n">
        <f aca="false">SUM(C58:C60)</f>
        <v>0</v>
      </c>
      <c r="D61" s="32" t="n">
        <f aca="false">SUM(D58:D60)</f>
        <v>0</v>
      </c>
      <c r="E61" s="32" t="n">
        <f aca="false">SUM(E58:E60)</f>
        <v>34.99</v>
      </c>
      <c r="F61" s="32" t="n">
        <f aca="false">SUM(F58:F60)</f>
        <v>0</v>
      </c>
      <c r="G61" s="32" t="n">
        <f aca="false">SUM(G58:G60)</f>
        <v>0</v>
      </c>
      <c r="H61" s="32" t="n">
        <f aca="false">SUM(H58:H60)</f>
        <v>0</v>
      </c>
      <c r="I61" s="32" t="n">
        <f aca="false">SUM(I58:I60)</f>
        <v>321.5</v>
      </c>
      <c r="J61" s="32" t="n">
        <f aca="false">SUM(J58:J60)</f>
        <v>0</v>
      </c>
      <c r="K61" s="32" t="n">
        <f aca="false">SUM(K58:K60)</f>
        <v>0</v>
      </c>
      <c r="L61" s="32" t="n">
        <f aca="false">SUM(L58:L60)</f>
        <v>0</v>
      </c>
      <c r="M61" s="32" t="n">
        <f aca="false">SUM(M58:M60)</f>
        <v>0</v>
      </c>
      <c r="N61" s="32" t="n">
        <f aca="false">SUM(B61:M61)</f>
        <v>356.49</v>
      </c>
      <c r="O61" s="33" t="str">
        <f aca="false">IFERROR(N61/N$16,"")</f>
        <v/>
      </c>
      <c r="P61" s="12"/>
      <c r="Q61" s="12"/>
      <c r="R61" s="63"/>
      <c r="S61" s="63"/>
      <c r="T61" s="63"/>
      <c r="U61" s="32" t="n">
        <f aca="false">SUM(U58:U60)</f>
        <v>0</v>
      </c>
      <c r="V61" s="32" t="n">
        <f aca="false">SUM(V58:V60)</f>
        <v>0</v>
      </c>
      <c r="W61" s="32" t="n">
        <f aca="false">SUM(W58:W60)</f>
        <v>0</v>
      </c>
      <c r="X61" s="32" t="n">
        <f aca="false">SUM(X58:X60)</f>
        <v>0</v>
      </c>
      <c r="Y61" s="32" t="n">
        <f aca="false">SUM(Y58:Y60)</f>
        <v>0</v>
      </c>
      <c r="Z61" s="32" t="n">
        <f aca="false">SUM(Z58:Z60)</f>
        <v>0</v>
      </c>
      <c r="AA61" s="32" t="n">
        <f aca="false">SUM(AA58:AA60)</f>
        <v>0</v>
      </c>
      <c r="AB61" s="32" t="n">
        <f aca="false">SUM(AB58:AB60)</f>
        <v>0</v>
      </c>
      <c r="AC61" s="32" t="n">
        <f aca="false">SUM(AC58:AC60)</f>
        <v>0</v>
      </c>
      <c r="AD61" s="32" t="n">
        <f aca="false">SUM(AD58:AD60)</f>
        <v>0</v>
      </c>
      <c r="AE61" s="32" t="n">
        <f aca="false">SUM(AE58:AE60)</f>
        <v>0</v>
      </c>
      <c r="AF61" s="32" t="n">
        <f aca="false">SUM(AF58:AF60)</f>
        <v>0</v>
      </c>
      <c r="AG61" s="32" t="n">
        <f aca="false">SUM(U61:AF61)</f>
        <v>0</v>
      </c>
      <c r="AH61" s="33" t="str">
        <f aca="false">IFERROR(AG61/AG$16,"")</f>
        <v/>
      </c>
      <c r="AI61" s="9"/>
      <c r="AJ61" s="27" t="n">
        <f aca="false">N61-AG61</f>
        <v>356.49</v>
      </c>
    </row>
    <row r="62" customFormat="false" ht="13.5" hidden="false" customHeight="true" outlineLevel="0" collapsed="false">
      <c r="A62" s="34" t="s">
        <v>1317</v>
      </c>
      <c r="B62" s="12" t="n">
        <v>0</v>
      </c>
      <c r="C62" s="12" t="n">
        <v>0</v>
      </c>
      <c r="D62" s="12" t="n">
        <v>0</v>
      </c>
      <c r="E62" s="12" t="n">
        <v>0</v>
      </c>
      <c r="F62" s="12" t="n">
        <v>0</v>
      </c>
      <c r="G62" s="12" t="n">
        <v>0</v>
      </c>
      <c r="H62" s="12" t="n">
        <v>0</v>
      </c>
      <c r="I62" s="12" t="n">
        <v>0</v>
      </c>
      <c r="J62" s="64" t="n">
        <v>0</v>
      </c>
      <c r="K62" s="64" t="n">
        <v>0</v>
      </c>
      <c r="L62" s="64" t="n">
        <v>0</v>
      </c>
      <c r="M62" s="64" t="n">
        <v>0</v>
      </c>
      <c r="N62" s="12" t="n">
        <f aca="false">SUM(B62:M62)</f>
        <v>0</v>
      </c>
      <c r="O62" s="24" t="str">
        <f aca="false">IFERROR(N62/N$16,"")</f>
        <v/>
      </c>
      <c r="P62" s="12"/>
      <c r="Q62" s="12"/>
      <c r="R62" s="60" t="s">
        <v>1397</v>
      </c>
      <c r="S62" s="61" t="n">
        <v>0</v>
      </c>
      <c r="T62" s="62" t="n">
        <v>0.05</v>
      </c>
      <c r="U62" s="59" t="n">
        <f aca="false">IF($R62="Manual","",IFERROR(IF($R62="YOY Growth",$N62*(1+$T62)/12,$S62/12),""))</f>
        <v>0</v>
      </c>
      <c r="V62" s="59" t="n">
        <f aca="false">IF($R62="Manual","",IFERROR(IF($R62="YOY Growth",$N62*(1+$T62)/12,$S62/12),""))</f>
        <v>0</v>
      </c>
      <c r="W62" s="59" t="n">
        <f aca="false">IF($R62="Manual","",IFERROR(IF($R62="YOY Growth",$N62*(1+$T62)/12,$S62/12),""))</f>
        <v>0</v>
      </c>
      <c r="X62" s="59" t="n">
        <f aca="false">IF($R62="Manual","",IFERROR(IF($R62="YOY Growth",$N62*(1+$T62)/12,$S62/12),""))</f>
        <v>0</v>
      </c>
      <c r="Y62" s="59" t="n">
        <f aca="false">IF($R62="Manual","",IFERROR(IF($R62="YOY Growth",$N62*(1+$T62)/12,$S62/12),""))</f>
        <v>0</v>
      </c>
      <c r="Z62" s="59" t="n">
        <f aca="false">IF($R62="Manual","",IFERROR(IF($R62="YOY Growth",$N62*(1+$T62)/12,$S62/12),""))</f>
        <v>0</v>
      </c>
      <c r="AA62" s="59" t="n">
        <f aca="false">IF($R62="Manual","",IFERROR(IF($R62="YOY Growth",$N62*(1+$T62)/12,$S62/12),""))</f>
        <v>0</v>
      </c>
      <c r="AB62" s="59" t="n">
        <f aca="false">IF($R62="Manual","",IFERROR(IF($R62="YOY Growth",$N62*(1+$T62)/12,$S62/12),""))</f>
        <v>0</v>
      </c>
      <c r="AC62" s="59" t="n">
        <f aca="false">IF($R62="Manual","",IFERROR(IF($R62="YOY Growth",$N62*(1+$T62)/12,$S62/12),""))</f>
        <v>0</v>
      </c>
      <c r="AD62" s="59" t="n">
        <f aca="false">IF($R62="Manual","",IFERROR(IF($R62="YOY Growth",$N62*(1+$T62)/12,$S62/12),""))</f>
        <v>0</v>
      </c>
      <c r="AE62" s="59" t="n">
        <f aca="false">IF($R62="Manual","",IFERROR(IF($R62="YOY Growth",$N62*(1+$T62)/12,$S62/12),""))</f>
        <v>0</v>
      </c>
      <c r="AF62" s="59" t="n">
        <f aca="false">IF($R62="Manual","",IFERROR(IF($R62="YOY Growth",$N62*(1+$T62)/12,$S62/12),""))</f>
        <v>0</v>
      </c>
      <c r="AG62" s="12" t="n">
        <f aca="false">SUM(U62:AF62)</f>
        <v>0</v>
      </c>
      <c r="AH62" s="24" t="str">
        <f aca="false">IFERROR(AG62/AG$16,"")</f>
        <v/>
      </c>
      <c r="AI62" s="9"/>
      <c r="AJ62" s="12" t="n">
        <f aca="false">N62-AG62</f>
        <v>0</v>
      </c>
    </row>
    <row r="63" customFormat="false" ht="13.5" hidden="false" customHeight="true" outlineLevel="0" collapsed="false">
      <c r="A63" s="26" t="s">
        <v>1318</v>
      </c>
      <c r="B63" s="27" t="n">
        <f aca="false">B37+B38+B39+B40+B41+B42+B56+B61+B62</f>
        <v>-54631.08</v>
      </c>
      <c r="C63" s="27" t="n">
        <f aca="false">C37+C38+C39+C40+C41+C42+C56+C61+C62</f>
        <v>1540.02</v>
      </c>
      <c r="D63" s="27" t="n">
        <f aca="false">D37+D38+D39+D40+D41+D42+D56+D61+D62</f>
        <v>66281.68</v>
      </c>
      <c r="E63" s="27" t="n">
        <f aca="false">E37+E38+E39+E40+E41+E42+E56+E61+E62</f>
        <v>77.44</v>
      </c>
      <c r="F63" s="27" t="n">
        <f aca="false">F37+F38+F39+F40+F41+F42+F56+F61+F62</f>
        <v>0</v>
      </c>
      <c r="G63" s="27" t="n">
        <f aca="false">G37+G38+G39+G40+G41+G42+G56+G61+G62</f>
        <v>232.93</v>
      </c>
      <c r="H63" s="27" t="n">
        <f aca="false">H37+H38+H39+H40+H41+H42+H56+H61+H62</f>
        <v>375.64</v>
      </c>
      <c r="I63" s="27" t="n">
        <f aca="false">I37+I38+I39+I40+I41+I42+I56+I61+I62</f>
        <v>10237.15</v>
      </c>
      <c r="J63" s="27" t="n">
        <f aca="false">J37+J38+J39+J40+J41+J42+J56+J61+J62</f>
        <v>0</v>
      </c>
      <c r="K63" s="27" t="n">
        <f aca="false">K37+K38+K39+K40+K41+K42+K56+K61+K62</f>
        <v>0</v>
      </c>
      <c r="L63" s="27" t="n">
        <f aca="false">L37+L38+L39+L40+L41+L42+L56+L61+L62</f>
        <v>0</v>
      </c>
      <c r="M63" s="27" t="n">
        <f aca="false">M37+M38+M39+M40+M41+M42+M56+M61+M62</f>
        <v>0</v>
      </c>
      <c r="N63" s="27" t="n">
        <f aca="false">SUM(B63:M63)</f>
        <v>24113.78</v>
      </c>
      <c r="O63" s="28" t="str">
        <f aca="false">IFERROR(N63/N$16,"")</f>
        <v/>
      </c>
      <c r="P63" s="12"/>
      <c r="Q63" s="12"/>
      <c r="R63" s="63"/>
      <c r="S63" s="63"/>
      <c r="T63" s="63"/>
      <c r="U63" s="27" t="n">
        <f aca="false">U37+U38+U39+U40+U41+U42+U56+U61+U62</f>
        <v>0</v>
      </c>
      <c r="V63" s="27" t="n">
        <f aca="false">V37+V38+V39+V40+V41+V42+V56+V61+V62</f>
        <v>0</v>
      </c>
      <c r="W63" s="27" t="n">
        <f aca="false">W37+W38+W39+W40+W41+W42+W56+W61+W62</f>
        <v>0</v>
      </c>
      <c r="X63" s="27" t="n">
        <f aca="false">X37+X38+X39+X40+X41+X42+X56+X61+X62</f>
        <v>0</v>
      </c>
      <c r="Y63" s="27" t="n">
        <f aca="false">Y37+Y38+Y39+Y40+Y41+Y42+Y56+Y61+Y62</f>
        <v>0</v>
      </c>
      <c r="Z63" s="27" t="n">
        <f aca="false">Z37+Z38+Z39+Z40+Z41+Z42+Z56+Z61+Z62</f>
        <v>0</v>
      </c>
      <c r="AA63" s="27" t="n">
        <f aca="false">AA37+AA38+AA39+AA40+AA41+AA42+AA56+AA61+AA62</f>
        <v>0</v>
      </c>
      <c r="AB63" s="27" t="n">
        <f aca="false">AB37+AB38+AB39+AB40+AB41+AB42+AB56+AB61+AB62</f>
        <v>0</v>
      </c>
      <c r="AC63" s="27" t="n">
        <f aca="false">AC37+AC38+AC39+AC40+AC41+AC42+AC56+AC61+AC62</f>
        <v>0</v>
      </c>
      <c r="AD63" s="27" t="n">
        <f aca="false">AD37+AD38+AD39+AD40+AD41+AD42+AD56+AD61+AD62</f>
        <v>0</v>
      </c>
      <c r="AE63" s="27" t="n">
        <f aca="false">AE37+AE38+AE39+AE40+AE41+AE42+AE56+AE61+AE62</f>
        <v>0</v>
      </c>
      <c r="AF63" s="27" t="n">
        <f aca="false">AF37+AF38+AF39+AF40+AF41+AF42+AF56+AF61+AF62</f>
        <v>0</v>
      </c>
      <c r="AG63" s="27" t="n">
        <f aca="false">SUM(U63:AF63)</f>
        <v>0</v>
      </c>
      <c r="AH63" s="28" t="str">
        <f aca="false">IFERROR(AG63/AG$16,"")</f>
        <v/>
      </c>
      <c r="AI63" s="9"/>
      <c r="AJ63" s="27" t="n">
        <f aca="false">N63-AG63</f>
        <v>24113.78</v>
      </c>
    </row>
    <row r="64" customFormat="false" ht="13.5" hidden="false" customHeight="true" outlineLevel="0" collapsed="false">
      <c r="A64" s="69" t="s">
        <v>19</v>
      </c>
      <c r="B64" s="27" t="n">
        <f aca="false">B16-B63</f>
        <v>54631.08</v>
      </c>
      <c r="C64" s="27" t="n">
        <f aca="false">C16-C63</f>
        <v>-1540.02</v>
      </c>
      <c r="D64" s="27" t="n">
        <f aca="false">D16-D63</f>
        <v>-66281.68</v>
      </c>
      <c r="E64" s="27" t="n">
        <f aca="false">E16-E63</f>
        <v>-77.44</v>
      </c>
      <c r="F64" s="27" t="n">
        <f aca="false">F16-F63</f>
        <v>0</v>
      </c>
      <c r="G64" s="27" t="n">
        <f aca="false">G16-G63</f>
        <v>-232.93</v>
      </c>
      <c r="H64" s="27" t="n">
        <f aca="false">H16-H63</f>
        <v>-375.64</v>
      </c>
      <c r="I64" s="27" t="n">
        <f aca="false">I16-I63</f>
        <v>-10237.15</v>
      </c>
      <c r="J64" s="27" t="n">
        <f aca="false">J16-J63</f>
        <v>0</v>
      </c>
      <c r="K64" s="27" t="n">
        <f aca="false">K16-K63</f>
        <v>0</v>
      </c>
      <c r="L64" s="27" t="n">
        <f aca="false">L16-L63</f>
        <v>0</v>
      </c>
      <c r="M64" s="27" t="n">
        <f aca="false">M16-M63</f>
        <v>0</v>
      </c>
      <c r="N64" s="27" t="n">
        <f aca="false">SUM(B64:M64)</f>
        <v>-24113.78</v>
      </c>
      <c r="O64" s="28" t="str">
        <f aca="false">IFERROR(N64/N$16,"")</f>
        <v/>
      </c>
      <c r="P64" s="12"/>
      <c r="Q64" s="12"/>
      <c r="R64" s="63"/>
      <c r="S64" s="63"/>
      <c r="T64" s="63"/>
      <c r="U64" s="27" t="n">
        <f aca="false">U16-U63</f>
        <v>0</v>
      </c>
      <c r="V64" s="27" t="n">
        <f aca="false">V16-V63</f>
        <v>0</v>
      </c>
      <c r="W64" s="27" t="n">
        <f aca="false">W16-W63</f>
        <v>0</v>
      </c>
      <c r="X64" s="27" t="n">
        <f aca="false">X16-X63</f>
        <v>0</v>
      </c>
      <c r="Y64" s="27" t="n">
        <f aca="false">Y16-Y63</f>
        <v>0</v>
      </c>
      <c r="Z64" s="27" t="n">
        <f aca="false">Z16-Z63</f>
        <v>0</v>
      </c>
      <c r="AA64" s="27" t="n">
        <f aca="false">AA16-AA63</f>
        <v>0</v>
      </c>
      <c r="AB64" s="27" t="n">
        <f aca="false">AB16-AB63</f>
        <v>0</v>
      </c>
      <c r="AC64" s="27" t="n">
        <f aca="false">AC16-AC63</f>
        <v>0</v>
      </c>
      <c r="AD64" s="27" t="n">
        <f aca="false">AD16-AD63</f>
        <v>0</v>
      </c>
      <c r="AE64" s="27" t="n">
        <f aca="false">AE16-AE63</f>
        <v>0</v>
      </c>
      <c r="AF64" s="27" t="n">
        <f aca="false">AF16-AF63</f>
        <v>0</v>
      </c>
      <c r="AG64" s="27" t="n">
        <f aca="false">SUM(U64:AF64)</f>
        <v>0</v>
      </c>
      <c r="AH64" s="28" t="str">
        <f aca="false">IFERROR(AG64/AG$16,"")</f>
        <v/>
      </c>
      <c r="AI64" s="9"/>
      <c r="AJ64" s="27" t="n">
        <f aca="false">AG64-N64</f>
        <v>24113.78</v>
      </c>
    </row>
    <row r="65" customFormat="false" ht="13.5" hidden="false" customHeight="true" outlineLevel="0" collapsed="false">
      <c r="A65" s="22" t="s">
        <v>1319</v>
      </c>
      <c r="B65" s="24"/>
      <c r="C65" s="24"/>
      <c r="D65" s="24"/>
      <c r="E65" s="24"/>
      <c r="F65" s="24"/>
      <c r="G65" s="24"/>
      <c r="H65" s="24"/>
      <c r="I65" s="24"/>
      <c r="J65" s="24"/>
      <c r="K65" s="24"/>
      <c r="L65" s="24"/>
      <c r="M65" s="24"/>
      <c r="N65" s="24"/>
      <c r="O65" s="24"/>
      <c r="P65" s="12"/>
      <c r="Q65" s="12"/>
      <c r="R65" s="63"/>
      <c r="S65" s="63"/>
      <c r="T65" s="63"/>
      <c r="U65" s="24"/>
      <c r="V65" s="24"/>
      <c r="W65" s="24"/>
      <c r="X65" s="24"/>
      <c r="Y65" s="24"/>
      <c r="Z65" s="24"/>
      <c r="AA65" s="24"/>
      <c r="AB65" s="24"/>
      <c r="AC65" s="24"/>
      <c r="AD65" s="24"/>
      <c r="AE65" s="24"/>
      <c r="AF65" s="24"/>
      <c r="AG65" s="24"/>
      <c r="AH65" s="24"/>
      <c r="AI65" s="9"/>
      <c r="AJ65" s="24"/>
    </row>
    <row r="66" customFormat="false" ht="13.5" hidden="false" customHeight="true" outlineLevel="0" collapsed="false">
      <c r="A66" s="22" t="s">
        <v>1320</v>
      </c>
      <c r="B66" s="12"/>
      <c r="C66" s="12"/>
      <c r="D66" s="12"/>
      <c r="E66" s="12"/>
      <c r="F66" s="12"/>
      <c r="G66" s="12"/>
      <c r="H66" s="12"/>
      <c r="I66" s="12"/>
      <c r="J66" s="12"/>
      <c r="K66" s="12"/>
      <c r="L66" s="12"/>
      <c r="M66" s="12"/>
      <c r="N66" s="12"/>
      <c r="O66" s="24"/>
      <c r="P66" s="12"/>
      <c r="Q66" s="12"/>
      <c r="R66" s="63"/>
      <c r="S66" s="63"/>
      <c r="T66" s="63"/>
      <c r="U66" s="12"/>
      <c r="V66" s="12"/>
      <c r="W66" s="12"/>
      <c r="X66" s="12"/>
      <c r="Y66" s="12"/>
      <c r="Z66" s="12"/>
      <c r="AA66" s="12"/>
      <c r="AB66" s="12"/>
      <c r="AC66" s="12"/>
      <c r="AD66" s="12"/>
      <c r="AE66" s="12"/>
      <c r="AF66" s="12"/>
      <c r="AG66" s="12"/>
      <c r="AH66" s="24"/>
      <c r="AI66" s="9"/>
      <c r="AJ66" s="12"/>
    </row>
    <row r="67" customFormat="false" ht="13.5" hidden="false" customHeight="true" outlineLevel="0" collapsed="false">
      <c r="A67" s="23" t="s">
        <v>1321</v>
      </c>
      <c r="B67" s="12" t="n">
        <v>73651.56</v>
      </c>
      <c r="C67" s="12" t="n">
        <v>27724.99</v>
      </c>
      <c r="D67" s="12" t="n">
        <v>28018.64</v>
      </c>
      <c r="E67" s="12" t="n">
        <v>30558.3</v>
      </c>
      <c r="F67" s="12" t="n">
        <v>91088.28</v>
      </c>
      <c r="G67" s="12" t="n">
        <v>90396.46</v>
      </c>
      <c r="H67" s="12" t="n">
        <v>94365.88</v>
      </c>
      <c r="I67" s="12" t="n">
        <v>103467.64</v>
      </c>
      <c r="J67" s="64" t="n">
        <v>122800</v>
      </c>
      <c r="K67" s="64" t="n">
        <v>125500</v>
      </c>
      <c r="L67" s="64" t="n">
        <v>125500</v>
      </c>
      <c r="M67" s="64" t="n">
        <v>135100</v>
      </c>
      <c r="N67" s="12" t="n">
        <f aca="false">SUM(B67:M67)</f>
        <v>1048171.75</v>
      </c>
      <c r="O67" s="24" t="str">
        <f aca="false">IFERROR(N67/N$16,"")</f>
        <v/>
      </c>
      <c r="P67" s="12"/>
      <c r="Q67" s="12"/>
      <c r="R67" s="75"/>
      <c r="S67" s="75"/>
      <c r="T67" s="75"/>
      <c r="U67" s="75" t="n">
        <v>89166.25</v>
      </c>
      <c r="V67" s="75" t="n">
        <v>89166.25</v>
      </c>
      <c r="W67" s="75" t="n">
        <v>89166.25</v>
      </c>
      <c r="X67" s="75" t="n">
        <v>89166.25</v>
      </c>
      <c r="Y67" s="75" t="n">
        <v>89166.25</v>
      </c>
      <c r="Z67" s="75" t="n">
        <v>89166.25</v>
      </c>
      <c r="AA67" s="75" t="n">
        <v>89166.25</v>
      </c>
      <c r="AB67" s="75" t="n">
        <v>89166.25</v>
      </c>
      <c r="AC67" s="75" t="n">
        <v>89166.25</v>
      </c>
      <c r="AD67" s="75" t="n">
        <v>91841.2375</v>
      </c>
      <c r="AE67" s="75" t="n">
        <v>91841.2375</v>
      </c>
      <c r="AF67" s="75" t="n">
        <v>91841.2375</v>
      </c>
      <c r="AG67" s="12" t="n">
        <f aca="false">SUM(U67:AF67)</f>
        <v>1078019.9625</v>
      </c>
      <c r="AH67" s="24" t="str">
        <f aca="false">IFERROR(AG67/AG$16,"")</f>
        <v/>
      </c>
      <c r="AI67" s="9"/>
      <c r="AJ67" s="12" t="n">
        <f aca="false">N67-AG67</f>
        <v>-29848.2124999999</v>
      </c>
    </row>
    <row r="68" customFormat="false" ht="13.5" hidden="false" customHeight="true" outlineLevel="0" collapsed="false">
      <c r="A68" s="23" t="s">
        <v>1322</v>
      </c>
      <c r="B68" s="12" t="n">
        <v>3695.16</v>
      </c>
      <c r="C68" s="12" t="n">
        <v>1055.23</v>
      </c>
      <c r="D68" s="12" t="n">
        <v>1011.75</v>
      </c>
      <c r="E68" s="12" t="n">
        <v>1042.87</v>
      </c>
      <c r="F68" s="12" t="n">
        <v>3064.28</v>
      </c>
      <c r="G68" s="12" t="n">
        <v>3071.67</v>
      </c>
      <c r="H68" s="12" t="n">
        <v>3332.95</v>
      </c>
      <c r="I68" s="12" t="n">
        <v>4964.72</v>
      </c>
      <c r="J68" s="64" t="n">
        <v>4421</v>
      </c>
      <c r="K68" s="64" t="n">
        <v>4518</v>
      </c>
      <c r="L68" s="64" t="n">
        <v>4518</v>
      </c>
      <c r="M68" s="64" t="n">
        <v>4864</v>
      </c>
      <c r="N68" s="12" t="n">
        <f aca="false">SUM(B68:M68)</f>
        <v>39559.63</v>
      </c>
      <c r="O68" s="24" t="str">
        <f aca="false">IFERROR(N68/N$16,"")</f>
        <v/>
      </c>
      <c r="P68" s="12"/>
      <c r="Q68" s="12"/>
      <c r="R68" s="75"/>
      <c r="S68" s="75"/>
      <c r="T68" s="75"/>
      <c r="U68" s="75" t="n">
        <v>3184.54248759661</v>
      </c>
      <c r="V68" s="75" t="n">
        <v>3184.54248759661</v>
      </c>
      <c r="W68" s="75" t="n">
        <v>3184.54248759661</v>
      </c>
      <c r="X68" s="75" t="n">
        <v>3184.54248759661</v>
      </c>
      <c r="Y68" s="75" t="n">
        <v>3184.54248759661</v>
      </c>
      <c r="Z68" s="75" t="n">
        <v>3184.54248759661</v>
      </c>
      <c r="AA68" s="75" t="n">
        <v>3184.54248759661</v>
      </c>
      <c r="AB68" s="75" t="n">
        <v>3184.54248759661</v>
      </c>
      <c r="AC68" s="75" t="n">
        <v>3184.54248759661</v>
      </c>
      <c r="AD68" s="75" t="n">
        <v>3280.07876222451</v>
      </c>
      <c r="AE68" s="75" t="n">
        <v>3280.07876222451</v>
      </c>
      <c r="AF68" s="75" t="n">
        <v>3280.07876222451</v>
      </c>
      <c r="AG68" s="12" t="n">
        <f aca="false">SUM(U68:AF68)</f>
        <v>38501.118675043</v>
      </c>
      <c r="AH68" s="24" t="str">
        <f aca="false">IFERROR(AG68/AG$16,"")</f>
        <v/>
      </c>
      <c r="AI68" s="9"/>
      <c r="AJ68" s="12" t="n">
        <f aca="false">N68-AG68</f>
        <v>1058.51132495698</v>
      </c>
    </row>
    <row r="69" customFormat="false" ht="13.5" hidden="false" customHeight="true" outlineLevel="0" collapsed="false">
      <c r="A69" s="23" t="s">
        <v>1323</v>
      </c>
      <c r="B69" s="12" t="n">
        <v>61159.6</v>
      </c>
      <c r="C69" s="12" t="n">
        <v>17771.74</v>
      </c>
      <c r="D69" s="12" t="n">
        <v>10616.78</v>
      </c>
      <c r="E69" s="12" t="n">
        <v>10961.94</v>
      </c>
      <c r="F69" s="12" t="n">
        <v>5752.25</v>
      </c>
      <c r="G69" s="12" t="n">
        <v>7975.89</v>
      </c>
      <c r="H69" s="12" t="n">
        <v>7066.98</v>
      </c>
      <c r="I69" s="12" t="n">
        <v>11912.99</v>
      </c>
      <c r="J69" s="64" t="n">
        <v>8842</v>
      </c>
      <c r="K69" s="64" t="n">
        <v>9036</v>
      </c>
      <c r="L69" s="64" t="n">
        <v>9036</v>
      </c>
      <c r="M69" s="64" t="n">
        <v>9727</v>
      </c>
      <c r="N69" s="12" t="n">
        <f aca="false">SUM(B69:M69)</f>
        <v>169859.17</v>
      </c>
      <c r="O69" s="24" t="str">
        <f aca="false">IFERROR(N69/N$16,"")</f>
        <v/>
      </c>
      <c r="P69" s="12"/>
      <c r="Q69" s="12"/>
      <c r="R69" s="75"/>
      <c r="S69" s="75"/>
      <c r="T69" s="75"/>
      <c r="U69" s="75" t="n">
        <v>7867.34570925123</v>
      </c>
      <c r="V69" s="75" t="n">
        <v>7867.34570925123</v>
      </c>
      <c r="W69" s="75" t="n">
        <v>7867.34570925123</v>
      </c>
      <c r="X69" s="75" t="n">
        <v>7867.34570925123</v>
      </c>
      <c r="Y69" s="75" t="n">
        <v>7867.34570925123</v>
      </c>
      <c r="Z69" s="75" t="n">
        <v>7867.34570925123</v>
      </c>
      <c r="AA69" s="75" t="n">
        <v>7867.34570925123</v>
      </c>
      <c r="AB69" s="75" t="n">
        <v>7867.34570925123</v>
      </c>
      <c r="AC69" s="75" t="n">
        <v>7867.34570925123</v>
      </c>
      <c r="AD69" s="75" t="n">
        <v>8103.36608052876</v>
      </c>
      <c r="AE69" s="75" t="n">
        <v>8103.36608052876</v>
      </c>
      <c r="AF69" s="75" t="n">
        <v>8103.36608052876</v>
      </c>
      <c r="AG69" s="12" t="n">
        <f aca="false">SUM(U69:AF69)</f>
        <v>95116.2096248474</v>
      </c>
      <c r="AH69" s="24" t="str">
        <f aca="false">IFERROR(AG69/AG$16,"")</f>
        <v/>
      </c>
      <c r="AI69" s="9"/>
      <c r="AJ69" s="12" t="n">
        <f aca="false">N69-AG69</f>
        <v>74742.9603751527</v>
      </c>
    </row>
    <row r="70" customFormat="false" ht="13.5" hidden="false" customHeight="true" outlineLevel="0" collapsed="false">
      <c r="A70" s="23" t="s">
        <v>1324</v>
      </c>
      <c r="B70" s="12" t="n">
        <v>0</v>
      </c>
      <c r="C70" s="12" t="n">
        <v>0</v>
      </c>
      <c r="D70" s="12" t="n">
        <v>0</v>
      </c>
      <c r="E70" s="12" t="n">
        <v>0</v>
      </c>
      <c r="F70" s="12" t="n">
        <v>0</v>
      </c>
      <c r="G70" s="12" t="n">
        <v>0</v>
      </c>
      <c r="H70" s="12" t="n">
        <v>0</v>
      </c>
      <c r="I70" s="12" t="n">
        <v>0</v>
      </c>
      <c r="J70" s="64" t="n">
        <v>0</v>
      </c>
      <c r="K70" s="64" t="n">
        <v>0</v>
      </c>
      <c r="L70" s="64" t="n">
        <v>0</v>
      </c>
      <c r="M70" s="64" t="n">
        <v>0</v>
      </c>
      <c r="N70" s="12" t="n">
        <f aca="false">SUM(B70:M70)</f>
        <v>0</v>
      </c>
      <c r="O70" s="24" t="str">
        <f aca="false">IFERROR(N70/N$16,"")</f>
        <v/>
      </c>
      <c r="P70" s="12"/>
      <c r="Q70" s="12"/>
      <c r="R70" s="60" t="s">
        <v>1397</v>
      </c>
      <c r="S70" s="61" t="n">
        <v>0</v>
      </c>
      <c r="T70" s="62" t="n">
        <v>0.05</v>
      </c>
      <c r="U70" s="59" t="n">
        <f aca="false">IF($R70="Manual","",IFERROR(IF($R70="YOY Growth",$N70*(1+$T70)/12,$S70/12),""))</f>
        <v>0</v>
      </c>
      <c r="V70" s="59" t="n">
        <f aca="false">IF($R70="Manual","",IFERROR(IF($R70="YOY Growth",$N70*(1+$T70)/12,$S70/12),""))</f>
        <v>0</v>
      </c>
      <c r="W70" s="59" t="n">
        <f aca="false">IF($R70="Manual","",IFERROR(IF($R70="YOY Growth",$N70*(1+$T70)/12,$S70/12),""))</f>
        <v>0</v>
      </c>
      <c r="X70" s="59" t="n">
        <f aca="false">IF($R70="Manual","",IFERROR(IF($R70="YOY Growth",$N70*(1+$T70)/12,$S70/12),""))</f>
        <v>0</v>
      </c>
      <c r="Y70" s="59" t="n">
        <f aca="false">IF($R70="Manual","",IFERROR(IF($R70="YOY Growth",$N70*(1+$T70)/12,$S70/12),""))</f>
        <v>0</v>
      </c>
      <c r="Z70" s="59" t="n">
        <f aca="false">IF($R70="Manual","",IFERROR(IF($R70="YOY Growth",$N70*(1+$T70)/12,$S70/12),""))</f>
        <v>0</v>
      </c>
      <c r="AA70" s="59" t="n">
        <f aca="false">IF($R70="Manual","",IFERROR(IF($R70="YOY Growth",$N70*(1+$T70)/12,$S70/12),""))</f>
        <v>0</v>
      </c>
      <c r="AB70" s="59" t="n">
        <f aca="false">IF($R70="Manual","",IFERROR(IF($R70="YOY Growth",$N70*(1+$T70)/12,$S70/12),""))</f>
        <v>0</v>
      </c>
      <c r="AC70" s="59" t="n">
        <f aca="false">IF($R70="Manual","",IFERROR(IF($R70="YOY Growth",$N70*(1+$T70)/12,$S70/12),""))</f>
        <v>0</v>
      </c>
      <c r="AD70" s="59" t="n">
        <f aca="false">IF($R70="Manual","",IFERROR(IF($R70="YOY Growth",$N70*(1+$T70)/12,$S70/12),""))</f>
        <v>0</v>
      </c>
      <c r="AE70" s="59" t="n">
        <f aca="false">IF($R70="Manual","",IFERROR(IF($R70="YOY Growth",$N70*(1+$T70)/12,$S70/12),""))</f>
        <v>0</v>
      </c>
      <c r="AF70" s="59" t="n">
        <f aca="false">IF($R70="Manual","",IFERROR(IF($R70="YOY Growth",$N70*(1+$T70)/12,$S70/12),""))</f>
        <v>0</v>
      </c>
      <c r="AG70" s="12" t="n">
        <f aca="false">SUM(U70:AF70)</f>
        <v>0</v>
      </c>
      <c r="AH70" s="24" t="str">
        <f aca="false">IFERROR(AG70/AG$16,"")</f>
        <v/>
      </c>
      <c r="AI70" s="9"/>
      <c r="AJ70" s="12" t="n">
        <f aca="false">N70-AG70</f>
        <v>0</v>
      </c>
    </row>
    <row r="71" customFormat="false" ht="13.5" hidden="false" customHeight="true" outlineLevel="0" collapsed="false">
      <c r="A71" s="23" t="s">
        <v>1325</v>
      </c>
      <c r="B71" s="12" t="n">
        <v>0</v>
      </c>
      <c r="C71" s="12" t="n">
        <v>0</v>
      </c>
      <c r="D71" s="12" t="n">
        <v>0</v>
      </c>
      <c r="E71" s="12" t="n">
        <v>0</v>
      </c>
      <c r="F71" s="12" t="n">
        <v>0</v>
      </c>
      <c r="G71" s="12" t="n">
        <v>0</v>
      </c>
      <c r="H71" s="12" t="n">
        <v>0</v>
      </c>
      <c r="I71" s="12" t="n">
        <v>0</v>
      </c>
      <c r="J71" s="64" t="n">
        <v>0</v>
      </c>
      <c r="K71" s="64" t="n">
        <v>0</v>
      </c>
      <c r="L71" s="64" t="n">
        <v>0</v>
      </c>
      <c r="M71" s="64" t="n">
        <v>0</v>
      </c>
      <c r="N71" s="12" t="n">
        <f aca="false">SUM(B71:M71)</f>
        <v>0</v>
      </c>
      <c r="O71" s="24" t="str">
        <f aca="false">IFERROR(N71/N$16,"")</f>
        <v/>
      </c>
      <c r="P71" s="12"/>
      <c r="Q71" s="12"/>
      <c r="R71" s="60" t="s">
        <v>1397</v>
      </c>
      <c r="S71" s="61" t="n">
        <v>0</v>
      </c>
      <c r="T71" s="62" t="n">
        <v>0.05</v>
      </c>
      <c r="U71" s="59" t="n">
        <f aca="false">IF($R71="Manual","",IFERROR(IF($R71="YOY Growth",$N71*(1+$T71)/12,$S71/12),""))</f>
        <v>0</v>
      </c>
      <c r="V71" s="59" t="n">
        <f aca="false">IF($R71="Manual","",IFERROR(IF($R71="YOY Growth",$N71*(1+$T71)/12,$S71/12),""))</f>
        <v>0</v>
      </c>
      <c r="W71" s="59" t="n">
        <f aca="false">IF($R71="Manual","",IFERROR(IF($R71="YOY Growth",$N71*(1+$T71)/12,$S71/12),""))</f>
        <v>0</v>
      </c>
      <c r="X71" s="59" t="n">
        <f aca="false">IF($R71="Manual","",IFERROR(IF($R71="YOY Growth",$N71*(1+$T71)/12,$S71/12),""))</f>
        <v>0</v>
      </c>
      <c r="Y71" s="59" t="n">
        <f aca="false">IF($R71="Manual","",IFERROR(IF($R71="YOY Growth",$N71*(1+$T71)/12,$S71/12),""))</f>
        <v>0</v>
      </c>
      <c r="Z71" s="59" t="n">
        <f aca="false">IF($R71="Manual","",IFERROR(IF($R71="YOY Growth",$N71*(1+$T71)/12,$S71/12),""))</f>
        <v>0</v>
      </c>
      <c r="AA71" s="59" t="n">
        <f aca="false">IF($R71="Manual","",IFERROR(IF($R71="YOY Growth",$N71*(1+$T71)/12,$S71/12),""))</f>
        <v>0</v>
      </c>
      <c r="AB71" s="59" t="n">
        <f aca="false">IF($R71="Manual","",IFERROR(IF($R71="YOY Growth",$N71*(1+$T71)/12,$S71/12),""))</f>
        <v>0</v>
      </c>
      <c r="AC71" s="59" t="n">
        <f aca="false">IF($R71="Manual","",IFERROR(IF($R71="YOY Growth",$N71*(1+$T71)/12,$S71/12),""))</f>
        <v>0</v>
      </c>
      <c r="AD71" s="59" t="n">
        <f aca="false">IF($R71="Manual","",IFERROR(IF($R71="YOY Growth",$N71*(1+$T71)/12,$S71/12),""))</f>
        <v>0</v>
      </c>
      <c r="AE71" s="59" t="n">
        <f aca="false">IF($R71="Manual","",IFERROR(IF($R71="YOY Growth",$N71*(1+$T71)/12,$S71/12),""))</f>
        <v>0</v>
      </c>
      <c r="AF71" s="59" t="n">
        <f aca="false">IF($R71="Manual","",IFERROR(IF($R71="YOY Growth",$N71*(1+$T71)/12,$S71/12),""))</f>
        <v>0</v>
      </c>
      <c r="AG71" s="12" t="n">
        <f aca="false">SUM(U71:AF71)</f>
        <v>0</v>
      </c>
      <c r="AH71" s="24" t="str">
        <f aca="false">IFERROR(AG71/AG$16,"")</f>
        <v/>
      </c>
      <c r="AI71" s="9"/>
      <c r="AJ71" s="12" t="n">
        <f aca="false">N71-AG71</f>
        <v>0</v>
      </c>
    </row>
    <row r="72" customFormat="false" ht="13.5" hidden="false" customHeight="true" outlineLevel="0" collapsed="false">
      <c r="A72" s="23" t="s">
        <v>1326</v>
      </c>
      <c r="B72" s="12" t="n">
        <v>0</v>
      </c>
      <c r="C72" s="12" t="n">
        <v>0</v>
      </c>
      <c r="D72" s="12" t="n">
        <v>0</v>
      </c>
      <c r="E72" s="12" t="n">
        <v>0</v>
      </c>
      <c r="F72" s="12" t="n">
        <v>0</v>
      </c>
      <c r="G72" s="12" t="n">
        <v>0</v>
      </c>
      <c r="H72" s="12" t="n">
        <v>0</v>
      </c>
      <c r="I72" s="12" t="n">
        <v>0</v>
      </c>
      <c r="J72" s="64" t="n">
        <v>0</v>
      </c>
      <c r="K72" s="64" t="n">
        <v>0</v>
      </c>
      <c r="L72" s="64" t="n">
        <v>0</v>
      </c>
      <c r="M72" s="64" t="n">
        <v>0</v>
      </c>
      <c r="N72" s="12" t="n">
        <f aca="false">SUM(B72:M72)</f>
        <v>0</v>
      </c>
      <c r="O72" s="24" t="str">
        <f aca="false">IFERROR(N72/N$16,"")</f>
        <v/>
      </c>
      <c r="P72" s="12"/>
      <c r="Q72" s="12"/>
      <c r="R72" s="60" t="s">
        <v>1397</v>
      </c>
      <c r="S72" s="61" t="n">
        <v>0</v>
      </c>
      <c r="T72" s="62" t="n">
        <v>0.05</v>
      </c>
      <c r="U72" s="59" t="n">
        <f aca="false">IF($R72="Manual","",IFERROR(IF($R72="YOY Growth",$N72*(1+$T72)/12,$S72/12),""))</f>
        <v>0</v>
      </c>
      <c r="V72" s="59" t="n">
        <f aca="false">IF($R72="Manual","",IFERROR(IF($R72="YOY Growth",$N72*(1+$T72)/12,$S72/12),""))</f>
        <v>0</v>
      </c>
      <c r="W72" s="59" t="n">
        <f aca="false">IF($R72="Manual","",IFERROR(IF($R72="YOY Growth",$N72*(1+$T72)/12,$S72/12),""))</f>
        <v>0</v>
      </c>
      <c r="X72" s="59" t="n">
        <f aca="false">IF($R72="Manual","",IFERROR(IF($R72="YOY Growth",$N72*(1+$T72)/12,$S72/12),""))</f>
        <v>0</v>
      </c>
      <c r="Y72" s="59" t="n">
        <f aca="false">IF($R72="Manual","",IFERROR(IF($R72="YOY Growth",$N72*(1+$T72)/12,$S72/12),""))</f>
        <v>0</v>
      </c>
      <c r="Z72" s="59" t="n">
        <f aca="false">IF($R72="Manual","",IFERROR(IF($R72="YOY Growth",$N72*(1+$T72)/12,$S72/12),""))</f>
        <v>0</v>
      </c>
      <c r="AA72" s="59" t="n">
        <f aca="false">IF($R72="Manual","",IFERROR(IF($R72="YOY Growth",$N72*(1+$T72)/12,$S72/12),""))</f>
        <v>0</v>
      </c>
      <c r="AB72" s="59" t="n">
        <f aca="false">IF($R72="Manual","",IFERROR(IF($R72="YOY Growth",$N72*(1+$T72)/12,$S72/12),""))</f>
        <v>0</v>
      </c>
      <c r="AC72" s="59" t="n">
        <f aca="false">IF($R72="Manual","",IFERROR(IF($R72="YOY Growth",$N72*(1+$T72)/12,$S72/12),""))</f>
        <v>0</v>
      </c>
      <c r="AD72" s="59" t="n">
        <f aca="false">IF($R72="Manual","",IFERROR(IF($R72="YOY Growth",$N72*(1+$T72)/12,$S72/12),""))</f>
        <v>0</v>
      </c>
      <c r="AE72" s="59" t="n">
        <f aca="false">IF($R72="Manual","",IFERROR(IF($R72="YOY Growth",$N72*(1+$T72)/12,$S72/12),""))</f>
        <v>0</v>
      </c>
      <c r="AF72" s="59" t="n">
        <f aca="false">IF($R72="Manual","",IFERROR(IF($R72="YOY Growth",$N72*(1+$T72)/12,$S72/12),""))</f>
        <v>0</v>
      </c>
      <c r="AG72" s="12" t="n">
        <f aca="false">SUM(U72:AF72)</f>
        <v>0</v>
      </c>
      <c r="AH72" s="24" t="str">
        <f aca="false">IFERROR(AG72/AG$16,"")</f>
        <v/>
      </c>
      <c r="AI72" s="9"/>
      <c r="AJ72" s="12" t="n">
        <f aca="false">N72-AG72</f>
        <v>0</v>
      </c>
    </row>
    <row r="73" customFormat="false" ht="13.5" hidden="false" customHeight="true" outlineLevel="0" collapsed="false">
      <c r="A73" s="26" t="s">
        <v>1327</v>
      </c>
      <c r="B73" s="27" t="n">
        <f aca="false">SUM(B67:B72)</f>
        <v>138506.32</v>
      </c>
      <c r="C73" s="27" t="n">
        <f aca="false">SUM(C67:C72)</f>
        <v>46551.96</v>
      </c>
      <c r="D73" s="27" t="n">
        <f aca="false">SUM(D67:D72)</f>
        <v>39647.17</v>
      </c>
      <c r="E73" s="27" t="n">
        <f aca="false">SUM(E67:E72)</f>
        <v>42563.11</v>
      </c>
      <c r="F73" s="27" t="n">
        <f aca="false">SUM(F67:F72)</f>
        <v>99904.81</v>
      </c>
      <c r="G73" s="27" t="n">
        <f aca="false">SUM(G67:G72)</f>
        <v>101444.02</v>
      </c>
      <c r="H73" s="27" t="n">
        <f aca="false">SUM(H67:H72)</f>
        <v>104765.81</v>
      </c>
      <c r="I73" s="27" t="n">
        <f aca="false">SUM(I67:I72)</f>
        <v>120345.35</v>
      </c>
      <c r="J73" s="27" t="n">
        <f aca="false">SUM(J67:J72)</f>
        <v>136063</v>
      </c>
      <c r="K73" s="27" t="n">
        <f aca="false">SUM(K67:K72)</f>
        <v>139054</v>
      </c>
      <c r="L73" s="27" t="n">
        <f aca="false">SUM(L67:L72)</f>
        <v>139054</v>
      </c>
      <c r="M73" s="27" t="n">
        <f aca="false">SUM(M67:M72)</f>
        <v>149691</v>
      </c>
      <c r="N73" s="27" t="n">
        <f aca="false">SUM(B73:M73)</f>
        <v>1257590.55</v>
      </c>
      <c r="O73" s="28" t="str">
        <f aca="false">IFERROR(N73/N$16,"")</f>
        <v/>
      </c>
      <c r="P73" s="12"/>
      <c r="Q73" s="12"/>
      <c r="R73" s="63"/>
      <c r="S73" s="63"/>
      <c r="T73" s="63"/>
      <c r="U73" s="27" t="n">
        <f aca="false">SUM(U67:U72)</f>
        <v>100218.138196848</v>
      </c>
      <c r="V73" s="27" t="n">
        <f aca="false">SUM(V67:V72)</f>
        <v>100218.138196848</v>
      </c>
      <c r="W73" s="27" t="n">
        <f aca="false">SUM(W67:W72)</f>
        <v>100218.138196848</v>
      </c>
      <c r="X73" s="27" t="n">
        <f aca="false">SUM(X67:X72)</f>
        <v>100218.138196848</v>
      </c>
      <c r="Y73" s="27" t="n">
        <f aca="false">SUM(Y67:Y72)</f>
        <v>100218.138196848</v>
      </c>
      <c r="Z73" s="27" t="n">
        <f aca="false">SUM(Z67:Z72)</f>
        <v>100218.138196848</v>
      </c>
      <c r="AA73" s="27" t="n">
        <f aca="false">SUM(AA67:AA72)</f>
        <v>100218.138196848</v>
      </c>
      <c r="AB73" s="27" t="n">
        <f aca="false">SUM(AB67:AB72)</f>
        <v>100218.138196848</v>
      </c>
      <c r="AC73" s="27" t="n">
        <f aca="false">SUM(AC67:AC72)</f>
        <v>100218.138196848</v>
      </c>
      <c r="AD73" s="27" t="n">
        <f aca="false">SUM(AD67:AD72)</f>
        <v>103224.682342753</v>
      </c>
      <c r="AE73" s="27" t="n">
        <f aca="false">SUM(AE67:AE72)</f>
        <v>103224.682342753</v>
      </c>
      <c r="AF73" s="27" t="n">
        <f aca="false">SUM(AF67:AF72)</f>
        <v>103224.682342753</v>
      </c>
      <c r="AG73" s="27" t="n">
        <f aca="false">SUM(U73:AF73)</f>
        <v>1211637.29079989</v>
      </c>
      <c r="AH73" s="28" t="str">
        <f aca="false">IFERROR(AG73/AG$16,"")</f>
        <v/>
      </c>
      <c r="AI73" s="9"/>
      <c r="AJ73" s="27" t="n">
        <f aca="false">N73-AG73</f>
        <v>45953.2592001096</v>
      </c>
    </row>
    <row r="74" customFormat="false" ht="13.5" hidden="false" customHeight="true" outlineLevel="0" collapsed="false">
      <c r="A74" s="23" t="s">
        <v>1328</v>
      </c>
      <c r="B74" s="12" t="n">
        <v>0</v>
      </c>
      <c r="C74" s="12" t="n">
        <v>0</v>
      </c>
      <c r="D74" s="12" t="n">
        <v>0</v>
      </c>
      <c r="E74" s="12" t="n">
        <v>235.12</v>
      </c>
      <c r="F74" s="12" t="n">
        <v>0</v>
      </c>
      <c r="G74" s="12" t="n">
        <v>0</v>
      </c>
      <c r="H74" s="12" t="n">
        <v>0</v>
      </c>
      <c r="I74" s="12" t="n">
        <v>0</v>
      </c>
      <c r="J74" s="64" t="n">
        <v>500</v>
      </c>
      <c r="K74" s="64" t="n">
        <v>500</v>
      </c>
      <c r="L74" s="64" t="n">
        <v>500</v>
      </c>
      <c r="M74" s="64" t="n">
        <v>500</v>
      </c>
      <c r="N74" s="12" t="n">
        <f aca="false">SUM(B74:M74)</f>
        <v>2235.12</v>
      </c>
      <c r="O74" s="24" t="str">
        <f aca="false">IFERROR(N74/N$16,"")</f>
        <v/>
      </c>
      <c r="P74" s="12"/>
      <c r="Q74" s="12"/>
      <c r="R74" s="60" t="s">
        <v>1397</v>
      </c>
      <c r="S74" s="61" t="n">
        <v>6000</v>
      </c>
      <c r="T74" s="62" t="n">
        <v>0.05</v>
      </c>
      <c r="U74" s="59" t="n">
        <f aca="false">IF($R74="Manual","",IFERROR(IF($R74="YOY Growth",$N74*(1+$T74)/12,$S74/12),""))</f>
        <v>500</v>
      </c>
      <c r="V74" s="59" t="n">
        <f aca="false">IF($R74="Manual","",IFERROR(IF($R74="YOY Growth",$N74*(1+$T74)/12,$S74/12),""))</f>
        <v>500</v>
      </c>
      <c r="W74" s="59" t="n">
        <v>1500</v>
      </c>
      <c r="X74" s="59" t="n">
        <v>1500</v>
      </c>
      <c r="Y74" s="59" t="n">
        <v>2000</v>
      </c>
      <c r="Z74" s="59" t="n">
        <v>2000</v>
      </c>
      <c r="AA74" s="59" t="n">
        <v>2500</v>
      </c>
      <c r="AB74" s="59" t="n">
        <v>2500</v>
      </c>
      <c r="AC74" s="59" t="n">
        <v>3000</v>
      </c>
      <c r="AD74" s="59" t="n">
        <v>3000</v>
      </c>
      <c r="AE74" s="59" t="n">
        <v>3500</v>
      </c>
      <c r="AF74" s="59" t="n">
        <v>4000</v>
      </c>
      <c r="AG74" s="12" t="n">
        <f aca="false">SUM(U74:AF74)</f>
        <v>26500</v>
      </c>
      <c r="AH74" s="24" t="str">
        <f aca="false">IFERROR(AG74/AG$16,"")</f>
        <v/>
      </c>
      <c r="AI74" s="9" t="s">
        <v>1419</v>
      </c>
      <c r="AJ74" s="12" t="n">
        <f aca="false">N74-AG74</f>
        <v>-24264.88</v>
      </c>
    </row>
    <row r="75" customFormat="false" ht="13.5" hidden="false" customHeight="true" outlineLevel="0" collapsed="false">
      <c r="A75" s="23" t="s">
        <v>1329</v>
      </c>
      <c r="B75" s="12" t="n">
        <v>0</v>
      </c>
      <c r="C75" s="12" t="n">
        <v>0</v>
      </c>
      <c r="D75" s="12" t="n">
        <v>0</v>
      </c>
      <c r="E75" s="12" t="n">
        <v>20</v>
      </c>
      <c r="F75" s="12" t="n">
        <v>0</v>
      </c>
      <c r="G75" s="12" t="n">
        <v>0</v>
      </c>
      <c r="H75" s="12" t="n">
        <v>0</v>
      </c>
      <c r="I75" s="12" t="n">
        <v>232.33</v>
      </c>
      <c r="J75" s="64" t="n">
        <v>0</v>
      </c>
      <c r="K75" s="64" t="n">
        <v>0</v>
      </c>
      <c r="L75" s="64" t="n">
        <v>0</v>
      </c>
      <c r="M75" s="64" t="n">
        <v>0</v>
      </c>
      <c r="N75" s="12" t="n">
        <f aca="false">SUM(B75:M75)</f>
        <v>252.33</v>
      </c>
      <c r="O75" s="24" t="str">
        <f aca="false">IFERROR(N75/N$16,"")</f>
        <v/>
      </c>
      <c r="P75" s="12"/>
      <c r="Q75" s="12"/>
      <c r="R75" s="60" t="s">
        <v>1397</v>
      </c>
      <c r="S75" s="61" t="n">
        <v>0</v>
      </c>
      <c r="T75" s="62" t="n">
        <v>0.05</v>
      </c>
      <c r="U75" s="59" t="n">
        <f aca="false">IF($R75="Manual","",IFERROR(IF($R75="YOY Growth",$N75*(1+$T75)/12,$S75/12),""))</f>
        <v>0</v>
      </c>
      <c r="V75" s="59" t="n">
        <f aca="false">IF($R75="Manual","",IFERROR(IF($R75="YOY Growth",$N75*(1+$T75)/12,$S75/12),""))</f>
        <v>0</v>
      </c>
      <c r="W75" s="59" t="n">
        <f aca="false">IF($R75="Manual","",IFERROR(IF($R75="YOY Growth",$N75*(1+$T75)/12,$S75/12),""))</f>
        <v>0</v>
      </c>
      <c r="X75" s="59" t="n">
        <f aca="false">IF($R75="Manual","",IFERROR(IF($R75="YOY Growth",$N75*(1+$T75)/12,$S75/12),""))</f>
        <v>0</v>
      </c>
      <c r="Y75" s="59" t="n">
        <f aca="false">IF($R75="Manual","",IFERROR(IF($R75="YOY Growth",$N75*(1+$T75)/12,$S75/12),""))</f>
        <v>0</v>
      </c>
      <c r="Z75" s="59" t="n">
        <f aca="false">IF($R75="Manual","",IFERROR(IF($R75="YOY Growth",$N75*(1+$T75)/12,$S75/12),""))</f>
        <v>0</v>
      </c>
      <c r="AA75" s="59" t="n">
        <f aca="false">IF($R75="Manual","",IFERROR(IF($R75="YOY Growth",$N75*(1+$T75)/12,$S75/12),""))</f>
        <v>0</v>
      </c>
      <c r="AB75" s="59" t="n">
        <f aca="false">IF($R75="Manual","",IFERROR(IF($R75="YOY Growth",$N75*(1+$T75)/12,$S75/12),""))</f>
        <v>0</v>
      </c>
      <c r="AC75" s="59" t="n">
        <f aca="false">IF($R75="Manual","",IFERROR(IF($R75="YOY Growth",$N75*(1+$T75)/12,$S75/12),""))</f>
        <v>0</v>
      </c>
      <c r="AD75" s="59" t="n">
        <f aca="false">IF($R75="Manual","",IFERROR(IF($R75="YOY Growth",$N75*(1+$T75)/12,$S75/12),""))</f>
        <v>0</v>
      </c>
      <c r="AE75" s="59" t="n">
        <f aca="false">IF($R75="Manual","",IFERROR(IF($R75="YOY Growth",$N75*(1+$T75)/12,$S75/12),""))</f>
        <v>0</v>
      </c>
      <c r="AF75" s="59" t="n">
        <f aca="false">IF($R75="Manual","",IFERROR(IF($R75="YOY Growth",$N75*(1+$T75)/12,$S75/12),""))</f>
        <v>0</v>
      </c>
      <c r="AG75" s="12" t="n">
        <f aca="false">SUM(U75:AF75)</f>
        <v>0</v>
      </c>
      <c r="AH75" s="24" t="str">
        <f aca="false">IFERROR(AG75/AG$16,"")</f>
        <v/>
      </c>
      <c r="AI75" s="9"/>
      <c r="AJ75" s="12" t="n">
        <f aca="false">N75-AG75</f>
        <v>252.33</v>
      </c>
    </row>
    <row r="76" customFormat="false" ht="13.5" hidden="false" customHeight="true" outlineLevel="0" collapsed="false">
      <c r="A76" s="23" t="s">
        <v>1330</v>
      </c>
      <c r="B76" s="12" t="n">
        <v>68.3</v>
      </c>
      <c r="C76" s="12" t="n">
        <v>0</v>
      </c>
      <c r="D76" s="12" t="n">
        <v>0</v>
      </c>
      <c r="E76" s="12" t="n">
        <v>0</v>
      </c>
      <c r="F76" s="12" t="n">
        <v>0</v>
      </c>
      <c r="G76" s="12" t="n">
        <v>0</v>
      </c>
      <c r="H76" s="12" t="n">
        <v>0</v>
      </c>
      <c r="I76" s="12" t="n">
        <v>119.7</v>
      </c>
      <c r="J76" s="64" t="n">
        <v>100</v>
      </c>
      <c r="K76" s="64" t="n">
        <v>100</v>
      </c>
      <c r="L76" s="64" t="n">
        <v>100</v>
      </c>
      <c r="M76" s="64" t="n">
        <v>100</v>
      </c>
      <c r="N76" s="12" t="n">
        <f aca="false">SUM(B76:M76)</f>
        <v>588</v>
      </c>
      <c r="O76" s="24" t="str">
        <f aca="false">IFERROR(N76/N$16,"")</f>
        <v/>
      </c>
      <c r="P76" s="12"/>
      <c r="Q76" s="12"/>
      <c r="R76" s="60" t="s">
        <v>1397</v>
      </c>
      <c r="S76" s="61" t="n">
        <v>1200</v>
      </c>
      <c r="T76" s="62" t="n">
        <v>0.05</v>
      </c>
      <c r="U76" s="59" t="n">
        <f aca="false">IF($R76="Manual","",IFERROR(IF($R76="YOY Growth",$N76*(1+$T76)/12,$S76/12),""))</f>
        <v>100</v>
      </c>
      <c r="V76" s="59" t="n">
        <f aca="false">IF($R76="Manual","",IFERROR(IF($R76="YOY Growth",$N76*(1+$T76)/12,$S76/12),""))</f>
        <v>100</v>
      </c>
      <c r="W76" s="59" t="n">
        <v>300</v>
      </c>
      <c r="X76" s="59" t="n">
        <f aca="false">IF($R76="Manual","",IFERROR(IF($R76="YOY Growth",$N76*(1+$T76)/12,$S76/12),""))*(X74/$V$74)</f>
        <v>300</v>
      </c>
      <c r="Y76" s="59" t="n">
        <f aca="false">IF($R76="Manual","",IFERROR(IF($R76="YOY Growth",$N76*(1+$T76)/12,$S76/12),""))*(Y74/$V$74)</f>
        <v>400</v>
      </c>
      <c r="Z76" s="59" t="n">
        <f aca="false">IF($R76="Manual","",IFERROR(IF($R76="YOY Growth",$N76*(1+$T76)/12,$S76/12),""))*(Z74/$V$74)</f>
        <v>400</v>
      </c>
      <c r="AA76" s="59" t="n">
        <f aca="false">IF($R76="Manual","",IFERROR(IF($R76="YOY Growth",$N76*(1+$T76)/12,$S76/12),""))*(AA74/$V$74)</f>
        <v>500</v>
      </c>
      <c r="AB76" s="59" t="n">
        <f aca="false">IF($R76="Manual","",IFERROR(IF($R76="YOY Growth",$N76*(1+$T76)/12,$S76/12),""))*(AB74/$V$74)</f>
        <v>500</v>
      </c>
      <c r="AC76" s="59" t="n">
        <f aca="false">IF($R76="Manual","",IFERROR(IF($R76="YOY Growth",$N76*(1+$T76)/12,$S76/12),""))*(AC74/$V$74)</f>
        <v>600</v>
      </c>
      <c r="AD76" s="59" t="n">
        <f aca="false">IF($R76="Manual","",IFERROR(IF($R76="YOY Growth",$N76*(1+$T76)/12,$S76/12),""))*(AD74/$V$74)</f>
        <v>600</v>
      </c>
      <c r="AE76" s="59" t="n">
        <f aca="false">IF($R76="Manual","",IFERROR(IF($R76="YOY Growth",$N76*(1+$T76)/12,$S76/12),""))*(AE74/$V$74)</f>
        <v>700</v>
      </c>
      <c r="AF76" s="59" t="n">
        <f aca="false">IF($R76="Manual","",IFERROR(IF($R76="YOY Growth",$N76*(1+$T76)/12,$S76/12),""))*(AF74/$V$74)</f>
        <v>800</v>
      </c>
      <c r="AG76" s="12" t="n">
        <f aca="false">SUM(U76:AF76)</f>
        <v>5300</v>
      </c>
      <c r="AH76" s="24" t="str">
        <f aca="false">IFERROR(AG76/AG$16,"")</f>
        <v/>
      </c>
      <c r="AI76" s="9"/>
      <c r="AJ76" s="12" t="n">
        <f aca="false">N76-AG76</f>
        <v>-4712</v>
      </c>
    </row>
    <row r="77" customFormat="false" ht="13.5" hidden="false" customHeight="true" outlineLevel="0" collapsed="false">
      <c r="A77" s="23" t="s">
        <v>1331</v>
      </c>
      <c r="B77" s="12" t="n">
        <v>0</v>
      </c>
      <c r="C77" s="12" t="n">
        <v>0</v>
      </c>
      <c r="D77" s="12" t="n">
        <v>0</v>
      </c>
      <c r="E77" s="12" t="n">
        <v>0</v>
      </c>
      <c r="F77" s="12" t="n">
        <v>0</v>
      </c>
      <c r="G77" s="12" t="n">
        <v>0</v>
      </c>
      <c r="H77" s="12" t="n">
        <v>0</v>
      </c>
      <c r="I77" s="12" t="n">
        <v>0</v>
      </c>
      <c r="J77" s="64" t="n">
        <v>0</v>
      </c>
      <c r="K77" s="64" t="n">
        <v>0</v>
      </c>
      <c r="L77" s="64" t="n">
        <v>0</v>
      </c>
      <c r="M77" s="64" t="n">
        <v>0</v>
      </c>
      <c r="N77" s="12" t="n">
        <f aca="false">SUM(B77:M77)</f>
        <v>0</v>
      </c>
      <c r="O77" s="24" t="str">
        <f aca="false">IFERROR(N77/N$16,"")</f>
        <v/>
      </c>
      <c r="P77" s="12"/>
      <c r="Q77" s="12"/>
      <c r="R77" s="60" t="s">
        <v>1397</v>
      </c>
      <c r="S77" s="61" t="n">
        <v>0</v>
      </c>
      <c r="T77" s="62" t="n">
        <v>0.05</v>
      </c>
      <c r="U77" s="59" t="n">
        <f aca="false">IF($R77="Manual","",IFERROR(IF($R77="YOY Growth",$N77*(1+$T77)/12,$S77/12),""))</f>
        <v>0</v>
      </c>
      <c r="V77" s="59" t="n">
        <f aca="false">IF($R77="Manual","",IFERROR(IF($R77="YOY Growth",$N77*(1+$T77)/12,$S77/12),""))</f>
        <v>0</v>
      </c>
      <c r="W77" s="59" t="n">
        <f aca="false">IF($R77="Manual","",IFERROR(IF($R77="YOY Growth",$N77*(1+$T77)/12,$S77/12),""))</f>
        <v>0</v>
      </c>
      <c r="X77" s="59" t="n">
        <f aca="false">IF($R77="Manual","",IFERROR(IF($R77="YOY Growth",$N77*(1+$T77)/12,$S77/12),""))</f>
        <v>0</v>
      </c>
      <c r="Y77" s="59" t="n">
        <f aca="false">IF($R77="Manual","",IFERROR(IF($R77="YOY Growth",$N77*(1+$T77)/12,$S77/12),""))</f>
        <v>0</v>
      </c>
      <c r="Z77" s="59" t="n">
        <f aca="false">IF($R77="Manual","",IFERROR(IF($R77="YOY Growth",$N77*(1+$T77)/12,$S77/12),""))</f>
        <v>0</v>
      </c>
      <c r="AA77" s="59" t="n">
        <f aca="false">IF($R77="Manual","",IFERROR(IF($R77="YOY Growth",$N77*(1+$T77)/12,$S77/12),""))</f>
        <v>0</v>
      </c>
      <c r="AB77" s="59" t="n">
        <f aca="false">IF($R77="Manual","",IFERROR(IF($R77="YOY Growth",$N77*(1+$T77)/12,$S77/12),""))</f>
        <v>0</v>
      </c>
      <c r="AC77" s="59" t="n">
        <f aca="false">IF($R77="Manual","",IFERROR(IF($R77="YOY Growth",$N77*(1+$T77)/12,$S77/12),""))</f>
        <v>0</v>
      </c>
      <c r="AD77" s="59" t="n">
        <f aca="false">IF($R77="Manual","",IFERROR(IF($R77="YOY Growth",$N77*(1+$T77)/12,$S77/12),""))</f>
        <v>0</v>
      </c>
      <c r="AE77" s="59" t="n">
        <f aca="false">IF($R77="Manual","",IFERROR(IF($R77="YOY Growth",$N77*(1+$T77)/12,$S77/12),""))</f>
        <v>0</v>
      </c>
      <c r="AF77" s="59" t="n">
        <f aca="false">IF($R77="Manual","",IFERROR(IF($R77="YOY Growth",$N77*(1+$T77)/12,$S77/12),""))</f>
        <v>0</v>
      </c>
      <c r="AG77" s="12" t="n">
        <f aca="false">SUM(U77:AF77)</f>
        <v>0</v>
      </c>
      <c r="AH77" s="24" t="str">
        <f aca="false">IFERROR(AG77/AG$16,"")</f>
        <v/>
      </c>
      <c r="AI77" s="9"/>
      <c r="AJ77" s="12" t="n">
        <f aca="false">N77-AG77</f>
        <v>0</v>
      </c>
    </row>
    <row r="78" customFormat="false" ht="13.5" hidden="false" customHeight="true" outlineLevel="0" collapsed="false">
      <c r="A78" s="23" t="s">
        <v>1332</v>
      </c>
      <c r="B78" s="12" t="n">
        <v>0</v>
      </c>
      <c r="C78" s="12" t="n">
        <v>0</v>
      </c>
      <c r="D78" s="12" t="n">
        <v>0</v>
      </c>
      <c r="E78" s="12" t="n">
        <v>0</v>
      </c>
      <c r="F78" s="12" t="n">
        <v>0</v>
      </c>
      <c r="G78" s="12" t="n">
        <v>0</v>
      </c>
      <c r="H78" s="12" t="n">
        <v>0</v>
      </c>
      <c r="I78" s="12" t="n">
        <v>0</v>
      </c>
      <c r="J78" s="64" t="n">
        <v>300</v>
      </c>
      <c r="K78" s="64" t="n">
        <v>300</v>
      </c>
      <c r="L78" s="64" t="n">
        <v>300</v>
      </c>
      <c r="M78" s="64" t="n">
        <v>300</v>
      </c>
      <c r="N78" s="12" t="n">
        <f aca="false">SUM(B78:M78)</f>
        <v>1200</v>
      </c>
      <c r="O78" s="24" t="str">
        <f aca="false">IFERROR(N78/N$16,"")</f>
        <v/>
      </c>
      <c r="P78" s="12"/>
      <c r="Q78" s="12"/>
      <c r="R78" s="60" t="s">
        <v>1397</v>
      </c>
      <c r="S78" s="61"/>
      <c r="T78" s="62" t="n">
        <v>0.05</v>
      </c>
      <c r="U78" s="59" t="n">
        <f aca="false">IF($R78="Manual","",IFERROR(IF($R78="YOY Growth",$N78*(1+$T78)/12,$S78/12),""))</f>
        <v>0</v>
      </c>
      <c r="V78" s="59" t="n">
        <f aca="false">IF($R78="Manual","",IFERROR(IF($R78="YOY Growth",$N78*(1+$T78)/12,$S78/12),""))</f>
        <v>0</v>
      </c>
      <c r="W78" s="59" t="n">
        <f aca="false">IF($R78="Manual","",IFERROR(IF($R78="YOY Growth",$N78*(1+$T78)/12,$S78/12),""))</f>
        <v>0</v>
      </c>
      <c r="X78" s="59" t="n">
        <f aca="false">IF($R78="Manual","",IFERROR(IF($R78="YOY Growth",$N78*(1+$T78)/12,$S78/12),""))</f>
        <v>0</v>
      </c>
      <c r="Y78" s="59" t="n">
        <f aca="false">IF($R78="Manual","",IFERROR(IF($R78="YOY Growth",$N78*(1+$T78)/12,$S78/12),""))</f>
        <v>0</v>
      </c>
      <c r="Z78" s="59" t="n">
        <f aca="false">IF($R78="Manual","",IFERROR(IF($R78="YOY Growth",$N78*(1+$T78)/12,$S78/12),""))</f>
        <v>0</v>
      </c>
      <c r="AA78" s="59" t="n">
        <f aca="false">IF($R78="Manual","",IFERROR(IF($R78="YOY Growth",$N78*(1+$T78)/12,$S78/12),""))</f>
        <v>0</v>
      </c>
      <c r="AB78" s="59" t="n">
        <f aca="false">IF($R78="Manual","",IFERROR(IF($R78="YOY Growth",$N78*(1+$T78)/12,$S78/12),""))</f>
        <v>0</v>
      </c>
      <c r="AC78" s="59" t="n">
        <f aca="false">IF($R78="Manual","",IFERROR(IF($R78="YOY Growth",$N78*(1+$T78)/12,$S78/12),""))</f>
        <v>0</v>
      </c>
      <c r="AD78" s="59" t="n">
        <f aca="false">IF($R78="Manual","",IFERROR(IF($R78="YOY Growth",$N78*(1+$T78)/12,$S78/12),""))</f>
        <v>0</v>
      </c>
      <c r="AE78" s="59" t="n">
        <f aca="false">IF($R78="Manual","",IFERROR(IF($R78="YOY Growth",$N78*(1+$T78)/12,$S78/12),""))</f>
        <v>0</v>
      </c>
      <c r="AF78" s="59" t="n">
        <f aca="false">IF($R78="Manual","",IFERROR(IF($R78="YOY Growth",$N78*(1+$T78)/12,$S78/12),""))</f>
        <v>0</v>
      </c>
      <c r="AG78" s="12" t="n">
        <f aca="false">SUM(U78:AF78)</f>
        <v>0</v>
      </c>
      <c r="AH78" s="24" t="str">
        <f aca="false">IFERROR(AG78/AG$16,"")</f>
        <v/>
      </c>
      <c r="AI78" s="9"/>
      <c r="AJ78" s="12" t="n">
        <f aca="false">N78-AG78</f>
        <v>1200</v>
      </c>
    </row>
    <row r="79" customFormat="false" ht="13.5" hidden="false" customHeight="true" outlineLevel="0" collapsed="false">
      <c r="A79" s="23" t="s">
        <v>1333</v>
      </c>
      <c r="B79" s="12" t="n">
        <v>0</v>
      </c>
      <c r="C79" s="12" t="n">
        <v>0</v>
      </c>
      <c r="D79" s="12" t="n">
        <v>0</v>
      </c>
      <c r="E79" s="12" t="n">
        <v>0</v>
      </c>
      <c r="F79" s="12" t="n">
        <v>0</v>
      </c>
      <c r="G79" s="12" t="n">
        <v>0</v>
      </c>
      <c r="H79" s="12" t="n">
        <v>0</v>
      </c>
      <c r="I79" s="12" t="n">
        <v>0</v>
      </c>
      <c r="J79" s="64" t="n">
        <v>0</v>
      </c>
      <c r="K79" s="64" t="n">
        <v>0</v>
      </c>
      <c r="L79" s="64" t="n">
        <v>0</v>
      </c>
      <c r="M79" s="64" t="n">
        <v>0</v>
      </c>
      <c r="N79" s="12" t="n">
        <f aca="false">SUM(B79:M79)</f>
        <v>0</v>
      </c>
      <c r="O79" s="24" t="str">
        <f aca="false">IFERROR(N79/N$16,"")</f>
        <v/>
      </c>
      <c r="P79" s="12"/>
      <c r="Q79" s="12"/>
      <c r="R79" s="60" t="s">
        <v>1397</v>
      </c>
      <c r="S79" s="61" t="n">
        <v>0</v>
      </c>
      <c r="T79" s="62" t="n">
        <v>0.05</v>
      </c>
      <c r="U79" s="59" t="n">
        <f aca="false">IF($R79="Manual","",IFERROR(IF($R79="YOY Growth",$N79*(1+$T79)/12,$S79/12),""))</f>
        <v>0</v>
      </c>
      <c r="V79" s="59" t="n">
        <f aca="false">IF($R79="Manual","",IFERROR(IF($R79="YOY Growth",$N79*(1+$T79)/12,$S79/12),""))</f>
        <v>0</v>
      </c>
      <c r="W79" s="59" t="n">
        <f aca="false">IF($R79="Manual","",IFERROR(IF($R79="YOY Growth",$N79*(1+$T79)/12,$S79/12),""))</f>
        <v>0</v>
      </c>
      <c r="X79" s="59" t="n">
        <f aca="false">IF($R79="Manual","",IFERROR(IF($R79="YOY Growth",$N79*(1+$T79)/12,$S79/12),""))</f>
        <v>0</v>
      </c>
      <c r="Y79" s="59" t="n">
        <f aca="false">IF($R79="Manual","",IFERROR(IF($R79="YOY Growth",$N79*(1+$T79)/12,$S79/12),""))</f>
        <v>0</v>
      </c>
      <c r="Z79" s="59" t="n">
        <f aca="false">IF($R79="Manual","",IFERROR(IF($R79="YOY Growth",$N79*(1+$T79)/12,$S79/12),""))</f>
        <v>0</v>
      </c>
      <c r="AA79" s="59" t="n">
        <f aca="false">IF($R79="Manual","",IFERROR(IF($R79="YOY Growth",$N79*(1+$T79)/12,$S79/12),""))</f>
        <v>0</v>
      </c>
      <c r="AB79" s="59" t="n">
        <f aca="false">IF($R79="Manual","",IFERROR(IF($R79="YOY Growth",$N79*(1+$T79)/12,$S79/12),""))</f>
        <v>0</v>
      </c>
      <c r="AC79" s="59" t="n">
        <f aca="false">IF($R79="Manual","",IFERROR(IF($R79="YOY Growth",$N79*(1+$T79)/12,$S79/12),""))</f>
        <v>0</v>
      </c>
      <c r="AD79" s="59" t="n">
        <f aca="false">IF($R79="Manual","",IFERROR(IF($R79="YOY Growth",$N79*(1+$T79)/12,$S79/12),""))</f>
        <v>0</v>
      </c>
      <c r="AE79" s="59" t="n">
        <f aca="false">IF($R79="Manual","",IFERROR(IF($R79="YOY Growth",$N79*(1+$T79)/12,$S79/12),""))</f>
        <v>0</v>
      </c>
      <c r="AF79" s="59" t="n">
        <f aca="false">IF($R79="Manual","",IFERROR(IF($R79="YOY Growth",$N79*(1+$T79)/12,$S79/12),""))</f>
        <v>0</v>
      </c>
      <c r="AG79" s="12" t="n">
        <f aca="false">SUM(U79:AF79)</f>
        <v>0</v>
      </c>
      <c r="AH79" s="24" t="str">
        <f aca="false">IFERROR(AG79/AG$16,"")</f>
        <v/>
      </c>
      <c r="AI79" s="9"/>
      <c r="AJ79" s="12" t="n">
        <f aca="false">N79-AG79</f>
        <v>0</v>
      </c>
    </row>
    <row r="80" customFormat="false" ht="13.5" hidden="false" customHeight="true" outlineLevel="0" collapsed="false">
      <c r="A80" s="23" t="s">
        <v>1334</v>
      </c>
      <c r="B80" s="12" t="n">
        <v>34.99</v>
      </c>
      <c r="C80" s="12" t="n">
        <v>60</v>
      </c>
      <c r="D80" s="12" t="n">
        <v>220</v>
      </c>
      <c r="E80" s="12" t="n">
        <v>240</v>
      </c>
      <c r="F80" s="12" t="n">
        <v>34.99</v>
      </c>
      <c r="G80" s="12" t="n">
        <v>0</v>
      </c>
      <c r="H80" s="12" t="n">
        <v>0</v>
      </c>
      <c r="I80" s="12" t="n">
        <v>0</v>
      </c>
      <c r="J80" s="64" t="n">
        <v>150</v>
      </c>
      <c r="K80" s="64" t="n">
        <v>150</v>
      </c>
      <c r="L80" s="64" t="n">
        <v>150</v>
      </c>
      <c r="M80" s="64" t="n">
        <v>150</v>
      </c>
      <c r="N80" s="12" t="n">
        <f aca="false">SUM(B80:M80)</f>
        <v>1189.98</v>
      </c>
      <c r="O80" s="24" t="str">
        <f aca="false">IFERROR(N80/N$16,"")</f>
        <v/>
      </c>
      <c r="P80" s="12"/>
      <c r="Q80" s="12"/>
      <c r="R80" s="60" t="s">
        <v>1397</v>
      </c>
      <c r="S80" s="61" t="n">
        <v>1800</v>
      </c>
      <c r="T80" s="62" t="n">
        <v>0.05</v>
      </c>
      <c r="U80" s="59" t="n">
        <f aca="false">IF($R80="Manual","",IFERROR(IF($R80="YOY Growth",$N80*(1+$T80)/12,$S80/12),""))</f>
        <v>150</v>
      </c>
      <c r="V80" s="59" t="n">
        <f aca="false">IF($R80="Manual","",IFERROR(IF($R80="YOY Growth",$N80*(1+$T80)/12,$S80/12),""))</f>
        <v>150</v>
      </c>
      <c r="W80" s="59" t="n">
        <f aca="false">IF($R80="Manual","",IFERROR(IF($R80="YOY Growth",$N80*(1+$T80)/12,$S80/12),""))</f>
        <v>150</v>
      </c>
      <c r="X80" s="59" t="n">
        <f aca="false">IF($R80="Manual","",IFERROR(IF($R80="YOY Growth",$N80*(1+$T80)/12,$S80/12),""))</f>
        <v>150</v>
      </c>
      <c r="Y80" s="59" t="n">
        <f aca="false">IF($R80="Manual","",IFERROR(IF($R80="YOY Growth",$N80*(1+$T80)/12,$S80/12),""))</f>
        <v>150</v>
      </c>
      <c r="Z80" s="59" t="n">
        <f aca="false">IF($R80="Manual","",IFERROR(IF($R80="YOY Growth",$N80*(1+$T80)/12,$S80/12),""))</f>
        <v>150</v>
      </c>
      <c r="AA80" s="59" t="n">
        <f aca="false">IF($R80="Manual","",IFERROR(IF($R80="YOY Growth",$N80*(1+$T80)/12,$S80/12),""))</f>
        <v>150</v>
      </c>
      <c r="AB80" s="59" t="n">
        <f aca="false">IF($R80="Manual","",IFERROR(IF($R80="YOY Growth",$N80*(1+$T80)/12,$S80/12),""))</f>
        <v>150</v>
      </c>
      <c r="AC80" s="59" t="n">
        <f aca="false">IF($R80="Manual","",IFERROR(IF($R80="YOY Growth",$N80*(1+$T80)/12,$S80/12),""))</f>
        <v>150</v>
      </c>
      <c r="AD80" s="59" t="n">
        <f aca="false">IF($R80="Manual","",IFERROR(IF($R80="YOY Growth",$N80*(1+$T80)/12,$S80/12),""))</f>
        <v>150</v>
      </c>
      <c r="AE80" s="59" t="n">
        <f aca="false">IF($R80="Manual","",IFERROR(IF($R80="YOY Growth",$N80*(1+$T80)/12,$S80/12),""))</f>
        <v>150</v>
      </c>
      <c r="AF80" s="59" t="n">
        <f aca="false">IF($R80="Manual","",IFERROR(IF($R80="YOY Growth",$N80*(1+$T80)/12,$S80/12),""))</f>
        <v>150</v>
      </c>
      <c r="AG80" s="12" t="n">
        <f aca="false">SUM(U80:AF80)</f>
        <v>1800</v>
      </c>
      <c r="AH80" s="24" t="str">
        <f aca="false">IFERROR(AG80/AG$16,"")</f>
        <v/>
      </c>
      <c r="AI80" s="9"/>
      <c r="AJ80" s="12" t="n">
        <f aca="false">N80-AG80</f>
        <v>-610.02</v>
      </c>
    </row>
    <row r="81" customFormat="false" ht="13.5" hidden="false" customHeight="true" outlineLevel="0" collapsed="false">
      <c r="A81" s="22" t="s">
        <v>1335</v>
      </c>
      <c r="B81" s="12"/>
      <c r="C81" s="12"/>
      <c r="D81" s="12"/>
      <c r="E81" s="12"/>
      <c r="F81" s="12"/>
      <c r="G81" s="12"/>
      <c r="H81" s="12"/>
      <c r="I81" s="12"/>
      <c r="J81" s="12"/>
      <c r="K81" s="12"/>
      <c r="L81" s="12"/>
      <c r="M81" s="12"/>
      <c r="N81" s="12"/>
      <c r="O81" s="24"/>
      <c r="P81" s="12"/>
      <c r="Q81" s="12"/>
      <c r="R81" s="63"/>
      <c r="S81" s="63"/>
      <c r="T81" s="63"/>
      <c r="U81" s="12"/>
      <c r="V81" s="12"/>
      <c r="W81" s="12"/>
      <c r="X81" s="12"/>
      <c r="Y81" s="12"/>
      <c r="Z81" s="12"/>
      <c r="AA81" s="12"/>
      <c r="AB81" s="12"/>
      <c r="AC81" s="12"/>
      <c r="AD81" s="12"/>
      <c r="AE81" s="12"/>
      <c r="AF81" s="12"/>
      <c r="AG81" s="12"/>
      <c r="AH81" s="24"/>
      <c r="AI81" s="9"/>
      <c r="AJ81" s="12"/>
    </row>
    <row r="82" customFormat="false" ht="13.5" hidden="false" customHeight="true" outlineLevel="0" collapsed="false">
      <c r="A82" s="23" t="s">
        <v>1336</v>
      </c>
      <c r="B82" s="12" t="n">
        <v>0</v>
      </c>
      <c r="C82" s="12" t="n">
        <v>0</v>
      </c>
      <c r="D82" s="12" t="n">
        <v>0</v>
      </c>
      <c r="E82" s="12" t="n">
        <v>0</v>
      </c>
      <c r="F82" s="12" t="n">
        <v>0</v>
      </c>
      <c r="G82" s="12" t="n">
        <v>0</v>
      </c>
      <c r="H82" s="12" t="n">
        <v>0</v>
      </c>
      <c r="I82" s="12" t="n">
        <v>0</v>
      </c>
      <c r="J82" s="64" t="n">
        <v>0</v>
      </c>
      <c r="K82" s="64" t="n">
        <v>0</v>
      </c>
      <c r="L82" s="64" t="n">
        <v>0</v>
      </c>
      <c r="M82" s="64" t="n">
        <v>0</v>
      </c>
      <c r="N82" s="12" t="n">
        <f aca="false">SUM(B82:M82)</f>
        <v>0</v>
      </c>
      <c r="O82" s="24" t="str">
        <f aca="false">IFERROR(N82/N$16,"")</f>
        <v/>
      </c>
      <c r="P82" s="12"/>
      <c r="Q82" s="12"/>
      <c r="R82" s="60" t="s">
        <v>1397</v>
      </c>
      <c r="S82" s="61" t="n">
        <v>0</v>
      </c>
      <c r="T82" s="62" t="n">
        <v>0.05</v>
      </c>
      <c r="U82" s="59" t="n">
        <f aca="false">IF($R82="Manual","",IFERROR(IF($R82="YOY Growth",$N82*(1+$T82)/12,$S82/12),""))</f>
        <v>0</v>
      </c>
      <c r="V82" s="59" t="n">
        <f aca="false">IF($R82="Manual","",IFERROR(IF($R82="YOY Growth",$N82*(1+$T82)/12,$S82/12),""))</f>
        <v>0</v>
      </c>
      <c r="W82" s="59" t="n">
        <f aca="false">IF($R82="Manual","",IFERROR(IF($R82="YOY Growth",$N82*(1+$T82)/12,$S82/12),""))</f>
        <v>0</v>
      </c>
      <c r="X82" s="59" t="n">
        <f aca="false">IF($R82="Manual","",IFERROR(IF($R82="YOY Growth",$N82*(1+$T82)/12,$S82/12),""))</f>
        <v>0</v>
      </c>
      <c r="Y82" s="59" t="n">
        <f aca="false">IF($R82="Manual","",IFERROR(IF($R82="YOY Growth",$N82*(1+$T82)/12,$S82/12),""))</f>
        <v>0</v>
      </c>
      <c r="Z82" s="59" t="n">
        <f aca="false">IF($R82="Manual","",IFERROR(IF($R82="YOY Growth",$N82*(1+$T82)/12,$S82/12),""))</f>
        <v>0</v>
      </c>
      <c r="AA82" s="59" t="n">
        <f aca="false">IF($R82="Manual","",IFERROR(IF($R82="YOY Growth",$N82*(1+$T82)/12,$S82/12),""))</f>
        <v>0</v>
      </c>
      <c r="AB82" s="59" t="n">
        <f aca="false">IF($R82="Manual","",IFERROR(IF($R82="YOY Growth",$N82*(1+$T82)/12,$S82/12),""))</f>
        <v>0</v>
      </c>
      <c r="AC82" s="59" t="n">
        <f aca="false">IF($R82="Manual","",IFERROR(IF($R82="YOY Growth",$N82*(1+$T82)/12,$S82/12),""))</f>
        <v>0</v>
      </c>
      <c r="AD82" s="59" t="n">
        <f aca="false">IF($R82="Manual","",IFERROR(IF($R82="YOY Growth",$N82*(1+$T82)/12,$S82/12),""))</f>
        <v>0</v>
      </c>
      <c r="AE82" s="59" t="n">
        <f aca="false">IF($R82="Manual","",IFERROR(IF($R82="YOY Growth",$N82*(1+$T82)/12,$S82/12),""))</f>
        <v>0</v>
      </c>
      <c r="AF82" s="59" t="n">
        <f aca="false">IF($R82="Manual","",IFERROR(IF($R82="YOY Growth",$N82*(1+$T82)/12,$S82/12),""))</f>
        <v>0</v>
      </c>
      <c r="AG82" s="12" t="n">
        <f aca="false">SUM(U82:AF82)</f>
        <v>0</v>
      </c>
      <c r="AH82" s="24" t="str">
        <f aca="false">IFERROR(AG82/AG$16,"")</f>
        <v/>
      </c>
      <c r="AI82" s="9"/>
      <c r="AJ82" s="12" t="n">
        <f aca="false">N82-AG82</f>
        <v>0</v>
      </c>
    </row>
    <row r="83" customFormat="false" ht="13.5" hidden="false" customHeight="true" outlineLevel="0" collapsed="false">
      <c r="A83" s="23" t="s">
        <v>1337</v>
      </c>
      <c r="B83" s="12" t="n">
        <v>0</v>
      </c>
      <c r="C83" s="12" t="n">
        <v>0</v>
      </c>
      <c r="D83" s="12" t="n">
        <v>0</v>
      </c>
      <c r="E83" s="12" t="n">
        <v>0</v>
      </c>
      <c r="F83" s="12" t="n">
        <v>0</v>
      </c>
      <c r="G83" s="12" t="n">
        <v>0</v>
      </c>
      <c r="H83" s="12" t="n">
        <v>0</v>
      </c>
      <c r="I83" s="12" t="n">
        <v>0</v>
      </c>
      <c r="J83" s="64" t="n">
        <v>0</v>
      </c>
      <c r="K83" s="64" t="n">
        <v>0</v>
      </c>
      <c r="L83" s="64" t="n">
        <v>0</v>
      </c>
      <c r="M83" s="64" t="n">
        <v>0</v>
      </c>
      <c r="N83" s="12" t="n">
        <f aca="false">SUM(B83:M83)</f>
        <v>0</v>
      </c>
      <c r="O83" s="24" t="str">
        <f aca="false">IFERROR(N83/N$16,"")</f>
        <v/>
      </c>
      <c r="P83" s="12"/>
      <c r="Q83" s="12"/>
      <c r="R83" s="60" t="s">
        <v>1397</v>
      </c>
      <c r="S83" s="61" t="n">
        <v>0</v>
      </c>
      <c r="T83" s="62" t="n">
        <v>0.05</v>
      </c>
      <c r="U83" s="59" t="n">
        <f aca="false">IF($R83="Manual","",IFERROR(IF($R83="YOY Growth",$N83*(1+$T83)/12,$S83/12),""))</f>
        <v>0</v>
      </c>
      <c r="V83" s="59" t="n">
        <f aca="false">IF($R83="Manual","",IFERROR(IF($R83="YOY Growth",$N83*(1+$T83)/12,$S83/12),""))</f>
        <v>0</v>
      </c>
      <c r="W83" s="59" t="n">
        <f aca="false">IF($R83="Manual","",IFERROR(IF($R83="YOY Growth",$N83*(1+$T83)/12,$S83/12),""))</f>
        <v>0</v>
      </c>
      <c r="X83" s="59" t="n">
        <f aca="false">IF($R83="Manual","",IFERROR(IF($R83="YOY Growth",$N83*(1+$T83)/12,$S83/12),""))</f>
        <v>0</v>
      </c>
      <c r="Y83" s="59" t="n">
        <f aca="false">IF($R83="Manual","",IFERROR(IF($R83="YOY Growth",$N83*(1+$T83)/12,$S83/12),""))</f>
        <v>0</v>
      </c>
      <c r="Z83" s="59" t="n">
        <f aca="false">IF($R83="Manual","",IFERROR(IF($R83="YOY Growth",$N83*(1+$T83)/12,$S83/12),""))</f>
        <v>0</v>
      </c>
      <c r="AA83" s="59" t="n">
        <f aca="false">IF($R83="Manual","",IFERROR(IF($R83="YOY Growth",$N83*(1+$T83)/12,$S83/12),""))</f>
        <v>0</v>
      </c>
      <c r="AB83" s="59" t="n">
        <f aca="false">IF($R83="Manual","",IFERROR(IF($R83="YOY Growth",$N83*(1+$T83)/12,$S83/12),""))</f>
        <v>0</v>
      </c>
      <c r="AC83" s="59" t="n">
        <f aca="false">IF($R83="Manual","",IFERROR(IF($R83="YOY Growth",$N83*(1+$T83)/12,$S83/12),""))</f>
        <v>0</v>
      </c>
      <c r="AD83" s="59" t="n">
        <f aca="false">IF($R83="Manual","",IFERROR(IF($R83="YOY Growth",$N83*(1+$T83)/12,$S83/12),""))</f>
        <v>0</v>
      </c>
      <c r="AE83" s="59" t="n">
        <f aca="false">IF($R83="Manual","",IFERROR(IF($R83="YOY Growth",$N83*(1+$T83)/12,$S83/12),""))</f>
        <v>0</v>
      </c>
      <c r="AF83" s="59" t="n">
        <f aca="false">IF($R83="Manual","",IFERROR(IF($R83="YOY Growth",$N83*(1+$T83)/12,$S83/12),""))</f>
        <v>0</v>
      </c>
      <c r="AG83" s="12" t="n">
        <f aca="false">SUM(U83:AF83)</f>
        <v>0</v>
      </c>
      <c r="AH83" s="24" t="str">
        <f aca="false">IFERROR(AG83/AG$16,"")</f>
        <v/>
      </c>
      <c r="AI83" s="9"/>
      <c r="AJ83" s="12" t="n">
        <f aca="false">N83-AG83</f>
        <v>0</v>
      </c>
    </row>
    <row r="84" customFormat="false" ht="13.5" hidden="false" customHeight="true" outlineLevel="0" collapsed="false">
      <c r="A84" s="23" t="s">
        <v>1338</v>
      </c>
      <c r="B84" s="12" t="n">
        <v>0</v>
      </c>
      <c r="C84" s="12" t="n">
        <v>0</v>
      </c>
      <c r="D84" s="12" t="n">
        <v>0</v>
      </c>
      <c r="E84" s="12" t="n">
        <v>0</v>
      </c>
      <c r="F84" s="12" t="n">
        <v>0</v>
      </c>
      <c r="G84" s="12" t="n">
        <v>0</v>
      </c>
      <c r="H84" s="12" t="n">
        <v>0</v>
      </c>
      <c r="I84" s="12" t="n">
        <v>0</v>
      </c>
      <c r="J84" s="64" t="n">
        <v>0</v>
      </c>
      <c r="K84" s="64" t="n">
        <v>0</v>
      </c>
      <c r="L84" s="64" t="n">
        <v>0</v>
      </c>
      <c r="M84" s="64" t="n">
        <v>0</v>
      </c>
      <c r="N84" s="12" t="n">
        <f aca="false">SUM(B84:M84)</f>
        <v>0</v>
      </c>
      <c r="O84" s="24" t="str">
        <f aca="false">IFERROR(N84/N$16,"")</f>
        <v/>
      </c>
      <c r="P84" s="12"/>
      <c r="Q84" s="12"/>
      <c r="R84" s="60" t="s">
        <v>1397</v>
      </c>
      <c r="S84" s="61" t="n">
        <v>0</v>
      </c>
      <c r="T84" s="62" t="n">
        <v>0.05</v>
      </c>
      <c r="U84" s="59" t="n">
        <f aca="false">IF($R84="Manual","",IFERROR(IF($R84="YOY Growth",$N84*(1+$T84)/12,$S84/12),""))</f>
        <v>0</v>
      </c>
      <c r="V84" s="59" t="n">
        <f aca="false">IF($R84="Manual","",IFERROR(IF($R84="YOY Growth",$N84*(1+$T84)/12,$S84/12),""))</f>
        <v>0</v>
      </c>
      <c r="W84" s="59" t="n">
        <f aca="false">IF($R84="Manual","",IFERROR(IF($R84="YOY Growth",$N84*(1+$T84)/12,$S84/12),""))</f>
        <v>0</v>
      </c>
      <c r="X84" s="59" t="n">
        <f aca="false">IF($R84="Manual","",IFERROR(IF($R84="YOY Growth",$N84*(1+$T84)/12,$S84/12),""))</f>
        <v>0</v>
      </c>
      <c r="Y84" s="59" t="n">
        <f aca="false">IF($R84="Manual","",IFERROR(IF($R84="YOY Growth",$N84*(1+$T84)/12,$S84/12),""))</f>
        <v>0</v>
      </c>
      <c r="Z84" s="59" t="n">
        <f aca="false">IF($R84="Manual","",IFERROR(IF($R84="YOY Growth",$N84*(1+$T84)/12,$S84/12),""))</f>
        <v>0</v>
      </c>
      <c r="AA84" s="59" t="n">
        <f aca="false">IF($R84="Manual","",IFERROR(IF($R84="YOY Growth",$N84*(1+$T84)/12,$S84/12),""))</f>
        <v>0</v>
      </c>
      <c r="AB84" s="59" t="n">
        <f aca="false">IF($R84="Manual","",IFERROR(IF($R84="YOY Growth",$N84*(1+$T84)/12,$S84/12),""))</f>
        <v>0</v>
      </c>
      <c r="AC84" s="59" t="n">
        <f aca="false">IF($R84="Manual","",IFERROR(IF($R84="YOY Growth",$N84*(1+$T84)/12,$S84/12),""))</f>
        <v>0</v>
      </c>
      <c r="AD84" s="59" t="n">
        <f aca="false">IF($R84="Manual","",IFERROR(IF($R84="YOY Growth",$N84*(1+$T84)/12,$S84/12),""))</f>
        <v>0</v>
      </c>
      <c r="AE84" s="59" t="n">
        <f aca="false">IF($R84="Manual","",IFERROR(IF($R84="YOY Growth",$N84*(1+$T84)/12,$S84/12),""))</f>
        <v>0</v>
      </c>
      <c r="AF84" s="59" t="n">
        <f aca="false">IF($R84="Manual","",IFERROR(IF($R84="YOY Growth",$N84*(1+$T84)/12,$S84/12),""))</f>
        <v>0</v>
      </c>
      <c r="AG84" s="12" t="n">
        <f aca="false">SUM(U84:AF84)</f>
        <v>0</v>
      </c>
      <c r="AH84" s="24" t="str">
        <f aca="false">IFERROR(AG84/AG$16,"")</f>
        <v/>
      </c>
      <c r="AI84" s="9"/>
      <c r="AJ84" s="12" t="n">
        <f aca="false">N84-AG84</f>
        <v>0</v>
      </c>
    </row>
    <row r="85" customFormat="false" ht="13.5" hidden="false" customHeight="true" outlineLevel="0" collapsed="false">
      <c r="A85" s="23" t="s">
        <v>1339</v>
      </c>
      <c r="B85" s="12" t="n">
        <v>0</v>
      </c>
      <c r="C85" s="12" t="n">
        <v>0</v>
      </c>
      <c r="D85" s="12" t="n">
        <v>0</v>
      </c>
      <c r="E85" s="12" t="n">
        <v>0</v>
      </c>
      <c r="F85" s="12" t="n">
        <v>0</v>
      </c>
      <c r="G85" s="12" t="n">
        <v>0</v>
      </c>
      <c r="H85" s="12" t="n">
        <v>0</v>
      </c>
      <c r="I85" s="12" t="n">
        <v>0</v>
      </c>
      <c r="J85" s="64" t="n">
        <v>0</v>
      </c>
      <c r="K85" s="64" t="n">
        <v>0</v>
      </c>
      <c r="L85" s="64" t="n">
        <v>0</v>
      </c>
      <c r="M85" s="64" t="n">
        <v>0</v>
      </c>
      <c r="N85" s="12" t="n">
        <f aca="false">SUM(B85:M85)</f>
        <v>0</v>
      </c>
      <c r="O85" s="24" t="str">
        <f aca="false">IFERROR(N85/N$16,"")</f>
        <v/>
      </c>
      <c r="P85" s="12"/>
      <c r="Q85" s="12"/>
      <c r="R85" s="60" t="s">
        <v>1397</v>
      </c>
      <c r="S85" s="61" t="n">
        <v>0</v>
      </c>
      <c r="T85" s="62" t="n">
        <v>0.05</v>
      </c>
      <c r="U85" s="59" t="n">
        <f aca="false">IF($R85="Manual","",IFERROR(IF($R85="YOY Growth",$N85*(1+$T85)/12,$S85/12),""))</f>
        <v>0</v>
      </c>
      <c r="V85" s="59" t="n">
        <f aca="false">IF($R85="Manual","",IFERROR(IF($R85="YOY Growth",$N85*(1+$T85)/12,$S85/12),""))</f>
        <v>0</v>
      </c>
      <c r="W85" s="59" t="n">
        <f aca="false">IF($R85="Manual","",IFERROR(IF($R85="YOY Growth",$N85*(1+$T85)/12,$S85/12),""))</f>
        <v>0</v>
      </c>
      <c r="X85" s="59" t="n">
        <f aca="false">IF($R85="Manual","",IFERROR(IF($R85="YOY Growth",$N85*(1+$T85)/12,$S85/12),""))</f>
        <v>0</v>
      </c>
      <c r="Y85" s="59" t="n">
        <f aca="false">IF($R85="Manual","",IFERROR(IF($R85="YOY Growth",$N85*(1+$T85)/12,$S85/12),""))</f>
        <v>0</v>
      </c>
      <c r="Z85" s="59" t="n">
        <f aca="false">IF($R85="Manual","",IFERROR(IF($R85="YOY Growth",$N85*(1+$T85)/12,$S85/12),""))</f>
        <v>0</v>
      </c>
      <c r="AA85" s="59" t="n">
        <f aca="false">IF($R85="Manual","",IFERROR(IF($R85="YOY Growth",$N85*(1+$T85)/12,$S85/12),""))</f>
        <v>0</v>
      </c>
      <c r="AB85" s="59" t="n">
        <f aca="false">IF($R85="Manual","",IFERROR(IF($R85="YOY Growth",$N85*(1+$T85)/12,$S85/12),""))</f>
        <v>0</v>
      </c>
      <c r="AC85" s="59" t="n">
        <f aca="false">IF($R85="Manual","",IFERROR(IF($R85="YOY Growth",$N85*(1+$T85)/12,$S85/12),""))</f>
        <v>0</v>
      </c>
      <c r="AD85" s="59" t="n">
        <f aca="false">IF($R85="Manual","",IFERROR(IF($R85="YOY Growth",$N85*(1+$T85)/12,$S85/12),""))</f>
        <v>0</v>
      </c>
      <c r="AE85" s="59" t="n">
        <f aca="false">IF($R85="Manual","",IFERROR(IF($R85="YOY Growth",$N85*(1+$T85)/12,$S85/12),""))</f>
        <v>0</v>
      </c>
      <c r="AF85" s="59" t="n">
        <f aca="false">IF($R85="Manual","",IFERROR(IF($R85="YOY Growth",$N85*(1+$T85)/12,$S85/12),""))</f>
        <v>0</v>
      </c>
      <c r="AG85" s="12" t="n">
        <f aca="false">SUM(U85:AF85)</f>
        <v>0</v>
      </c>
      <c r="AH85" s="24" t="str">
        <f aca="false">IFERROR(AG85/AG$16,"")</f>
        <v/>
      </c>
      <c r="AI85" s="9"/>
      <c r="AJ85" s="12" t="n">
        <f aca="false">N85-AG85</f>
        <v>0</v>
      </c>
    </row>
    <row r="86" customFormat="false" ht="13.5" hidden="false" customHeight="true" outlineLevel="0" collapsed="false">
      <c r="A86" s="23" t="s">
        <v>1340</v>
      </c>
      <c r="B86" s="12" t="n">
        <v>0</v>
      </c>
      <c r="C86" s="12" t="n">
        <v>0</v>
      </c>
      <c r="D86" s="12" t="n">
        <v>0</v>
      </c>
      <c r="E86" s="12" t="n">
        <v>0</v>
      </c>
      <c r="F86" s="12" t="n">
        <v>0</v>
      </c>
      <c r="G86" s="12" t="n">
        <v>0</v>
      </c>
      <c r="H86" s="12" t="n">
        <v>0</v>
      </c>
      <c r="I86" s="12" t="n">
        <v>0</v>
      </c>
      <c r="J86" s="64" t="n">
        <v>0</v>
      </c>
      <c r="K86" s="64" t="n">
        <v>0</v>
      </c>
      <c r="L86" s="64" t="n">
        <v>0</v>
      </c>
      <c r="M86" s="64" t="n">
        <v>0</v>
      </c>
      <c r="N86" s="12" t="n">
        <f aca="false">SUM(B86:M86)</f>
        <v>0</v>
      </c>
      <c r="O86" s="24" t="str">
        <f aca="false">IFERROR(N86/N$16,"")</f>
        <v/>
      </c>
      <c r="P86" s="12"/>
      <c r="Q86" s="12"/>
      <c r="R86" s="60" t="s">
        <v>1397</v>
      </c>
      <c r="S86" s="61" t="n">
        <v>0</v>
      </c>
      <c r="T86" s="62" t="n">
        <v>0.05</v>
      </c>
      <c r="U86" s="59" t="n">
        <f aca="false">IF($R86="Manual","",IFERROR(IF($R86="YOY Growth",$N86*(1+$T86)/12,$S86/12),""))</f>
        <v>0</v>
      </c>
      <c r="V86" s="59" t="n">
        <f aca="false">IF($R86="Manual","",IFERROR(IF($R86="YOY Growth",$N86*(1+$T86)/12,$S86/12),""))</f>
        <v>0</v>
      </c>
      <c r="W86" s="59" t="n">
        <f aca="false">IF($R86="Manual","",IFERROR(IF($R86="YOY Growth",$N86*(1+$T86)/12,$S86/12),""))</f>
        <v>0</v>
      </c>
      <c r="X86" s="59" t="n">
        <f aca="false">IF($R86="Manual","",IFERROR(IF($R86="YOY Growth",$N86*(1+$T86)/12,$S86/12),""))</f>
        <v>0</v>
      </c>
      <c r="Y86" s="59" t="n">
        <f aca="false">IF($R86="Manual","",IFERROR(IF($R86="YOY Growth",$N86*(1+$T86)/12,$S86/12),""))</f>
        <v>0</v>
      </c>
      <c r="Z86" s="59" t="n">
        <f aca="false">IF($R86="Manual","",IFERROR(IF($R86="YOY Growth",$N86*(1+$T86)/12,$S86/12),""))</f>
        <v>0</v>
      </c>
      <c r="AA86" s="59" t="n">
        <f aca="false">IF($R86="Manual","",IFERROR(IF($R86="YOY Growth",$N86*(1+$T86)/12,$S86/12),""))</f>
        <v>0</v>
      </c>
      <c r="AB86" s="59" t="n">
        <f aca="false">IF($R86="Manual","",IFERROR(IF($R86="YOY Growth",$N86*(1+$T86)/12,$S86/12),""))</f>
        <v>0</v>
      </c>
      <c r="AC86" s="59" t="n">
        <f aca="false">IF($R86="Manual","",IFERROR(IF($R86="YOY Growth",$N86*(1+$T86)/12,$S86/12),""))</f>
        <v>0</v>
      </c>
      <c r="AD86" s="59" t="n">
        <f aca="false">IF($R86="Manual","",IFERROR(IF($R86="YOY Growth",$N86*(1+$T86)/12,$S86/12),""))</f>
        <v>0</v>
      </c>
      <c r="AE86" s="59" t="n">
        <f aca="false">IF($R86="Manual","",IFERROR(IF($R86="YOY Growth",$N86*(1+$T86)/12,$S86/12),""))</f>
        <v>0</v>
      </c>
      <c r="AF86" s="59" t="n">
        <f aca="false">IF($R86="Manual","",IFERROR(IF($R86="YOY Growth",$N86*(1+$T86)/12,$S86/12),""))</f>
        <v>0</v>
      </c>
      <c r="AG86" s="12" t="n">
        <f aca="false">SUM(U86:AF86)</f>
        <v>0</v>
      </c>
      <c r="AH86" s="24" t="str">
        <f aca="false">IFERROR(AG86/AG$16,"")</f>
        <v/>
      </c>
      <c r="AI86" s="9"/>
      <c r="AJ86" s="12" t="n">
        <f aca="false">N86-AG86</f>
        <v>0</v>
      </c>
    </row>
    <row r="87" customFormat="false" ht="13.5" hidden="false" customHeight="true" outlineLevel="0" collapsed="false">
      <c r="A87" s="26" t="s">
        <v>1341</v>
      </c>
      <c r="B87" s="27" t="n">
        <f aca="false">SUM(B82:B86)</f>
        <v>0</v>
      </c>
      <c r="C87" s="27" t="n">
        <f aca="false">SUM(C82:C86)</f>
        <v>0</v>
      </c>
      <c r="D87" s="27" t="n">
        <f aca="false">SUM(D82:D86)</f>
        <v>0</v>
      </c>
      <c r="E87" s="27" t="n">
        <f aca="false">SUM(E82:E86)</f>
        <v>0</v>
      </c>
      <c r="F87" s="27" t="n">
        <f aca="false">SUM(F82:F86)</f>
        <v>0</v>
      </c>
      <c r="G87" s="27" t="n">
        <f aca="false">SUM(G82:G86)</f>
        <v>0</v>
      </c>
      <c r="H87" s="27" t="n">
        <f aca="false">SUM(H82:H86)</f>
        <v>0</v>
      </c>
      <c r="I87" s="27" t="n">
        <f aca="false">SUM(I82:I86)</f>
        <v>0</v>
      </c>
      <c r="J87" s="27" t="n">
        <f aca="false">SUM(J82:J86)</f>
        <v>0</v>
      </c>
      <c r="K87" s="27" t="n">
        <f aca="false">SUM(K82:K86)</f>
        <v>0</v>
      </c>
      <c r="L87" s="27" t="n">
        <f aca="false">SUM(L82:L86)</f>
        <v>0</v>
      </c>
      <c r="M87" s="27" t="n">
        <f aca="false">SUM(M82:M86)</f>
        <v>0</v>
      </c>
      <c r="N87" s="27" t="n">
        <f aca="false">SUM(B87:M87)</f>
        <v>0</v>
      </c>
      <c r="O87" s="28" t="str">
        <f aca="false">IFERROR(N87/N$16,"")</f>
        <v/>
      </c>
      <c r="P87" s="12"/>
      <c r="Q87" s="12"/>
      <c r="R87" s="63"/>
      <c r="S87" s="63"/>
      <c r="T87" s="63"/>
      <c r="U87" s="27" t="n">
        <f aca="false">SUM(U82:U86)</f>
        <v>0</v>
      </c>
      <c r="V87" s="27" t="n">
        <f aca="false">SUM(V82:V86)</f>
        <v>0</v>
      </c>
      <c r="W87" s="27" t="n">
        <f aca="false">SUM(W82:W86)</f>
        <v>0</v>
      </c>
      <c r="X87" s="27" t="n">
        <f aca="false">SUM(X82:X86)</f>
        <v>0</v>
      </c>
      <c r="Y87" s="27" t="n">
        <f aca="false">SUM(Y82:Y86)</f>
        <v>0</v>
      </c>
      <c r="Z87" s="27" t="n">
        <f aca="false">SUM(Z82:Z86)</f>
        <v>0</v>
      </c>
      <c r="AA87" s="27" t="n">
        <f aca="false">SUM(AA82:AA86)</f>
        <v>0</v>
      </c>
      <c r="AB87" s="27" t="n">
        <f aca="false">SUM(AB82:AB86)</f>
        <v>0</v>
      </c>
      <c r="AC87" s="27" t="n">
        <f aca="false">SUM(AC82:AC86)</f>
        <v>0</v>
      </c>
      <c r="AD87" s="27" t="n">
        <f aca="false">SUM(AD82:AD86)</f>
        <v>0</v>
      </c>
      <c r="AE87" s="27" t="n">
        <f aca="false">SUM(AE82:AE86)</f>
        <v>0</v>
      </c>
      <c r="AF87" s="27" t="n">
        <f aca="false">SUM(AF82:AF86)</f>
        <v>0</v>
      </c>
      <c r="AG87" s="27" t="n">
        <f aca="false">SUM(U87:AF87)</f>
        <v>0</v>
      </c>
      <c r="AH87" s="28" t="str">
        <f aca="false">IFERROR(AG87/AG$16,"")</f>
        <v/>
      </c>
      <c r="AI87" s="9"/>
      <c r="AJ87" s="27" t="n">
        <f aca="false">N87-AG87</f>
        <v>0</v>
      </c>
    </row>
    <row r="88" customFormat="false" ht="13.5" hidden="false" customHeight="true" outlineLevel="0" collapsed="false">
      <c r="A88" s="23" t="s">
        <v>1342</v>
      </c>
      <c r="B88" s="12" t="n">
        <v>0</v>
      </c>
      <c r="C88" s="12" t="n">
        <v>0</v>
      </c>
      <c r="D88" s="12" t="n">
        <v>0</v>
      </c>
      <c r="E88" s="12" t="n">
        <v>0</v>
      </c>
      <c r="F88" s="12" t="n">
        <v>0</v>
      </c>
      <c r="G88" s="12" t="n">
        <v>0</v>
      </c>
      <c r="H88" s="12" t="n">
        <v>0</v>
      </c>
      <c r="I88" s="12" t="n">
        <v>0</v>
      </c>
      <c r="J88" s="64" t="n">
        <v>0</v>
      </c>
      <c r="K88" s="64" t="n">
        <v>0</v>
      </c>
      <c r="L88" s="64" t="n">
        <v>0</v>
      </c>
      <c r="M88" s="64" t="n">
        <v>0</v>
      </c>
      <c r="N88" s="12" t="n">
        <f aca="false">SUM(B88:M88)</f>
        <v>0</v>
      </c>
      <c r="O88" s="24" t="str">
        <f aca="false">IFERROR(N88/N$16,"")</f>
        <v/>
      </c>
      <c r="P88" s="12"/>
      <c r="Q88" s="12"/>
      <c r="R88" s="60" t="s">
        <v>1397</v>
      </c>
      <c r="S88" s="61" t="n">
        <v>0</v>
      </c>
      <c r="T88" s="62" t="n">
        <v>0.05</v>
      </c>
      <c r="U88" s="59" t="n">
        <f aca="false">IF($R88="Manual","",IFERROR(IF($R88="YOY Growth",$N88*(1+$T88)/12,$S88/12),""))</f>
        <v>0</v>
      </c>
      <c r="V88" s="59" t="n">
        <f aca="false">IF($R88="Manual","",IFERROR(IF($R88="YOY Growth",$N88*(1+$T88)/12,$S88/12),""))</f>
        <v>0</v>
      </c>
      <c r="W88" s="59" t="n">
        <f aca="false">IF($R88="Manual","",IFERROR(IF($R88="YOY Growth",$N88*(1+$T88)/12,$S88/12),""))</f>
        <v>0</v>
      </c>
      <c r="X88" s="59" t="n">
        <f aca="false">IF($R88="Manual","",IFERROR(IF($R88="YOY Growth",$N88*(1+$T88)/12,$S88/12),""))</f>
        <v>0</v>
      </c>
      <c r="Y88" s="59" t="n">
        <f aca="false">IF($R88="Manual","",IFERROR(IF($R88="YOY Growth",$N88*(1+$T88)/12,$S88/12),""))</f>
        <v>0</v>
      </c>
      <c r="Z88" s="59" t="n">
        <f aca="false">IF($R88="Manual","",IFERROR(IF($R88="YOY Growth",$N88*(1+$T88)/12,$S88/12),""))</f>
        <v>0</v>
      </c>
      <c r="AA88" s="59" t="n">
        <f aca="false">IF($R88="Manual","",IFERROR(IF($R88="YOY Growth",$N88*(1+$T88)/12,$S88/12),""))</f>
        <v>0</v>
      </c>
      <c r="AB88" s="59" t="n">
        <f aca="false">IF($R88="Manual","",IFERROR(IF($R88="YOY Growth",$N88*(1+$T88)/12,$S88/12),""))</f>
        <v>0</v>
      </c>
      <c r="AC88" s="59" t="n">
        <f aca="false">IF($R88="Manual","",IFERROR(IF($R88="YOY Growth",$N88*(1+$T88)/12,$S88/12),""))</f>
        <v>0</v>
      </c>
      <c r="AD88" s="59" t="n">
        <f aca="false">IF($R88="Manual","",IFERROR(IF($R88="YOY Growth",$N88*(1+$T88)/12,$S88/12),""))</f>
        <v>0</v>
      </c>
      <c r="AE88" s="59" t="n">
        <f aca="false">IF($R88="Manual","",IFERROR(IF($R88="YOY Growth",$N88*(1+$T88)/12,$S88/12),""))</f>
        <v>0</v>
      </c>
      <c r="AF88" s="59" t="n">
        <f aca="false">IF($R88="Manual","",IFERROR(IF($R88="YOY Growth",$N88*(1+$T88)/12,$S88/12),""))</f>
        <v>0</v>
      </c>
      <c r="AG88" s="12" t="n">
        <f aca="false">SUM(U88:AF88)</f>
        <v>0</v>
      </c>
      <c r="AH88" s="24" t="str">
        <f aca="false">IFERROR(AG88/AG$16,"")</f>
        <v/>
      </c>
      <c r="AI88" s="9"/>
      <c r="AJ88" s="12" t="n">
        <f aca="false">N88-AG88</f>
        <v>0</v>
      </c>
    </row>
    <row r="89" customFormat="false" ht="13.5" hidden="false" customHeight="true" outlineLevel="0" collapsed="false">
      <c r="A89" s="23" t="s">
        <v>1343</v>
      </c>
      <c r="B89" s="12" t="n">
        <v>0</v>
      </c>
      <c r="C89" s="12" t="n">
        <v>0</v>
      </c>
      <c r="D89" s="12" t="n">
        <v>0</v>
      </c>
      <c r="E89" s="12" t="n">
        <v>0</v>
      </c>
      <c r="F89" s="12" t="n">
        <v>0</v>
      </c>
      <c r="G89" s="12" t="n">
        <v>0</v>
      </c>
      <c r="H89" s="12" t="n">
        <v>0</v>
      </c>
      <c r="I89" s="12" t="n">
        <v>0</v>
      </c>
      <c r="J89" s="64" t="n">
        <v>0</v>
      </c>
      <c r="K89" s="64" t="n">
        <v>0</v>
      </c>
      <c r="L89" s="64" t="n">
        <v>0</v>
      </c>
      <c r="M89" s="64" t="n">
        <v>0</v>
      </c>
      <c r="N89" s="12" t="n">
        <f aca="false">SUM(B89:M89)</f>
        <v>0</v>
      </c>
      <c r="O89" s="24" t="str">
        <f aca="false">IFERROR(N89/N$16,"")</f>
        <v/>
      </c>
      <c r="P89" s="12"/>
      <c r="Q89" s="12"/>
      <c r="R89" s="60" t="s">
        <v>1397</v>
      </c>
      <c r="S89" s="61" t="n">
        <v>0</v>
      </c>
      <c r="T89" s="62" t="n">
        <v>0.05</v>
      </c>
      <c r="U89" s="59" t="n">
        <f aca="false">IF($R89="Manual","",IFERROR(IF($R89="YOY Growth",$N89*(1+$T89)/12,$S89/12),""))</f>
        <v>0</v>
      </c>
      <c r="V89" s="59" t="n">
        <f aca="false">IF($R89="Manual","",IFERROR(IF($R89="YOY Growth",$N89*(1+$T89)/12,$S89/12),""))</f>
        <v>0</v>
      </c>
      <c r="W89" s="59" t="n">
        <f aca="false">IF($R89="Manual","",IFERROR(IF($R89="YOY Growth",$N89*(1+$T89)/12,$S89/12),""))</f>
        <v>0</v>
      </c>
      <c r="X89" s="59" t="n">
        <f aca="false">IF($R89="Manual","",IFERROR(IF($R89="YOY Growth",$N89*(1+$T89)/12,$S89/12),""))</f>
        <v>0</v>
      </c>
      <c r="Y89" s="59" t="n">
        <f aca="false">IF($R89="Manual","",IFERROR(IF($R89="YOY Growth",$N89*(1+$T89)/12,$S89/12),""))</f>
        <v>0</v>
      </c>
      <c r="Z89" s="59" t="n">
        <f aca="false">IF($R89="Manual","",IFERROR(IF($R89="YOY Growth",$N89*(1+$T89)/12,$S89/12),""))</f>
        <v>0</v>
      </c>
      <c r="AA89" s="59" t="n">
        <f aca="false">IF($R89="Manual","",IFERROR(IF($R89="YOY Growth",$N89*(1+$T89)/12,$S89/12),""))</f>
        <v>0</v>
      </c>
      <c r="AB89" s="59" t="n">
        <f aca="false">IF($R89="Manual","",IFERROR(IF($R89="YOY Growth",$N89*(1+$T89)/12,$S89/12),""))</f>
        <v>0</v>
      </c>
      <c r="AC89" s="59" t="n">
        <f aca="false">IF($R89="Manual","",IFERROR(IF($R89="YOY Growth",$N89*(1+$T89)/12,$S89/12),""))</f>
        <v>0</v>
      </c>
      <c r="AD89" s="59" t="n">
        <f aca="false">IF($R89="Manual","",IFERROR(IF($R89="YOY Growth",$N89*(1+$T89)/12,$S89/12),""))</f>
        <v>0</v>
      </c>
      <c r="AE89" s="59" t="n">
        <f aca="false">IF($R89="Manual","",IFERROR(IF($R89="YOY Growth",$N89*(1+$T89)/12,$S89/12),""))</f>
        <v>0</v>
      </c>
      <c r="AF89" s="59" t="n">
        <f aca="false">IF($R89="Manual","",IFERROR(IF($R89="YOY Growth",$N89*(1+$T89)/12,$S89/12),""))</f>
        <v>0</v>
      </c>
      <c r="AG89" s="12" t="n">
        <f aca="false">SUM(U89:AF89)</f>
        <v>0</v>
      </c>
      <c r="AH89" s="24" t="str">
        <f aca="false">IFERROR(AG89/AG$16,"")</f>
        <v/>
      </c>
      <c r="AI89" s="9"/>
      <c r="AJ89" s="12" t="n">
        <f aca="false">N89-AG89</f>
        <v>0</v>
      </c>
    </row>
    <row r="90" customFormat="false" ht="13.5" hidden="false" customHeight="true" outlineLevel="0" collapsed="false">
      <c r="A90" s="23" t="s">
        <v>1344</v>
      </c>
      <c r="B90" s="12" t="n">
        <v>0</v>
      </c>
      <c r="C90" s="12" t="n">
        <v>0</v>
      </c>
      <c r="D90" s="12" t="n">
        <v>0</v>
      </c>
      <c r="E90" s="12" t="n">
        <v>0</v>
      </c>
      <c r="F90" s="12" t="n">
        <v>0</v>
      </c>
      <c r="G90" s="12" t="n">
        <v>0</v>
      </c>
      <c r="H90" s="12" t="n">
        <v>0</v>
      </c>
      <c r="I90" s="12" t="n">
        <v>0</v>
      </c>
      <c r="J90" s="64" t="n">
        <v>0</v>
      </c>
      <c r="K90" s="64" t="n">
        <v>0</v>
      </c>
      <c r="L90" s="64" t="n">
        <v>0</v>
      </c>
      <c r="M90" s="64" t="n">
        <v>0</v>
      </c>
      <c r="N90" s="12" t="n">
        <f aca="false">SUM(B90:M90)</f>
        <v>0</v>
      </c>
      <c r="O90" s="24" t="str">
        <f aca="false">IFERROR(N90/N$16,"")</f>
        <v/>
      </c>
      <c r="P90" s="12"/>
      <c r="Q90" s="12"/>
      <c r="R90" s="60" t="s">
        <v>1397</v>
      </c>
      <c r="S90" s="61" t="n">
        <v>0</v>
      </c>
      <c r="T90" s="62" t="n">
        <v>0.05</v>
      </c>
      <c r="U90" s="59" t="n">
        <f aca="false">IF($R90="Manual","",IFERROR(IF($R90="YOY Growth",$N90*(1+$T90)/12,$S90/12),""))</f>
        <v>0</v>
      </c>
      <c r="V90" s="59" t="n">
        <f aca="false">IF($R90="Manual","",IFERROR(IF($R90="YOY Growth",$N90*(1+$T90)/12,$S90/12),""))</f>
        <v>0</v>
      </c>
      <c r="W90" s="59" t="n">
        <f aca="false">IF($R90="Manual","",IFERROR(IF($R90="YOY Growth",$N90*(1+$T90)/12,$S90/12),""))</f>
        <v>0</v>
      </c>
      <c r="X90" s="59" t="n">
        <f aca="false">IF($R90="Manual","",IFERROR(IF($R90="YOY Growth",$N90*(1+$T90)/12,$S90/12),""))</f>
        <v>0</v>
      </c>
      <c r="Y90" s="59" t="n">
        <f aca="false">IF($R90="Manual","",IFERROR(IF($R90="YOY Growth",$N90*(1+$T90)/12,$S90/12),""))</f>
        <v>0</v>
      </c>
      <c r="Z90" s="59" t="n">
        <f aca="false">IF($R90="Manual","",IFERROR(IF($R90="YOY Growth",$N90*(1+$T90)/12,$S90/12),""))</f>
        <v>0</v>
      </c>
      <c r="AA90" s="59" t="n">
        <f aca="false">IF($R90="Manual","",IFERROR(IF($R90="YOY Growth",$N90*(1+$T90)/12,$S90/12),""))</f>
        <v>0</v>
      </c>
      <c r="AB90" s="59" t="n">
        <f aca="false">IF($R90="Manual","",IFERROR(IF($R90="YOY Growth",$N90*(1+$T90)/12,$S90/12),""))</f>
        <v>0</v>
      </c>
      <c r="AC90" s="59" t="n">
        <f aca="false">IF($R90="Manual","",IFERROR(IF($R90="YOY Growth",$N90*(1+$T90)/12,$S90/12),""))</f>
        <v>0</v>
      </c>
      <c r="AD90" s="59" t="n">
        <f aca="false">IF($R90="Manual","",IFERROR(IF($R90="YOY Growth",$N90*(1+$T90)/12,$S90/12),""))</f>
        <v>0</v>
      </c>
      <c r="AE90" s="59" t="n">
        <f aca="false">IF($R90="Manual","",IFERROR(IF($R90="YOY Growth",$N90*(1+$T90)/12,$S90/12),""))</f>
        <v>0</v>
      </c>
      <c r="AF90" s="59" t="n">
        <f aca="false">IF($R90="Manual","",IFERROR(IF($R90="YOY Growth",$N90*(1+$T90)/12,$S90/12),""))</f>
        <v>0</v>
      </c>
      <c r="AG90" s="12" t="n">
        <f aca="false">SUM(U90:AF90)</f>
        <v>0</v>
      </c>
      <c r="AH90" s="24" t="str">
        <f aca="false">IFERROR(AG90/AG$16,"")</f>
        <v/>
      </c>
      <c r="AI90" s="9"/>
      <c r="AJ90" s="12" t="n">
        <f aca="false">N90-AG90</f>
        <v>0</v>
      </c>
    </row>
    <row r="91" customFormat="false" ht="13.5" hidden="false" customHeight="true" outlineLevel="0" collapsed="false">
      <c r="A91" s="23" t="s">
        <v>1345</v>
      </c>
      <c r="B91" s="12" t="n">
        <v>0</v>
      </c>
      <c r="C91" s="12" t="n">
        <v>0</v>
      </c>
      <c r="D91" s="12" t="n">
        <v>0</v>
      </c>
      <c r="E91" s="12" t="n">
        <v>0</v>
      </c>
      <c r="F91" s="12" t="n">
        <v>0</v>
      </c>
      <c r="G91" s="12" t="n">
        <v>0</v>
      </c>
      <c r="H91" s="12" t="n">
        <v>0</v>
      </c>
      <c r="I91" s="12" t="n">
        <v>0</v>
      </c>
      <c r="J91" s="64" t="n">
        <v>0</v>
      </c>
      <c r="K91" s="64" t="n">
        <v>0</v>
      </c>
      <c r="L91" s="64" t="n">
        <v>0</v>
      </c>
      <c r="M91" s="64" t="n">
        <v>0</v>
      </c>
      <c r="N91" s="12" t="n">
        <f aca="false">SUM(B91:M91)</f>
        <v>0</v>
      </c>
      <c r="O91" s="24" t="str">
        <f aca="false">IFERROR(N91/N$16,"")</f>
        <v/>
      </c>
      <c r="P91" s="12"/>
      <c r="Q91" s="12"/>
      <c r="R91" s="60" t="s">
        <v>1397</v>
      </c>
      <c r="S91" s="61" t="n">
        <v>0</v>
      </c>
      <c r="T91" s="62" t="n">
        <v>0.05</v>
      </c>
      <c r="U91" s="59" t="n">
        <f aca="false">IF($R91="Manual","",IFERROR(IF($R91="YOY Growth",$N91*(1+$T91)/12,$S91/12),""))</f>
        <v>0</v>
      </c>
      <c r="V91" s="59" t="n">
        <f aca="false">IF($R91="Manual","",IFERROR(IF($R91="YOY Growth",$N91*(1+$T91)/12,$S91/12),""))</f>
        <v>0</v>
      </c>
      <c r="W91" s="59" t="n">
        <f aca="false">IF($R91="Manual","",IFERROR(IF($R91="YOY Growth",$N91*(1+$T91)/12,$S91/12),""))</f>
        <v>0</v>
      </c>
      <c r="X91" s="59" t="n">
        <f aca="false">IF($R91="Manual","",IFERROR(IF($R91="YOY Growth",$N91*(1+$T91)/12,$S91/12),""))</f>
        <v>0</v>
      </c>
      <c r="Y91" s="59" t="n">
        <f aca="false">IF($R91="Manual","",IFERROR(IF($R91="YOY Growth",$N91*(1+$T91)/12,$S91/12),""))</f>
        <v>0</v>
      </c>
      <c r="Z91" s="59" t="n">
        <f aca="false">IF($R91="Manual","",IFERROR(IF($R91="YOY Growth",$N91*(1+$T91)/12,$S91/12),""))</f>
        <v>0</v>
      </c>
      <c r="AA91" s="59" t="n">
        <f aca="false">IF($R91="Manual","",IFERROR(IF($R91="YOY Growth",$N91*(1+$T91)/12,$S91/12),""))</f>
        <v>0</v>
      </c>
      <c r="AB91" s="59" t="n">
        <f aca="false">IF($R91="Manual","",IFERROR(IF($R91="YOY Growth",$N91*(1+$T91)/12,$S91/12),""))</f>
        <v>0</v>
      </c>
      <c r="AC91" s="59" t="n">
        <f aca="false">IF($R91="Manual","",IFERROR(IF($R91="YOY Growth",$N91*(1+$T91)/12,$S91/12),""))</f>
        <v>0</v>
      </c>
      <c r="AD91" s="59" t="n">
        <f aca="false">IF($R91="Manual","",IFERROR(IF($R91="YOY Growth",$N91*(1+$T91)/12,$S91/12),""))</f>
        <v>0</v>
      </c>
      <c r="AE91" s="59" t="n">
        <f aca="false">IF($R91="Manual","",IFERROR(IF($R91="YOY Growth",$N91*(1+$T91)/12,$S91/12),""))</f>
        <v>0</v>
      </c>
      <c r="AF91" s="59" t="n">
        <f aca="false">IF($R91="Manual","",IFERROR(IF($R91="YOY Growth",$N91*(1+$T91)/12,$S91/12),""))</f>
        <v>0</v>
      </c>
      <c r="AG91" s="12" t="n">
        <f aca="false">SUM(U91:AF91)</f>
        <v>0</v>
      </c>
      <c r="AH91" s="24" t="str">
        <f aca="false">IFERROR(AG91/AG$16,"")</f>
        <v/>
      </c>
      <c r="AI91" s="9"/>
      <c r="AJ91" s="12" t="n">
        <f aca="false">N91-AG91</f>
        <v>0</v>
      </c>
    </row>
    <row r="92" customFormat="false" ht="13.5" hidden="false" customHeight="true" outlineLevel="0" collapsed="false">
      <c r="A92" s="23" t="s">
        <v>1346</v>
      </c>
      <c r="B92" s="12" t="n">
        <v>0</v>
      </c>
      <c r="C92" s="12" t="n">
        <v>0</v>
      </c>
      <c r="D92" s="12" t="n">
        <v>0</v>
      </c>
      <c r="E92" s="12" t="n">
        <v>0</v>
      </c>
      <c r="F92" s="12" t="n">
        <v>0</v>
      </c>
      <c r="G92" s="12" t="n">
        <v>34.99</v>
      </c>
      <c r="H92" s="12" t="n">
        <v>0</v>
      </c>
      <c r="I92" s="12" t="n">
        <v>0</v>
      </c>
      <c r="J92" s="64" t="n">
        <v>0</v>
      </c>
      <c r="K92" s="64" t="n">
        <v>0</v>
      </c>
      <c r="L92" s="64" t="n">
        <v>0</v>
      </c>
      <c r="M92" s="64" t="n">
        <v>0</v>
      </c>
      <c r="N92" s="12" t="n">
        <f aca="false">SUM(B92:M92)</f>
        <v>34.99</v>
      </c>
      <c r="O92" s="24" t="str">
        <f aca="false">IFERROR(N92/N$16,"")</f>
        <v/>
      </c>
      <c r="P92" s="12"/>
      <c r="Q92" s="12"/>
      <c r="R92" s="60" t="s">
        <v>1397</v>
      </c>
      <c r="S92" s="61" t="n">
        <v>0</v>
      </c>
      <c r="T92" s="62" t="n">
        <v>0.05</v>
      </c>
      <c r="U92" s="59" t="n">
        <f aca="false">IF($R92="Manual","",IFERROR(IF($R92="YOY Growth",$N92*(1+$T92)/12,$S92/12),""))</f>
        <v>0</v>
      </c>
      <c r="V92" s="59" t="n">
        <f aca="false">IF($R92="Manual","",IFERROR(IF($R92="YOY Growth",$N92*(1+$T92)/12,$S92/12),""))</f>
        <v>0</v>
      </c>
      <c r="W92" s="59" t="n">
        <f aca="false">IF($R92="Manual","",IFERROR(IF($R92="YOY Growth",$N92*(1+$T92)/12,$S92/12),""))</f>
        <v>0</v>
      </c>
      <c r="X92" s="59" t="n">
        <f aca="false">IF($R92="Manual","",IFERROR(IF($R92="YOY Growth",$N92*(1+$T92)/12,$S92/12),""))</f>
        <v>0</v>
      </c>
      <c r="Y92" s="59" t="n">
        <f aca="false">IF($R92="Manual","",IFERROR(IF($R92="YOY Growth",$N92*(1+$T92)/12,$S92/12),""))</f>
        <v>0</v>
      </c>
      <c r="Z92" s="59" t="n">
        <f aca="false">IF($R92="Manual","",IFERROR(IF($R92="YOY Growth",$N92*(1+$T92)/12,$S92/12),""))</f>
        <v>0</v>
      </c>
      <c r="AA92" s="59" t="n">
        <f aca="false">IF($R92="Manual","",IFERROR(IF($R92="YOY Growth",$N92*(1+$T92)/12,$S92/12),""))</f>
        <v>0</v>
      </c>
      <c r="AB92" s="59" t="n">
        <f aca="false">IF($R92="Manual","",IFERROR(IF($R92="YOY Growth",$N92*(1+$T92)/12,$S92/12),""))</f>
        <v>0</v>
      </c>
      <c r="AC92" s="59" t="n">
        <f aca="false">IF($R92="Manual","",IFERROR(IF($R92="YOY Growth",$N92*(1+$T92)/12,$S92/12),""))</f>
        <v>0</v>
      </c>
      <c r="AD92" s="59" t="n">
        <f aca="false">IF($R92="Manual","",IFERROR(IF($R92="YOY Growth",$N92*(1+$T92)/12,$S92/12),""))</f>
        <v>0</v>
      </c>
      <c r="AE92" s="59" t="n">
        <f aca="false">IF($R92="Manual","",IFERROR(IF($R92="YOY Growth",$N92*(1+$T92)/12,$S92/12),""))</f>
        <v>0</v>
      </c>
      <c r="AF92" s="59" t="n">
        <f aca="false">IF($R92="Manual","",IFERROR(IF($R92="YOY Growth",$N92*(1+$T92)/12,$S92/12),""))</f>
        <v>0</v>
      </c>
      <c r="AG92" s="12" t="n">
        <f aca="false">SUM(U92:AF92)</f>
        <v>0</v>
      </c>
      <c r="AH92" s="24" t="str">
        <f aca="false">IFERROR(AG92/AG$16,"")</f>
        <v/>
      </c>
      <c r="AI92" s="9"/>
      <c r="AJ92" s="12" t="n">
        <f aca="false">N92-AG92</f>
        <v>34.99</v>
      </c>
    </row>
    <row r="93" customFormat="false" ht="13.5" hidden="false" customHeight="true" outlineLevel="0" collapsed="false">
      <c r="A93" s="23" t="s">
        <v>1347</v>
      </c>
      <c r="B93" s="12" t="n">
        <v>0</v>
      </c>
      <c r="C93" s="12" t="n">
        <v>303.06</v>
      </c>
      <c r="D93" s="12" t="n">
        <v>0</v>
      </c>
      <c r="E93" s="12" t="n">
        <v>0</v>
      </c>
      <c r="F93" s="12" t="n">
        <v>0</v>
      </c>
      <c r="G93" s="12" t="n">
        <v>25.44</v>
      </c>
      <c r="H93" s="12" t="n">
        <v>0</v>
      </c>
      <c r="I93" s="12" t="n">
        <v>19.07</v>
      </c>
      <c r="J93" s="64" t="n">
        <v>700</v>
      </c>
      <c r="K93" s="64" t="n">
        <v>700</v>
      </c>
      <c r="L93" s="64" t="n">
        <v>700</v>
      </c>
      <c r="M93" s="64" t="n">
        <v>700</v>
      </c>
      <c r="N93" s="12" t="n">
        <f aca="false">SUM(B93:M93)</f>
        <v>3147.57</v>
      </c>
      <c r="O93" s="24" t="str">
        <f aca="false">IFERROR(N93/N$16,"")</f>
        <v/>
      </c>
      <c r="P93" s="12"/>
      <c r="Q93" s="12"/>
      <c r="R93" s="60" t="s">
        <v>1397</v>
      </c>
      <c r="S93" s="61" t="n">
        <v>8400</v>
      </c>
      <c r="T93" s="62" t="n">
        <v>0.05</v>
      </c>
      <c r="U93" s="59" t="n">
        <f aca="false">IF($R93="Manual","",IFERROR(IF($R93="YOY Growth",$N93*(1+$T93)/12,$S93/12),""))</f>
        <v>700</v>
      </c>
      <c r="V93" s="59" t="n">
        <f aca="false">IF($R93="Manual","",IFERROR(IF($R93="YOY Growth",$N93*(1+$T93)/12,$S93/12),""))</f>
        <v>700</v>
      </c>
      <c r="W93" s="59" t="n">
        <f aca="false">IF($R93="Manual","",IFERROR(IF($R93="YOY Growth",$N93*(1+$T93)/12,$S93/12),""))</f>
        <v>700</v>
      </c>
      <c r="X93" s="59" t="n">
        <f aca="false">IF($R93="Manual","",IFERROR(IF($R93="YOY Growth",$N93*(1+$T93)/12,$S93/12),""))</f>
        <v>700</v>
      </c>
      <c r="Y93" s="59" t="n">
        <f aca="false">IF($R93="Manual","",IFERROR(IF($R93="YOY Growth",$N93*(1+$T93)/12,$S93/12),""))*Y146</f>
        <v>735</v>
      </c>
      <c r="Z93" s="59" t="n">
        <f aca="false">IF($R93="Manual","",IFERROR(IF($R93="YOY Growth",$N93*(1+$T93)/12,$S93/12),""))*Z146</f>
        <v>770</v>
      </c>
      <c r="AA93" s="59" t="n">
        <f aca="false">IF($R93="Manual","",IFERROR(IF($R93="YOY Growth",$N93*(1+$T93)/12,$S93/12),""))*AA146</f>
        <v>805</v>
      </c>
      <c r="AB93" s="59" t="n">
        <f aca="false">IF($R93="Manual","",IFERROR(IF($R93="YOY Growth",$N93*(1+$T93)/12,$S93/12),""))*AB146</f>
        <v>840</v>
      </c>
      <c r="AC93" s="59" t="n">
        <f aca="false">IF($R93="Manual","",IFERROR(IF($R93="YOY Growth",$N93*(1+$T93)/12,$S93/12),""))*AC146</f>
        <v>875</v>
      </c>
      <c r="AD93" s="59" t="n">
        <f aca="false">IF($R93="Manual","",IFERROR(IF($R93="YOY Growth",$N93*(1+$T93)/12,$S93/12),""))*AD146</f>
        <v>910</v>
      </c>
      <c r="AE93" s="59" t="n">
        <f aca="false">IF($R93="Manual","",IFERROR(IF($R93="YOY Growth",$N93*(1+$T93)/12,$S93/12),""))*AE146</f>
        <v>945</v>
      </c>
      <c r="AF93" s="59" t="n">
        <f aca="false">IF($R93="Manual","",IFERROR(IF($R93="YOY Growth",$N93*(1+$T93)/12,$S93/12),""))</f>
        <v>700</v>
      </c>
      <c r="AG93" s="12" t="n">
        <f aca="false">SUM(U93:AF93)</f>
        <v>9380</v>
      </c>
      <c r="AH93" s="24" t="str">
        <f aca="false">IFERROR(AG93/AG$16,"")</f>
        <v/>
      </c>
      <c r="AI93" s="9"/>
      <c r="AJ93" s="12" t="n">
        <f aca="false">N93-AG93</f>
        <v>-6232.43</v>
      </c>
    </row>
    <row r="94" customFormat="false" ht="13.5" hidden="false" customHeight="true" outlineLevel="0" collapsed="false">
      <c r="A94" s="23" t="s">
        <v>1348</v>
      </c>
      <c r="B94" s="12" t="n">
        <v>0</v>
      </c>
      <c r="C94" s="12" t="n">
        <v>0</v>
      </c>
      <c r="D94" s="12" t="n">
        <v>0</v>
      </c>
      <c r="E94" s="12" t="n">
        <v>0</v>
      </c>
      <c r="F94" s="12" t="n">
        <v>0</v>
      </c>
      <c r="G94" s="12" t="n">
        <v>0</v>
      </c>
      <c r="H94" s="12" t="n">
        <v>0</v>
      </c>
      <c r="I94" s="12" t="n">
        <v>0</v>
      </c>
      <c r="J94" s="64" t="n">
        <v>0</v>
      </c>
      <c r="K94" s="64" t="n">
        <v>0</v>
      </c>
      <c r="L94" s="64" t="n">
        <v>0</v>
      </c>
      <c r="M94" s="64" t="n">
        <v>0</v>
      </c>
      <c r="N94" s="12" t="n">
        <f aca="false">SUM(B94:M94)</f>
        <v>0</v>
      </c>
      <c r="O94" s="24" t="str">
        <f aca="false">IFERROR(N94/N$16,"")</f>
        <v/>
      </c>
      <c r="P94" s="12"/>
      <c r="Q94" s="12"/>
      <c r="R94" s="60" t="s">
        <v>1397</v>
      </c>
      <c r="S94" s="61" t="n">
        <v>0</v>
      </c>
      <c r="T94" s="62" t="n">
        <v>0.05</v>
      </c>
      <c r="U94" s="59" t="n">
        <f aca="false">IF($R94="Manual","",IFERROR(IF($R94="YOY Growth",$N94*(1+$T94)/12,$S94/12),""))</f>
        <v>0</v>
      </c>
      <c r="V94" s="59" t="n">
        <f aca="false">IF($R94="Manual","",IFERROR(IF($R94="YOY Growth",$N94*(1+$T94)/12,$S94/12),""))</f>
        <v>0</v>
      </c>
      <c r="W94" s="59" t="n">
        <f aca="false">IF($R94="Manual","",IFERROR(IF($R94="YOY Growth",$N94*(1+$T94)/12,$S94/12),""))</f>
        <v>0</v>
      </c>
      <c r="X94" s="59" t="n">
        <f aca="false">IF($R94="Manual","",IFERROR(IF($R94="YOY Growth",$N94*(1+$T94)/12,$S94/12),""))</f>
        <v>0</v>
      </c>
      <c r="Y94" s="59" t="n">
        <f aca="false">IF($R94="Manual","",IFERROR(IF($R94="YOY Growth",$N94*(1+$T94)/12,$S94/12),""))</f>
        <v>0</v>
      </c>
      <c r="Z94" s="59" t="n">
        <f aca="false">IF($R94="Manual","",IFERROR(IF($R94="YOY Growth",$N94*(1+$T94)/12,$S94/12),""))</f>
        <v>0</v>
      </c>
      <c r="AA94" s="59" t="n">
        <f aca="false">IF($R94="Manual","",IFERROR(IF($R94="YOY Growth",$N94*(1+$T94)/12,$S94/12),""))</f>
        <v>0</v>
      </c>
      <c r="AB94" s="59" t="n">
        <f aca="false">IF($R94="Manual","",IFERROR(IF($R94="YOY Growth",$N94*(1+$T94)/12,$S94/12),""))</f>
        <v>0</v>
      </c>
      <c r="AC94" s="59" t="n">
        <f aca="false">IF($R94="Manual","",IFERROR(IF($R94="YOY Growth",$N94*(1+$T94)/12,$S94/12),""))</f>
        <v>0</v>
      </c>
      <c r="AD94" s="59" t="n">
        <f aca="false">IF($R94="Manual","",IFERROR(IF($R94="YOY Growth",$N94*(1+$T94)/12,$S94/12),""))</f>
        <v>0</v>
      </c>
      <c r="AE94" s="59" t="n">
        <f aca="false">IF($R94="Manual","",IFERROR(IF($R94="YOY Growth",$N94*(1+$T94)/12,$S94/12),""))</f>
        <v>0</v>
      </c>
      <c r="AF94" s="59" t="n">
        <f aca="false">IF($R94="Manual","",IFERROR(IF($R94="YOY Growth",$N94*(1+$T94)/12,$S94/12),""))</f>
        <v>0</v>
      </c>
      <c r="AG94" s="12" t="n">
        <f aca="false">SUM(U94:AF94)</f>
        <v>0</v>
      </c>
      <c r="AH94" s="24" t="str">
        <f aca="false">IFERROR(AG94/AG$16,"")</f>
        <v/>
      </c>
      <c r="AI94" s="9"/>
      <c r="AJ94" s="12" t="n">
        <f aca="false">N94-AG94</f>
        <v>0</v>
      </c>
    </row>
    <row r="95" customFormat="false" ht="13.5" hidden="false" customHeight="true" outlineLevel="0" collapsed="false">
      <c r="A95" s="23" t="s">
        <v>1349</v>
      </c>
      <c r="B95" s="12" t="n">
        <v>2825.54</v>
      </c>
      <c r="C95" s="12" t="n">
        <v>0</v>
      </c>
      <c r="D95" s="12" t="n">
        <v>1968.65</v>
      </c>
      <c r="E95" s="12" t="n">
        <v>2282.91</v>
      </c>
      <c r="F95" s="12" t="n">
        <v>2569.77</v>
      </c>
      <c r="G95" s="12" t="n">
        <v>274.28</v>
      </c>
      <c r="H95" s="12" t="n">
        <v>516.4</v>
      </c>
      <c r="I95" s="12" t="n">
        <v>467.43</v>
      </c>
      <c r="J95" s="64" t="n">
        <v>2700</v>
      </c>
      <c r="K95" s="64" t="n">
        <v>2700</v>
      </c>
      <c r="L95" s="64" t="n">
        <v>2700</v>
      </c>
      <c r="M95" s="64" t="n">
        <v>2700</v>
      </c>
      <c r="N95" s="12" t="n">
        <f aca="false">SUM(B95:M95)</f>
        <v>21704.98</v>
      </c>
      <c r="O95" s="24" t="str">
        <f aca="false">IFERROR(N95/N$16,"")</f>
        <v/>
      </c>
      <c r="P95" s="12"/>
      <c r="Q95" s="12"/>
      <c r="R95" s="60" t="s">
        <v>1397</v>
      </c>
      <c r="S95" s="61" t="n">
        <v>32400</v>
      </c>
      <c r="T95" s="62" t="n">
        <v>0.05</v>
      </c>
      <c r="U95" s="59" t="n">
        <f aca="false">IF($R95="Manual","",IFERROR(IF($R95="YOY Growth",$N95*(1+$T95)/12,$S95/12),""))</f>
        <v>2700</v>
      </c>
      <c r="V95" s="59" t="n">
        <f aca="false">IF($R95="Manual","",IFERROR(IF($R95="YOY Growth",$N95*(1+$T95)/12,$S95/12),""))</f>
        <v>2700</v>
      </c>
      <c r="W95" s="59" t="n">
        <f aca="false">IF($R95="Manual","",IFERROR(IF($R95="YOY Growth",$N95*(1+$T95)/12,$S95/12),""))</f>
        <v>2700</v>
      </c>
      <c r="X95" s="59" t="n">
        <f aca="false">IF($R95="Manual","",IFERROR(IF($R95="YOY Growth",$N95*(1+$T95)/12,$S95/12),""))</f>
        <v>2700</v>
      </c>
      <c r="Y95" s="59" t="n">
        <f aca="false">IF($R95="Manual","",IFERROR(IF($R95="YOY Growth",$N95*(1+$T95)/12,$S95/12),""))*Y146</f>
        <v>2835</v>
      </c>
      <c r="Z95" s="59" t="n">
        <f aca="false">IF($R95="Manual","",IFERROR(IF($R95="YOY Growth",$N95*(1+$T95)/12,$S95/12),""))*Z146</f>
        <v>2970</v>
      </c>
      <c r="AA95" s="59" t="n">
        <f aca="false">IF($R95="Manual","",IFERROR(IF($R95="YOY Growth",$N95*(1+$T95)/12,$S95/12),""))*AA146</f>
        <v>3105</v>
      </c>
      <c r="AB95" s="59" t="n">
        <f aca="false">IF($R95="Manual","",IFERROR(IF($R95="YOY Growth",$N95*(1+$T95)/12,$S95/12),""))*AB146</f>
        <v>3240</v>
      </c>
      <c r="AC95" s="59" t="n">
        <f aca="false">IF($R95="Manual","",IFERROR(IF($R95="YOY Growth",$N95*(1+$T95)/12,$S95/12),""))*AC146</f>
        <v>3375</v>
      </c>
      <c r="AD95" s="59" t="n">
        <f aca="false">IF($R95="Manual","",IFERROR(IF($R95="YOY Growth",$N95*(1+$T95)/12,$S95/12),""))*AD146</f>
        <v>3510</v>
      </c>
      <c r="AE95" s="59" t="n">
        <f aca="false">IF($R95="Manual","",IFERROR(IF($R95="YOY Growth",$N95*(1+$T95)/12,$S95/12),""))*AE146</f>
        <v>3645</v>
      </c>
      <c r="AF95" s="59" t="n">
        <f aca="false">IF($R95="Manual","",IFERROR(IF($R95="YOY Growth",$N95*(1+$T95)/12,$S95/12),""))</f>
        <v>2700</v>
      </c>
      <c r="AG95" s="12" t="n">
        <f aca="false">SUM(U95:AF95)</f>
        <v>36180</v>
      </c>
      <c r="AH95" s="24" t="str">
        <f aca="false">IFERROR(AG95/AG$16,"")</f>
        <v/>
      </c>
      <c r="AI95" s="9"/>
      <c r="AJ95" s="12" t="n">
        <f aca="false">N95-AG95</f>
        <v>-14475.02</v>
      </c>
    </row>
    <row r="96" customFormat="false" ht="13.5" hidden="false" customHeight="true" outlineLevel="0" collapsed="false">
      <c r="A96" s="23" t="s">
        <v>1350</v>
      </c>
      <c r="B96" s="12" t="n">
        <v>0</v>
      </c>
      <c r="C96" s="12" t="n">
        <v>0</v>
      </c>
      <c r="D96" s="12" t="n">
        <v>0</v>
      </c>
      <c r="E96" s="12" t="n">
        <v>0</v>
      </c>
      <c r="F96" s="12" t="n">
        <v>0</v>
      </c>
      <c r="G96" s="12" t="n">
        <v>0</v>
      </c>
      <c r="H96" s="12" t="n">
        <v>0</v>
      </c>
      <c r="I96" s="12" t="n">
        <v>0</v>
      </c>
      <c r="J96" s="64" t="n">
        <v>0</v>
      </c>
      <c r="K96" s="64" t="n">
        <v>0</v>
      </c>
      <c r="L96" s="64" t="n">
        <v>0</v>
      </c>
      <c r="M96" s="64" t="n">
        <v>0</v>
      </c>
      <c r="N96" s="12" t="n">
        <f aca="false">SUM(B96:M96)</f>
        <v>0</v>
      </c>
      <c r="O96" s="24" t="str">
        <f aca="false">IFERROR(N96/N$16,"")</f>
        <v/>
      </c>
      <c r="P96" s="12"/>
      <c r="Q96" s="12"/>
      <c r="R96" s="60" t="s">
        <v>1397</v>
      </c>
      <c r="S96" s="61" t="n">
        <v>0</v>
      </c>
      <c r="T96" s="62" t="n">
        <v>0.05</v>
      </c>
      <c r="U96" s="59" t="n">
        <f aca="false">IF($R96="Manual","",IFERROR(IF($R96="YOY Growth",$N96*(1+$T96)/12,$S96/12),""))</f>
        <v>0</v>
      </c>
      <c r="V96" s="59" t="n">
        <f aca="false">IF($R96="Manual","",IFERROR(IF($R96="YOY Growth",$N96*(1+$T96)/12,$S96/12),""))</f>
        <v>0</v>
      </c>
      <c r="W96" s="59" t="n">
        <f aca="false">IF($R96="Manual","",IFERROR(IF($R96="YOY Growth",$N96*(1+$T96)/12,$S96/12),""))</f>
        <v>0</v>
      </c>
      <c r="X96" s="59" t="n">
        <f aca="false">IF($R96="Manual","",IFERROR(IF($R96="YOY Growth",$N96*(1+$T96)/12,$S96/12),""))</f>
        <v>0</v>
      </c>
      <c r="Y96" s="59" t="n">
        <f aca="false">IF($R96="Manual","",IFERROR(IF($R96="YOY Growth",$N96*(1+$T96)/12,$S96/12),""))</f>
        <v>0</v>
      </c>
      <c r="Z96" s="59" t="n">
        <f aca="false">IF($R96="Manual","",IFERROR(IF($R96="YOY Growth",$N96*(1+$T96)/12,$S96/12),""))</f>
        <v>0</v>
      </c>
      <c r="AA96" s="59" t="n">
        <f aca="false">IF($R96="Manual","",IFERROR(IF($R96="YOY Growth",$N96*(1+$T96)/12,$S96/12),""))</f>
        <v>0</v>
      </c>
      <c r="AB96" s="59" t="n">
        <f aca="false">IF($R96="Manual","",IFERROR(IF($R96="YOY Growth",$N96*(1+$T96)/12,$S96/12),""))</f>
        <v>0</v>
      </c>
      <c r="AC96" s="59" t="n">
        <f aca="false">IF($R96="Manual","",IFERROR(IF($R96="YOY Growth",$N96*(1+$T96)/12,$S96/12),""))</f>
        <v>0</v>
      </c>
      <c r="AD96" s="59" t="n">
        <f aca="false">IF($R96="Manual","",IFERROR(IF($R96="YOY Growth",$N96*(1+$T96)/12,$S96/12),""))</f>
        <v>0</v>
      </c>
      <c r="AE96" s="59" t="n">
        <f aca="false">IF($R96="Manual","",IFERROR(IF($R96="YOY Growth",$N96*(1+$T96)/12,$S96/12),""))</f>
        <v>0</v>
      </c>
      <c r="AF96" s="59" t="n">
        <f aca="false">IF($R96="Manual","",IFERROR(IF($R96="YOY Growth",$N96*(1+$T96)/12,$S96/12),""))</f>
        <v>0</v>
      </c>
      <c r="AG96" s="12" t="n">
        <f aca="false">SUM(U96:AF96)</f>
        <v>0</v>
      </c>
      <c r="AH96" s="24" t="str">
        <f aca="false">IFERROR(AG96/AG$16,"")</f>
        <v/>
      </c>
      <c r="AI96" s="9"/>
      <c r="AJ96" s="12" t="n">
        <f aca="false">N96-AG96</f>
        <v>0</v>
      </c>
    </row>
    <row r="97" customFormat="false" ht="13.5" hidden="false" customHeight="true" outlineLevel="0" collapsed="false">
      <c r="A97" s="23" t="s">
        <v>1351</v>
      </c>
      <c r="B97" s="12" t="n">
        <v>0</v>
      </c>
      <c r="C97" s="12" t="n">
        <v>0</v>
      </c>
      <c r="D97" s="12" t="n">
        <v>0</v>
      </c>
      <c r="E97" s="12" t="n">
        <v>0</v>
      </c>
      <c r="F97" s="12" t="n">
        <v>0</v>
      </c>
      <c r="G97" s="12" t="n">
        <v>0</v>
      </c>
      <c r="H97" s="12" t="n">
        <v>0</v>
      </c>
      <c r="I97" s="12" t="n">
        <v>0</v>
      </c>
      <c r="J97" s="64" t="n">
        <v>0</v>
      </c>
      <c r="K97" s="64" t="n">
        <v>0</v>
      </c>
      <c r="L97" s="64" t="n">
        <v>0</v>
      </c>
      <c r="M97" s="64" t="n">
        <v>0</v>
      </c>
      <c r="N97" s="12" t="n">
        <f aca="false">SUM(B97:M97)</f>
        <v>0</v>
      </c>
      <c r="O97" s="24" t="str">
        <f aca="false">IFERROR(N97/N$16,"")</f>
        <v/>
      </c>
      <c r="P97" s="12"/>
      <c r="Q97" s="12"/>
      <c r="R97" s="60" t="s">
        <v>1397</v>
      </c>
      <c r="S97" s="61" t="n">
        <v>0</v>
      </c>
      <c r="T97" s="62" t="n">
        <v>0.05</v>
      </c>
      <c r="U97" s="59" t="n">
        <f aca="false">IF($R97="Manual","",IFERROR(IF($R97="YOY Growth",$N97*(1+$T97)/12,$S97/12),""))</f>
        <v>0</v>
      </c>
      <c r="V97" s="59" t="n">
        <f aca="false">IF($R97="Manual","",IFERROR(IF($R97="YOY Growth",$N97*(1+$T97)/12,$S97/12),""))</f>
        <v>0</v>
      </c>
      <c r="W97" s="59" t="n">
        <f aca="false">IF($R97="Manual","",IFERROR(IF($R97="YOY Growth",$N97*(1+$T97)/12,$S97/12),""))</f>
        <v>0</v>
      </c>
      <c r="X97" s="59" t="n">
        <f aca="false">IF($R97="Manual","",IFERROR(IF($R97="YOY Growth",$N97*(1+$T97)/12,$S97/12),""))</f>
        <v>0</v>
      </c>
      <c r="Y97" s="59" t="n">
        <f aca="false">IF($R97="Manual","",IFERROR(IF($R97="YOY Growth",$N97*(1+$T97)/12,$S97/12),""))</f>
        <v>0</v>
      </c>
      <c r="Z97" s="59" t="n">
        <f aca="false">IF($R97="Manual","",IFERROR(IF($R97="YOY Growth",$N97*(1+$T97)/12,$S97/12),""))</f>
        <v>0</v>
      </c>
      <c r="AA97" s="59" t="n">
        <f aca="false">IF($R97="Manual","",IFERROR(IF($R97="YOY Growth",$N97*(1+$T97)/12,$S97/12),""))</f>
        <v>0</v>
      </c>
      <c r="AB97" s="59" t="n">
        <f aca="false">IF($R97="Manual","",IFERROR(IF($R97="YOY Growth",$N97*(1+$T97)/12,$S97/12),""))</f>
        <v>0</v>
      </c>
      <c r="AC97" s="59" t="n">
        <f aca="false">IF($R97="Manual","",IFERROR(IF($R97="YOY Growth",$N97*(1+$T97)/12,$S97/12),""))</f>
        <v>0</v>
      </c>
      <c r="AD97" s="59" t="n">
        <f aca="false">IF($R97="Manual","",IFERROR(IF($R97="YOY Growth",$N97*(1+$T97)/12,$S97/12),""))</f>
        <v>0</v>
      </c>
      <c r="AE97" s="59" t="n">
        <f aca="false">IF($R97="Manual","",IFERROR(IF($R97="YOY Growth",$N97*(1+$T97)/12,$S97/12),""))</f>
        <v>0</v>
      </c>
      <c r="AF97" s="59" t="n">
        <f aca="false">IF($R97="Manual","",IFERROR(IF($R97="YOY Growth",$N97*(1+$T97)/12,$S97/12),""))</f>
        <v>0</v>
      </c>
      <c r="AG97" s="12" t="n">
        <f aca="false">SUM(U97:AF97)</f>
        <v>0</v>
      </c>
      <c r="AH97" s="24" t="str">
        <f aca="false">IFERROR(AG97/AG$16,"")</f>
        <v/>
      </c>
      <c r="AI97" s="9"/>
      <c r="AJ97" s="12" t="n">
        <f aca="false">N97-AG97</f>
        <v>0</v>
      </c>
    </row>
    <row r="98" customFormat="false" ht="13.5" hidden="false" customHeight="true" outlineLevel="0" collapsed="false">
      <c r="A98" s="23" t="s">
        <v>1352</v>
      </c>
      <c r="B98" s="12" t="n">
        <v>0</v>
      </c>
      <c r="C98" s="12" t="n">
        <v>0</v>
      </c>
      <c r="D98" s="12" t="n">
        <v>0</v>
      </c>
      <c r="E98" s="12" t="n">
        <v>0</v>
      </c>
      <c r="F98" s="12" t="n">
        <v>0</v>
      </c>
      <c r="G98" s="12" t="n">
        <v>0</v>
      </c>
      <c r="H98" s="12" t="n">
        <v>0</v>
      </c>
      <c r="I98" s="12" t="n">
        <v>0</v>
      </c>
      <c r="J98" s="64" t="n">
        <v>0</v>
      </c>
      <c r="K98" s="64" t="n">
        <v>0</v>
      </c>
      <c r="L98" s="64" t="n">
        <v>0</v>
      </c>
      <c r="M98" s="64" t="n">
        <v>0</v>
      </c>
      <c r="N98" s="12" t="n">
        <f aca="false">SUM(B98:M98)</f>
        <v>0</v>
      </c>
      <c r="O98" s="24" t="str">
        <f aca="false">IFERROR(N98/N$16,"")</f>
        <v/>
      </c>
      <c r="P98" s="12"/>
      <c r="Q98" s="12"/>
      <c r="R98" s="60" t="s">
        <v>1397</v>
      </c>
      <c r="S98" s="61" t="n">
        <v>0</v>
      </c>
      <c r="T98" s="62" t="n">
        <v>0.05</v>
      </c>
      <c r="U98" s="59" t="n">
        <f aca="false">IF($R98="Manual","",IFERROR(IF($R98="YOY Growth",$N98*(1+$T98)/12,$S98/12),""))</f>
        <v>0</v>
      </c>
      <c r="V98" s="59" t="n">
        <f aca="false">IF($R98="Manual","",IFERROR(IF($R98="YOY Growth",$N98*(1+$T98)/12,$S98/12),""))</f>
        <v>0</v>
      </c>
      <c r="W98" s="59" t="n">
        <f aca="false">IF($R98="Manual","",IFERROR(IF($R98="YOY Growth",$N98*(1+$T98)/12,$S98/12),""))</f>
        <v>0</v>
      </c>
      <c r="X98" s="59" t="n">
        <f aca="false">IF($R98="Manual","",IFERROR(IF($R98="YOY Growth",$N98*(1+$T98)/12,$S98/12),""))</f>
        <v>0</v>
      </c>
      <c r="Y98" s="59" t="n">
        <f aca="false">IF($R98="Manual","",IFERROR(IF($R98="YOY Growth",$N98*(1+$T98)/12,$S98/12),""))</f>
        <v>0</v>
      </c>
      <c r="Z98" s="59" t="n">
        <f aca="false">IF($R98="Manual","",IFERROR(IF($R98="YOY Growth",$N98*(1+$T98)/12,$S98/12),""))</f>
        <v>0</v>
      </c>
      <c r="AA98" s="59" t="n">
        <f aca="false">IF($R98="Manual","",IFERROR(IF($R98="YOY Growth",$N98*(1+$T98)/12,$S98/12),""))</f>
        <v>0</v>
      </c>
      <c r="AB98" s="59" t="n">
        <f aca="false">IF($R98="Manual","",IFERROR(IF($R98="YOY Growth",$N98*(1+$T98)/12,$S98/12),""))</f>
        <v>0</v>
      </c>
      <c r="AC98" s="59" t="n">
        <f aca="false">IF($R98="Manual","",IFERROR(IF($R98="YOY Growth",$N98*(1+$T98)/12,$S98/12),""))</f>
        <v>0</v>
      </c>
      <c r="AD98" s="59" t="n">
        <f aca="false">IF($R98="Manual","",IFERROR(IF($R98="YOY Growth",$N98*(1+$T98)/12,$S98/12),""))</f>
        <v>0</v>
      </c>
      <c r="AE98" s="59" t="n">
        <f aca="false">IF($R98="Manual","",IFERROR(IF($R98="YOY Growth",$N98*(1+$T98)/12,$S98/12),""))</f>
        <v>0</v>
      </c>
      <c r="AF98" s="59" t="n">
        <f aca="false">IF($R98="Manual","",IFERROR(IF($R98="YOY Growth",$N98*(1+$T98)/12,$S98/12),""))</f>
        <v>0</v>
      </c>
      <c r="AG98" s="12" t="n">
        <f aca="false">SUM(U98:AF98)</f>
        <v>0</v>
      </c>
      <c r="AH98" s="24" t="str">
        <f aca="false">IFERROR(AG98/AG$16,"")</f>
        <v/>
      </c>
      <c r="AI98" s="9"/>
      <c r="AJ98" s="12" t="n">
        <f aca="false">N98-AG98</f>
        <v>0</v>
      </c>
    </row>
    <row r="99" customFormat="false" ht="13.5" hidden="false" customHeight="true" outlineLevel="0" collapsed="false">
      <c r="A99" s="23" t="s">
        <v>1353</v>
      </c>
      <c r="B99" s="12" t="n">
        <v>108.95</v>
      </c>
      <c r="C99" s="12" t="n">
        <v>653.17</v>
      </c>
      <c r="D99" s="12" t="n">
        <v>183.94</v>
      </c>
      <c r="E99" s="12" t="n">
        <v>108.95</v>
      </c>
      <c r="F99" s="12" t="n">
        <v>0</v>
      </c>
      <c r="G99" s="12" t="n">
        <v>48.95</v>
      </c>
      <c r="H99" s="12" t="n">
        <v>125.05</v>
      </c>
      <c r="I99" s="12" t="n">
        <v>64.2</v>
      </c>
      <c r="J99" s="64" t="n">
        <v>450</v>
      </c>
      <c r="K99" s="64" t="n">
        <v>450</v>
      </c>
      <c r="L99" s="64" t="n">
        <v>450</v>
      </c>
      <c r="M99" s="64" t="n">
        <v>450</v>
      </c>
      <c r="N99" s="12" t="n">
        <f aca="false">SUM(B99:M99)</f>
        <v>3093.21</v>
      </c>
      <c r="O99" s="24" t="str">
        <f aca="false">IFERROR(N99/N$16,"")</f>
        <v/>
      </c>
      <c r="P99" s="12"/>
      <c r="Q99" s="12"/>
      <c r="R99" s="60" t="s">
        <v>1397</v>
      </c>
      <c r="S99" s="61" t="n">
        <v>5400</v>
      </c>
      <c r="T99" s="62" t="n">
        <v>0.05</v>
      </c>
      <c r="U99" s="59" t="n">
        <f aca="false">IF($R99="Manual","",IFERROR(IF($R99="YOY Growth",$N99*(1+$T99)/12,$S99/12),""))</f>
        <v>450</v>
      </c>
      <c r="V99" s="59" t="n">
        <f aca="false">IF($R99="Manual","",IFERROR(IF($R99="YOY Growth",$N99*(1+$T99)/12,$S99/12),""))</f>
        <v>450</v>
      </c>
      <c r="W99" s="59" t="n">
        <f aca="false">IF($R99="Manual","",IFERROR(IF($R99="YOY Growth",$N99*(1+$T99)/12,$S99/12),""))</f>
        <v>450</v>
      </c>
      <c r="X99" s="59" t="n">
        <f aca="false">IF($R99="Manual","",IFERROR(IF($R99="YOY Growth",$N99*(1+$T99)/12,$S99/12),""))</f>
        <v>450</v>
      </c>
      <c r="Y99" s="59" t="n">
        <f aca="false">IF($R99="Manual","",IFERROR(IF($R99="YOY Growth",$N99*(1+$T99)/12,$S99/12),""))</f>
        <v>450</v>
      </c>
      <c r="Z99" s="59" t="n">
        <f aca="false">IF($R99="Manual","",IFERROR(IF($R99="YOY Growth",$N99*(1+$T99)/12,$S99/12),""))</f>
        <v>450</v>
      </c>
      <c r="AA99" s="59" t="n">
        <f aca="false">IF($R99="Manual","",IFERROR(IF($R99="YOY Growth",$N99*(1+$T99)/12,$S99/12),""))</f>
        <v>450</v>
      </c>
      <c r="AB99" s="59" t="n">
        <f aca="false">IF($R99="Manual","",IFERROR(IF($R99="YOY Growth",$N99*(1+$T99)/12,$S99/12),""))</f>
        <v>450</v>
      </c>
      <c r="AC99" s="59" t="n">
        <f aca="false">IF($R99="Manual","",IFERROR(IF($R99="YOY Growth",$N99*(1+$T99)/12,$S99/12),""))</f>
        <v>450</v>
      </c>
      <c r="AD99" s="59" t="n">
        <f aca="false">IF($R99="Manual","",IFERROR(IF($R99="YOY Growth",$N99*(1+$T99)/12,$S99/12),""))</f>
        <v>450</v>
      </c>
      <c r="AE99" s="59" t="n">
        <f aca="false">IF($R99="Manual","",IFERROR(IF($R99="YOY Growth",$N99*(1+$T99)/12,$S99/12),""))</f>
        <v>450</v>
      </c>
      <c r="AF99" s="59" t="n">
        <f aca="false">IF($R99="Manual","",IFERROR(IF($R99="YOY Growth",$N99*(1+$T99)/12,$S99/12),""))</f>
        <v>450</v>
      </c>
      <c r="AG99" s="12" t="n">
        <f aca="false">SUM(U99:AF99)</f>
        <v>5400</v>
      </c>
      <c r="AH99" s="24" t="str">
        <f aca="false">IFERROR(AG99/AG$16,"")</f>
        <v/>
      </c>
      <c r="AI99" s="9"/>
      <c r="AJ99" s="12" t="n">
        <f aca="false">N99-AG99</f>
        <v>-2306.79</v>
      </c>
    </row>
    <row r="100" customFormat="false" ht="13.5" hidden="false" customHeight="true" outlineLevel="0" collapsed="false">
      <c r="A100" s="23" t="s">
        <v>1354</v>
      </c>
      <c r="B100" s="12" t="n">
        <v>0</v>
      </c>
      <c r="C100" s="12" t="n">
        <v>0</v>
      </c>
      <c r="D100" s="12" t="n">
        <v>0</v>
      </c>
      <c r="E100" s="12" t="n">
        <v>0</v>
      </c>
      <c r="F100" s="12" t="n">
        <v>0</v>
      </c>
      <c r="G100" s="12" t="n">
        <v>0</v>
      </c>
      <c r="H100" s="12" t="n">
        <v>0</v>
      </c>
      <c r="I100" s="12" t="n">
        <v>0</v>
      </c>
      <c r="J100" s="64" t="n">
        <v>0</v>
      </c>
      <c r="K100" s="64" t="n">
        <v>0</v>
      </c>
      <c r="L100" s="64" t="n">
        <v>0</v>
      </c>
      <c r="M100" s="64" t="n">
        <v>0</v>
      </c>
      <c r="N100" s="12" t="n">
        <f aca="false">SUM(B100:M100)</f>
        <v>0</v>
      </c>
      <c r="O100" s="24" t="str">
        <f aca="false">IFERROR(N100/N$16,"")</f>
        <v/>
      </c>
      <c r="P100" s="12"/>
      <c r="Q100" s="12"/>
      <c r="R100" s="60" t="s">
        <v>1397</v>
      </c>
      <c r="S100" s="61" t="n">
        <v>0</v>
      </c>
      <c r="T100" s="62" t="n">
        <v>0.05</v>
      </c>
      <c r="U100" s="59" t="n">
        <f aca="false">IF($R100="Manual","",IFERROR(IF($R100="YOY Growth",$N100*(1+$T100)/12,$S100/12),""))</f>
        <v>0</v>
      </c>
      <c r="V100" s="59" t="n">
        <f aca="false">IF($R100="Manual","",IFERROR(IF($R100="YOY Growth",$N100*(1+$T100)/12,$S100/12),""))</f>
        <v>0</v>
      </c>
      <c r="W100" s="59" t="n">
        <f aca="false">IF($R100="Manual","",IFERROR(IF($R100="YOY Growth",$N100*(1+$T100)/12,$S100/12),""))</f>
        <v>0</v>
      </c>
      <c r="X100" s="59" t="n">
        <f aca="false">IF($R100="Manual","",IFERROR(IF($R100="YOY Growth",$N100*(1+$T100)/12,$S100/12),""))</f>
        <v>0</v>
      </c>
      <c r="Y100" s="59" t="n">
        <f aca="false">IF($R100="Manual","",IFERROR(IF($R100="YOY Growth",$N100*(1+$T100)/12,$S100/12),""))</f>
        <v>0</v>
      </c>
      <c r="Z100" s="59" t="n">
        <f aca="false">IF($R100="Manual","",IFERROR(IF($R100="YOY Growth",$N100*(1+$T100)/12,$S100/12),""))</f>
        <v>0</v>
      </c>
      <c r="AA100" s="59" t="n">
        <f aca="false">IF($R100="Manual","",IFERROR(IF($R100="YOY Growth",$N100*(1+$T100)/12,$S100/12),""))</f>
        <v>0</v>
      </c>
      <c r="AB100" s="59" t="n">
        <f aca="false">IF($R100="Manual","",IFERROR(IF($R100="YOY Growth",$N100*(1+$T100)/12,$S100/12),""))</f>
        <v>0</v>
      </c>
      <c r="AC100" s="59" t="n">
        <f aca="false">IF($R100="Manual","",IFERROR(IF($R100="YOY Growth",$N100*(1+$T100)/12,$S100/12),""))</f>
        <v>0</v>
      </c>
      <c r="AD100" s="59" t="n">
        <f aca="false">IF($R100="Manual","",IFERROR(IF($R100="YOY Growth",$N100*(1+$T100)/12,$S100/12),""))</f>
        <v>0</v>
      </c>
      <c r="AE100" s="59" t="n">
        <f aca="false">IF($R100="Manual","",IFERROR(IF($R100="YOY Growth",$N100*(1+$T100)/12,$S100/12),""))</f>
        <v>0</v>
      </c>
      <c r="AF100" s="59" t="n">
        <f aca="false">IF($R100="Manual","",IFERROR(IF($R100="YOY Growth",$N100*(1+$T100)/12,$S100/12),""))</f>
        <v>0</v>
      </c>
      <c r="AG100" s="12" t="n">
        <f aca="false">SUM(U100:AF100)</f>
        <v>0</v>
      </c>
      <c r="AH100" s="24" t="str">
        <f aca="false">IFERROR(AG100/AG$16,"")</f>
        <v/>
      </c>
      <c r="AI100" s="9"/>
      <c r="AJ100" s="12" t="n">
        <f aca="false">N100-AG100</f>
        <v>0</v>
      </c>
    </row>
    <row r="101" customFormat="false" ht="13.5" hidden="false" customHeight="true" outlineLevel="0" collapsed="false">
      <c r="A101" s="23" t="s">
        <v>1355</v>
      </c>
      <c r="B101" s="12" t="n">
        <v>0</v>
      </c>
      <c r="C101" s="12" t="n">
        <v>0</v>
      </c>
      <c r="D101" s="12" t="n">
        <v>0</v>
      </c>
      <c r="E101" s="12" t="n">
        <v>0</v>
      </c>
      <c r="F101" s="12" t="n">
        <v>0</v>
      </c>
      <c r="G101" s="12" t="n">
        <v>0</v>
      </c>
      <c r="H101" s="12" t="n">
        <v>0</v>
      </c>
      <c r="I101" s="12" t="n">
        <v>0</v>
      </c>
      <c r="J101" s="64" t="n">
        <v>0</v>
      </c>
      <c r="K101" s="64" t="n">
        <v>0</v>
      </c>
      <c r="L101" s="64" t="n">
        <v>0</v>
      </c>
      <c r="M101" s="64" t="n">
        <v>0</v>
      </c>
      <c r="N101" s="12" t="n">
        <f aca="false">SUM(B101:M101)</f>
        <v>0</v>
      </c>
      <c r="O101" s="24" t="str">
        <f aca="false">IFERROR(N101/N$16,"")</f>
        <v/>
      </c>
      <c r="P101" s="12"/>
      <c r="Q101" s="12"/>
      <c r="R101" s="60" t="s">
        <v>1397</v>
      </c>
      <c r="S101" s="61" t="n">
        <v>0</v>
      </c>
      <c r="T101" s="62" t="n">
        <v>0.05</v>
      </c>
      <c r="U101" s="59" t="n">
        <f aca="false">IF($R101="Manual","",IFERROR(IF($R101="YOY Growth",$N101*(1+$T101)/12,$S101/12),""))</f>
        <v>0</v>
      </c>
      <c r="V101" s="59" t="n">
        <f aca="false">IF($R101="Manual","",IFERROR(IF($R101="YOY Growth",$N101*(1+$T101)/12,$S101/12),""))</f>
        <v>0</v>
      </c>
      <c r="W101" s="59" t="n">
        <f aca="false">IF($R101="Manual","",IFERROR(IF($R101="YOY Growth",$N101*(1+$T101)/12,$S101/12),""))</f>
        <v>0</v>
      </c>
      <c r="X101" s="59" t="n">
        <f aca="false">IF($R101="Manual","",IFERROR(IF($R101="YOY Growth",$N101*(1+$T101)/12,$S101/12),""))</f>
        <v>0</v>
      </c>
      <c r="Y101" s="59" t="n">
        <f aca="false">IF($R101="Manual","",IFERROR(IF($R101="YOY Growth",$N101*(1+$T101)/12,$S101/12),""))</f>
        <v>0</v>
      </c>
      <c r="Z101" s="59" t="n">
        <f aca="false">IF($R101="Manual","",IFERROR(IF($R101="YOY Growth",$N101*(1+$T101)/12,$S101/12),""))</f>
        <v>0</v>
      </c>
      <c r="AA101" s="59" t="n">
        <f aca="false">IF($R101="Manual","",IFERROR(IF($R101="YOY Growth",$N101*(1+$T101)/12,$S101/12),""))</f>
        <v>0</v>
      </c>
      <c r="AB101" s="59" t="n">
        <f aca="false">IF($R101="Manual","",IFERROR(IF($R101="YOY Growth",$N101*(1+$T101)/12,$S101/12),""))</f>
        <v>0</v>
      </c>
      <c r="AC101" s="59" t="n">
        <f aca="false">IF($R101="Manual","",IFERROR(IF($R101="YOY Growth",$N101*(1+$T101)/12,$S101/12),""))</f>
        <v>0</v>
      </c>
      <c r="AD101" s="59" t="n">
        <f aca="false">IF($R101="Manual","",IFERROR(IF($R101="YOY Growth",$N101*(1+$T101)/12,$S101/12),""))</f>
        <v>0</v>
      </c>
      <c r="AE101" s="59" t="n">
        <f aca="false">IF($R101="Manual","",IFERROR(IF($R101="YOY Growth",$N101*(1+$T101)/12,$S101/12),""))</f>
        <v>0</v>
      </c>
      <c r="AF101" s="59" t="n">
        <f aca="false">IF($R101="Manual","",IFERROR(IF($R101="YOY Growth",$N101*(1+$T101)/12,$S101/12),""))</f>
        <v>0</v>
      </c>
      <c r="AG101" s="12" t="n">
        <f aca="false">SUM(U101:AF101)</f>
        <v>0</v>
      </c>
      <c r="AH101" s="24" t="str">
        <f aca="false">IFERROR(AG101/AG$16,"")</f>
        <v/>
      </c>
      <c r="AI101" s="9"/>
      <c r="AJ101" s="12" t="n">
        <f aca="false">N101-AG101</f>
        <v>0</v>
      </c>
    </row>
    <row r="102" customFormat="false" ht="13.5" hidden="false" customHeight="true" outlineLevel="0" collapsed="false">
      <c r="A102" s="23" t="s">
        <v>1356</v>
      </c>
      <c r="B102" s="12" t="n">
        <v>0</v>
      </c>
      <c r="C102" s="12" t="n">
        <v>188.66</v>
      </c>
      <c r="D102" s="12" t="n">
        <v>0</v>
      </c>
      <c r="E102" s="12" t="n">
        <v>0</v>
      </c>
      <c r="F102" s="12" t="n">
        <v>0</v>
      </c>
      <c r="G102" s="12" t="n">
        <v>0</v>
      </c>
      <c r="H102" s="12" t="n">
        <v>0</v>
      </c>
      <c r="I102" s="12" t="n">
        <v>34.99</v>
      </c>
      <c r="J102" s="64" t="n">
        <v>0</v>
      </c>
      <c r="K102" s="64" t="n">
        <v>0</v>
      </c>
      <c r="L102" s="64" t="n">
        <v>0</v>
      </c>
      <c r="M102" s="64" t="n">
        <v>0</v>
      </c>
      <c r="N102" s="12" t="n">
        <f aca="false">SUM(B102:M102)</f>
        <v>223.65</v>
      </c>
      <c r="O102" s="24" t="str">
        <f aca="false">IFERROR(N102/N$16,"")</f>
        <v/>
      </c>
      <c r="P102" s="12"/>
      <c r="Q102" s="12"/>
      <c r="R102" s="60" t="s">
        <v>1397</v>
      </c>
      <c r="S102" s="61"/>
      <c r="T102" s="62" t="n">
        <v>0.05</v>
      </c>
      <c r="U102" s="59" t="n">
        <f aca="false">IF($R102="Manual","",IFERROR(IF($R102="YOY Growth",$N102*(1+$T102)/12,$S102/12),""))</f>
        <v>0</v>
      </c>
      <c r="V102" s="59" t="n">
        <f aca="false">IF($R102="Manual","",IFERROR(IF($R102="YOY Growth",$N102*(1+$T102)/12,$S102/12),""))</f>
        <v>0</v>
      </c>
      <c r="W102" s="59" t="n">
        <f aca="false">IF($R102="Manual","",IFERROR(IF($R102="YOY Growth",$N102*(1+$T102)/12,$S102/12),""))</f>
        <v>0</v>
      </c>
      <c r="X102" s="59" t="n">
        <f aca="false">IF($R102="Manual","",IFERROR(IF($R102="YOY Growth",$N102*(1+$T102)/12,$S102/12),""))</f>
        <v>0</v>
      </c>
      <c r="Y102" s="59" t="n">
        <f aca="false">IF($R102="Manual","",IFERROR(IF($R102="YOY Growth",$N102*(1+$T102)/12,$S102/12),""))*Y146</f>
        <v>0</v>
      </c>
      <c r="Z102" s="59" t="n">
        <f aca="false">IF($R102="Manual","",IFERROR(IF($R102="YOY Growth",$N102*(1+$T102)/12,$S102/12),""))*Z146</f>
        <v>0</v>
      </c>
      <c r="AA102" s="59" t="n">
        <f aca="false">IF($R102="Manual","",IFERROR(IF($R102="YOY Growth",$N102*(1+$T102)/12,$S102/12),""))*AA146</f>
        <v>0</v>
      </c>
      <c r="AB102" s="59" t="n">
        <f aca="false">IF($R102="Manual","",IFERROR(IF($R102="YOY Growth",$N102*(1+$T102)/12,$S102/12),""))*AB146</f>
        <v>0</v>
      </c>
      <c r="AC102" s="59" t="n">
        <f aca="false">IF($R102="Manual","",IFERROR(IF($R102="YOY Growth",$N102*(1+$T102)/12,$S102/12),""))*AC146</f>
        <v>0</v>
      </c>
      <c r="AD102" s="59" t="n">
        <f aca="false">IF($R102="Manual","",IFERROR(IF($R102="YOY Growth",$N102*(1+$T102)/12,$S102/12),""))*AD146</f>
        <v>0</v>
      </c>
      <c r="AE102" s="59" t="n">
        <f aca="false">IF($R102="Manual","",IFERROR(IF($R102="YOY Growth",$N102*(1+$T102)/12,$S102/12),""))*AE146</f>
        <v>0</v>
      </c>
      <c r="AF102" s="59" t="n">
        <f aca="false">IF($R102="Manual","",IFERROR(IF($R102="YOY Growth",$N102*(1+$T102)/12,$S102/12),""))</f>
        <v>0</v>
      </c>
      <c r="AG102" s="12" t="n">
        <f aca="false">SUM(U102:AF102)</f>
        <v>0</v>
      </c>
      <c r="AH102" s="24" t="str">
        <f aca="false">IFERROR(AG102/AG$16,"")</f>
        <v/>
      </c>
      <c r="AI102" s="9"/>
      <c r="AJ102" s="12" t="n">
        <f aca="false">N102-AG102</f>
        <v>223.65</v>
      </c>
    </row>
    <row r="103" customFormat="false" ht="13.5" hidden="false" customHeight="true" outlineLevel="0" collapsed="false">
      <c r="A103" s="23" t="s">
        <v>1357</v>
      </c>
      <c r="B103" s="12" t="n">
        <v>0</v>
      </c>
      <c r="C103" s="12" t="n">
        <v>0</v>
      </c>
      <c r="D103" s="12" t="n">
        <v>0</v>
      </c>
      <c r="E103" s="12" t="n">
        <v>0</v>
      </c>
      <c r="F103" s="12" t="n">
        <v>0</v>
      </c>
      <c r="G103" s="12" t="n">
        <v>0</v>
      </c>
      <c r="H103" s="12" t="n">
        <v>0</v>
      </c>
      <c r="I103" s="12" t="n">
        <v>0</v>
      </c>
      <c r="J103" s="64" t="n">
        <v>0</v>
      </c>
      <c r="K103" s="64" t="n">
        <v>0</v>
      </c>
      <c r="L103" s="64" t="n">
        <v>0</v>
      </c>
      <c r="M103" s="64" t="n">
        <v>0</v>
      </c>
      <c r="N103" s="12" t="n">
        <f aca="false">SUM(B103:M103)</f>
        <v>0</v>
      </c>
      <c r="O103" s="24" t="str">
        <f aca="false">IFERROR(N103/N$16,"")</f>
        <v/>
      </c>
      <c r="P103" s="12"/>
      <c r="Q103" s="12"/>
      <c r="R103" s="60" t="s">
        <v>1397</v>
      </c>
      <c r="S103" s="61" t="n">
        <v>0</v>
      </c>
      <c r="T103" s="62" t="n">
        <v>0.05</v>
      </c>
      <c r="U103" s="59" t="n">
        <f aca="false">IF($R103="Manual","",IFERROR(IF($R103="YOY Growth",$N103*(1+$T103)/12,$S103/12),""))</f>
        <v>0</v>
      </c>
      <c r="V103" s="59" t="n">
        <f aca="false">IF($R103="Manual","",IFERROR(IF($R103="YOY Growth",$N103*(1+$T103)/12,$S103/12),""))</f>
        <v>0</v>
      </c>
      <c r="W103" s="59" t="n">
        <f aca="false">IF($R103="Manual","",IFERROR(IF($R103="YOY Growth",$N103*(1+$T103)/12,$S103/12),""))</f>
        <v>0</v>
      </c>
      <c r="X103" s="59" t="n">
        <f aca="false">IF($R103="Manual","",IFERROR(IF($R103="YOY Growth",$N103*(1+$T103)/12,$S103/12),""))</f>
        <v>0</v>
      </c>
      <c r="Y103" s="59" t="n">
        <f aca="false">IF($R103="Manual","",IFERROR(IF($R103="YOY Growth",$N103*(1+$T103)/12,$S103/12),""))</f>
        <v>0</v>
      </c>
      <c r="Z103" s="59" t="n">
        <f aca="false">IF($R103="Manual","",IFERROR(IF($R103="YOY Growth",$N103*(1+$T103)/12,$S103/12),""))</f>
        <v>0</v>
      </c>
      <c r="AA103" s="59" t="n">
        <f aca="false">IF($R103="Manual","",IFERROR(IF($R103="YOY Growth",$N103*(1+$T103)/12,$S103/12),""))</f>
        <v>0</v>
      </c>
      <c r="AB103" s="59" t="n">
        <f aca="false">IF($R103="Manual","",IFERROR(IF($R103="YOY Growth",$N103*(1+$T103)/12,$S103/12),""))</f>
        <v>0</v>
      </c>
      <c r="AC103" s="59" t="n">
        <f aca="false">IF($R103="Manual","",IFERROR(IF($R103="YOY Growth",$N103*(1+$T103)/12,$S103/12),""))</f>
        <v>0</v>
      </c>
      <c r="AD103" s="59" t="n">
        <f aca="false">IF($R103="Manual","",IFERROR(IF($R103="YOY Growth",$N103*(1+$T103)/12,$S103/12),""))</f>
        <v>0</v>
      </c>
      <c r="AE103" s="59" t="n">
        <f aca="false">IF($R103="Manual","",IFERROR(IF($R103="YOY Growth",$N103*(1+$T103)/12,$S103/12),""))</f>
        <v>0</v>
      </c>
      <c r="AF103" s="59" t="n">
        <f aca="false">IF($R103="Manual","",IFERROR(IF($R103="YOY Growth",$N103*(1+$T103)/12,$S103/12),""))</f>
        <v>0</v>
      </c>
      <c r="AG103" s="12" t="n">
        <f aca="false">SUM(U103:AF103)</f>
        <v>0</v>
      </c>
      <c r="AH103" s="24" t="str">
        <f aca="false">IFERROR(AG103/AG$16,"")</f>
        <v/>
      </c>
      <c r="AI103" s="9"/>
      <c r="AJ103" s="12" t="n">
        <f aca="false">N103-AG103</f>
        <v>0</v>
      </c>
    </row>
    <row r="104" customFormat="false" ht="13.5" hidden="false" customHeight="true" outlineLevel="0" collapsed="false">
      <c r="A104" s="23" t="s">
        <v>1358</v>
      </c>
      <c r="B104" s="12" t="n">
        <v>0</v>
      </c>
      <c r="C104" s="12" t="n">
        <v>0</v>
      </c>
      <c r="D104" s="12" t="n">
        <v>0</v>
      </c>
      <c r="E104" s="12" t="n">
        <v>0</v>
      </c>
      <c r="F104" s="12" t="n">
        <v>0</v>
      </c>
      <c r="G104" s="12" t="n">
        <v>0</v>
      </c>
      <c r="H104" s="12" t="n">
        <v>0</v>
      </c>
      <c r="I104" s="12" t="n">
        <v>0</v>
      </c>
      <c r="J104" s="64" t="n">
        <v>0</v>
      </c>
      <c r="K104" s="64" t="n">
        <v>0</v>
      </c>
      <c r="L104" s="64" t="n">
        <v>0</v>
      </c>
      <c r="M104" s="64" t="n">
        <v>0</v>
      </c>
      <c r="N104" s="12" t="n">
        <f aca="false">SUM(B104:M104)</f>
        <v>0</v>
      </c>
      <c r="O104" s="24" t="str">
        <f aca="false">IFERROR(N104/N$16,"")</f>
        <v/>
      </c>
      <c r="P104" s="12"/>
      <c r="Q104" s="12"/>
      <c r="R104" s="60" t="s">
        <v>1397</v>
      </c>
      <c r="S104" s="61" t="n">
        <v>0</v>
      </c>
      <c r="T104" s="62" t="n">
        <v>0.05</v>
      </c>
      <c r="U104" s="59" t="n">
        <f aca="false">IF($R104="Manual","",IFERROR(IF($R104="YOY Growth",$N104*(1+$T104)/12,$S104/12),""))</f>
        <v>0</v>
      </c>
      <c r="V104" s="59" t="n">
        <f aca="false">IF($R104="Manual","",IFERROR(IF($R104="YOY Growth",$N104*(1+$T104)/12,$S104/12),""))</f>
        <v>0</v>
      </c>
      <c r="W104" s="59" t="n">
        <f aca="false">IF($R104="Manual","",IFERROR(IF($R104="YOY Growth",$N104*(1+$T104)/12,$S104/12),""))</f>
        <v>0</v>
      </c>
      <c r="X104" s="59" t="n">
        <f aca="false">IF($R104="Manual","",IFERROR(IF($R104="YOY Growth",$N104*(1+$T104)/12,$S104/12),""))</f>
        <v>0</v>
      </c>
      <c r="Y104" s="59" t="n">
        <f aca="false">IF($R104="Manual","",IFERROR(IF($R104="YOY Growth",$N104*(1+$T104)/12,$S104/12),""))</f>
        <v>0</v>
      </c>
      <c r="Z104" s="59" t="n">
        <f aca="false">IF($R104="Manual","",IFERROR(IF($R104="YOY Growth",$N104*(1+$T104)/12,$S104/12),""))</f>
        <v>0</v>
      </c>
      <c r="AA104" s="59" t="n">
        <f aca="false">IF($R104="Manual","",IFERROR(IF($R104="YOY Growth",$N104*(1+$T104)/12,$S104/12),""))</f>
        <v>0</v>
      </c>
      <c r="AB104" s="59" t="n">
        <f aca="false">IF($R104="Manual","",IFERROR(IF($R104="YOY Growth",$N104*(1+$T104)/12,$S104/12),""))</f>
        <v>0</v>
      </c>
      <c r="AC104" s="59" t="n">
        <f aca="false">IF($R104="Manual","",IFERROR(IF($R104="YOY Growth",$N104*(1+$T104)/12,$S104/12),""))</f>
        <v>0</v>
      </c>
      <c r="AD104" s="59" t="n">
        <f aca="false">IF($R104="Manual","",IFERROR(IF($R104="YOY Growth",$N104*(1+$T104)/12,$S104/12),""))</f>
        <v>0</v>
      </c>
      <c r="AE104" s="59" t="n">
        <f aca="false">IF($R104="Manual","",IFERROR(IF($R104="YOY Growth",$N104*(1+$T104)/12,$S104/12),""))</f>
        <v>0</v>
      </c>
      <c r="AF104" s="59" t="n">
        <f aca="false">IF($R104="Manual","",IFERROR(IF($R104="YOY Growth",$N104*(1+$T104)/12,$S104/12),""))</f>
        <v>0</v>
      </c>
      <c r="AG104" s="12" t="n">
        <f aca="false">SUM(U104:AF104)</f>
        <v>0</v>
      </c>
      <c r="AH104" s="24" t="str">
        <f aca="false">IFERROR(AG104/AG$16,"")</f>
        <v/>
      </c>
      <c r="AI104" s="9"/>
      <c r="AJ104" s="12" t="n">
        <f aca="false">N104-AG104</f>
        <v>0</v>
      </c>
    </row>
    <row r="105" customFormat="false" ht="13.5" hidden="false" customHeight="true" outlineLevel="0" collapsed="false">
      <c r="A105" s="23" t="s">
        <v>1359</v>
      </c>
      <c r="B105" s="12" t="n">
        <v>0</v>
      </c>
      <c r="C105" s="12" t="n">
        <v>0</v>
      </c>
      <c r="D105" s="12" t="n">
        <v>0</v>
      </c>
      <c r="E105" s="12" t="n">
        <v>0</v>
      </c>
      <c r="F105" s="12" t="n">
        <v>0</v>
      </c>
      <c r="G105" s="12" t="n">
        <v>0</v>
      </c>
      <c r="H105" s="12" t="n">
        <v>0</v>
      </c>
      <c r="I105" s="12" t="n">
        <v>0</v>
      </c>
      <c r="J105" s="64" t="n">
        <v>0</v>
      </c>
      <c r="K105" s="64" t="n">
        <v>0</v>
      </c>
      <c r="L105" s="64" t="n">
        <v>0</v>
      </c>
      <c r="M105" s="64" t="n">
        <v>0</v>
      </c>
      <c r="N105" s="12" t="n">
        <f aca="false">SUM(B105:M105)</f>
        <v>0</v>
      </c>
      <c r="O105" s="24" t="str">
        <f aca="false">IFERROR(N105/N$16,"")</f>
        <v/>
      </c>
      <c r="P105" s="12"/>
      <c r="Q105" s="12"/>
      <c r="R105" s="60" t="s">
        <v>1397</v>
      </c>
      <c r="S105" s="61" t="n">
        <v>0</v>
      </c>
      <c r="T105" s="62" t="n">
        <v>0.05</v>
      </c>
      <c r="U105" s="59" t="n">
        <f aca="false">IF($R105="Manual","",IFERROR(IF($R105="YOY Growth",$N105*(1+$T105)/12,$S105/12),""))</f>
        <v>0</v>
      </c>
      <c r="V105" s="59" t="n">
        <f aca="false">IF($R105="Manual","",IFERROR(IF($R105="YOY Growth",$N105*(1+$T105)/12,$S105/12),""))</f>
        <v>0</v>
      </c>
      <c r="W105" s="59" t="n">
        <f aca="false">IF($R105="Manual","",IFERROR(IF($R105="YOY Growth",$N105*(1+$T105)/12,$S105/12),""))</f>
        <v>0</v>
      </c>
      <c r="X105" s="59" t="n">
        <f aca="false">IF($R105="Manual","",IFERROR(IF($R105="YOY Growth",$N105*(1+$T105)/12,$S105/12),""))</f>
        <v>0</v>
      </c>
      <c r="Y105" s="59" t="n">
        <f aca="false">IF($R105="Manual","",IFERROR(IF($R105="YOY Growth",$N105*(1+$T105)/12,$S105/12),""))</f>
        <v>0</v>
      </c>
      <c r="Z105" s="59" t="n">
        <f aca="false">IF($R105="Manual","",IFERROR(IF($R105="YOY Growth",$N105*(1+$T105)/12,$S105/12),""))</f>
        <v>0</v>
      </c>
      <c r="AA105" s="59" t="n">
        <f aca="false">IF($R105="Manual","",IFERROR(IF($R105="YOY Growth",$N105*(1+$T105)/12,$S105/12),""))</f>
        <v>0</v>
      </c>
      <c r="AB105" s="59" t="n">
        <f aca="false">IF($R105="Manual","",IFERROR(IF($R105="YOY Growth",$N105*(1+$T105)/12,$S105/12),""))</f>
        <v>0</v>
      </c>
      <c r="AC105" s="59" t="n">
        <f aca="false">IF($R105="Manual","",IFERROR(IF($R105="YOY Growth",$N105*(1+$T105)/12,$S105/12),""))</f>
        <v>0</v>
      </c>
      <c r="AD105" s="59" t="n">
        <f aca="false">IF($R105="Manual","",IFERROR(IF($R105="YOY Growth",$N105*(1+$T105)/12,$S105/12),""))</f>
        <v>0</v>
      </c>
      <c r="AE105" s="59" t="n">
        <f aca="false">IF($R105="Manual","",IFERROR(IF($R105="YOY Growth",$N105*(1+$T105)/12,$S105/12),""))</f>
        <v>0</v>
      </c>
      <c r="AF105" s="59" t="n">
        <f aca="false">IF($R105="Manual","",IFERROR(IF($R105="YOY Growth",$N105*(1+$T105)/12,$S105/12),""))</f>
        <v>0</v>
      </c>
      <c r="AG105" s="12" t="n">
        <f aca="false">SUM(U105:AF105)</f>
        <v>0</v>
      </c>
      <c r="AH105" s="24" t="str">
        <f aca="false">IFERROR(AG105/AG$16,"")</f>
        <v/>
      </c>
      <c r="AI105" s="9"/>
      <c r="AJ105" s="12" t="n">
        <f aca="false">N105-AG105</f>
        <v>0</v>
      </c>
    </row>
    <row r="106" customFormat="false" ht="13.5" hidden="false" customHeight="true" outlineLevel="0" collapsed="false">
      <c r="A106" s="23" t="s">
        <v>1360</v>
      </c>
      <c r="B106" s="12" t="n">
        <v>0</v>
      </c>
      <c r="C106" s="12" t="n">
        <v>0</v>
      </c>
      <c r="D106" s="12" t="n">
        <v>0</v>
      </c>
      <c r="E106" s="12" t="n">
        <v>0</v>
      </c>
      <c r="F106" s="12" t="n">
        <v>0</v>
      </c>
      <c r="G106" s="12" t="n">
        <v>0</v>
      </c>
      <c r="H106" s="12" t="n">
        <v>0</v>
      </c>
      <c r="I106" s="12" t="n">
        <v>0</v>
      </c>
      <c r="J106" s="64" t="n">
        <v>0</v>
      </c>
      <c r="K106" s="64" t="n">
        <v>0</v>
      </c>
      <c r="L106" s="64" t="n">
        <v>0</v>
      </c>
      <c r="M106" s="64" t="n">
        <v>0</v>
      </c>
      <c r="N106" s="12" t="n">
        <f aca="false">SUM(B106:M106)</f>
        <v>0</v>
      </c>
      <c r="O106" s="24" t="str">
        <f aca="false">IFERROR(N106/N$16,"")</f>
        <v/>
      </c>
      <c r="P106" s="12"/>
      <c r="Q106" s="12"/>
      <c r="R106" s="60" t="s">
        <v>1397</v>
      </c>
      <c r="S106" s="61" t="n">
        <v>0</v>
      </c>
      <c r="T106" s="62" t="n">
        <v>0.05</v>
      </c>
      <c r="U106" s="59" t="n">
        <f aca="false">IF($R106="Manual","",IFERROR(IF($R106="YOY Growth",$N106*(1+$T106)/12,$S106/12),""))</f>
        <v>0</v>
      </c>
      <c r="V106" s="59" t="n">
        <f aca="false">IF($R106="Manual","",IFERROR(IF($R106="YOY Growth",$N106*(1+$T106)/12,$S106/12),""))</f>
        <v>0</v>
      </c>
      <c r="W106" s="59" t="n">
        <f aca="false">IF($R106="Manual","",IFERROR(IF($R106="YOY Growth",$N106*(1+$T106)/12,$S106/12),""))</f>
        <v>0</v>
      </c>
      <c r="X106" s="59" t="n">
        <f aca="false">IF($R106="Manual","",IFERROR(IF($R106="YOY Growth",$N106*(1+$T106)/12,$S106/12),""))</f>
        <v>0</v>
      </c>
      <c r="Y106" s="59" t="n">
        <f aca="false">IF($R106="Manual","",IFERROR(IF($R106="YOY Growth",$N106*(1+$T106)/12,$S106/12),""))</f>
        <v>0</v>
      </c>
      <c r="Z106" s="59" t="n">
        <f aca="false">IF($R106="Manual","",IFERROR(IF($R106="YOY Growth",$N106*(1+$T106)/12,$S106/12),""))</f>
        <v>0</v>
      </c>
      <c r="AA106" s="59" t="n">
        <f aca="false">IF($R106="Manual","",IFERROR(IF($R106="YOY Growth",$N106*(1+$T106)/12,$S106/12),""))</f>
        <v>0</v>
      </c>
      <c r="AB106" s="59" t="n">
        <f aca="false">IF($R106="Manual","",IFERROR(IF($R106="YOY Growth",$N106*(1+$T106)/12,$S106/12),""))</f>
        <v>0</v>
      </c>
      <c r="AC106" s="59" t="n">
        <f aca="false">IF($R106="Manual","",IFERROR(IF($R106="YOY Growth",$N106*(1+$T106)/12,$S106/12),""))</f>
        <v>0</v>
      </c>
      <c r="AD106" s="59" t="n">
        <f aca="false">IF($R106="Manual","",IFERROR(IF($R106="YOY Growth",$N106*(1+$T106)/12,$S106/12),""))</f>
        <v>0</v>
      </c>
      <c r="AE106" s="59" t="n">
        <f aca="false">IF($R106="Manual","",IFERROR(IF($R106="YOY Growth",$N106*(1+$T106)/12,$S106/12),""))</f>
        <v>0</v>
      </c>
      <c r="AF106" s="59" t="n">
        <f aca="false">IF($R106="Manual","",IFERROR(IF($R106="YOY Growth",$N106*(1+$T106)/12,$S106/12),""))</f>
        <v>0</v>
      </c>
      <c r="AG106" s="12" t="n">
        <f aca="false">SUM(U106:AF106)</f>
        <v>0</v>
      </c>
      <c r="AH106" s="24" t="str">
        <f aca="false">IFERROR(AG106/AG$16,"")</f>
        <v/>
      </c>
      <c r="AI106" s="9"/>
      <c r="AJ106" s="12" t="n">
        <f aca="false">N106-AG106</f>
        <v>0</v>
      </c>
    </row>
    <row r="107" customFormat="false" ht="13.5" hidden="false" customHeight="true" outlineLevel="0" collapsed="false">
      <c r="A107" s="23" t="s">
        <v>1361</v>
      </c>
      <c r="B107" s="12" t="n">
        <v>0</v>
      </c>
      <c r="C107" s="12" t="n">
        <v>0</v>
      </c>
      <c r="D107" s="12" t="n">
        <v>0</v>
      </c>
      <c r="E107" s="12" t="n">
        <v>0</v>
      </c>
      <c r="F107" s="12" t="n">
        <v>0</v>
      </c>
      <c r="G107" s="12" t="n">
        <v>0</v>
      </c>
      <c r="H107" s="12" t="n">
        <v>0</v>
      </c>
      <c r="I107" s="12" t="n">
        <v>0</v>
      </c>
      <c r="J107" s="64" t="n">
        <v>0</v>
      </c>
      <c r="K107" s="64" t="n">
        <v>0</v>
      </c>
      <c r="L107" s="64" t="n">
        <v>0</v>
      </c>
      <c r="M107" s="64" t="n">
        <v>0</v>
      </c>
      <c r="N107" s="12" t="n">
        <f aca="false">SUM(B107:M107)</f>
        <v>0</v>
      </c>
      <c r="O107" s="24" t="str">
        <f aca="false">IFERROR(N107/N$16,"")</f>
        <v/>
      </c>
      <c r="P107" s="12"/>
      <c r="Q107" s="12"/>
      <c r="R107" s="60" t="s">
        <v>1397</v>
      </c>
      <c r="S107" s="61" t="n">
        <v>0</v>
      </c>
      <c r="T107" s="62" t="n">
        <v>0.05</v>
      </c>
      <c r="U107" s="59" t="n">
        <f aca="false">IF($R107="Manual","",IFERROR(IF($R107="YOY Growth",$N107*(1+$T107)/12,$S107/12),""))</f>
        <v>0</v>
      </c>
      <c r="V107" s="59" t="n">
        <f aca="false">IF($R107="Manual","",IFERROR(IF($R107="YOY Growth",$N107*(1+$T107)/12,$S107/12),""))</f>
        <v>0</v>
      </c>
      <c r="W107" s="59" t="n">
        <f aca="false">IF($R107="Manual","",IFERROR(IF($R107="YOY Growth",$N107*(1+$T107)/12,$S107/12),""))</f>
        <v>0</v>
      </c>
      <c r="X107" s="59" t="n">
        <f aca="false">IF($R107="Manual","",IFERROR(IF($R107="YOY Growth",$N107*(1+$T107)/12,$S107/12),""))</f>
        <v>0</v>
      </c>
      <c r="Y107" s="59" t="n">
        <f aca="false">IF($R107="Manual","",IFERROR(IF($R107="YOY Growth",$N107*(1+$T107)/12,$S107/12),""))</f>
        <v>0</v>
      </c>
      <c r="Z107" s="59" t="n">
        <f aca="false">IF($R107="Manual","",IFERROR(IF($R107="YOY Growth",$N107*(1+$T107)/12,$S107/12),""))</f>
        <v>0</v>
      </c>
      <c r="AA107" s="59" t="n">
        <f aca="false">IF($R107="Manual","",IFERROR(IF($R107="YOY Growth",$N107*(1+$T107)/12,$S107/12),""))</f>
        <v>0</v>
      </c>
      <c r="AB107" s="59" t="n">
        <f aca="false">IF($R107="Manual","",IFERROR(IF($R107="YOY Growth",$N107*(1+$T107)/12,$S107/12),""))</f>
        <v>0</v>
      </c>
      <c r="AC107" s="59" t="n">
        <f aca="false">IF($R107="Manual","",IFERROR(IF($R107="YOY Growth",$N107*(1+$T107)/12,$S107/12),""))</f>
        <v>0</v>
      </c>
      <c r="AD107" s="59" t="n">
        <f aca="false">IF($R107="Manual","",IFERROR(IF($R107="YOY Growth",$N107*(1+$T107)/12,$S107/12),""))</f>
        <v>0</v>
      </c>
      <c r="AE107" s="59" t="n">
        <f aca="false">IF($R107="Manual","",IFERROR(IF($R107="YOY Growth",$N107*(1+$T107)/12,$S107/12),""))</f>
        <v>0</v>
      </c>
      <c r="AF107" s="59" t="n">
        <f aca="false">IF($R107="Manual","",IFERROR(IF($R107="YOY Growth",$N107*(1+$T107)/12,$S107/12),""))</f>
        <v>0</v>
      </c>
      <c r="AG107" s="12" t="n">
        <f aca="false">SUM(U107:AF107)</f>
        <v>0</v>
      </c>
      <c r="AH107" s="24" t="str">
        <f aca="false">IFERROR(AG107/AG$16,"")</f>
        <v/>
      </c>
      <c r="AI107" s="9"/>
      <c r="AJ107" s="12" t="n">
        <f aca="false">N107-AG107</f>
        <v>0</v>
      </c>
    </row>
    <row r="108" customFormat="false" ht="13.5" hidden="false" customHeight="true" outlineLevel="0" collapsed="false">
      <c r="A108" s="23" t="s">
        <v>1362</v>
      </c>
      <c r="B108" s="12" t="n">
        <v>0</v>
      </c>
      <c r="C108" s="12" t="n">
        <v>0</v>
      </c>
      <c r="D108" s="12" t="n">
        <v>0</v>
      </c>
      <c r="E108" s="12" t="n">
        <v>0</v>
      </c>
      <c r="F108" s="12" t="n">
        <v>0</v>
      </c>
      <c r="G108" s="12" t="n">
        <v>0</v>
      </c>
      <c r="H108" s="12" t="n">
        <v>0</v>
      </c>
      <c r="I108" s="12" t="n">
        <v>0</v>
      </c>
      <c r="J108" s="64" t="n">
        <v>0</v>
      </c>
      <c r="K108" s="64" t="n">
        <v>0</v>
      </c>
      <c r="L108" s="64" t="n">
        <v>0</v>
      </c>
      <c r="M108" s="64" t="n">
        <v>0</v>
      </c>
      <c r="N108" s="12" t="n">
        <f aca="false">SUM(B108:M108)</f>
        <v>0</v>
      </c>
      <c r="O108" s="24" t="str">
        <f aca="false">IFERROR(N108/N$16,"")</f>
        <v/>
      </c>
      <c r="P108" s="12"/>
      <c r="Q108" s="12"/>
      <c r="R108" s="60" t="s">
        <v>1397</v>
      </c>
      <c r="S108" s="61" t="n">
        <v>0</v>
      </c>
      <c r="T108" s="62" t="n">
        <v>0.05</v>
      </c>
      <c r="U108" s="59" t="n">
        <f aca="false">IF($R108="Manual","",IFERROR(IF($R108="YOY Growth",$N108*(1+$T108)/12,$S108/12),""))</f>
        <v>0</v>
      </c>
      <c r="V108" s="59" t="n">
        <f aca="false">IF($R108="Manual","",IFERROR(IF($R108="YOY Growth",$N108*(1+$T108)/12,$S108/12),""))</f>
        <v>0</v>
      </c>
      <c r="W108" s="59" t="n">
        <f aca="false">IF($R108="Manual","",IFERROR(IF($R108="YOY Growth",$N108*(1+$T108)/12,$S108/12),""))</f>
        <v>0</v>
      </c>
      <c r="X108" s="59" t="n">
        <f aca="false">IF($R108="Manual","",IFERROR(IF($R108="YOY Growth",$N108*(1+$T108)/12,$S108/12),""))</f>
        <v>0</v>
      </c>
      <c r="Y108" s="59" t="n">
        <f aca="false">IF($R108="Manual","",IFERROR(IF($R108="YOY Growth",$N108*(1+$T108)/12,$S108/12),""))</f>
        <v>0</v>
      </c>
      <c r="Z108" s="59" t="n">
        <f aca="false">IF($R108="Manual","",IFERROR(IF($R108="YOY Growth",$N108*(1+$T108)/12,$S108/12),""))</f>
        <v>0</v>
      </c>
      <c r="AA108" s="59" t="n">
        <f aca="false">IF($R108="Manual","",IFERROR(IF($R108="YOY Growth",$N108*(1+$T108)/12,$S108/12),""))</f>
        <v>0</v>
      </c>
      <c r="AB108" s="59" t="n">
        <f aca="false">IF($R108="Manual","",IFERROR(IF($R108="YOY Growth",$N108*(1+$T108)/12,$S108/12),""))</f>
        <v>0</v>
      </c>
      <c r="AC108" s="59" t="n">
        <f aca="false">IF($R108="Manual","",IFERROR(IF($R108="YOY Growth",$N108*(1+$T108)/12,$S108/12),""))</f>
        <v>0</v>
      </c>
      <c r="AD108" s="59" t="n">
        <f aca="false">IF($R108="Manual","",IFERROR(IF($R108="YOY Growth",$N108*(1+$T108)/12,$S108/12),""))</f>
        <v>0</v>
      </c>
      <c r="AE108" s="59" t="n">
        <f aca="false">IF($R108="Manual","",IFERROR(IF($R108="YOY Growth",$N108*(1+$T108)/12,$S108/12),""))</f>
        <v>0</v>
      </c>
      <c r="AF108" s="59" t="n">
        <f aca="false">IF($R108="Manual","",IFERROR(IF($R108="YOY Growth",$N108*(1+$T108)/12,$S108/12),""))</f>
        <v>0</v>
      </c>
      <c r="AG108" s="12" t="n">
        <f aca="false">SUM(U108:AF108)</f>
        <v>0</v>
      </c>
      <c r="AH108" s="24" t="str">
        <f aca="false">IFERROR(AG108/AG$16,"")</f>
        <v/>
      </c>
      <c r="AI108" s="9"/>
      <c r="AJ108" s="12" t="n">
        <f aca="false">N108-AG108</f>
        <v>0</v>
      </c>
    </row>
    <row r="109" customFormat="false" ht="13.5" hidden="false" customHeight="true" outlineLevel="0" collapsed="false">
      <c r="A109" s="23" t="s">
        <v>1363</v>
      </c>
      <c r="B109" s="12" t="n">
        <v>0</v>
      </c>
      <c r="C109" s="12" t="n">
        <v>0</v>
      </c>
      <c r="D109" s="12" t="n">
        <v>0</v>
      </c>
      <c r="E109" s="12" t="n">
        <v>0</v>
      </c>
      <c r="F109" s="12" t="n">
        <v>0</v>
      </c>
      <c r="G109" s="12" t="n">
        <v>0</v>
      </c>
      <c r="H109" s="12" t="n">
        <v>0</v>
      </c>
      <c r="I109" s="12" t="n">
        <v>0</v>
      </c>
      <c r="J109" s="64" t="n">
        <v>0</v>
      </c>
      <c r="K109" s="64" t="n">
        <v>0</v>
      </c>
      <c r="L109" s="64" t="n">
        <v>0</v>
      </c>
      <c r="M109" s="64" t="n">
        <v>0</v>
      </c>
      <c r="N109" s="12" t="n">
        <f aca="false">SUM(B109:M109)</f>
        <v>0</v>
      </c>
      <c r="O109" s="24" t="str">
        <f aca="false">IFERROR(N109/N$16,"")</f>
        <v/>
      </c>
      <c r="P109" s="12"/>
      <c r="Q109" s="12"/>
      <c r="R109" s="60" t="s">
        <v>1397</v>
      </c>
      <c r="S109" s="61" t="n">
        <v>0</v>
      </c>
      <c r="T109" s="62" t="n">
        <v>0.05</v>
      </c>
      <c r="U109" s="59" t="n">
        <f aca="false">IF($R109="Manual","",IFERROR(IF($R109="YOY Growth",$N109*(1+$T109)/12,$S109/12),""))</f>
        <v>0</v>
      </c>
      <c r="V109" s="59" t="n">
        <f aca="false">IF($R109="Manual","",IFERROR(IF($R109="YOY Growth",$N109*(1+$T109)/12,$S109/12),""))</f>
        <v>0</v>
      </c>
      <c r="W109" s="59" t="n">
        <f aca="false">IF($R109="Manual","",IFERROR(IF($R109="YOY Growth",$N109*(1+$T109)/12,$S109/12),""))</f>
        <v>0</v>
      </c>
      <c r="X109" s="59" t="n">
        <f aca="false">IF($R109="Manual","",IFERROR(IF($R109="YOY Growth",$N109*(1+$T109)/12,$S109/12),""))</f>
        <v>0</v>
      </c>
      <c r="Y109" s="59" t="n">
        <f aca="false">IF($R109="Manual","",IFERROR(IF($R109="YOY Growth",$N109*(1+$T109)/12,$S109/12),""))</f>
        <v>0</v>
      </c>
      <c r="Z109" s="59" t="n">
        <f aca="false">IF($R109="Manual","",IFERROR(IF($R109="YOY Growth",$N109*(1+$T109)/12,$S109/12),""))</f>
        <v>0</v>
      </c>
      <c r="AA109" s="59" t="n">
        <f aca="false">IF($R109="Manual","",IFERROR(IF($R109="YOY Growth",$N109*(1+$T109)/12,$S109/12),""))</f>
        <v>0</v>
      </c>
      <c r="AB109" s="59" t="n">
        <f aca="false">IF($R109="Manual","",IFERROR(IF($R109="YOY Growth",$N109*(1+$T109)/12,$S109/12),""))</f>
        <v>0</v>
      </c>
      <c r="AC109" s="59" t="n">
        <f aca="false">IF($R109="Manual","",IFERROR(IF($R109="YOY Growth",$N109*(1+$T109)/12,$S109/12),""))</f>
        <v>0</v>
      </c>
      <c r="AD109" s="59" t="n">
        <f aca="false">IF($R109="Manual","",IFERROR(IF($R109="YOY Growth",$N109*(1+$T109)/12,$S109/12),""))</f>
        <v>0</v>
      </c>
      <c r="AE109" s="59" t="n">
        <f aca="false">IF($R109="Manual","",IFERROR(IF($R109="YOY Growth",$N109*(1+$T109)/12,$S109/12),""))</f>
        <v>0</v>
      </c>
      <c r="AF109" s="59" t="n">
        <f aca="false">IF($R109="Manual","",IFERROR(IF($R109="YOY Growth",$N109*(1+$T109)/12,$S109/12),""))</f>
        <v>0</v>
      </c>
      <c r="AG109" s="12" t="n">
        <f aca="false">SUM(U109:AF109)</f>
        <v>0</v>
      </c>
      <c r="AH109" s="24" t="str">
        <f aca="false">IFERROR(AG109/AG$16,"")</f>
        <v/>
      </c>
      <c r="AI109" s="9"/>
      <c r="AJ109" s="12" t="n">
        <f aca="false">N109-AG109</f>
        <v>0</v>
      </c>
    </row>
    <row r="110" customFormat="false" ht="13.5" hidden="false" customHeight="true" outlineLevel="0" collapsed="false">
      <c r="A110" s="23" t="s">
        <v>1364</v>
      </c>
      <c r="B110" s="12" t="n">
        <v>0</v>
      </c>
      <c r="C110" s="12" t="n">
        <v>0</v>
      </c>
      <c r="D110" s="12" t="n">
        <v>0</v>
      </c>
      <c r="E110" s="12" t="n">
        <v>0</v>
      </c>
      <c r="F110" s="12" t="n">
        <v>0</v>
      </c>
      <c r="G110" s="12" t="n">
        <v>0</v>
      </c>
      <c r="H110" s="12" t="n">
        <v>0</v>
      </c>
      <c r="I110" s="12" t="n">
        <v>0</v>
      </c>
      <c r="J110" s="64" t="n">
        <v>0</v>
      </c>
      <c r="K110" s="64" t="n">
        <v>0</v>
      </c>
      <c r="L110" s="64" t="n">
        <v>0</v>
      </c>
      <c r="M110" s="64" t="n">
        <v>0</v>
      </c>
      <c r="N110" s="12" t="n">
        <f aca="false">SUM(B110:M110)</f>
        <v>0</v>
      </c>
      <c r="O110" s="24" t="str">
        <f aca="false">IFERROR(N110/N$16,"")</f>
        <v/>
      </c>
      <c r="P110" s="12"/>
      <c r="Q110" s="12"/>
      <c r="R110" s="60" t="s">
        <v>1397</v>
      </c>
      <c r="S110" s="61" t="n">
        <v>0</v>
      </c>
      <c r="T110" s="62" t="n">
        <v>0.05</v>
      </c>
      <c r="U110" s="59" t="n">
        <f aca="false">IF($R110="Manual","",IFERROR(IF($R110="YOY Growth",$N110*(1+$T110)/12,$S110/12),""))</f>
        <v>0</v>
      </c>
      <c r="V110" s="59" t="n">
        <f aca="false">IF($R110="Manual","",IFERROR(IF($R110="YOY Growth",$N110*(1+$T110)/12,$S110/12),""))</f>
        <v>0</v>
      </c>
      <c r="W110" s="59" t="n">
        <f aca="false">IF($R110="Manual","",IFERROR(IF($R110="YOY Growth",$N110*(1+$T110)/12,$S110/12),""))</f>
        <v>0</v>
      </c>
      <c r="X110" s="59" t="n">
        <f aca="false">IF($R110="Manual","",IFERROR(IF($R110="YOY Growth",$N110*(1+$T110)/12,$S110/12),""))</f>
        <v>0</v>
      </c>
      <c r="Y110" s="59" t="n">
        <f aca="false">IF($R110="Manual","",IFERROR(IF($R110="YOY Growth",$N110*(1+$T110)/12,$S110/12),""))</f>
        <v>0</v>
      </c>
      <c r="Z110" s="59" t="n">
        <f aca="false">IF($R110="Manual","",IFERROR(IF($R110="YOY Growth",$N110*(1+$T110)/12,$S110/12),""))</f>
        <v>0</v>
      </c>
      <c r="AA110" s="59" t="n">
        <f aca="false">IF($R110="Manual","",IFERROR(IF($R110="YOY Growth",$N110*(1+$T110)/12,$S110/12),""))</f>
        <v>0</v>
      </c>
      <c r="AB110" s="59" t="n">
        <f aca="false">IF($R110="Manual","",IFERROR(IF($R110="YOY Growth",$N110*(1+$T110)/12,$S110/12),""))</f>
        <v>0</v>
      </c>
      <c r="AC110" s="59" t="n">
        <f aca="false">IF($R110="Manual","",IFERROR(IF($R110="YOY Growth",$N110*(1+$T110)/12,$S110/12),""))</f>
        <v>0</v>
      </c>
      <c r="AD110" s="59" t="n">
        <f aca="false">IF($R110="Manual","",IFERROR(IF($R110="YOY Growth",$N110*(1+$T110)/12,$S110/12),""))</f>
        <v>0</v>
      </c>
      <c r="AE110" s="59" t="n">
        <f aca="false">IF($R110="Manual","",IFERROR(IF($R110="YOY Growth",$N110*(1+$T110)/12,$S110/12),""))</f>
        <v>0</v>
      </c>
      <c r="AF110" s="59" t="n">
        <f aca="false">IF($R110="Manual","",IFERROR(IF($R110="YOY Growth",$N110*(1+$T110)/12,$S110/12),""))</f>
        <v>0</v>
      </c>
      <c r="AG110" s="12" t="n">
        <f aca="false">SUM(U110:AF110)</f>
        <v>0</v>
      </c>
      <c r="AH110" s="24" t="str">
        <f aca="false">IFERROR(AG110/AG$16,"")</f>
        <v/>
      </c>
      <c r="AI110" s="9"/>
      <c r="AJ110" s="12" t="n">
        <f aca="false">N110-AG110</f>
        <v>0</v>
      </c>
    </row>
    <row r="111" customFormat="false" ht="13.5" hidden="false" customHeight="true" outlineLevel="0" collapsed="false">
      <c r="A111" s="23" t="s">
        <v>1365</v>
      </c>
      <c r="B111" s="12" t="n">
        <v>0</v>
      </c>
      <c r="C111" s="12" t="n">
        <v>0</v>
      </c>
      <c r="D111" s="12" t="n">
        <v>0</v>
      </c>
      <c r="E111" s="12" t="n">
        <v>0</v>
      </c>
      <c r="F111" s="12" t="n">
        <v>0</v>
      </c>
      <c r="G111" s="12" t="n">
        <v>0</v>
      </c>
      <c r="H111" s="12" t="n">
        <v>0</v>
      </c>
      <c r="I111" s="12" t="n">
        <v>0</v>
      </c>
      <c r="J111" s="64" t="n">
        <v>0</v>
      </c>
      <c r="K111" s="64" t="n">
        <v>0</v>
      </c>
      <c r="L111" s="64" t="n">
        <v>0</v>
      </c>
      <c r="M111" s="64" t="n">
        <v>0</v>
      </c>
      <c r="N111" s="12" t="n">
        <f aca="false">SUM(B111:M111)</f>
        <v>0</v>
      </c>
      <c r="O111" s="24" t="str">
        <f aca="false">IFERROR(N111/N$16,"")</f>
        <v/>
      </c>
      <c r="P111" s="12"/>
      <c r="Q111" s="12"/>
      <c r="R111" s="60" t="s">
        <v>1397</v>
      </c>
      <c r="S111" s="61" t="n">
        <v>0</v>
      </c>
      <c r="T111" s="62" t="n">
        <v>0.05</v>
      </c>
      <c r="U111" s="59" t="n">
        <f aca="false">IF($R111="Manual","",IFERROR(IF($R111="YOY Growth",$N111*(1+$T111)/12,$S111/12),""))</f>
        <v>0</v>
      </c>
      <c r="V111" s="59" t="n">
        <f aca="false">IF($R111="Manual","",IFERROR(IF($R111="YOY Growth",$N111*(1+$T111)/12,$S111/12),""))</f>
        <v>0</v>
      </c>
      <c r="W111" s="59" t="n">
        <f aca="false">IF($R111="Manual","",IFERROR(IF($R111="YOY Growth",$N111*(1+$T111)/12,$S111/12),""))</f>
        <v>0</v>
      </c>
      <c r="X111" s="59" t="n">
        <f aca="false">IF($R111="Manual","",IFERROR(IF($R111="YOY Growth",$N111*(1+$T111)/12,$S111/12),""))</f>
        <v>0</v>
      </c>
      <c r="Y111" s="59" t="n">
        <f aca="false">IF($R111="Manual","",IFERROR(IF($R111="YOY Growth",$N111*(1+$T111)/12,$S111/12),""))</f>
        <v>0</v>
      </c>
      <c r="Z111" s="59" t="n">
        <f aca="false">IF($R111="Manual","",IFERROR(IF($R111="YOY Growth",$N111*(1+$T111)/12,$S111/12),""))</f>
        <v>0</v>
      </c>
      <c r="AA111" s="59" t="n">
        <f aca="false">IF($R111="Manual","",IFERROR(IF($R111="YOY Growth",$N111*(1+$T111)/12,$S111/12),""))</f>
        <v>0</v>
      </c>
      <c r="AB111" s="59" t="n">
        <f aca="false">IF($R111="Manual","",IFERROR(IF($R111="YOY Growth",$N111*(1+$T111)/12,$S111/12),""))</f>
        <v>0</v>
      </c>
      <c r="AC111" s="59" t="n">
        <f aca="false">IF($R111="Manual","",IFERROR(IF($R111="YOY Growth",$N111*(1+$T111)/12,$S111/12),""))</f>
        <v>0</v>
      </c>
      <c r="AD111" s="59" t="n">
        <f aca="false">IF($R111="Manual","",IFERROR(IF($R111="YOY Growth",$N111*(1+$T111)/12,$S111/12),""))</f>
        <v>0</v>
      </c>
      <c r="AE111" s="59" t="n">
        <f aca="false">IF($R111="Manual","",IFERROR(IF($R111="YOY Growth",$N111*(1+$T111)/12,$S111/12),""))</f>
        <v>0</v>
      </c>
      <c r="AF111" s="59" t="n">
        <f aca="false">IF($R111="Manual","",IFERROR(IF($R111="YOY Growth",$N111*(1+$T111)/12,$S111/12),""))</f>
        <v>0</v>
      </c>
      <c r="AG111" s="12" t="n">
        <f aca="false">SUM(U111:AF111)</f>
        <v>0</v>
      </c>
      <c r="AH111" s="24" t="str">
        <f aca="false">IFERROR(AG111/AG$16,"")</f>
        <v/>
      </c>
      <c r="AI111" s="9"/>
      <c r="AJ111" s="12" t="n">
        <f aca="false">N111-AG111</f>
        <v>0</v>
      </c>
    </row>
    <row r="112" customFormat="false" ht="13.5" hidden="false" customHeight="true" outlineLevel="0" collapsed="false">
      <c r="A112" s="23" t="s">
        <v>1366</v>
      </c>
      <c r="B112" s="12" t="n">
        <v>0</v>
      </c>
      <c r="C112" s="12" t="n">
        <v>0</v>
      </c>
      <c r="D112" s="12" t="n">
        <v>0</v>
      </c>
      <c r="E112" s="12" t="n">
        <v>0</v>
      </c>
      <c r="F112" s="12" t="n">
        <v>0</v>
      </c>
      <c r="G112" s="12" t="n">
        <v>0</v>
      </c>
      <c r="H112" s="12" t="n">
        <v>0</v>
      </c>
      <c r="I112" s="12" t="n">
        <v>0</v>
      </c>
      <c r="J112" s="64" t="n">
        <v>0</v>
      </c>
      <c r="K112" s="64" t="n">
        <v>0</v>
      </c>
      <c r="L112" s="64" t="n">
        <v>0</v>
      </c>
      <c r="M112" s="64" t="n">
        <v>0</v>
      </c>
      <c r="N112" s="12" t="n">
        <f aca="false">SUM(B112:M112)</f>
        <v>0</v>
      </c>
      <c r="O112" s="24" t="str">
        <f aca="false">IFERROR(N112/N$16,"")</f>
        <v/>
      </c>
      <c r="P112" s="12"/>
      <c r="Q112" s="12"/>
      <c r="R112" s="60" t="s">
        <v>1397</v>
      </c>
      <c r="S112" s="61" t="n">
        <v>0</v>
      </c>
      <c r="T112" s="62" t="n">
        <v>0.05</v>
      </c>
      <c r="U112" s="59" t="n">
        <f aca="false">IF($R112="Manual","",IFERROR(IF($R112="YOY Growth",$N112*(1+$T112)/12,$S112/12),""))</f>
        <v>0</v>
      </c>
      <c r="V112" s="59" t="n">
        <f aca="false">IF($R112="Manual","",IFERROR(IF($R112="YOY Growth",$N112*(1+$T112)/12,$S112/12),""))</f>
        <v>0</v>
      </c>
      <c r="W112" s="59" t="n">
        <f aca="false">IF($R112="Manual","",IFERROR(IF($R112="YOY Growth",$N112*(1+$T112)/12,$S112/12),""))</f>
        <v>0</v>
      </c>
      <c r="X112" s="59" t="n">
        <f aca="false">IF($R112="Manual","",IFERROR(IF($R112="YOY Growth",$N112*(1+$T112)/12,$S112/12),""))</f>
        <v>0</v>
      </c>
      <c r="Y112" s="59" t="n">
        <f aca="false">IF($R112="Manual","",IFERROR(IF($R112="YOY Growth",$N112*(1+$T112)/12,$S112/12),""))</f>
        <v>0</v>
      </c>
      <c r="Z112" s="59" t="n">
        <f aca="false">IF($R112="Manual","",IFERROR(IF($R112="YOY Growth",$N112*(1+$T112)/12,$S112/12),""))</f>
        <v>0</v>
      </c>
      <c r="AA112" s="59" t="n">
        <f aca="false">IF($R112="Manual","",IFERROR(IF($R112="YOY Growth",$N112*(1+$T112)/12,$S112/12),""))</f>
        <v>0</v>
      </c>
      <c r="AB112" s="59" t="n">
        <f aca="false">IF($R112="Manual","",IFERROR(IF($R112="YOY Growth",$N112*(1+$T112)/12,$S112/12),""))</f>
        <v>0</v>
      </c>
      <c r="AC112" s="59" t="n">
        <f aca="false">IF($R112="Manual","",IFERROR(IF($R112="YOY Growth",$N112*(1+$T112)/12,$S112/12),""))</f>
        <v>0</v>
      </c>
      <c r="AD112" s="59" t="n">
        <f aca="false">IF($R112="Manual","",IFERROR(IF($R112="YOY Growth",$N112*(1+$T112)/12,$S112/12),""))</f>
        <v>0</v>
      </c>
      <c r="AE112" s="59" t="n">
        <f aca="false">IF($R112="Manual","",IFERROR(IF($R112="YOY Growth",$N112*(1+$T112)/12,$S112/12),""))</f>
        <v>0</v>
      </c>
      <c r="AF112" s="59" t="n">
        <f aca="false">IF($R112="Manual","",IFERROR(IF($R112="YOY Growth",$N112*(1+$T112)/12,$S112/12),""))</f>
        <v>0</v>
      </c>
      <c r="AG112" s="12" t="n">
        <f aca="false">SUM(U112:AF112)</f>
        <v>0</v>
      </c>
      <c r="AH112" s="24" t="str">
        <f aca="false">IFERROR(AG112/AG$16,"")</f>
        <v/>
      </c>
      <c r="AI112" s="9"/>
      <c r="AJ112" s="12" t="n">
        <f aca="false">N112-AG112</f>
        <v>0</v>
      </c>
    </row>
    <row r="113" customFormat="false" ht="13.5" hidden="false" customHeight="true" outlineLevel="0" collapsed="false">
      <c r="A113" s="23" t="s">
        <v>1367</v>
      </c>
      <c r="B113" s="12" t="n">
        <v>0</v>
      </c>
      <c r="C113" s="12" t="n">
        <v>0</v>
      </c>
      <c r="D113" s="12" t="n">
        <v>0</v>
      </c>
      <c r="E113" s="12" t="n">
        <v>0</v>
      </c>
      <c r="F113" s="12" t="n">
        <v>0</v>
      </c>
      <c r="G113" s="12" t="n">
        <v>0</v>
      </c>
      <c r="H113" s="12" t="n">
        <v>0</v>
      </c>
      <c r="I113" s="12" t="n">
        <v>0</v>
      </c>
      <c r="J113" s="64" t="n">
        <v>0</v>
      </c>
      <c r="K113" s="64" t="n">
        <v>0</v>
      </c>
      <c r="L113" s="64" t="n">
        <v>0</v>
      </c>
      <c r="M113" s="64" t="n">
        <v>0</v>
      </c>
      <c r="N113" s="12" t="n">
        <f aca="false">SUM(B113:M113)</f>
        <v>0</v>
      </c>
      <c r="O113" s="24" t="str">
        <f aca="false">IFERROR(N113/N$16,"")</f>
        <v/>
      </c>
      <c r="P113" s="12"/>
      <c r="Q113" s="12"/>
      <c r="R113" s="60" t="s">
        <v>1397</v>
      </c>
      <c r="S113" s="61" t="n">
        <v>0</v>
      </c>
      <c r="T113" s="62" t="n">
        <v>0.05</v>
      </c>
      <c r="U113" s="59" t="n">
        <f aca="false">IF($R113="Manual","",IFERROR(IF($R113="YOY Growth",$N113*(1+$T113)/12,$S113/12),""))</f>
        <v>0</v>
      </c>
      <c r="V113" s="59" t="n">
        <f aca="false">IF($R113="Manual","",IFERROR(IF($R113="YOY Growth",$N113*(1+$T113)/12,$S113/12),""))</f>
        <v>0</v>
      </c>
      <c r="W113" s="59" t="n">
        <f aca="false">IF($R113="Manual","",IFERROR(IF($R113="YOY Growth",$N113*(1+$T113)/12,$S113/12),""))</f>
        <v>0</v>
      </c>
      <c r="X113" s="59" t="n">
        <f aca="false">IF($R113="Manual","",IFERROR(IF($R113="YOY Growth",$N113*(1+$T113)/12,$S113/12),""))</f>
        <v>0</v>
      </c>
      <c r="Y113" s="59" t="n">
        <f aca="false">IF($R113="Manual","",IFERROR(IF($R113="YOY Growth",$N113*(1+$T113)/12,$S113/12),""))</f>
        <v>0</v>
      </c>
      <c r="Z113" s="59" t="n">
        <f aca="false">IF($R113="Manual","",IFERROR(IF($R113="YOY Growth",$N113*(1+$T113)/12,$S113/12),""))</f>
        <v>0</v>
      </c>
      <c r="AA113" s="59" t="n">
        <f aca="false">IF($R113="Manual","",IFERROR(IF($R113="YOY Growth",$N113*(1+$T113)/12,$S113/12),""))</f>
        <v>0</v>
      </c>
      <c r="AB113" s="59" t="n">
        <f aca="false">IF($R113="Manual","",IFERROR(IF($R113="YOY Growth",$N113*(1+$T113)/12,$S113/12),""))</f>
        <v>0</v>
      </c>
      <c r="AC113" s="59" t="n">
        <f aca="false">IF($R113="Manual","",IFERROR(IF($R113="YOY Growth",$N113*(1+$T113)/12,$S113/12),""))</f>
        <v>0</v>
      </c>
      <c r="AD113" s="59" t="n">
        <f aca="false">IF($R113="Manual","",IFERROR(IF($R113="YOY Growth",$N113*(1+$T113)/12,$S113/12),""))</f>
        <v>0</v>
      </c>
      <c r="AE113" s="59" t="n">
        <f aca="false">IF($R113="Manual","",IFERROR(IF($R113="YOY Growth",$N113*(1+$T113)/12,$S113/12),""))</f>
        <v>0</v>
      </c>
      <c r="AF113" s="59" t="n">
        <f aca="false">IF($R113="Manual","",IFERROR(IF($R113="YOY Growth",$N113*(1+$T113)/12,$S113/12),""))</f>
        <v>0</v>
      </c>
      <c r="AG113" s="12" t="n">
        <f aca="false">SUM(U113:AF113)</f>
        <v>0</v>
      </c>
      <c r="AH113" s="24" t="str">
        <f aca="false">IFERROR(AG113/AG$16,"")</f>
        <v/>
      </c>
      <c r="AI113" s="9"/>
      <c r="AJ113" s="12" t="n">
        <f aca="false">N113-AG113</f>
        <v>0</v>
      </c>
    </row>
    <row r="114" customFormat="false" ht="13.5" hidden="false" customHeight="true" outlineLevel="0" collapsed="false">
      <c r="A114" s="23" t="s">
        <v>1368</v>
      </c>
      <c r="B114" s="12" t="n">
        <v>0</v>
      </c>
      <c r="C114" s="12" t="n">
        <v>0</v>
      </c>
      <c r="D114" s="12" t="n">
        <v>0</v>
      </c>
      <c r="E114" s="12" t="n">
        <v>0</v>
      </c>
      <c r="F114" s="12" t="n">
        <v>0</v>
      </c>
      <c r="G114" s="12" t="n">
        <v>0</v>
      </c>
      <c r="H114" s="12" t="n">
        <v>0</v>
      </c>
      <c r="I114" s="12" t="n">
        <v>0</v>
      </c>
      <c r="J114" s="64" t="n">
        <v>0</v>
      </c>
      <c r="K114" s="64" t="n">
        <v>0</v>
      </c>
      <c r="L114" s="64" t="n">
        <v>0</v>
      </c>
      <c r="M114" s="64" t="n">
        <v>0</v>
      </c>
      <c r="N114" s="12" t="n">
        <f aca="false">SUM(B114:M114)</f>
        <v>0</v>
      </c>
      <c r="O114" s="24" t="str">
        <f aca="false">IFERROR(N114/N$16,"")</f>
        <v/>
      </c>
      <c r="P114" s="12"/>
      <c r="Q114" s="12"/>
      <c r="R114" s="60" t="s">
        <v>1397</v>
      </c>
      <c r="S114" s="61" t="n">
        <v>0</v>
      </c>
      <c r="T114" s="62" t="n">
        <v>0.05</v>
      </c>
      <c r="U114" s="59" t="n">
        <f aca="false">IF($R114="Manual","",IFERROR(IF($R114="YOY Growth",$N114*(1+$T114)/12,$S114/12),""))</f>
        <v>0</v>
      </c>
      <c r="V114" s="59" t="n">
        <f aca="false">IF($R114="Manual","",IFERROR(IF($R114="YOY Growth",$N114*(1+$T114)/12,$S114/12),""))</f>
        <v>0</v>
      </c>
      <c r="W114" s="59" t="n">
        <f aca="false">IF($R114="Manual","",IFERROR(IF($R114="YOY Growth",$N114*(1+$T114)/12,$S114/12),""))</f>
        <v>0</v>
      </c>
      <c r="X114" s="59" t="n">
        <f aca="false">IF($R114="Manual","",IFERROR(IF($R114="YOY Growth",$N114*(1+$T114)/12,$S114/12),""))</f>
        <v>0</v>
      </c>
      <c r="Y114" s="59" t="n">
        <f aca="false">IF($R114="Manual","",IFERROR(IF($R114="YOY Growth",$N114*(1+$T114)/12,$S114/12),""))</f>
        <v>0</v>
      </c>
      <c r="Z114" s="59" t="n">
        <f aca="false">IF($R114="Manual","",IFERROR(IF($R114="YOY Growth",$N114*(1+$T114)/12,$S114/12),""))</f>
        <v>0</v>
      </c>
      <c r="AA114" s="59" t="n">
        <f aca="false">IF($R114="Manual","",IFERROR(IF($R114="YOY Growth",$N114*(1+$T114)/12,$S114/12),""))</f>
        <v>0</v>
      </c>
      <c r="AB114" s="59" t="n">
        <f aca="false">IF($R114="Manual","",IFERROR(IF($R114="YOY Growth",$N114*(1+$T114)/12,$S114/12),""))</f>
        <v>0</v>
      </c>
      <c r="AC114" s="59" t="n">
        <f aca="false">IF($R114="Manual","",IFERROR(IF($R114="YOY Growth",$N114*(1+$T114)/12,$S114/12),""))</f>
        <v>0</v>
      </c>
      <c r="AD114" s="59" t="n">
        <f aca="false">IF($R114="Manual","",IFERROR(IF($R114="YOY Growth",$N114*(1+$T114)/12,$S114/12),""))</f>
        <v>0</v>
      </c>
      <c r="AE114" s="59" t="n">
        <f aca="false">IF($R114="Manual","",IFERROR(IF($R114="YOY Growth",$N114*(1+$T114)/12,$S114/12),""))</f>
        <v>0</v>
      </c>
      <c r="AF114" s="59" t="n">
        <f aca="false">IF($R114="Manual","",IFERROR(IF($R114="YOY Growth",$N114*(1+$T114)/12,$S114/12),""))</f>
        <v>0</v>
      </c>
      <c r="AG114" s="12" t="n">
        <f aca="false">SUM(U114:AF114)</f>
        <v>0</v>
      </c>
      <c r="AH114" s="24" t="str">
        <f aca="false">IFERROR(AG114/AG$16,"")</f>
        <v/>
      </c>
      <c r="AI114" s="9"/>
      <c r="AJ114" s="12" t="n">
        <f aca="false">N114-AG114</f>
        <v>0</v>
      </c>
    </row>
    <row r="115" customFormat="false" ht="13.5" hidden="false" customHeight="true" outlineLevel="0" collapsed="false">
      <c r="A115" s="23" t="s">
        <v>1369</v>
      </c>
      <c r="B115" s="12" t="n">
        <v>0</v>
      </c>
      <c r="C115" s="12" t="n">
        <v>0</v>
      </c>
      <c r="D115" s="12" t="n">
        <v>0</v>
      </c>
      <c r="E115" s="12" t="n">
        <v>0</v>
      </c>
      <c r="F115" s="12" t="n">
        <v>0</v>
      </c>
      <c r="G115" s="12" t="n">
        <v>0</v>
      </c>
      <c r="H115" s="12" t="n">
        <v>0</v>
      </c>
      <c r="I115" s="12" t="n">
        <v>0</v>
      </c>
      <c r="J115" s="64" t="n">
        <v>0</v>
      </c>
      <c r="K115" s="64" t="n">
        <v>0</v>
      </c>
      <c r="L115" s="64" t="n">
        <v>0</v>
      </c>
      <c r="M115" s="64" t="n">
        <v>0</v>
      </c>
      <c r="N115" s="12" t="n">
        <f aca="false">SUM(B115:M115)</f>
        <v>0</v>
      </c>
      <c r="O115" s="24" t="str">
        <f aca="false">IFERROR(N115/N$16,"")</f>
        <v/>
      </c>
      <c r="P115" s="12"/>
      <c r="Q115" s="12"/>
      <c r="R115" s="60" t="s">
        <v>1397</v>
      </c>
      <c r="S115" s="61" t="n">
        <v>0</v>
      </c>
      <c r="T115" s="62" t="n">
        <v>0.05</v>
      </c>
      <c r="U115" s="59" t="n">
        <f aca="false">IF($R115="Manual","",IFERROR(IF($R115="YOY Growth",$N115*(1+$T115)/12,$S115/12),""))</f>
        <v>0</v>
      </c>
      <c r="V115" s="59" t="n">
        <f aca="false">IF($R115="Manual","",IFERROR(IF($R115="YOY Growth",$N115*(1+$T115)/12,$S115/12),""))</f>
        <v>0</v>
      </c>
      <c r="W115" s="59" t="n">
        <f aca="false">IF($R115="Manual","",IFERROR(IF($R115="YOY Growth",$N115*(1+$T115)/12,$S115/12),""))</f>
        <v>0</v>
      </c>
      <c r="X115" s="59" t="n">
        <f aca="false">IF($R115="Manual","",IFERROR(IF($R115="YOY Growth",$N115*(1+$T115)/12,$S115/12),""))</f>
        <v>0</v>
      </c>
      <c r="Y115" s="59" t="n">
        <f aca="false">IF($R115="Manual","",IFERROR(IF($R115="YOY Growth",$N115*(1+$T115)/12,$S115/12),""))</f>
        <v>0</v>
      </c>
      <c r="Z115" s="59" t="n">
        <f aca="false">IF($R115="Manual","",IFERROR(IF($R115="YOY Growth",$N115*(1+$T115)/12,$S115/12),""))</f>
        <v>0</v>
      </c>
      <c r="AA115" s="59" t="n">
        <f aca="false">IF($R115="Manual","",IFERROR(IF($R115="YOY Growth",$N115*(1+$T115)/12,$S115/12),""))</f>
        <v>0</v>
      </c>
      <c r="AB115" s="59" t="n">
        <f aca="false">IF($R115="Manual","",IFERROR(IF($R115="YOY Growth",$N115*(1+$T115)/12,$S115/12),""))</f>
        <v>0</v>
      </c>
      <c r="AC115" s="59" t="n">
        <f aca="false">IF($R115="Manual","",IFERROR(IF($R115="YOY Growth",$N115*(1+$T115)/12,$S115/12),""))</f>
        <v>0</v>
      </c>
      <c r="AD115" s="59" t="n">
        <f aca="false">IF($R115="Manual","",IFERROR(IF($R115="YOY Growth",$N115*(1+$T115)/12,$S115/12),""))</f>
        <v>0</v>
      </c>
      <c r="AE115" s="59" t="n">
        <f aca="false">IF($R115="Manual","",IFERROR(IF($R115="YOY Growth",$N115*(1+$T115)/12,$S115/12),""))</f>
        <v>0</v>
      </c>
      <c r="AF115" s="59" t="n">
        <f aca="false">IF($R115="Manual","",IFERROR(IF($R115="YOY Growth",$N115*(1+$T115)/12,$S115/12),""))</f>
        <v>0</v>
      </c>
      <c r="AG115" s="12" t="n">
        <f aca="false">SUM(U115:AF115)</f>
        <v>0</v>
      </c>
      <c r="AH115" s="24" t="str">
        <f aca="false">IFERROR(AG115/AG$16,"")</f>
        <v/>
      </c>
      <c r="AI115" s="9"/>
      <c r="AJ115" s="12" t="n">
        <f aca="false">N115-AG115</f>
        <v>0</v>
      </c>
    </row>
    <row r="116" customFormat="false" ht="13.5" hidden="false" customHeight="true" outlineLevel="0" collapsed="false">
      <c r="A116" s="26" t="s">
        <v>1370</v>
      </c>
      <c r="B116" s="27" t="n">
        <f aca="false">B73+SUM(B74:B80)+B87+SUM(B88:B115)</f>
        <v>141544.1</v>
      </c>
      <c r="C116" s="27" t="n">
        <f aca="false">C73+SUM(C74:C80)+C87+SUM(C88:C115)</f>
        <v>47756.85</v>
      </c>
      <c r="D116" s="27" t="n">
        <f aca="false">D73+SUM(D74:D80)+D87+SUM(D88:D115)</f>
        <v>42019.76</v>
      </c>
      <c r="E116" s="27" t="n">
        <f aca="false">E73+SUM(E74:E80)+E87+SUM(E88:E115)</f>
        <v>45450.09</v>
      </c>
      <c r="F116" s="27" t="n">
        <f aca="false">F73+SUM(F74:F80)+F87+SUM(F88:F115)</f>
        <v>102509.57</v>
      </c>
      <c r="G116" s="27" t="n">
        <f aca="false">G73+SUM(G74:G80)+G87+SUM(G88:G115)</f>
        <v>101827.68</v>
      </c>
      <c r="H116" s="27" t="n">
        <f aca="false">H73+SUM(H74:H80)+H87+SUM(H88:H115)</f>
        <v>105407.26</v>
      </c>
      <c r="I116" s="27" t="n">
        <f aca="false">I73+SUM(I74:I80)+I87+SUM(I88:I115)</f>
        <v>121283.07</v>
      </c>
      <c r="J116" s="27" t="n">
        <f aca="false">J73+SUM(J74:J80)+J87+SUM(J88:J115)</f>
        <v>140963</v>
      </c>
      <c r="K116" s="27" t="n">
        <f aca="false">K73+SUM(K74:K80)+K87+SUM(K88:K115)</f>
        <v>143954</v>
      </c>
      <c r="L116" s="27" t="n">
        <f aca="false">L73+SUM(L74:L80)+L87+SUM(L88:L115)</f>
        <v>143954</v>
      </c>
      <c r="M116" s="27" t="n">
        <f aca="false">M73+SUM(M74:M80)+M87+SUM(M88:M115)</f>
        <v>154591</v>
      </c>
      <c r="N116" s="27" t="n">
        <f aca="false">SUM(B116:M116)</f>
        <v>1291260.38</v>
      </c>
      <c r="O116" s="28" t="str">
        <f aca="false">IFERROR(N116/N$16,"")</f>
        <v/>
      </c>
      <c r="P116" s="12"/>
      <c r="Q116" s="12"/>
      <c r="R116" s="63"/>
      <c r="S116" s="63"/>
      <c r="T116" s="63"/>
      <c r="U116" s="27" t="n">
        <f aca="false">U73+SUM(U74:U80)+U87+SUM(U88:U115)</f>
        <v>104818.138196848</v>
      </c>
      <c r="V116" s="27" t="n">
        <f aca="false">V73+SUM(V74:V80)+V87+SUM(V88:V115)</f>
        <v>104818.138196848</v>
      </c>
      <c r="W116" s="27" t="n">
        <f aca="false">W73+SUM(W74:W80)+W87+SUM(W88:W115)</f>
        <v>106018.138196848</v>
      </c>
      <c r="X116" s="27" t="n">
        <f aca="false">X73+SUM(X74:X80)+X87+SUM(X88:X115)</f>
        <v>106018.138196848</v>
      </c>
      <c r="Y116" s="27" t="n">
        <f aca="false">Y73+SUM(Y74:Y80)+Y87+SUM(Y88:Y115)</f>
        <v>106788.138196848</v>
      </c>
      <c r="Z116" s="27" t="n">
        <f aca="false">Z73+SUM(Z74:Z80)+Z87+SUM(Z88:Z115)</f>
        <v>106958.138196848</v>
      </c>
      <c r="AA116" s="27" t="n">
        <f aca="false">AA73+SUM(AA74:AA80)+AA87+SUM(AA88:AA115)</f>
        <v>107728.138196848</v>
      </c>
      <c r="AB116" s="27" t="n">
        <f aca="false">AB73+SUM(AB74:AB80)+AB87+SUM(AB88:AB115)</f>
        <v>107898.138196848</v>
      </c>
      <c r="AC116" s="27" t="n">
        <f aca="false">AC73+SUM(AC74:AC80)+AC87+SUM(AC88:AC115)</f>
        <v>108668.138196848</v>
      </c>
      <c r="AD116" s="27" t="n">
        <f aca="false">AD73+SUM(AD74:AD80)+AD87+SUM(AD88:AD115)</f>
        <v>111844.682342753</v>
      </c>
      <c r="AE116" s="27" t="n">
        <f aca="false">AE73+SUM(AE74:AE80)+AE87+SUM(AE88:AE115)</f>
        <v>112614.682342753</v>
      </c>
      <c r="AF116" s="27" t="n">
        <f aca="false">AF73+SUM(AF74:AF80)+AF87+SUM(AF88:AF115)</f>
        <v>112024.682342753</v>
      </c>
      <c r="AG116" s="27" t="n">
        <f aca="false">SUM(U116:AF116)</f>
        <v>1296197.29079989</v>
      </c>
      <c r="AH116" s="28" t="str">
        <f aca="false">IFERROR(AG116/AG$16,"")</f>
        <v/>
      </c>
      <c r="AI116" s="9"/>
      <c r="AJ116" s="27" t="n">
        <f aca="false">N116-AG116</f>
        <v>-4936.91079989029</v>
      </c>
    </row>
    <row r="117" customFormat="false" ht="13.5" hidden="false" customHeight="true" outlineLevel="0" collapsed="false">
      <c r="A117" s="41" t="s">
        <v>1371</v>
      </c>
      <c r="B117" s="27" t="n">
        <f aca="false">B64-B116</f>
        <v>-86913.02</v>
      </c>
      <c r="C117" s="27" t="n">
        <f aca="false">C64-C116</f>
        <v>-49296.87</v>
      </c>
      <c r="D117" s="27" t="n">
        <f aca="false">D64-D116</f>
        <v>-108301.44</v>
      </c>
      <c r="E117" s="27" t="n">
        <f aca="false">E64-E116</f>
        <v>-45527.53</v>
      </c>
      <c r="F117" s="27" t="n">
        <f aca="false">F64-F116</f>
        <v>-102509.57</v>
      </c>
      <c r="G117" s="27" t="n">
        <f aca="false">G64-G116</f>
        <v>-102060.61</v>
      </c>
      <c r="H117" s="27" t="n">
        <f aca="false">H64-H116</f>
        <v>-105782.9</v>
      </c>
      <c r="I117" s="27" t="n">
        <f aca="false">I64-I116</f>
        <v>-131520.22</v>
      </c>
      <c r="J117" s="27" t="n">
        <f aca="false">J64-J116</f>
        <v>-140963</v>
      </c>
      <c r="K117" s="27" t="n">
        <f aca="false">K64-K116</f>
        <v>-143954</v>
      </c>
      <c r="L117" s="27" t="n">
        <f aca="false">L64-L116</f>
        <v>-143954</v>
      </c>
      <c r="M117" s="27" t="n">
        <f aca="false">M64-M116</f>
        <v>-154591</v>
      </c>
      <c r="N117" s="27" t="n">
        <f aca="false">SUM(B117:M117)</f>
        <v>-1315374.16</v>
      </c>
      <c r="O117" s="28" t="str">
        <f aca="false">IFERROR(N117/N$16,"")</f>
        <v/>
      </c>
      <c r="P117" s="12"/>
      <c r="Q117" s="12"/>
      <c r="R117" s="63"/>
      <c r="S117" s="63"/>
      <c r="T117" s="63"/>
      <c r="U117" s="27" t="n">
        <f aca="false">U64-U116</f>
        <v>-104818.138196848</v>
      </c>
      <c r="V117" s="27" t="n">
        <f aca="false">V64-V116</f>
        <v>-104818.138196848</v>
      </c>
      <c r="W117" s="27" t="n">
        <f aca="false">W64-W116</f>
        <v>-106018.138196848</v>
      </c>
      <c r="X117" s="27" t="n">
        <f aca="false">X64-X116</f>
        <v>-106018.138196848</v>
      </c>
      <c r="Y117" s="27" t="n">
        <f aca="false">Y64-Y116</f>
        <v>-106788.138196848</v>
      </c>
      <c r="Z117" s="27" t="n">
        <f aca="false">Z64-Z116</f>
        <v>-106958.138196848</v>
      </c>
      <c r="AA117" s="27" t="n">
        <f aca="false">AA64-AA116</f>
        <v>-107728.138196848</v>
      </c>
      <c r="AB117" s="27" t="n">
        <f aca="false">AB64-AB116</f>
        <v>-107898.138196848</v>
      </c>
      <c r="AC117" s="27" t="n">
        <f aca="false">AC64-AC116</f>
        <v>-108668.138196848</v>
      </c>
      <c r="AD117" s="27" t="n">
        <f aca="false">AD64-AD116</f>
        <v>-111844.682342753</v>
      </c>
      <c r="AE117" s="27" t="n">
        <f aca="false">AE64-AE116</f>
        <v>-112614.682342753</v>
      </c>
      <c r="AF117" s="27" t="n">
        <f aca="false">AF64-AF116</f>
        <v>-112024.682342753</v>
      </c>
      <c r="AG117" s="27" t="n">
        <f aca="false">SUM(U117:AF117)</f>
        <v>-1296197.29079989</v>
      </c>
      <c r="AH117" s="28" t="str">
        <f aca="false">IFERROR(AG117/AG$16,"")</f>
        <v/>
      </c>
      <c r="AI117" s="9"/>
      <c r="AJ117" s="27" t="n">
        <f aca="false">AG117-N117</f>
        <v>19176.8692001095</v>
      </c>
    </row>
    <row r="118" customFormat="false" ht="13.5" hidden="false" customHeight="true" outlineLevel="0" collapsed="false">
      <c r="A118" s="21" t="s">
        <v>1372</v>
      </c>
      <c r="B118" s="12"/>
      <c r="C118" s="12"/>
      <c r="D118" s="12"/>
      <c r="E118" s="12"/>
      <c r="F118" s="12"/>
      <c r="G118" s="12"/>
      <c r="H118" s="12"/>
      <c r="I118" s="12"/>
      <c r="J118" s="12"/>
      <c r="K118" s="12"/>
      <c r="L118" s="12"/>
      <c r="M118" s="12"/>
      <c r="N118" s="12"/>
      <c r="O118" s="24"/>
      <c r="P118" s="12"/>
      <c r="Q118" s="12"/>
      <c r="R118" s="63"/>
      <c r="S118" s="63"/>
      <c r="T118" s="63"/>
      <c r="U118" s="12"/>
      <c r="V118" s="12"/>
      <c r="W118" s="12"/>
      <c r="X118" s="12"/>
      <c r="Y118" s="12"/>
      <c r="Z118" s="12"/>
      <c r="AA118" s="12"/>
      <c r="AB118" s="12"/>
      <c r="AC118" s="12"/>
      <c r="AD118" s="12"/>
      <c r="AE118" s="12"/>
      <c r="AF118" s="12"/>
      <c r="AG118" s="12"/>
      <c r="AH118" s="24"/>
      <c r="AI118" s="9"/>
      <c r="AJ118" s="12"/>
    </row>
    <row r="119" customFormat="false" ht="13.5" hidden="false" customHeight="true" outlineLevel="0" collapsed="false">
      <c r="A119" s="22" t="s">
        <v>1373</v>
      </c>
      <c r="B119" s="12"/>
      <c r="C119" s="12"/>
      <c r="D119" s="12"/>
      <c r="E119" s="12"/>
      <c r="F119" s="12"/>
      <c r="G119" s="12"/>
      <c r="H119" s="12"/>
      <c r="I119" s="12"/>
      <c r="J119" s="12"/>
      <c r="K119" s="12"/>
      <c r="L119" s="12"/>
      <c r="M119" s="12"/>
      <c r="N119" s="12"/>
      <c r="O119" s="24"/>
      <c r="P119" s="12"/>
      <c r="Q119" s="12"/>
      <c r="R119" s="63"/>
      <c r="S119" s="63"/>
      <c r="T119" s="63"/>
      <c r="U119" s="12"/>
      <c r="V119" s="12"/>
      <c r="W119" s="12"/>
      <c r="X119" s="12"/>
      <c r="Y119" s="12"/>
      <c r="Z119" s="12"/>
      <c r="AA119" s="12"/>
      <c r="AB119" s="12"/>
      <c r="AC119" s="12"/>
      <c r="AD119" s="12"/>
      <c r="AE119" s="12"/>
      <c r="AF119" s="12"/>
      <c r="AG119" s="12"/>
      <c r="AH119" s="24"/>
      <c r="AI119" s="9"/>
      <c r="AJ119" s="12"/>
    </row>
    <row r="120" customFormat="false" ht="13.5" hidden="false" customHeight="true" outlineLevel="0" collapsed="false">
      <c r="A120" s="23" t="s">
        <v>1374</v>
      </c>
      <c r="B120" s="12" t="n">
        <v>0</v>
      </c>
      <c r="C120" s="12" t="n">
        <v>0</v>
      </c>
      <c r="D120" s="12" t="n">
        <v>0</v>
      </c>
      <c r="E120" s="12" t="n">
        <v>0</v>
      </c>
      <c r="F120" s="12" t="n">
        <v>0</v>
      </c>
      <c r="G120" s="12" t="n">
        <v>0</v>
      </c>
      <c r="H120" s="12" t="n">
        <v>0</v>
      </c>
      <c r="I120" s="12" t="n">
        <v>0</v>
      </c>
      <c r="J120" s="64" t="n">
        <v>0</v>
      </c>
      <c r="K120" s="64" t="n">
        <v>0</v>
      </c>
      <c r="L120" s="64" t="n">
        <v>0</v>
      </c>
      <c r="M120" s="64" t="n">
        <v>0</v>
      </c>
      <c r="N120" s="12" t="n">
        <f aca="false">SUM(B120:M120)</f>
        <v>0</v>
      </c>
      <c r="O120" s="24" t="str">
        <f aca="false">IFERROR(N120/N$16,"")</f>
        <v/>
      </c>
      <c r="P120" s="12"/>
      <c r="Q120" s="12"/>
      <c r="R120" s="60" t="s">
        <v>1397</v>
      </c>
      <c r="S120" s="61" t="n">
        <v>0</v>
      </c>
      <c r="T120" s="62" t="n">
        <v>0.05</v>
      </c>
      <c r="U120" s="59" t="n">
        <f aca="false">IF($R120="Manual","",IFERROR(IF($R120="YOY Growth",$N120*(1+$T120)/12,$S120/12),""))</f>
        <v>0</v>
      </c>
      <c r="V120" s="59" t="n">
        <f aca="false">IF($R120="Manual","",IFERROR(IF($R120="YOY Growth",$N120*(1+$T120)/12,$S120/12),""))</f>
        <v>0</v>
      </c>
      <c r="W120" s="59" t="n">
        <f aca="false">IF($R120="Manual","",IFERROR(IF($R120="YOY Growth",$N120*(1+$T120)/12,$S120/12),""))</f>
        <v>0</v>
      </c>
      <c r="X120" s="59" t="n">
        <f aca="false">IF($R120="Manual","",IFERROR(IF($R120="YOY Growth",$N120*(1+$T120)/12,$S120/12),""))</f>
        <v>0</v>
      </c>
      <c r="Y120" s="59" t="n">
        <f aca="false">IF($R120="Manual","",IFERROR(IF($R120="YOY Growth",$N120*(1+$T120)/12,$S120/12),""))</f>
        <v>0</v>
      </c>
      <c r="Z120" s="59" t="n">
        <f aca="false">IF($R120="Manual","",IFERROR(IF($R120="YOY Growth",$N120*(1+$T120)/12,$S120/12),""))</f>
        <v>0</v>
      </c>
      <c r="AA120" s="59" t="n">
        <f aca="false">IF($R120="Manual","",IFERROR(IF($R120="YOY Growth",$N120*(1+$T120)/12,$S120/12),""))</f>
        <v>0</v>
      </c>
      <c r="AB120" s="59" t="n">
        <f aca="false">IF($R120="Manual","",IFERROR(IF($R120="YOY Growth",$N120*(1+$T120)/12,$S120/12),""))</f>
        <v>0</v>
      </c>
      <c r="AC120" s="59" t="n">
        <f aca="false">IF($R120="Manual","",IFERROR(IF($R120="YOY Growth",$N120*(1+$T120)/12,$S120/12),""))</f>
        <v>0</v>
      </c>
      <c r="AD120" s="59" t="n">
        <f aca="false">IF($R120="Manual","",IFERROR(IF($R120="YOY Growth",$N120*(1+$T120)/12,$S120/12),""))</f>
        <v>0</v>
      </c>
      <c r="AE120" s="59" t="n">
        <f aca="false">IF($R120="Manual","",IFERROR(IF($R120="YOY Growth",$N120*(1+$T120)/12,$S120/12),""))</f>
        <v>0</v>
      </c>
      <c r="AF120" s="59" t="n">
        <f aca="false">IF($R120="Manual","",IFERROR(IF($R120="YOY Growth",$N120*(1+$T120)/12,$S120/12),""))</f>
        <v>0</v>
      </c>
      <c r="AG120" s="12" t="n">
        <f aca="false">SUM(U120:AF120)</f>
        <v>0</v>
      </c>
      <c r="AH120" s="24" t="str">
        <f aca="false">IFERROR(AG120/AG$16,"")</f>
        <v/>
      </c>
      <c r="AI120" s="9"/>
      <c r="AJ120" s="12" t="n">
        <f aca="false">AG120-N120</f>
        <v>0</v>
      </c>
    </row>
    <row r="121" customFormat="false" ht="13.5" hidden="false" customHeight="true" outlineLevel="0" collapsed="false">
      <c r="A121" s="23" t="s">
        <v>1375</v>
      </c>
      <c r="B121" s="12" t="n">
        <v>0</v>
      </c>
      <c r="C121" s="12" t="n">
        <v>0</v>
      </c>
      <c r="D121" s="12" t="n">
        <v>0</v>
      </c>
      <c r="E121" s="12" t="n">
        <v>0</v>
      </c>
      <c r="F121" s="12" t="n">
        <v>0</v>
      </c>
      <c r="G121" s="12" t="n">
        <v>0</v>
      </c>
      <c r="H121" s="12" t="n">
        <v>0</v>
      </c>
      <c r="I121" s="12" t="n">
        <v>0</v>
      </c>
      <c r="J121" s="64" t="n">
        <v>0</v>
      </c>
      <c r="K121" s="64" t="n">
        <v>0</v>
      </c>
      <c r="L121" s="64" t="n">
        <v>0</v>
      </c>
      <c r="M121" s="64" t="n">
        <v>0</v>
      </c>
      <c r="N121" s="12" t="n">
        <f aca="false">SUM(B121:M121)</f>
        <v>0</v>
      </c>
      <c r="O121" s="24" t="str">
        <f aca="false">IFERROR(N121/N$16,"")</f>
        <v/>
      </c>
      <c r="P121" s="12"/>
      <c r="Q121" s="12"/>
      <c r="R121" s="60" t="s">
        <v>1397</v>
      </c>
      <c r="S121" s="61" t="n">
        <v>0</v>
      </c>
      <c r="T121" s="62" t="n">
        <v>0.05</v>
      </c>
      <c r="U121" s="59" t="n">
        <f aca="false">IF($R121="Manual","",IFERROR(IF($R121="YOY Growth",$N121*(1+$T121)/12,$S121/12),""))</f>
        <v>0</v>
      </c>
      <c r="V121" s="59" t="n">
        <f aca="false">IF($R121="Manual","",IFERROR(IF($R121="YOY Growth",$N121*(1+$T121)/12,$S121/12),""))</f>
        <v>0</v>
      </c>
      <c r="W121" s="59" t="n">
        <f aca="false">IF($R121="Manual","",IFERROR(IF($R121="YOY Growth",$N121*(1+$T121)/12,$S121/12),""))</f>
        <v>0</v>
      </c>
      <c r="X121" s="59" t="n">
        <f aca="false">IF($R121="Manual","",IFERROR(IF($R121="YOY Growth",$N121*(1+$T121)/12,$S121/12),""))</f>
        <v>0</v>
      </c>
      <c r="Y121" s="59" t="n">
        <f aca="false">IF($R121="Manual","",IFERROR(IF($R121="YOY Growth",$N121*(1+$T121)/12,$S121/12),""))</f>
        <v>0</v>
      </c>
      <c r="Z121" s="59" t="n">
        <f aca="false">IF($R121="Manual","",IFERROR(IF($R121="YOY Growth",$N121*(1+$T121)/12,$S121/12),""))</f>
        <v>0</v>
      </c>
      <c r="AA121" s="59" t="n">
        <f aca="false">IF($R121="Manual","",IFERROR(IF($R121="YOY Growth",$N121*(1+$T121)/12,$S121/12),""))</f>
        <v>0</v>
      </c>
      <c r="AB121" s="59" t="n">
        <f aca="false">IF($R121="Manual","",IFERROR(IF($R121="YOY Growth",$N121*(1+$T121)/12,$S121/12),""))</f>
        <v>0</v>
      </c>
      <c r="AC121" s="59" t="n">
        <f aca="false">IF($R121="Manual","",IFERROR(IF($R121="YOY Growth",$N121*(1+$T121)/12,$S121/12),""))</f>
        <v>0</v>
      </c>
      <c r="AD121" s="59" t="n">
        <f aca="false">IF($R121="Manual","",IFERROR(IF($R121="YOY Growth",$N121*(1+$T121)/12,$S121/12),""))</f>
        <v>0</v>
      </c>
      <c r="AE121" s="59" t="n">
        <f aca="false">IF($R121="Manual","",IFERROR(IF($R121="YOY Growth",$N121*(1+$T121)/12,$S121/12),""))</f>
        <v>0</v>
      </c>
      <c r="AF121" s="59" t="n">
        <f aca="false">IF($R121="Manual","",IFERROR(IF($R121="YOY Growth",$N121*(1+$T121)/12,$S121/12),""))</f>
        <v>0</v>
      </c>
      <c r="AG121" s="12" t="n">
        <f aca="false">SUM(U121:AF121)</f>
        <v>0</v>
      </c>
      <c r="AH121" s="24" t="str">
        <f aca="false">IFERROR(AG121/AG$16,"")</f>
        <v/>
      </c>
      <c r="AI121" s="9"/>
      <c r="AJ121" s="12" t="n">
        <f aca="false">AG121-N121</f>
        <v>0</v>
      </c>
    </row>
    <row r="122" customFormat="false" ht="13.5" hidden="false" customHeight="true" outlineLevel="0" collapsed="false">
      <c r="A122" s="26" t="s">
        <v>1376</v>
      </c>
      <c r="B122" s="27" t="n">
        <f aca="false">SUM(B120:B121)</f>
        <v>0</v>
      </c>
      <c r="C122" s="27" t="n">
        <f aca="false">SUM(C120:C121)</f>
        <v>0</v>
      </c>
      <c r="D122" s="27" t="n">
        <f aca="false">SUM(D120:D121)</f>
        <v>0</v>
      </c>
      <c r="E122" s="27" t="n">
        <f aca="false">SUM(E120:E121)</f>
        <v>0</v>
      </c>
      <c r="F122" s="27" t="n">
        <f aca="false">SUM(F120:F121)</f>
        <v>0</v>
      </c>
      <c r="G122" s="27" t="n">
        <f aca="false">SUM(G120:G121)</f>
        <v>0</v>
      </c>
      <c r="H122" s="27" t="n">
        <f aca="false">SUM(H120:H121)</f>
        <v>0</v>
      </c>
      <c r="I122" s="27" t="n">
        <f aca="false">SUM(I120:I121)</f>
        <v>0</v>
      </c>
      <c r="J122" s="27" t="n">
        <f aca="false">SUM(J120:J121)</f>
        <v>0</v>
      </c>
      <c r="K122" s="27" t="n">
        <f aca="false">SUM(K120:K121)</f>
        <v>0</v>
      </c>
      <c r="L122" s="27" t="n">
        <f aca="false">SUM(L120:L121)</f>
        <v>0</v>
      </c>
      <c r="M122" s="27" t="n">
        <f aca="false">SUM(M120:M121)</f>
        <v>0</v>
      </c>
      <c r="N122" s="27" t="n">
        <f aca="false">SUM(B122:M122)</f>
        <v>0</v>
      </c>
      <c r="O122" s="28" t="str">
        <f aca="false">IFERROR(N122/N$16,"")</f>
        <v/>
      </c>
      <c r="P122" s="12"/>
      <c r="Q122" s="12"/>
      <c r="R122" s="63"/>
      <c r="S122" s="63"/>
      <c r="T122" s="63"/>
      <c r="U122" s="27" t="n">
        <f aca="false">SUM(U120:U121)</f>
        <v>0</v>
      </c>
      <c r="V122" s="27" t="n">
        <f aca="false">SUM(V120:V121)</f>
        <v>0</v>
      </c>
      <c r="W122" s="27" t="n">
        <f aca="false">SUM(W120:W121)</f>
        <v>0</v>
      </c>
      <c r="X122" s="27" t="n">
        <f aca="false">SUM(X120:X121)</f>
        <v>0</v>
      </c>
      <c r="Y122" s="27" t="n">
        <f aca="false">SUM(Y120:Y121)</f>
        <v>0</v>
      </c>
      <c r="Z122" s="27" t="n">
        <f aca="false">SUM(Z120:Z121)</f>
        <v>0</v>
      </c>
      <c r="AA122" s="27" t="n">
        <f aca="false">SUM(AA120:AA121)</f>
        <v>0</v>
      </c>
      <c r="AB122" s="27" t="n">
        <f aca="false">SUM(AB120:AB121)</f>
        <v>0</v>
      </c>
      <c r="AC122" s="27" t="n">
        <f aca="false">SUM(AC120:AC121)</f>
        <v>0</v>
      </c>
      <c r="AD122" s="27" t="n">
        <f aca="false">SUM(AD120:AD121)</f>
        <v>0</v>
      </c>
      <c r="AE122" s="27" t="n">
        <f aca="false">SUM(AE120:AE121)</f>
        <v>0</v>
      </c>
      <c r="AF122" s="27" t="n">
        <f aca="false">SUM(AF120:AF121)</f>
        <v>0</v>
      </c>
      <c r="AG122" s="27" t="n">
        <f aca="false">SUM(U122:AF122)</f>
        <v>0</v>
      </c>
      <c r="AH122" s="28" t="str">
        <f aca="false">IFERROR(AG122/AG$16,"")</f>
        <v/>
      </c>
      <c r="AI122" s="9"/>
      <c r="AJ122" s="27" t="n">
        <f aca="false">AG122-N122</f>
        <v>0</v>
      </c>
    </row>
    <row r="123" customFormat="false" ht="13.5" hidden="false" customHeight="true" outlineLevel="0" collapsed="false">
      <c r="A123" s="22" t="s">
        <v>1377</v>
      </c>
      <c r="B123" s="12"/>
      <c r="C123" s="12"/>
      <c r="D123" s="12"/>
      <c r="E123" s="12"/>
      <c r="F123" s="12"/>
      <c r="G123" s="12"/>
      <c r="H123" s="12"/>
      <c r="I123" s="12"/>
      <c r="J123" s="12"/>
      <c r="K123" s="12"/>
      <c r="L123" s="12"/>
      <c r="M123" s="12"/>
      <c r="N123" s="12"/>
      <c r="O123" s="24"/>
      <c r="P123" s="12"/>
      <c r="Q123" s="12"/>
      <c r="R123" s="63"/>
      <c r="S123" s="63"/>
      <c r="T123" s="63"/>
      <c r="U123" s="12"/>
      <c r="V123" s="12"/>
      <c r="W123" s="12"/>
      <c r="X123" s="12"/>
      <c r="Y123" s="12"/>
      <c r="Z123" s="12"/>
      <c r="AA123" s="12"/>
      <c r="AB123" s="12"/>
      <c r="AC123" s="12"/>
      <c r="AD123" s="12"/>
      <c r="AE123" s="12"/>
      <c r="AF123" s="12"/>
      <c r="AG123" s="12"/>
      <c r="AH123" s="24"/>
      <c r="AI123" s="9"/>
      <c r="AJ123" s="12"/>
    </row>
    <row r="124" customFormat="false" ht="13.5" hidden="false" customHeight="true" outlineLevel="0" collapsed="false">
      <c r="A124" s="34" t="s">
        <v>1378</v>
      </c>
      <c r="B124" s="12" t="n">
        <v>0</v>
      </c>
      <c r="C124" s="12" t="n">
        <v>0</v>
      </c>
      <c r="D124" s="12" t="n">
        <v>0</v>
      </c>
      <c r="E124" s="12" t="n">
        <v>0</v>
      </c>
      <c r="F124" s="12" t="n">
        <v>0</v>
      </c>
      <c r="G124" s="12" t="n">
        <v>0</v>
      </c>
      <c r="H124" s="12" t="n">
        <v>0</v>
      </c>
      <c r="I124" s="12" t="n">
        <v>0</v>
      </c>
      <c r="J124" s="64"/>
      <c r="K124" s="64"/>
      <c r="L124" s="64"/>
      <c r="M124" s="64"/>
      <c r="N124" s="12" t="n">
        <v>0</v>
      </c>
      <c r="O124" s="24" t="str">
        <f aca="false">IFERROR(N124/N$16,"")</f>
        <v/>
      </c>
      <c r="P124" s="12"/>
      <c r="Q124" s="12"/>
      <c r="R124" s="60" t="s">
        <v>1397</v>
      </c>
      <c r="S124" s="61" t="n">
        <v>0</v>
      </c>
      <c r="T124" s="62" t="n">
        <v>0.05</v>
      </c>
      <c r="U124" s="59" t="n">
        <f aca="false">IF($R124="Manual","",IFERROR(IF($R124="YOY Growth",$N124*(1+$T124)/12,$S124/12),""))</f>
        <v>0</v>
      </c>
      <c r="V124" s="59" t="n">
        <f aca="false">IF($R124="Manual","",IFERROR(IF($R124="YOY Growth",$N124*(1+$T124)/12,$S124/12),""))</f>
        <v>0</v>
      </c>
      <c r="W124" s="59" t="n">
        <f aca="false">IF($R124="Manual","",IFERROR(IF($R124="YOY Growth",$N124*(1+$T124)/12,$S124/12),""))</f>
        <v>0</v>
      </c>
      <c r="X124" s="59" t="n">
        <f aca="false">IF($R124="Manual","",IFERROR(IF($R124="YOY Growth",$N124*(1+$T124)/12,$S124/12),""))</f>
        <v>0</v>
      </c>
      <c r="Y124" s="59" t="n">
        <f aca="false">IF($R124="Manual","",IFERROR(IF($R124="YOY Growth",$N124*(1+$T124)/12,$S124/12),""))</f>
        <v>0</v>
      </c>
      <c r="Z124" s="59" t="n">
        <f aca="false">IF($R124="Manual","",IFERROR(IF($R124="YOY Growth",$N124*(1+$T124)/12,$S124/12),""))</f>
        <v>0</v>
      </c>
      <c r="AA124" s="59" t="n">
        <f aca="false">IF($R124="Manual","",IFERROR(IF($R124="YOY Growth",$N124*(1+$T124)/12,$S124/12),""))</f>
        <v>0</v>
      </c>
      <c r="AB124" s="59" t="n">
        <f aca="false">IF($R124="Manual","",IFERROR(IF($R124="YOY Growth",$N124*(1+$T124)/12,$S124/12),""))</f>
        <v>0</v>
      </c>
      <c r="AC124" s="59" t="n">
        <f aca="false">IF($R124="Manual","",IFERROR(IF($R124="YOY Growth",$N124*(1+$T124)/12,$S124/12),""))</f>
        <v>0</v>
      </c>
      <c r="AD124" s="59" t="n">
        <f aca="false">IF($R124="Manual","",IFERROR(IF($R124="YOY Growth",$N124*(1+$T124)/12,$S124/12),""))</f>
        <v>0</v>
      </c>
      <c r="AE124" s="59" t="n">
        <f aca="false">IF($R124="Manual","",IFERROR(IF($R124="YOY Growth",$N124*(1+$T124)/12,$S124/12),""))</f>
        <v>0</v>
      </c>
      <c r="AF124" s="59" t="n">
        <f aca="false">IF($R124="Manual","",IFERROR(IF($R124="YOY Growth",$N124*(1+$T124)/12,$S124/12),""))</f>
        <v>0</v>
      </c>
      <c r="AG124" s="12" t="n">
        <f aca="false">SUM(U124:AF124)</f>
        <v>0</v>
      </c>
      <c r="AH124" s="24" t="str">
        <f aca="false">IFERROR(AG124/AG$16,"")</f>
        <v/>
      </c>
      <c r="AI124" s="9"/>
      <c r="AJ124" s="12" t="n">
        <f aca="false">N124-AG124</f>
        <v>0</v>
      </c>
    </row>
    <row r="125" customFormat="false" ht="13.5" hidden="false" customHeight="true" outlineLevel="0" collapsed="false">
      <c r="A125" s="23" t="s">
        <v>1379</v>
      </c>
      <c r="B125" s="12" t="n">
        <v>0</v>
      </c>
      <c r="C125" s="12" t="n">
        <v>0</v>
      </c>
      <c r="D125" s="12" t="n">
        <v>0</v>
      </c>
      <c r="E125" s="12" t="n">
        <v>0</v>
      </c>
      <c r="F125" s="12" t="n">
        <v>0</v>
      </c>
      <c r="G125" s="12" t="n">
        <v>0</v>
      </c>
      <c r="H125" s="12" t="n">
        <v>0</v>
      </c>
      <c r="I125" s="12" t="n">
        <v>0</v>
      </c>
      <c r="J125" s="64" t="n">
        <v>0</v>
      </c>
      <c r="K125" s="64" t="n">
        <v>0</v>
      </c>
      <c r="L125" s="64" t="n">
        <v>0</v>
      </c>
      <c r="M125" s="64" t="n">
        <v>0</v>
      </c>
      <c r="N125" s="12" t="n">
        <f aca="false">SUM(B125:M125)</f>
        <v>0</v>
      </c>
      <c r="O125" s="24" t="str">
        <f aca="false">IFERROR(N125/N$16,"")</f>
        <v/>
      </c>
      <c r="P125" s="12"/>
      <c r="Q125" s="12"/>
      <c r="R125" s="60" t="s">
        <v>1397</v>
      </c>
      <c r="S125" s="61" t="n">
        <v>0</v>
      </c>
      <c r="T125" s="62" t="n">
        <v>0.05</v>
      </c>
      <c r="U125" s="59" t="n">
        <f aca="false">IF($R125="Manual","",IFERROR(IF($R125="YOY Growth",$N125*(1+$T125)/12,$S125/12),""))</f>
        <v>0</v>
      </c>
      <c r="V125" s="59" t="n">
        <f aca="false">IF($R125="Manual","",IFERROR(IF($R125="YOY Growth",$N125*(1+$T125)/12,$S125/12),""))</f>
        <v>0</v>
      </c>
      <c r="W125" s="59" t="n">
        <f aca="false">IF($R125="Manual","",IFERROR(IF($R125="YOY Growth",$N125*(1+$T125)/12,$S125/12),""))</f>
        <v>0</v>
      </c>
      <c r="X125" s="59" t="n">
        <f aca="false">IF($R125="Manual","",IFERROR(IF($R125="YOY Growth",$N125*(1+$T125)/12,$S125/12),""))</f>
        <v>0</v>
      </c>
      <c r="Y125" s="59" t="n">
        <f aca="false">IF($R125="Manual","",IFERROR(IF($R125="YOY Growth",$N125*(1+$T125)/12,$S125/12),""))</f>
        <v>0</v>
      </c>
      <c r="Z125" s="59" t="n">
        <f aca="false">IF($R125="Manual","",IFERROR(IF($R125="YOY Growth",$N125*(1+$T125)/12,$S125/12),""))</f>
        <v>0</v>
      </c>
      <c r="AA125" s="59" t="n">
        <f aca="false">IF($R125="Manual","",IFERROR(IF($R125="YOY Growth",$N125*(1+$T125)/12,$S125/12),""))</f>
        <v>0</v>
      </c>
      <c r="AB125" s="59" t="n">
        <f aca="false">IF($R125="Manual","",IFERROR(IF($R125="YOY Growth",$N125*(1+$T125)/12,$S125/12),""))</f>
        <v>0</v>
      </c>
      <c r="AC125" s="59" t="n">
        <f aca="false">IF($R125="Manual","",IFERROR(IF($R125="YOY Growth",$N125*(1+$T125)/12,$S125/12),""))</f>
        <v>0</v>
      </c>
      <c r="AD125" s="59" t="n">
        <f aca="false">IF($R125="Manual","",IFERROR(IF($R125="YOY Growth",$N125*(1+$T125)/12,$S125/12),""))</f>
        <v>0</v>
      </c>
      <c r="AE125" s="59" t="n">
        <f aca="false">IF($R125="Manual","",IFERROR(IF($R125="YOY Growth",$N125*(1+$T125)/12,$S125/12),""))</f>
        <v>0</v>
      </c>
      <c r="AF125" s="59" t="n">
        <f aca="false">IF($R125="Manual","",IFERROR(IF($R125="YOY Growth",$N125*(1+$T125)/12,$S125/12),""))</f>
        <v>0</v>
      </c>
      <c r="AG125" s="12" t="n">
        <f aca="false">SUM(U125:AF125)</f>
        <v>0</v>
      </c>
      <c r="AH125" s="24" t="str">
        <f aca="false">IFERROR(AG125/AG$16,"")</f>
        <v/>
      </c>
      <c r="AI125" s="9"/>
      <c r="AJ125" s="12" t="n">
        <f aca="false">N125-AG125</f>
        <v>0</v>
      </c>
    </row>
    <row r="126" customFormat="false" ht="13.5" hidden="false" customHeight="true" outlineLevel="0" collapsed="false">
      <c r="A126" s="23" t="s">
        <v>1380</v>
      </c>
      <c r="B126" s="12" t="n">
        <v>0</v>
      </c>
      <c r="C126" s="12" t="n">
        <v>0</v>
      </c>
      <c r="D126" s="12" t="n">
        <v>0</v>
      </c>
      <c r="E126" s="12" t="n">
        <v>0</v>
      </c>
      <c r="F126" s="12" t="n">
        <v>0</v>
      </c>
      <c r="G126" s="12" t="n">
        <v>0</v>
      </c>
      <c r="H126" s="12" t="n">
        <v>0</v>
      </c>
      <c r="I126" s="12" t="n">
        <v>0</v>
      </c>
      <c r="J126" s="64" t="n">
        <v>0</v>
      </c>
      <c r="K126" s="64" t="n">
        <v>0</v>
      </c>
      <c r="L126" s="64" t="n">
        <v>0</v>
      </c>
      <c r="M126" s="64" t="n">
        <v>0</v>
      </c>
      <c r="N126" s="12" t="n">
        <f aca="false">SUM(B126:M126)</f>
        <v>0</v>
      </c>
      <c r="O126" s="24" t="str">
        <f aca="false">IFERROR(N126/N$16,"")</f>
        <v/>
      </c>
      <c r="P126" s="12"/>
      <c r="Q126" s="12"/>
      <c r="R126" s="60" t="s">
        <v>1397</v>
      </c>
      <c r="S126" s="61" t="n">
        <v>0</v>
      </c>
      <c r="T126" s="62" t="n">
        <v>0.05</v>
      </c>
      <c r="U126" s="59" t="n">
        <f aca="false">IF($R126="Manual","",IFERROR(IF($R126="YOY Growth",$N126*(1+$T126)/12,$S126/12),""))</f>
        <v>0</v>
      </c>
      <c r="V126" s="59" t="n">
        <f aca="false">IF($R126="Manual","",IFERROR(IF($R126="YOY Growth",$N126*(1+$T126)/12,$S126/12),""))</f>
        <v>0</v>
      </c>
      <c r="W126" s="59" t="n">
        <f aca="false">IF($R126="Manual","",IFERROR(IF($R126="YOY Growth",$N126*(1+$T126)/12,$S126/12),""))</f>
        <v>0</v>
      </c>
      <c r="X126" s="59" t="n">
        <f aca="false">IF($R126="Manual","",IFERROR(IF($R126="YOY Growth",$N126*(1+$T126)/12,$S126/12),""))</f>
        <v>0</v>
      </c>
      <c r="Y126" s="59" t="n">
        <f aca="false">IF($R126="Manual","",IFERROR(IF($R126="YOY Growth",$N126*(1+$T126)/12,$S126/12),""))</f>
        <v>0</v>
      </c>
      <c r="Z126" s="59" t="n">
        <f aca="false">IF($R126="Manual","",IFERROR(IF($R126="YOY Growth",$N126*(1+$T126)/12,$S126/12),""))</f>
        <v>0</v>
      </c>
      <c r="AA126" s="59" t="n">
        <f aca="false">IF($R126="Manual","",IFERROR(IF($R126="YOY Growth",$N126*(1+$T126)/12,$S126/12),""))</f>
        <v>0</v>
      </c>
      <c r="AB126" s="59" t="n">
        <f aca="false">IF($R126="Manual","",IFERROR(IF($R126="YOY Growth",$N126*(1+$T126)/12,$S126/12),""))</f>
        <v>0</v>
      </c>
      <c r="AC126" s="59" t="n">
        <f aca="false">IF($R126="Manual","",IFERROR(IF($R126="YOY Growth",$N126*(1+$T126)/12,$S126/12),""))</f>
        <v>0</v>
      </c>
      <c r="AD126" s="59" t="n">
        <f aca="false">IF($R126="Manual","",IFERROR(IF($R126="YOY Growth",$N126*(1+$T126)/12,$S126/12),""))</f>
        <v>0</v>
      </c>
      <c r="AE126" s="59" t="n">
        <f aca="false">IF($R126="Manual","",IFERROR(IF($R126="YOY Growth",$N126*(1+$T126)/12,$S126/12),""))</f>
        <v>0</v>
      </c>
      <c r="AF126" s="59" t="n">
        <f aca="false">IF($R126="Manual","",IFERROR(IF($R126="YOY Growth",$N126*(1+$T126)/12,$S126/12),""))</f>
        <v>0</v>
      </c>
      <c r="AG126" s="12" t="n">
        <f aca="false">SUM(U126:AF126)</f>
        <v>0</v>
      </c>
      <c r="AH126" s="24" t="str">
        <f aca="false">IFERROR(AG126/AG$16,"")</f>
        <v/>
      </c>
      <c r="AI126" s="9"/>
      <c r="AJ126" s="12" t="n">
        <f aca="false">N126-AG126</f>
        <v>0</v>
      </c>
    </row>
    <row r="127" customFormat="false" ht="13.5" hidden="false" customHeight="true" outlineLevel="0" collapsed="false">
      <c r="A127" s="23" t="s">
        <v>1381</v>
      </c>
      <c r="B127" s="12" t="n">
        <v>0</v>
      </c>
      <c r="C127" s="12" t="n">
        <v>0</v>
      </c>
      <c r="D127" s="12" t="n">
        <v>0</v>
      </c>
      <c r="E127" s="12" t="n">
        <v>0</v>
      </c>
      <c r="F127" s="12" t="n">
        <v>0</v>
      </c>
      <c r="G127" s="12" t="n">
        <v>0</v>
      </c>
      <c r="H127" s="12" t="n">
        <v>0</v>
      </c>
      <c r="I127" s="12" t="n">
        <v>0</v>
      </c>
      <c r="J127" s="64"/>
      <c r="K127" s="64"/>
      <c r="L127" s="64"/>
      <c r="M127" s="64"/>
      <c r="N127" s="12"/>
      <c r="O127" s="24"/>
      <c r="P127" s="12"/>
      <c r="Q127" s="12"/>
      <c r="R127" s="60" t="s">
        <v>1397</v>
      </c>
      <c r="S127" s="61" t="n">
        <v>0</v>
      </c>
      <c r="T127" s="62" t="n">
        <v>0.05</v>
      </c>
      <c r="U127" s="59" t="n">
        <f aca="false">IF($R127="Manual","",IFERROR(IF($R127="YOY Growth",$N127*(1+$T127)/12,$S127/12),""))</f>
        <v>0</v>
      </c>
      <c r="V127" s="59" t="n">
        <f aca="false">IF($R127="Manual","",IFERROR(IF($R127="YOY Growth",$N127*(1+$T127)/12,$S127/12),""))</f>
        <v>0</v>
      </c>
      <c r="W127" s="59" t="n">
        <f aca="false">IF($R127="Manual","",IFERROR(IF($R127="YOY Growth",$N127*(1+$T127)/12,$S127/12),""))</f>
        <v>0</v>
      </c>
      <c r="X127" s="59" t="n">
        <f aca="false">IF($R127="Manual","",IFERROR(IF($R127="YOY Growth",$N127*(1+$T127)/12,$S127/12),""))</f>
        <v>0</v>
      </c>
      <c r="Y127" s="59" t="n">
        <f aca="false">IF($R127="Manual","",IFERROR(IF($R127="YOY Growth",$N127*(1+$T127)/12,$S127/12),""))</f>
        <v>0</v>
      </c>
      <c r="Z127" s="59" t="n">
        <f aca="false">IF($R127="Manual","",IFERROR(IF($R127="YOY Growth",$N127*(1+$T127)/12,$S127/12),""))</f>
        <v>0</v>
      </c>
      <c r="AA127" s="59" t="n">
        <f aca="false">IF($R127="Manual","",IFERROR(IF($R127="YOY Growth",$N127*(1+$T127)/12,$S127/12),""))</f>
        <v>0</v>
      </c>
      <c r="AB127" s="59" t="n">
        <f aca="false">IF($R127="Manual","",IFERROR(IF($R127="YOY Growth",$N127*(1+$T127)/12,$S127/12),""))</f>
        <v>0</v>
      </c>
      <c r="AC127" s="59" t="n">
        <f aca="false">IF($R127="Manual","",IFERROR(IF($R127="YOY Growth",$N127*(1+$T127)/12,$S127/12),""))</f>
        <v>0</v>
      </c>
      <c r="AD127" s="59" t="n">
        <f aca="false">IF($R127="Manual","",IFERROR(IF($R127="YOY Growth",$N127*(1+$T127)/12,$S127/12),""))</f>
        <v>0</v>
      </c>
      <c r="AE127" s="59" t="n">
        <f aca="false">IF($R127="Manual","",IFERROR(IF($R127="YOY Growth",$N127*(1+$T127)/12,$S127/12),""))</f>
        <v>0</v>
      </c>
      <c r="AF127" s="59" t="n">
        <f aca="false">IF($R127="Manual","",IFERROR(IF($R127="YOY Growth",$N127*(1+$T127)/12,$S127/12),""))</f>
        <v>0</v>
      </c>
      <c r="AG127" s="12"/>
      <c r="AH127" s="24"/>
      <c r="AI127" s="9"/>
      <c r="AJ127" s="12"/>
    </row>
    <row r="128" customFormat="false" ht="13.5" hidden="false" customHeight="true" outlineLevel="0" collapsed="false">
      <c r="A128" s="23" t="s">
        <v>1382</v>
      </c>
      <c r="B128" s="12" t="n">
        <v>0</v>
      </c>
      <c r="C128" s="12" t="n">
        <v>0</v>
      </c>
      <c r="D128" s="12" t="n">
        <v>0</v>
      </c>
      <c r="E128" s="12" t="n">
        <v>0</v>
      </c>
      <c r="F128" s="12" t="n">
        <v>0</v>
      </c>
      <c r="G128" s="12" t="n">
        <v>0</v>
      </c>
      <c r="H128" s="12" t="n">
        <v>0</v>
      </c>
      <c r="I128" s="12" t="n">
        <v>0</v>
      </c>
      <c r="J128" s="64" t="n">
        <v>0</v>
      </c>
      <c r="K128" s="64" t="n">
        <v>0</v>
      </c>
      <c r="L128" s="64" t="n">
        <v>0</v>
      </c>
      <c r="M128" s="64" t="n">
        <v>0</v>
      </c>
      <c r="N128" s="12" t="n">
        <f aca="false">SUM(B128:M128)</f>
        <v>0</v>
      </c>
      <c r="O128" s="24" t="str">
        <f aca="false">IFERROR(N128/N$16,"")</f>
        <v/>
      </c>
      <c r="P128" s="12"/>
      <c r="Q128" s="12"/>
      <c r="R128" s="60" t="s">
        <v>1397</v>
      </c>
      <c r="S128" s="61" t="n">
        <v>0</v>
      </c>
      <c r="T128" s="62" t="n">
        <v>0.05</v>
      </c>
      <c r="U128" s="59" t="n">
        <f aca="false">IF($R128="Manual","",IFERROR(IF($R128="YOY Growth",$N128*(1+$T128)/12,$S128/12),""))</f>
        <v>0</v>
      </c>
      <c r="V128" s="59" t="n">
        <f aca="false">IF($R128="Manual","",IFERROR(IF($R128="YOY Growth",$N128*(1+$T128)/12,$S128/12),""))</f>
        <v>0</v>
      </c>
      <c r="W128" s="59" t="n">
        <f aca="false">IF($R128="Manual","",IFERROR(IF($R128="YOY Growth",$N128*(1+$T128)/12,$S128/12),""))</f>
        <v>0</v>
      </c>
      <c r="X128" s="59" t="n">
        <f aca="false">IF($R128="Manual","",IFERROR(IF($R128="YOY Growth",$N128*(1+$T128)/12,$S128/12),""))</f>
        <v>0</v>
      </c>
      <c r="Y128" s="59" t="n">
        <f aca="false">IF($R128="Manual","",IFERROR(IF($R128="YOY Growth",$N128*(1+$T128)/12,$S128/12),""))</f>
        <v>0</v>
      </c>
      <c r="Z128" s="59" t="n">
        <f aca="false">IF($R128="Manual","",IFERROR(IF($R128="YOY Growth",$N128*(1+$T128)/12,$S128/12),""))</f>
        <v>0</v>
      </c>
      <c r="AA128" s="59" t="n">
        <f aca="false">IF($R128="Manual","",IFERROR(IF($R128="YOY Growth",$N128*(1+$T128)/12,$S128/12),""))</f>
        <v>0</v>
      </c>
      <c r="AB128" s="59" t="n">
        <f aca="false">IF($R128="Manual","",IFERROR(IF($R128="YOY Growth",$N128*(1+$T128)/12,$S128/12),""))</f>
        <v>0</v>
      </c>
      <c r="AC128" s="59" t="n">
        <f aca="false">IF($R128="Manual","",IFERROR(IF($R128="YOY Growth",$N128*(1+$T128)/12,$S128/12),""))</f>
        <v>0</v>
      </c>
      <c r="AD128" s="59" t="n">
        <f aca="false">IF($R128="Manual","",IFERROR(IF($R128="YOY Growth",$N128*(1+$T128)/12,$S128/12),""))</f>
        <v>0</v>
      </c>
      <c r="AE128" s="59" t="n">
        <f aca="false">IF($R128="Manual","",IFERROR(IF($R128="YOY Growth",$N128*(1+$T128)/12,$S128/12),""))</f>
        <v>0</v>
      </c>
      <c r="AF128" s="59" t="n">
        <f aca="false">IF($R128="Manual","",IFERROR(IF($R128="YOY Growth",$N128*(1+$T128)/12,$S128/12),""))</f>
        <v>0</v>
      </c>
      <c r="AG128" s="12" t="n">
        <f aca="false">SUM(U128:AF128)</f>
        <v>0</v>
      </c>
      <c r="AH128" s="24" t="str">
        <f aca="false">IFERROR(AG128/AG$16,"")</f>
        <v/>
      </c>
      <c r="AI128" s="9"/>
      <c r="AJ128" s="12" t="n">
        <f aca="false">N128-AG128</f>
        <v>0</v>
      </c>
    </row>
    <row r="129" customFormat="false" ht="13.5" hidden="false" customHeight="true" outlineLevel="0" collapsed="false">
      <c r="A129" s="23" t="s">
        <v>1383</v>
      </c>
      <c r="B129" s="12" t="n">
        <v>0</v>
      </c>
      <c r="C129" s="12" t="n">
        <v>0</v>
      </c>
      <c r="D129" s="12" t="n">
        <v>0</v>
      </c>
      <c r="E129" s="12" t="n">
        <v>0</v>
      </c>
      <c r="F129" s="12" t="n">
        <v>0</v>
      </c>
      <c r="G129" s="12" t="n">
        <v>0</v>
      </c>
      <c r="H129" s="12" t="n">
        <v>0</v>
      </c>
      <c r="I129" s="12" t="n">
        <v>0</v>
      </c>
      <c r="J129" s="64" t="n">
        <v>0</v>
      </c>
      <c r="K129" s="64" t="n">
        <v>0</v>
      </c>
      <c r="L129" s="64" t="n">
        <v>0</v>
      </c>
      <c r="M129" s="64" t="n">
        <v>0</v>
      </c>
      <c r="N129" s="12" t="n">
        <f aca="false">SUM(B129:M129)</f>
        <v>0</v>
      </c>
      <c r="O129" s="24" t="str">
        <f aca="false">IFERROR(N129/N$16,"")</f>
        <v/>
      </c>
      <c r="P129" s="12"/>
      <c r="Q129" s="12"/>
      <c r="R129" s="60" t="s">
        <v>1397</v>
      </c>
      <c r="S129" s="61" t="n">
        <v>0</v>
      </c>
      <c r="T129" s="62" t="n">
        <v>0.05</v>
      </c>
      <c r="U129" s="59" t="n">
        <f aca="false">IF($R129="Manual","",IFERROR(IF($R129="YOY Growth",$N129*(1+$T129)/12,$S129/12),""))</f>
        <v>0</v>
      </c>
      <c r="V129" s="59" t="n">
        <f aca="false">IF($R129="Manual","",IFERROR(IF($R129="YOY Growth",$N129*(1+$T129)/12,$S129/12),""))</f>
        <v>0</v>
      </c>
      <c r="W129" s="59" t="n">
        <f aca="false">IF($R129="Manual","",IFERROR(IF($R129="YOY Growth",$N129*(1+$T129)/12,$S129/12),""))</f>
        <v>0</v>
      </c>
      <c r="X129" s="59" t="n">
        <f aca="false">IF($R129="Manual","",IFERROR(IF($R129="YOY Growth",$N129*(1+$T129)/12,$S129/12),""))</f>
        <v>0</v>
      </c>
      <c r="Y129" s="59" t="n">
        <f aca="false">IF($R129="Manual","",IFERROR(IF($R129="YOY Growth",$N129*(1+$T129)/12,$S129/12),""))</f>
        <v>0</v>
      </c>
      <c r="Z129" s="59" t="n">
        <f aca="false">IF($R129="Manual","",IFERROR(IF($R129="YOY Growth",$N129*(1+$T129)/12,$S129/12),""))</f>
        <v>0</v>
      </c>
      <c r="AA129" s="59" t="n">
        <f aca="false">IF($R129="Manual","",IFERROR(IF($R129="YOY Growth",$N129*(1+$T129)/12,$S129/12),""))</f>
        <v>0</v>
      </c>
      <c r="AB129" s="59" t="n">
        <f aca="false">IF($R129="Manual","",IFERROR(IF($R129="YOY Growth",$N129*(1+$T129)/12,$S129/12),""))</f>
        <v>0</v>
      </c>
      <c r="AC129" s="59" t="n">
        <f aca="false">IF($R129="Manual","",IFERROR(IF($R129="YOY Growth",$N129*(1+$T129)/12,$S129/12),""))</f>
        <v>0</v>
      </c>
      <c r="AD129" s="59" t="n">
        <f aca="false">IF($R129="Manual","",IFERROR(IF($R129="YOY Growth",$N129*(1+$T129)/12,$S129/12),""))</f>
        <v>0</v>
      </c>
      <c r="AE129" s="59" t="n">
        <f aca="false">IF($R129="Manual","",IFERROR(IF($R129="YOY Growth",$N129*(1+$T129)/12,$S129/12),""))</f>
        <v>0</v>
      </c>
      <c r="AF129" s="59" t="n">
        <f aca="false">IF($R129="Manual","",IFERROR(IF($R129="YOY Growth",$N129*(1+$T129)/12,$S129/12),""))</f>
        <v>0</v>
      </c>
      <c r="AG129" s="12" t="n">
        <f aca="false">SUM(U129:AF129)</f>
        <v>0</v>
      </c>
      <c r="AH129" s="24" t="str">
        <f aca="false">IFERROR(AG129/AG$16,"")</f>
        <v/>
      </c>
      <c r="AI129" s="9"/>
      <c r="AJ129" s="12" t="n">
        <f aca="false">N129-AG129</f>
        <v>0</v>
      </c>
    </row>
    <row r="130" customFormat="false" ht="13.5" hidden="false" customHeight="true" outlineLevel="0" collapsed="false">
      <c r="A130" s="26" t="s">
        <v>1384</v>
      </c>
      <c r="B130" s="27" t="n">
        <f aca="false">SUM(B124:B129)</f>
        <v>0</v>
      </c>
      <c r="C130" s="27" t="n">
        <f aca="false">SUM(C124:C129)</f>
        <v>0</v>
      </c>
      <c r="D130" s="27" t="n">
        <f aca="false">SUM(D124:D129)</f>
        <v>0</v>
      </c>
      <c r="E130" s="27" t="n">
        <f aca="false">SUM(E124:E129)</f>
        <v>0</v>
      </c>
      <c r="F130" s="27" t="n">
        <f aca="false">SUM(F124:F129)</f>
        <v>0</v>
      </c>
      <c r="G130" s="27" t="n">
        <f aca="false">SUM(G124:G129)</f>
        <v>0</v>
      </c>
      <c r="H130" s="27" t="n">
        <f aca="false">SUM(H124:H129)</f>
        <v>0</v>
      </c>
      <c r="I130" s="27" t="n">
        <f aca="false">SUM(I124:I129)</f>
        <v>0</v>
      </c>
      <c r="J130" s="27" t="n">
        <f aca="false">SUM(J124:J129)</f>
        <v>0</v>
      </c>
      <c r="K130" s="27" t="n">
        <f aca="false">SUM(K124:K129)</f>
        <v>0</v>
      </c>
      <c r="L130" s="27" t="n">
        <f aca="false">SUM(L124:L129)</f>
        <v>0</v>
      </c>
      <c r="M130" s="27" t="n">
        <f aca="false">SUM(M124:M129)</f>
        <v>0</v>
      </c>
      <c r="N130" s="27" t="n">
        <f aca="false">SUM(B130:M130)</f>
        <v>0</v>
      </c>
      <c r="O130" s="28" t="str">
        <f aca="false">IFERROR(N130/N$16,"")</f>
        <v/>
      </c>
      <c r="P130" s="12"/>
      <c r="Q130" s="12"/>
      <c r="R130" s="63"/>
      <c r="S130" s="63"/>
      <c r="T130" s="63"/>
      <c r="U130" s="27" t="n">
        <f aca="false">SUM(U124:U129)</f>
        <v>0</v>
      </c>
      <c r="V130" s="27" t="n">
        <f aca="false">SUM(V124:V129)</f>
        <v>0</v>
      </c>
      <c r="W130" s="27" t="n">
        <f aca="false">SUM(W124:W129)</f>
        <v>0</v>
      </c>
      <c r="X130" s="27" t="n">
        <f aca="false">SUM(X124:X129)</f>
        <v>0</v>
      </c>
      <c r="Y130" s="27" t="n">
        <f aca="false">SUM(Y124:Y129)</f>
        <v>0</v>
      </c>
      <c r="Z130" s="27" t="n">
        <f aca="false">SUM(Z124:Z129)</f>
        <v>0</v>
      </c>
      <c r="AA130" s="27" t="n">
        <f aca="false">SUM(AA124:AA129)</f>
        <v>0</v>
      </c>
      <c r="AB130" s="27" t="n">
        <f aca="false">SUM(AB124:AB129)</f>
        <v>0</v>
      </c>
      <c r="AC130" s="27" t="n">
        <f aca="false">SUM(AC124:AC129)</f>
        <v>0</v>
      </c>
      <c r="AD130" s="27" t="n">
        <f aca="false">SUM(AD124:AD129)</f>
        <v>0</v>
      </c>
      <c r="AE130" s="27" t="n">
        <f aca="false">SUM(AE124:AE129)</f>
        <v>0</v>
      </c>
      <c r="AF130" s="27" t="n">
        <f aca="false">SUM(AF124:AF129)</f>
        <v>0</v>
      </c>
      <c r="AG130" s="27" t="n">
        <f aca="false">SUM(U130:AF130)</f>
        <v>0</v>
      </c>
      <c r="AH130" s="28" t="str">
        <f aca="false">IFERROR(AG130/AG$16,"")</f>
        <v/>
      </c>
      <c r="AI130" s="9"/>
      <c r="AJ130" s="27" t="n">
        <f aca="false">N130-AG130</f>
        <v>0</v>
      </c>
    </row>
    <row r="131" customFormat="false" ht="13.5" hidden="false" customHeight="true" outlineLevel="0" collapsed="false">
      <c r="A131" s="41" t="s">
        <v>1385</v>
      </c>
      <c r="B131" s="27" t="n">
        <f aca="false">B122-B130</f>
        <v>0</v>
      </c>
      <c r="C131" s="27" t="n">
        <f aca="false">C122-C130</f>
        <v>0</v>
      </c>
      <c r="D131" s="27" t="n">
        <f aca="false">D122-D130</f>
        <v>0</v>
      </c>
      <c r="E131" s="27" t="n">
        <f aca="false">E122-E130</f>
        <v>0</v>
      </c>
      <c r="F131" s="27" t="n">
        <f aca="false">F122-F130</f>
        <v>0</v>
      </c>
      <c r="G131" s="27" t="n">
        <f aca="false">G122-G130</f>
        <v>0</v>
      </c>
      <c r="H131" s="27" t="n">
        <f aca="false">H122-H130</f>
        <v>0</v>
      </c>
      <c r="I131" s="27" t="n">
        <f aca="false">I122-I130</f>
        <v>0</v>
      </c>
      <c r="J131" s="27" t="n">
        <f aca="false">J122-J130</f>
        <v>0</v>
      </c>
      <c r="K131" s="27" t="n">
        <f aca="false">K122-K130</f>
        <v>0</v>
      </c>
      <c r="L131" s="27" t="n">
        <f aca="false">L122-L130</f>
        <v>0</v>
      </c>
      <c r="M131" s="27" t="n">
        <f aca="false">M122-M130</f>
        <v>0</v>
      </c>
      <c r="N131" s="27" t="n">
        <f aca="false">SUM(B131:M131)</f>
        <v>0</v>
      </c>
      <c r="O131" s="28" t="str">
        <f aca="false">IFERROR(N131/N$16,"")</f>
        <v/>
      </c>
      <c r="P131" s="12"/>
      <c r="Q131" s="12"/>
      <c r="R131" s="63"/>
      <c r="S131" s="63"/>
      <c r="T131" s="63"/>
      <c r="U131" s="27" t="n">
        <f aca="false">U122-U130</f>
        <v>0</v>
      </c>
      <c r="V131" s="27" t="n">
        <f aca="false">V122-V130</f>
        <v>0</v>
      </c>
      <c r="W131" s="27" t="n">
        <f aca="false">W122-W130</f>
        <v>0</v>
      </c>
      <c r="X131" s="27" t="n">
        <f aca="false">X122-X130</f>
        <v>0</v>
      </c>
      <c r="Y131" s="27" t="n">
        <f aca="false">Y122-Y130</f>
        <v>0</v>
      </c>
      <c r="Z131" s="27" t="n">
        <f aca="false">Z122-Z130</f>
        <v>0</v>
      </c>
      <c r="AA131" s="27" t="n">
        <f aca="false">AA122-AA130</f>
        <v>0</v>
      </c>
      <c r="AB131" s="27" t="n">
        <f aca="false">AB122-AB130</f>
        <v>0</v>
      </c>
      <c r="AC131" s="27" t="n">
        <f aca="false">AC122-AC130</f>
        <v>0</v>
      </c>
      <c r="AD131" s="27" t="n">
        <f aca="false">AD122-AD130</f>
        <v>0</v>
      </c>
      <c r="AE131" s="27" t="n">
        <f aca="false">AE122-AE130</f>
        <v>0</v>
      </c>
      <c r="AF131" s="27" t="n">
        <f aca="false">AF122-AF130</f>
        <v>0</v>
      </c>
      <c r="AG131" s="27" t="n">
        <f aca="false">SUM(U131:AF131)</f>
        <v>0</v>
      </c>
      <c r="AH131" s="28" t="str">
        <f aca="false">IFERROR(AG131/AG$16,"")</f>
        <v/>
      </c>
      <c r="AI131" s="9"/>
      <c r="AJ131" s="27" t="n">
        <f aca="false">AG131-N131</f>
        <v>0</v>
      </c>
    </row>
    <row r="132" customFormat="false" ht="13.5" hidden="false" customHeight="true" outlineLevel="0" collapsed="false">
      <c r="A132" s="41" t="s">
        <v>21</v>
      </c>
      <c r="B132" s="71" t="n">
        <f aca="false">B117+B131</f>
        <v>-86913.02</v>
      </c>
      <c r="C132" s="71" t="n">
        <f aca="false">C117+C131</f>
        <v>-49296.87</v>
      </c>
      <c r="D132" s="71" t="n">
        <f aca="false">D117+D131</f>
        <v>-108301.44</v>
      </c>
      <c r="E132" s="71" t="n">
        <f aca="false">E117+E131</f>
        <v>-45527.53</v>
      </c>
      <c r="F132" s="71" t="n">
        <f aca="false">F117+F131</f>
        <v>-102509.57</v>
      </c>
      <c r="G132" s="71" t="n">
        <f aca="false">G117+G131</f>
        <v>-102060.61</v>
      </c>
      <c r="H132" s="71" t="n">
        <f aca="false">H117+H131</f>
        <v>-105782.9</v>
      </c>
      <c r="I132" s="71" t="n">
        <f aca="false">I117+I131</f>
        <v>-131520.22</v>
      </c>
      <c r="J132" s="71" t="n">
        <f aca="false">J117+J131</f>
        <v>-140963</v>
      </c>
      <c r="K132" s="71" t="n">
        <f aca="false">K117+K131</f>
        <v>-143954</v>
      </c>
      <c r="L132" s="71" t="n">
        <f aca="false">L117+L131</f>
        <v>-143954</v>
      </c>
      <c r="M132" s="71" t="n">
        <f aca="false">M117+M131</f>
        <v>-154591</v>
      </c>
      <c r="N132" s="71" t="n">
        <f aca="false">SUM(B132:M132)</f>
        <v>-1315374.16</v>
      </c>
      <c r="O132" s="72" t="str">
        <f aca="false">IFERROR(N132/N$16,"")</f>
        <v/>
      </c>
      <c r="P132" s="12"/>
      <c r="Q132" s="12"/>
      <c r="R132" s="63"/>
      <c r="S132" s="63"/>
      <c r="T132" s="63"/>
      <c r="U132" s="71" t="n">
        <f aca="false">U117+U131</f>
        <v>-104818.138196848</v>
      </c>
      <c r="V132" s="71" t="n">
        <f aca="false">V117+V131</f>
        <v>-104818.138196848</v>
      </c>
      <c r="W132" s="71" t="n">
        <f aca="false">W117+W131</f>
        <v>-106018.138196848</v>
      </c>
      <c r="X132" s="71" t="n">
        <f aca="false">X117+X131</f>
        <v>-106018.138196848</v>
      </c>
      <c r="Y132" s="71" t="n">
        <f aca="false">Y117+Y131</f>
        <v>-106788.138196848</v>
      </c>
      <c r="Z132" s="71" t="n">
        <f aca="false">Z117+Z131</f>
        <v>-106958.138196848</v>
      </c>
      <c r="AA132" s="71" t="n">
        <f aca="false">AA117+AA131</f>
        <v>-107728.138196848</v>
      </c>
      <c r="AB132" s="71" t="n">
        <f aca="false">AB117+AB131</f>
        <v>-107898.138196848</v>
      </c>
      <c r="AC132" s="71" t="n">
        <f aca="false">AC117+AC131</f>
        <v>-108668.138196848</v>
      </c>
      <c r="AD132" s="71" t="n">
        <f aca="false">AD117+AD131</f>
        <v>-111844.682342753</v>
      </c>
      <c r="AE132" s="71" t="n">
        <f aca="false">AE117+AE131</f>
        <v>-112614.682342753</v>
      </c>
      <c r="AF132" s="71" t="n">
        <f aca="false">AF117+AF131</f>
        <v>-112024.682342753</v>
      </c>
      <c r="AG132" s="71" t="n">
        <f aca="false">SUM(U132:AF132)</f>
        <v>-1296197.29079989</v>
      </c>
      <c r="AH132" s="72" t="str">
        <f aca="false">IFERROR(AG132/AG$16,"")</f>
        <v/>
      </c>
      <c r="AI132" s="9"/>
      <c r="AJ132" s="71" t="n">
        <f aca="false">AG132-N132</f>
        <v>19176.8692001095</v>
      </c>
    </row>
    <row r="133" customFormat="false" ht="13.5" hidden="false" customHeight="true" outlineLevel="0" collapsed="false">
      <c r="A133" s="9"/>
      <c r="B133" s="73"/>
      <c r="C133" s="73"/>
      <c r="D133" s="73"/>
      <c r="E133" s="73"/>
      <c r="F133" s="73"/>
      <c r="G133" s="73"/>
      <c r="H133" s="73"/>
      <c r="I133" s="73"/>
      <c r="J133" s="73"/>
      <c r="K133" s="73"/>
      <c r="L133" s="73"/>
      <c r="M133" s="73"/>
      <c r="N133" s="73"/>
      <c r="O133" s="73"/>
      <c r="P133" s="73"/>
      <c r="Q133" s="73"/>
      <c r="R133" s="63"/>
      <c r="S133" s="63"/>
      <c r="T133" s="63"/>
      <c r="U133" s="73"/>
      <c r="V133" s="73"/>
      <c r="W133" s="73"/>
      <c r="X133" s="73"/>
      <c r="Y133" s="73"/>
      <c r="Z133" s="73"/>
      <c r="AA133" s="73"/>
      <c r="AB133" s="73"/>
      <c r="AC133" s="73"/>
      <c r="AD133" s="73"/>
      <c r="AE133" s="73"/>
      <c r="AF133" s="73"/>
      <c r="AG133" s="24"/>
      <c r="AH133" s="12"/>
      <c r="AI133" s="9"/>
      <c r="AJ133" s="9"/>
    </row>
    <row r="134" customFormat="false" ht="13.5" hidden="false" customHeight="true" outlineLevel="0" collapsed="false">
      <c r="A134" s="9"/>
      <c r="B134" s="12"/>
      <c r="C134" s="12"/>
      <c r="D134" s="12"/>
      <c r="E134" s="12"/>
      <c r="F134" s="12"/>
      <c r="G134" s="12"/>
      <c r="H134" s="12"/>
      <c r="I134" s="12"/>
      <c r="J134" s="12"/>
      <c r="K134" s="12"/>
      <c r="L134" s="12"/>
      <c r="M134" s="12"/>
      <c r="N134" s="12"/>
      <c r="O134" s="24"/>
      <c r="P134" s="12"/>
      <c r="Q134" s="12"/>
      <c r="R134" s="63"/>
      <c r="S134" s="63"/>
      <c r="T134" s="63"/>
      <c r="U134" s="12"/>
      <c r="V134" s="12"/>
      <c r="W134" s="12"/>
      <c r="X134" s="12"/>
      <c r="Y134" s="12"/>
      <c r="Z134" s="12"/>
      <c r="AA134" s="12"/>
      <c r="AB134" s="12"/>
      <c r="AC134" s="12"/>
      <c r="AD134" s="12"/>
      <c r="AE134" s="12"/>
      <c r="AF134" s="12"/>
      <c r="AG134" s="12"/>
      <c r="AH134" s="12"/>
      <c r="AI134" s="9"/>
      <c r="AJ134" s="9"/>
    </row>
    <row r="135" customFormat="false" ht="13.5" hidden="false" customHeight="true" outlineLevel="0" collapsed="false">
      <c r="A135" s="9"/>
      <c r="B135" s="12"/>
      <c r="C135" s="12"/>
      <c r="D135" s="12"/>
      <c r="E135" s="12"/>
      <c r="F135" s="12"/>
      <c r="G135" s="12"/>
      <c r="H135" s="12"/>
      <c r="I135" s="12"/>
      <c r="J135" s="12"/>
      <c r="K135" s="12"/>
      <c r="L135" s="12"/>
      <c r="M135" s="12"/>
      <c r="N135" s="12"/>
      <c r="O135" s="24"/>
      <c r="P135" s="12"/>
      <c r="Q135" s="12"/>
      <c r="R135" s="63"/>
      <c r="S135" s="63"/>
      <c r="T135" s="63"/>
      <c r="U135" s="12"/>
      <c r="V135" s="12"/>
      <c r="W135" s="12"/>
      <c r="X135" s="12"/>
      <c r="Y135" s="12"/>
      <c r="Z135" s="12"/>
      <c r="AA135" s="12"/>
      <c r="AB135" s="12"/>
      <c r="AC135" s="12"/>
      <c r="AD135" s="12"/>
      <c r="AE135" s="12"/>
      <c r="AF135" s="12"/>
      <c r="AG135" s="12"/>
      <c r="AH135" s="12"/>
      <c r="AI135" s="9"/>
      <c r="AJ135" s="9"/>
    </row>
    <row r="136" customFormat="false" ht="13.5" hidden="false" customHeight="true" outlineLevel="0" collapsed="false">
      <c r="A136" s="9"/>
      <c r="B136" s="12"/>
      <c r="C136" s="12"/>
      <c r="D136" s="12"/>
      <c r="E136" s="12"/>
      <c r="F136" s="12"/>
      <c r="G136" s="12"/>
      <c r="H136" s="12"/>
      <c r="I136" s="12"/>
      <c r="J136" s="12"/>
      <c r="K136" s="12"/>
      <c r="L136" s="12"/>
      <c r="M136" s="12"/>
      <c r="N136" s="12"/>
      <c r="O136" s="24"/>
      <c r="P136" s="12"/>
      <c r="Q136" s="12"/>
      <c r="R136" s="63"/>
      <c r="S136" s="63"/>
      <c r="T136" s="63"/>
      <c r="U136" s="12"/>
      <c r="V136" s="12"/>
      <c r="W136" s="12"/>
      <c r="X136" s="12"/>
      <c r="Y136" s="12"/>
      <c r="Z136" s="12"/>
      <c r="AA136" s="12"/>
      <c r="AB136" s="12"/>
      <c r="AC136" s="12"/>
      <c r="AD136" s="12"/>
      <c r="AE136" s="12"/>
      <c r="AF136" s="12"/>
      <c r="AG136" s="12"/>
      <c r="AH136" s="12"/>
      <c r="AI136" s="9"/>
      <c r="AJ136" s="9"/>
    </row>
    <row r="137" customFormat="false" ht="13.5" hidden="false" customHeight="true" outlineLevel="0" collapsed="false">
      <c r="A137" s="23" t="s">
        <v>1387</v>
      </c>
      <c r="B137" s="12" t="n">
        <f aca="false">SUMIF($A$9:$A$132,"*"&amp;$A137&amp;"*",B$9:B$132)</f>
        <v>73651.56</v>
      </c>
      <c r="C137" s="12" t="n">
        <f aca="false">SUMIF($A$9:$A$132,"*"&amp;$A137&amp;"*",C$9:C$132)</f>
        <v>27724.99</v>
      </c>
      <c r="D137" s="12" t="n">
        <f aca="false">SUMIF($A$9:$A$132,"*"&amp;$A137&amp;"*",D$9:D$132)</f>
        <v>93395.48</v>
      </c>
      <c r="E137" s="12" t="n">
        <f aca="false">SUMIF($A$9:$A$132,"*"&amp;$A137&amp;"*",E$9:E$132)</f>
        <v>30558.3</v>
      </c>
      <c r="F137" s="12" t="n">
        <f aca="false">SUMIF($A$9:$A$132,"*"&amp;$A137&amp;"*",F$9:F$132)</f>
        <v>91088.28</v>
      </c>
      <c r="G137" s="12" t="n">
        <f aca="false">SUMIF($A$9:$A$132,"*"&amp;$A137&amp;"*",G$9:G$132)</f>
        <v>90396.46</v>
      </c>
      <c r="H137" s="12" t="n">
        <f aca="false">SUMIF($A$9:$A$132,"*"&amp;$A137&amp;"*",H$9:H$132)</f>
        <v>94365.88</v>
      </c>
      <c r="I137" s="12" t="n">
        <f aca="false">SUMIF($A$9:$A$132,"*"&amp;$A137&amp;"*",I$9:I$132)</f>
        <v>103467.64</v>
      </c>
      <c r="J137" s="12" t="n">
        <f aca="false">SUMIF($A$9:$A$132,"*"&amp;$A137&amp;"*",J$9:J$132)</f>
        <v>122800</v>
      </c>
      <c r="K137" s="12" t="n">
        <f aca="false">SUMIF($A$9:$A$132,"*"&amp;$A137&amp;"*",K$9:K$132)</f>
        <v>125500</v>
      </c>
      <c r="L137" s="12" t="n">
        <f aca="false">SUMIF($A$9:$A$132,"*"&amp;$A137&amp;"*",L$9:L$132)</f>
        <v>125500</v>
      </c>
      <c r="M137" s="12" t="n">
        <f aca="false">SUMIF($A$9:$A$132,"*"&amp;$A137&amp;"*",M$9:M$132)</f>
        <v>135100</v>
      </c>
      <c r="N137" s="12" t="n">
        <f aca="false">SUMIF($A$9:$A$132,"*"&amp;$A137&amp;"*",N$9:N$132)</f>
        <v>1113548.59</v>
      </c>
      <c r="O137" s="24"/>
      <c r="P137" s="9"/>
      <c r="Q137" s="9"/>
      <c r="R137" s="63"/>
      <c r="S137" s="63"/>
      <c r="T137" s="63"/>
      <c r="U137" s="12" t="n">
        <f aca="false">SUMIF($A$9:$A$132,"*"&amp;$A137&amp;"*",U$9:U$132)</f>
        <v>89166.25</v>
      </c>
      <c r="V137" s="12" t="n">
        <f aca="false">SUMIF($A$9:$A$132,"*"&amp;$A137&amp;"*",V$9:V$132)</f>
        <v>89166.25</v>
      </c>
      <c r="W137" s="12" t="n">
        <f aca="false">SUMIF($A$9:$A$132,"*"&amp;$A137&amp;"*",W$9:W$132)</f>
        <v>89166.25</v>
      </c>
      <c r="X137" s="12" t="n">
        <f aca="false">SUMIF($A$9:$A$132,"*"&amp;$A137&amp;"*",X$9:X$132)</f>
        <v>89166.25</v>
      </c>
      <c r="Y137" s="12" t="n">
        <f aca="false">SUMIF($A$9:$A$132,"*"&amp;$A137&amp;"*",Y$9:Y$132)</f>
        <v>89166.25</v>
      </c>
      <c r="Z137" s="12" t="n">
        <f aca="false">SUMIF($A$9:$A$132,"*"&amp;$A137&amp;"*",Z$9:Z$132)</f>
        <v>89166.25</v>
      </c>
      <c r="AA137" s="12" t="n">
        <f aca="false">SUMIF($A$9:$A$132,"*"&amp;$A137&amp;"*",AA$9:AA$132)</f>
        <v>89166.25</v>
      </c>
      <c r="AB137" s="12" t="n">
        <f aca="false">SUMIF($A$9:$A$132,"*"&amp;$A137&amp;"*",AB$9:AB$132)</f>
        <v>89166.25</v>
      </c>
      <c r="AC137" s="12" t="n">
        <f aca="false">SUMIF($A$9:$A$132,"*"&amp;$A137&amp;"*",AC$9:AC$132)</f>
        <v>89166.25</v>
      </c>
      <c r="AD137" s="12" t="n">
        <f aca="false">SUMIF($A$9:$A$132,"*"&amp;$A137&amp;"*",AD$9:AD$132)</f>
        <v>91841.2375</v>
      </c>
      <c r="AE137" s="12" t="n">
        <f aca="false">SUMIF($A$9:$A$132,"*"&amp;$A137&amp;"*",AE$9:AE$132)</f>
        <v>91841.2375</v>
      </c>
      <c r="AF137" s="12" t="n">
        <f aca="false">SUMIF($A$9:$A$132,"*"&amp;$A137&amp;"*",AF$9:AF$132)</f>
        <v>91841.2375</v>
      </c>
      <c r="AG137" s="12" t="n">
        <f aca="false">SUMIF($A$9:$A$132,"*"&amp;$A137&amp;"*",AG$9:AG$132)</f>
        <v>1078019.9625</v>
      </c>
      <c r="AH137" s="24"/>
      <c r="AI137" s="9"/>
      <c r="AJ137" s="12"/>
    </row>
    <row r="138" customFormat="false" ht="13.5" hidden="false" customHeight="true" outlineLevel="0" collapsed="false">
      <c r="A138" s="23" t="s">
        <v>1388</v>
      </c>
      <c r="B138" s="12" t="n">
        <f aca="false">SUMIF($A$9:$A$132,"*"&amp;$A138&amp;"*",B$9:B$132)</f>
        <v>0</v>
      </c>
      <c r="C138" s="12" t="n">
        <f aca="false">SUMIF($A$9:$A$132,"*"&amp;$A138&amp;"*",C$9:C$132)</f>
        <v>0</v>
      </c>
      <c r="D138" s="12" t="n">
        <f aca="false">SUMIF($A$9:$A$132,"*"&amp;$A138&amp;"*",D$9:D$132)</f>
        <v>0</v>
      </c>
      <c r="E138" s="12" t="n">
        <f aca="false">SUMIF($A$9:$A$132,"*"&amp;$A138&amp;"*",E$9:E$132)</f>
        <v>0</v>
      </c>
      <c r="F138" s="12" t="n">
        <f aca="false">SUMIF($A$9:$A$132,"*"&amp;$A138&amp;"*",F$9:F$132)</f>
        <v>0</v>
      </c>
      <c r="G138" s="12" t="n">
        <f aca="false">SUMIF($A$9:$A$132,"*"&amp;$A138&amp;"*",G$9:G$132)</f>
        <v>0</v>
      </c>
      <c r="H138" s="12" t="n">
        <f aca="false">SUMIF($A$9:$A$132,"*"&amp;$A138&amp;"*",H$9:H$132)</f>
        <v>0</v>
      </c>
      <c r="I138" s="12" t="n">
        <f aca="false">SUMIF($A$9:$A$132,"*"&amp;$A138&amp;"*",I$9:I$132)</f>
        <v>0</v>
      </c>
      <c r="J138" s="12" t="n">
        <f aca="false">SUMIF($A$9:$A$132,"*"&amp;$A138&amp;"*",J$9:J$132)</f>
        <v>0</v>
      </c>
      <c r="K138" s="12" t="n">
        <f aca="false">SUMIF($A$9:$A$132,"*"&amp;$A138&amp;"*",K$9:K$132)</f>
        <v>0</v>
      </c>
      <c r="L138" s="12" t="n">
        <f aca="false">SUMIF($A$9:$A$132,"*"&amp;$A138&amp;"*",L$9:L$132)</f>
        <v>0</v>
      </c>
      <c r="M138" s="12" t="n">
        <f aca="false">SUMIF($A$9:$A$132,"*"&amp;$A138&amp;"*",M$9:M$132)</f>
        <v>0</v>
      </c>
      <c r="N138" s="12" t="n">
        <f aca="false">SUMIF($A$9:$A$132,"*"&amp;$A138&amp;"*",N$9:N$132)</f>
        <v>0</v>
      </c>
      <c r="O138" s="12"/>
      <c r="P138" s="12"/>
      <c r="Q138" s="12"/>
      <c r="R138" s="63"/>
      <c r="S138" s="63"/>
      <c r="T138" s="63"/>
      <c r="U138" s="12" t="n">
        <f aca="false">SUMIF($A$9:$A$132,"*"&amp;$A138&amp;"*",U$9:U$132)</f>
        <v>0</v>
      </c>
      <c r="V138" s="12" t="n">
        <f aca="false">SUMIF($A$9:$A$132,"*"&amp;$A138&amp;"*",V$9:V$132)</f>
        <v>0</v>
      </c>
      <c r="W138" s="12" t="n">
        <f aca="false">SUMIF($A$9:$A$132,"*"&amp;$A138&amp;"*",W$9:W$132)</f>
        <v>0</v>
      </c>
      <c r="X138" s="12" t="n">
        <f aca="false">SUMIF($A$9:$A$132,"*"&amp;$A138&amp;"*",X$9:X$132)</f>
        <v>0</v>
      </c>
      <c r="Y138" s="12" t="n">
        <f aca="false">SUMIF($A$9:$A$132,"*"&amp;$A138&amp;"*",Y$9:Y$132)</f>
        <v>0</v>
      </c>
      <c r="Z138" s="12" t="n">
        <f aca="false">SUMIF($A$9:$A$132,"*"&amp;$A138&amp;"*",Z$9:Z$132)</f>
        <v>0</v>
      </c>
      <c r="AA138" s="12" t="n">
        <f aca="false">SUMIF($A$9:$A$132,"*"&amp;$A138&amp;"*",AA$9:AA$132)</f>
        <v>0</v>
      </c>
      <c r="AB138" s="12" t="n">
        <f aca="false">SUMIF($A$9:$A$132,"*"&amp;$A138&amp;"*",AB$9:AB$132)</f>
        <v>0</v>
      </c>
      <c r="AC138" s="12" t="n">
        <f aca="false">SUMIF($A$9:$A$132,"*"&amp;$A138&amp;"*",AC$9:AC$132)</f>
        <v>0</v>
      </c>
      <c r="AD138" s="12" t="n">
        <f aca="false">SUMIF($A$9:$A$132,"*"&amp;$A138&amp;"*",AD$9:AD$132)</f>
        <v>0</v>
      </c>
      <c r="AE138" s="12" t="n">
        <f aca="false">SUMIF($A$9:$A$132,"*"&amp;$A138&amp;"*",AE$9:AE$132)</f>
        <v>0</v>
      </c>
      <c r="AF138" s="12" t="n">
        <f aca="false">SUMIF($A$9:$A$132,"*"&amp;$A138&amp;"*",AF$9:AF$132)</f>
        <v>0</v>
      </c>
      <c r="AG138" s="12" t="n">
        <f aca="false">SUMIF($A$9:$A$132,"*"&amp;$A138&amp;"*",AG$9:AG$132)</f>
        <v>0</v>
      </c>
      <c r="AH138" s="12"/>
      <c r="AI138" s="9"/>
      <c r="AJ138" s="9"/>
    </row>
    <row r="139" customFormat="false" ht="13.5" hidden="false" customHeight="true" outlineLevel="0" collapsed="false">
      <c r="A139" s="23" t="s">
        <v>1389</v>
      </c>
      <c r="B139" s="12" t="n">
        <f aca="false">SUMIF($A$9:$A$132,"*"&amp;$A139&amp;"*",B$9:B$132)</f>
        <v>3695.16</v>
      </c>
      <c r="C139" s="12" t="n">
        <f aca="false">SUMIF($A$9:$A$132,"*"&amp;$A139&amp;"*",C$9:C$132)</f>
        <v>1055.23</v>
      </c>
      <c r="D139" s="12" t="n">
        <f aca="false">SUMIF($A$9:$A$132,"*"&amp;$A139&amp;"*",D$9:D$132)</f>
        <v>3372.5</v>
      </c>
      <c r="E139" s="12" t="n">
        <f aca="false">SUMIF($A$9:$A$132,"*"&amp;$A139&amp;"*",E$9:E$132)</f>
        <v>1042.87</v>
      </c>
      <c r="F139" s="12" t="n">
        <f aca="false">SUMIF($A$9:$A$132,"*"&amp;$A139&amp;"*",F$9:F$132)</f>
        <v>3064.28</v>
      </c>
      <c r="G139" s="12" t="n">
        <f aca="false">SUMIF($A$9:$A$132,"*"&amp;$A139&amp;"*",G$9:G$132)</f>
        <v>3071.67</v>
      </c>
      <c r="H139" s="12" t="n">
        <f aca="false">SUMIF($A$9:$A$132,"*"&amp;$A139&amp;"*",H$9:H$132)</f>
        <v>3332.95</v>
      </c>
      <c r="I139" s="12" t="n">
        <f aca="false">SUMIF($A$9:$A$132,"*"&amp;$A139&amp;"*",I$9:I$132)</f>
        <v>4964.72</v>
      </c>
      <c r="J139" s="12" t="n">
        <f aca="false">SUMIF($A$9:$A$132,"*"&amp;$A139&amp;"*",J$9:J$132)</f>
        <v>4421</v>
      </c>
      <c r="K139" s="12" t="n">
        <f aca="false">SUMIF($A$9:$A$132,"*"&amp;$A139&amp;"*",K$9:K$132)</f>
        <v>4518</v>
      </c>
      <c r="L139" s="12" t="n">
        <f aca="false">SUMIF($A$9:$A$132,"*"&amp;$A139&amp;"*",L$9:L$132)</f>
        <v>4518</v>
      </c>
      <c r="M139" s="12" t="n">
        <f aca="false">SUMIF($A$9:$A$132,"*"&amp;$A139&amp;"*",M$9:M$132)</f>
        <v>4864</v>
      </c>
      <c r="N139" s="12" t="n">
        <f aca="false">SUMIF($A$9:$A$132,"*"&amp;$A139&amp;"*",N$9:N$132)</f>
        <v>41920.38</v>
      </c>
      <c r="O139" s="12"/>
      <c r="P139" s="12"/>
      <c r="Q139" s="12"/>
      <c r="R139" s="63"/>
      <c r="S139" s="63"/>
      <c r="T139" s="63"/>
      <c r="U139" s="12" t="n">
        <f aca="false">SUMIF($A$9:$A$132,"*"&amp;$A139&amp;"*",U$9:U$132)</f>
        <v>3184.54248759661</v>
      </c>
      <c r="V139" s="12" t="n">
        <f aca="false">SUMIF($A$9:$A$132,"*"&amp;$A139&amp;"*",V$9:V$132)</f>
        <v>3184.54248759661</v>
      </c>
      <c r="W139" s="12" t="n">
        <f aca="false">SUMIF($A$9:$A$132,"*"&amp;$A139&amp;"*",W$9:W$132)</f>
        <v>3184.54248759661</v>
      </c>
      <c r="X139" s="12" t="n">
        <f aca="false">SUMIF($A$9:$A$132,"*"&amp;$A139&amp;"*",X$9:X$132)</f>
        <v>3184.54248759661</v>
      </c>
      <c r="Y139" s="12" t="n">
        <f aca="false">SUMIF($A$9:$A$132,"*"&amp;$A139&amp;"*",Y$9:Y$132)</f>
        <v>3184.54248759661</v>
      </c>
      <c r="Z139" s="12" t="n">
        <f aca="false">SUMIF($A$9:$A$132,"*"&amp;$A139&amp;"*",Z$9:Z$132)</f>
        <v>3184.54248759661</v>
      </c>
      <c r="AA139" s="12" t="n">
        <f aca="false">SUMIF($A$9:$A$132,"*"&amp;$A139&amp;"*",AA$9:AA$132)</f>
        <v>3184.54248759661</v>
      </c>
      <c r="AB139" s="12" t="n">
        <f aca="false">SUMIF($A$9:$A$132,"*"&amp;$A139&amp;"*",AB$9:AB$132)</f>
        <v>3184.54248759661</v>
      </c>
      <c r="AC139" s="12" t="n">
        <f aca="false">SUMIF($A$9:$A$132,"*"&amp;$A139&amp;"*",AC$9:AC$132)</f>
        <v>3184.54248759661</v>
      </c>
      <c r="AD139" s="12" t="n">
        <f aca="false">SUMIF($A$9:$A$132,"*"&amp;$A139&amp;"*",AD$9:AD$132)</f>
        <v>3280.07876222451</v>
      </c>
      <c r="AE139" s="12" t="n">
        <f aca="false">SUMIF($A$9:$A$132,"*"&amp;$A139&amp;"*",AE$9:AE$132)</f>
        <v>3280.07876222451</v>
      </c>
      <c r="AF139" s="12" t="n">
        <f aca="false">SUMIF($A$9:$A$132,"*"&amp;$A139&amp;"*",AF$9:AF$132)</f>
        <v>3280.07876222451</v>
      </c>
      <c r="AG139" s="12" t="n">
        <f aca="false">SUMIF($A$9:$A$132,"*"&amp;$A139&amp;"*",AG$9:AG$132)</f>
        <v>38501.118675043</v>
      </c>
      <c r="AH139" s="12"/>
      <c r="AI139" s="9"/>
      <c r="AJ139" s="12"/>
    </row>
    <row r="140" customFormat="false" ht="13.5" hidden="false" customHeight="true" outlineLevel="0" collapsed="false">
      <c r="A140" s="23" t="s">
        <v>1390</v>
      </c>
      <c r="B140" s="12" t="n">
        <f aca="false">SUMIF($A$9:$A$132,"*"&amp;$A140&amp;"*",B$9:B$132)</f>
        <v>6488.64</v>
      </c>
      <c r="C140" s="12" t="n">
        <f aca="false">SUMIF($A$9:$A$132,"*"&amp;$A140&amp;"*",C$9:C$132)</f>
        <v>17771.74</v>
      </c>
      <c r="D140" s="12" t="n">
        <f aca="false">SUMIF($A$9:$A$132,"*"&amp;$A140&amp;"*",D$9:D$132)</f>
        <v>9023.63</v>
      </c>
      <c r="E140" s="12" t="n">
        <f aca="false">SUMIF($A$9:$A$132,"*"&amp;$A140&amp;"*",E$9:E$132)</f>
        <v>10961.94</v>
      </c>
      <c r="F140" s="12" t="n">
        <f aca="false">SUMIF($A$9:$A$132,"*"&amp;$A140&amp;"*",F$9:F$132)</f>
        <v>5752.25</v>
      </c>
      <c r="G140" s="12" t="n">
        <f aca="false">SUMIF($A$9:$A$132,"*"&amp;$A140&amp;"*",G$9:G$132)</f>
        <v>7975.89</v>
      </c>
      <c r="H140" s="12" t="n">
        <f aca="false">SUMIF($A$9:$A$132,"*"&amp;$A140&amp;"*",H$9:H$132)</f>
        <v>7066.98</v>
      </c>
      <c r="I140" s="12" t="n">
        <f aca="false">SUMIF($A$9:$A$132,"*"&amp;$A140&amp;"*",I$9:I$132)</f>
        <v>11912.99</v>
      </c>
      <c r="J140" s="12" t="n">
        <f aca="false">SUMIF($A$9:$A$132,"*"&amp;$A140&amp;"*",J$9:J$132)</f>
        <v>8842</v>
      </c>
      <c r="K140" s="12" t="n">
        <f aca="false">SUMIF($A$9:$A$132,"*"&amp;$A140&amp;"*",K$9:K$132)</f>
        <v>9036</v>
      </c>
      <c r="L140" s="12" t="n">
        <f aca="false">SUMIF($A$9:$A$132,"*"&amp;$A140&amp;"*",L$9:L$132)</f>
        <v>9036</v>
      </c>
      <c r="M140" s="12" t="n">
        <f aca="false">SUMIF($A$9:$A$132,"*"&amp;$A140&amp;"*",M$9:M$132)</f>
        <v>9727</v>
      </c>
      <c r="N140" s="12" t="n">
        <f aca="false">SUMIF($A$9:$A$132,"*"&amp;$A140&amp;"*",N$9:N$132)</f>
        <v>113595.06</v>
      </c>
      <c r="O140" s="12"/>
      <c r="P140" s="12"/>
      <c r="Q140" s="12"/>
      <c r="R140" s="63"/>
      <c r="S140" s="63"/>
      <c r="T140" s="63"/>
      <c r="U140" s="12" t="n">
        <f aca="false">SUMIF($A$9:$A$132,"*"&amp;$A140&amp;"*",U$9:U$132)</f>
        <v>7867.34570925123</v>
      </c>
      <c r="V140" s="12" t="n">
        <f aca="false">SUMIF($A$9:$A$132,"*"&amp;$A140&amp;"*",V$9:V$132)</f>
        <v>7867.34570925123</v>
      </c>
      <c r="W140" s="12" t="n">
        <f aca="false">SUMIF($A$9:$A$132,"*"&amp;$A140&amp;"*",W$9:W$132)</f>
        <v>7867.34570925123</v>
      </c>
      <c r="X140" s="12" t="n">
        <f aca="false">SUMIF($A$9:$A$132,"*"&amp;$A140&amp;"*",X$9:X$132)</f>
        <v>7867.34570925123</v>
      </c>
      <c r="Y140" s="12" t="n">
        <f aca="false">SUMIF($A$9:$A$132,"*"&amp;$A140&amp;"*",Y$9:Y$132)</f>
        <v>7867.34570925123</v>
      </c>
      <c r="Z140" s="12" t="n">
        <f aca="false">SUMIF($A$9:$A$132,"*"&amp;$A140&amp;"*",Z$9:Z$132)</f>
        <v>7867.34570925123</v>
      </c>
      <c r="AA140" s="12" t="n">
        <f aca="false">SUMIF($A$9:$A$132,"*"&amp;$A140&amp;"*",AA$9:AA$132)</f>
        <v>7867.34570925123</v>
      </c>
      <c r="AB140" s="12" t="n">
        <f aca="false">SUMIF($A$9:$A$132,"*"&amp;$A140&amp;"*",AB$9:AB$132)</f>
        <v>7867.34570925123</v>
      </c>
      <c r="AC140" s="12" t="n">
        <f aca="false">SUMIF($A$9:$A$132,"*"&amp;$A140&amp;"*",AC$9:AC$132)</f>
        <v>7867.34570925123</v>
      </c>
      <c r="AD140" s="12" t="n">
        <f aca="false">SUMIF($A$9:$A$132,"*"&amp;$A140&amp;"*",AD$9:AD$132)</f>
        <v>8103.36608052876</v>
      </c>
      <c r="AE140" s="12" t="n">
        <f aca="false">SUMIF($A$9:$A$132,"*"&amp;$A140&amp;"*",AE$9:AE$132)</f>
        <v>8103.36608052876</v>
      </c>
      <c r="AF140" s="12" t="n">
        <f aca="false">SUMIF($A$9:$A$132,"*"&amp;$A140&amp;"*",AF$9:AF$132)</f>
        <v>8103.36608052876</v>
      </c>
      <c r="AG140" s="12" t="n">
        <f aca="false">SUMIF($A$9:$A$132,"*"&amp;$A140&amp;"*",AG$9:AG$132)</f>
        <v>95116.2096248474</v>
      </c>
      <c r="AH140" s="12"/>
      <c r="AI140" s="9"/>
      <c r="AJ140" s="12"/>
    </row>
    <row r="141" customFormat="false" ht="13.5" hidden="false" customHeight="true" outlineLevel="0" collapsed="false">
      <c r="A141" s="9"/>
      <c r="B141" s="12"/>
      <c r="C141" s="12"/>
      <c r="D141" s="12"/>
      <c r="E141" s="12"/>
      <c r="F141" s="12"/>
      <c r="G141" s="12"/>
      <c r="H141" s="12"/>
      <c r="I141" s="12"/>
      <c r="J141" s="12"/>
      <c r="K141" s="12"/>
      <c r="L141" s="12"/>
      <c r="M141" s="12"/>
      <c r="N141" s="12"/>
      <c r="O141" s="12"/>
      <c r="P141" s="12"/>
      <c r="Q141" s="12"/>
      <c r="R141" s="63"/>
      <c r="S141" s="63"/>
      <c r="T141" s="63"/>
      <c r="U141" s="12"/>
      <c r="V141" s="12"/>
      <c r="W141" s="12"/>
      <c r="X141" s="12"/>
      <c r="Y141" s="12"/>
      <c r="Z141" s="12"/>
      <c r="AA141" s="12"/>
      <c r="AB141" s="12"/>
      <c r="AC141" s="12"/>
      <c r="AD141" s="12"/>
      <c r="AE141" s="12"/>
      <c r="AF141" s="12"/>
      <c r="AG141" s="12"/>
      <c r="AH141" s="12"/>
      <c r="AI141" s="9"/>
      <c r="AJ141" s="12"/>
    </row>
    <row r="142" customFormat="false" ht="13.5" hidden="false" customHeight="true" outlineLevel="0" collapsed="false">
      <c r="A142" s="9" t="s">
        <v>1391</v>
      </c>
      <c r="B142" s="24" t="n">
        <f aca="false">IFERROR(SUM(B139:B140)/SUM(B137:B138),"")</f>
        <v>0.138269983690773</v>
      </c>
      <c r="C142" s="24" t="n">
        <f aca="false">IFERROR(SUM(C139:C140)/SUM(C137:C138),"")</f>
        <v>0.679061381086161</v>
      </c>
      <c r="D142" s="24" t="n">
        <f aca="false">IFERROR(SUM(D139:D140)/SUM(D137:D138),"")</f>
        <v>0.132727301149906</v>
      </c>
      <c r="E142" s="24" t="n">
        <f aca="false">IFERROR(SUM(E139:E140)/SUM(E137:E138),"")</f>
        <v>0.392849405889726</v>
      </c>
      <c r="F142" s="24" t="n">
        <f aca="false">IFERROR(SUM(F139:F140)/SUM(F137:F138),"")</f>
        <v>0.0967910471028765</v>
      </c>
      <c r="G142" s="24" t="n">
        <f aca="false">IFERROR(SUM(G139:G140)/SUM(G137:G138),"")</f>
        <v>0.122212307871348</v>
      </c>
      <c r="H142" s="24" t="n">
        <f aca="false">IFERROR(SUM(H139:H140)/SUM(H137:H138),"")</f>
        <v>0.11020858386527</v>
      </c>
      <c r="I142" s="24" t="n">
        <f aca="false">IFERROR(SUM(I139:I140)/SUM(I137:I138),"")</f>
        <v>0.16312066265356</v>
      </c>
      <c r="J142" s="24" t="n">
        <f aca="false">IFERROR(SUM(J139:J140)/SUM(J137:J138),"")</f>
        <v>0.108004885993485</v>
      </c>
      <c r="K142" s="24" t="n">
        <f aca="false">IFERROR(SUM(K139:K140)/SUM(K137:K138),"")</f>
        <v>0.108</v>
      </c>
      <c r="L142" s="24" t="n">
        <f aca="false">IFERROR(SUM(L139:L140)/SUM(L137:L138),"")</f>
        <v>0.108</v>
      </c>
      <c r="M142" s="24" t="n">
        <f aca="false">IFERROR(SUM(M139:M140)/SUM(M137:M138),"")</f>
        <v>0.1080014803849</v>
      </c>
      <c r="N142" s="24" t="n">
        <f aca="false">IFERROR(SUM(N139:N140)/SUM(N137:N138),"")</f>
        <v>0.139657524958116</v>
      </c>
      <c r="O142" s="24"/>
      <c r="P142" s="24"/>
      <c r="Q142" s="24"/>
      <c r="R142" s="63"/>
      <c r="S142" s="63"/>
      <c r="T142" s="63"/>
      <c r="U142" s="24" t="n">
        <f aca="false">IFERROR(SUM(U139:U140)/SUM(U137:U138),"")</f>
        <v>0.123946988875812</v>
      </c>
      <c r="V142" s="24" t="n">
        <f aca="false">IFERROR(SUM(V139:V140)/SUM(V137:V138),"")</f>
        <v>0.123946988875812</v>
      </c>
      <c r="W142" s="24" t="n">
        <f aca="false">IFERROR(SUM(W139:W140)/SUM(W137:W138),"")</f>
        <v>0.123946988875812</v>
      </c>
      <c r="X142" s="24" t="n">
        <f aca="false">IFERROR(SUM(X139:X140)/SUM(X137:X138),"")</f>
        <v>0.123946988875812</v>
      </c>
      <c r="Y142" s="24" t="n">
        <f aca="false">IFERROR(SUM(Y139:Y140)/SUM(Y137:Y138),"")</f>
        <v>0.123946988875812</v>
      </c>
      <c r="Z142" s="24" t="n">
        <f aca="false">IFERROR(SUM(Z139:Z140)/SUM(Z137:Z138),"")</f>
        <v>0.123946988875812</v>
      </c>
      <c r="AA142" s="24" t="n">
        <f aca="false">IFERROR(SUM(AA139:AA140)/SUM(AA137:AA138),"")</f>
        <v>0.123946988875812</v>
      </c>
      <c r="AB142" s="24" t="n">
        <f aca="false">IFERROR(SUM(AB139:AB140)/SUM(AB137:AB138),"")</f>
        <v>0.123946988875812</v>
      </c>
      <c r="AC142" s="24" t="n">
        <f aca="false">IFERROR(SUM(AC139:AC140)/SUM(AC137:AC138),"")</f>
        <v>0.123946988875812</v>
      </c>
      <c r="AD142" s="24" t="n">
        <f aca="false">IFERROR(SUM(AD139:AD140)/SUM(AD137:AD138),"")</f>
        <v>0.123946988875812</v>
      </c>
      <c r="AE142" s="24" t="n">
        <f aca="false">IFERROR(SUM(AE139:AE140)/SUM(AE137:AE138),"")</f>
        <v>0.123946988875812</v>
      </c>
      <c r="AF142" s="24" t="n">
        <f aca="false">IFERROR(SUM(AF139:AF140)/SUM(AF137:AF138),"")</f>
        <v>0.123946988875812</v>
      </c>
      <c r="AG142" s="24" t="n">
        <f aca="false">IFERROR(SUM(AG139:AG140)/SUM(AG137:AG138),"")</f>
        <v>0.123946988875812</v>
      </c>
      <c r="AH142" s="24"/>
      <c r="AI142" s="24"/>
      <c r="AJ142" s="24"/>
    </row>
    <row r="143" customFormat="false" ht="13.5" hidden="false" customHeight="true" outlineLevel="0" collapsed="false">
      <c r="A143" s="9"/>
      <c r="B143" s="12"/>
      <c r="C143" s="12"/>
      <c r="D143" s="12"/>
      <c r="E143" s="12"/>
      <c r="F143" s="12"/>
      <c r="G143" s="12"/>
      <c r="H143" s="12"/>
      <c r="I143" s="12"/>
      <c r="J143" s="12"/>
      <c r="K143" s="12"/>
      <c r="L143" s="12"/>
      <c r="M143" s="12"/>
      <c r="N143" s="12"/>
      <c r="O143" s="24"/>
      <c r="P143" s="12"/>
      <c r="Q143" s="12"/>
      <c r="R143" s="63"/>
      <c r="S143" s="63"/>
      <c r="T143" s="63"/>
      <c r="U143" s="12"/>
      <c r="V143" s="12"/>
      <c r="W143" s="12"/>
      <c r="X143" s="12"/>
      <c r="Y143" s="12"/>
      <c r="Z143" s="12"/>
      <c r="AA143" s="12"/>
      <c r="AB143" s="12"/>
      <c r="AC143" s="12"/>
      <c r="AD143" s="12"/>
      <c r="AE143" s="12"/>
      <c r="AF143" s="12"/>
      <c r="AG143" s="12"/>
      <c r="AH143" s="12"/>
      <c r="AI143" s="12"/>
      <c r="AJ143" s="9"/>
    </row>
    <row r="144" customFormat="false" ht="13.5" hidden="false" customHeight="true" outlineLevel="0" collapsed="false">
      <c r="A144" s="9"/>
      <c r="B144" s="12"/>
      <c r="C144" s="12"/>
      <c r="D144" s="12"/>
      <c r="E144" s="12"/>
      <c r="F144" s="12"/>
      <c r="G144" s="12"/>
      <c r="H144" s="12"/>
      <c r="I144" s="12"/>
      <c r="J144" s="12"/>
      <c r="K144" s="12"/>
      <c r="L144" s="12"/>
      <c r="M144" s="12"/>
      <c r="N144" s="12"/>
      <c r="O144" s="24"/>
      <c r="P144" s="12"/>
      <c r="Q144" s="12"/>
      <c r="R144" s="63"/>
      <c r="S144" s="63"/>
      <c r="T144" s="63"/>
      <c r="U144" s="12"/>
      <c r="V144" s="12"/>
      <c r="W144" s="12"/>
      <c r="X144" s="12"/>
      <c r="Y144" s="12"/>
      <c r="Z144" s="12"/>
      <c r="AA144" s="12"/>
      <c r="AB144" s="12"/>
      <c r="AC144" s="12"/>
      <c r="AD144" s="12"/>
      <c r="AE144" s="12"/>
      <c r="AF144" s="12"/>
      <c r="AG144" s="12"/>
      <c r="AH144" s="12"/>
      <c r="AI144" s="9"/>
      <c r="AJ144" s="9"/>
    </row>
    <row r="145" customFormat="false" ht="13.5" hidden="false" customHeight="true" outlineLevel="0" collapsed="false">
      <c r="A145" s="9"/>
      <c r="B145" s="9"/>
      <c r="C145" s="9"/>
      <c r="D145" s="9"/>
      <c r="E145" s="9"/>
      <c r="F145" s="9"/>
      <c r="G145" s="9"/>
      <c r="H145" s="9"/>
      <c r="I145" s="9"/>
      <c r="J145" s="9"/>
      <c r="K145" s="9"/>
      <c r="L145" s="9"/>
      <c r="M145" s="9"/>
      <c r="N145" s="9"/>
      <c r="O145" s="24"/>
      <c r="P145" s="9"/>
      <c r="Q145" s="9"/>
      <c r="R145" s="74"/>
      <c r="S145" s="74"/>
      <c r="T145" s="74"/>
      <c r="U145" s="9"/>
      <c r="V145" s="9"/>
      <c r="W145" s="9"/>
      <c r="X145" s="9" t="s">
        <v>1415</v>
      </c>
      <c r="Y145" s="9"/>
      <c r="Z145" s="9"/>
      <c r="AA145" s="9"/>
      <c r="AB145" s="9"/>
      <c r="AC145" s="9"/>
      <c r="AD145" s="9"/>
      <c r="AE145" s="9"/>
      <c r="AF145" s="9"/>
      <c r="AG145" s="9"/>
      <c r="AH145" s="9"/>
      <c r="AI145" s="9"/>
      <c r="AJ145" s="9"/>
    </row>
    <row r="146" customFormat="false" ht="13.5" hidden="false" customHeight="true" outlineLevel="0" collapsed="false">
      <c r="A146" s="9"/>
      <c r="B146" s="9"/>
      <c r="C146" s="9"/>
      <c r="D146" s="9"/>
      <c r="E146" s="9"/>
      <c r="F146" s="9"/>
      <c r="G146" s="9"/>
      <c r="H146" s="9"/>
      <c r="I146" s="9"/>
      <c r="J146" s="9"/>
      <c r="K146" s="9"/>
      <c r="L146" s="9"/>
      <c r="M146" s="9"/>
      <c r="N146" s="9"/>
      <c r="O146" s="24"/>
      <c r="P146" s="9"/>
      <c r="Q146" s="9"/>
      <c r="R146" s="74"/>
      <c r="S146" s="74"/>
      <c r="T146" s="74"/>
      <c r="U146" s="9"/>
      <c r="V146" s="9"/>
      <c r="W146" s="9"/>
      <c r="X146" s="9"/>
      <c r="Y146" s="9" t="n">
        <v>1.05</v>
      </c>
      <c r="Z146" s="9" t="n">
        <v>1.1</v>
      </c>
      <c r="AA146" s="9" t="n">
        <v>1.15</v>
      </c>
      <c r="AB146" s="9" t="n">
        <v>1.2</v>
      </c>
      <c r="AC146" s="9" t="n">
        <v>1.25</v>
      </c>
      <c r="AD146" s="9" t="n">
        <v>1.3</v>
      </c>
      <c r="AE146" s="9" t="n">
        <v>1.35</v>
      </c>
      <c r="AF146" s="9" t="n">
        <v>1.4</v>
      </c>
      <c r="AG146" s="9"/>
      <c r="AH146" s="9"/>
      <c r="AI146" s="9"/>
      <c r="AJ146" s="9"/>
    </row>
    <row r="147" customFormat="false" ht="13.5" hidden="false" customHeight="true" outlineLevel="0" collapsed="false">
      <c r="A147" s="9"/>
      <c r="B147" s="9"/>
      <c r="C147" s="9"/>
      <c r="D147" s="9"/>
      <c r="E147" s="9"/>
      <c r="F147" s="9"/>
      <c r="G147" s="9"/>
      <c r="H147" s="9"/>
      <c r="I147" s="9"/>
      <c r="J147" s="9"/>
      <c r="K147" s="9"/>
      <c r="L147" s="9"/>
      <c r="M147" s="9"/>
      <c r="N147" s="9"/>
      <c r="O147" s="24"/>
      <c r="P147" s="9"/>
      <c r="Q147" s="9"/>
      <c r="R147" s="74"/>
      <c r="S147" s="74"/>
      <c r="T147" s="74"/>
      <c r="U147" s="9"/>
      <c r="V147" s="9"/>
      <c r="W147" s="9"/>
      <c r="X147" s="9"/>
      <c r="Y147" s="9"/>
      <c r="Z147" s="9"/>
      <c r="AA147" s="9"/>
      <c r="AB147" s="9"/>
      <c r="AC147" s="9"/>
      <c r="AD147" s="9"/>
      <c r="AE147" s="9"/>
      <c r="AF147" s="9"/>
      <c r="AG147" s="9"/>
      <c r="AH147" s="9"/>
      <c r="AI147" s="9"/>
      <c r="AJ147" s="9"/>
    </row>
    <row r="148" customFormat="false" ht="13.5" hidden="false" customHeight="true" outlineLevel="0" collapsed="false">
      <c r="A148" s="9"/>
      <c r="B148" s="9"/>
      <c r="C148" s="9"/>
      <c r="D148" s="9"/>
      <c r="E148" s="9"/>
      <c r="F148" s="9"/>
      <c r="G148" s="9"/>
      <c r="H148" s="9"/>
      <c r="I148" s="9"/>
      <c r="J148" s="9"/>
      <c r="K148" s="9"/>
      <c r="L148" s="9"/>
      <c r="M148" s="9"/>
      <c r="N148" s="9"/>
      <c r="O148" s="24"/>
      <c r="P148" s="9"/>
      <c r="Q148" s="9"/>
      <c r="R148" s="74"/>
      <c r="S148" s="74"/>
      <c r="T148" s="74"/>
      <c r="U148" s="9"/>
      <c r="V148" s="9"/>
      <c r="W148" s="9"/>
      <c r="X148" s="9"/>
      <c r="Y148" s="9"/>
      <c r="Z148" s="9"/>
      <c r="AA148" s="9"/>
      <c r="AB148" s="9"/>
      <c r="AC148" s="9"/>
      <c r="AD148" s="9"/>
      <c r="AE148" s="9"/>
      <c r="AF148" s="9"/>
      <c r="AG148" s="9"/>
      <c r="AH148" s="9"/>
      <c r="AI148" s="9"/>
      <c r="AJ148" s="9"/>
    </row>
    <row r="149" customFormat="false" ht="13.5" hidden="false" customHeight="true" outlineLevel="0" collapsed="false">
      <c r="A149" s="9"/>
      <c r="B149" s="9"/>
      <c r="C149" s="9"/>
      <c r="D149" s="9"/>
      <c r="E149" s="9"/>
      <c r="F149" s="9"/>
      <c r="G149" s="9"/>
      <c r="H149" s="9"/>
      <c r="I149" s="9"/>
      <c r="J149" s="9"/>
      <c r="K149" s="9"/>
      <c r="L149" s="9"/>
      <c r="M149" s="9"/>
      <c r="N149" s="9"/>
      <c r="O149" s="24"/>
      <c r="P149" s="9"/>
      <c r="Q149" s="9"/>
      <c r="R149" s="74"/>
      <c r="S149" s="74"/>
      <c r="T149" s="74"/>
      <c r="U149" s="9"/>
      <c r="V149" s="9"/>
      <c r="W149" s="9"/>
      <c r="X149" s="9"/>
      <c r="Y149" s="9"/>
      <c r="Z149" s="9"/>
      <c r="AA149" s="9"/>
      <c r="AB149" s="9"/>
      <c r="AC149" s="9"/>
      <c r="AD149" s="9"/>
      <c r="AE149" s="9"/>
      <c r="AF149" s="9"/>
      <c r="AG149" s="9"/>
      <c r="AH149" s="9"/>
      <c r="AI149" s="9"/>
      <c r="AJ149" s="9"/>
    </row>
    <row r="150" customFormat="false" ht="13.5" hidden="false" customHeight="true" outlineLevel="0" collapsed="false">
      <c r="A150" s="9"/>
      <c r="B150" s="9"/>
      <c r="C150" s="9"/>
      <c r="D150" s="9"/>
      <c r="E150" s="9"/>
      <c r="F150" s="9"/>
      <c r="G150" s="9"/>
      <c r="H150" s="9"/>
      <c r="I150" s="9"/>
      <c r="J150" s="9"/>
      <c r="K150" s="9"/>
      <c r="L150" s="9"/>
      <c r="M150" s="9"/>
      <c r="N150" s="9"/>
      <c r="O150" s="24"/>
      <c r="P150" s="9"/>
      <c r="Q150" s="9"/>
      <c r="R150" s="74"/>
      <c r="S150" s="74"/>
      <c r="T150" s="74"/>
      <c r="U150" s="9"/>
      <c r="V150" s="9"/>
      <c r="W150" s="9"/>
      <c r="X150" s="9"/>
      <c r="Y150" s="9"/>
      <c r="Z150" s="9"/>
      <c r="AA150" s="9"/>
      <c r="AB150" s="9"/>
      <c r="AC150" s="9"/>
      <c r="AD150" s="9"/>
      <c r="AE150" s="9"/>
      <c r="AF150" s="9"/>
      <c r="AG150" s="9"/>
      <c r="AH150" s="9"/>
      <c r="AI150" s="9"/>
      <c r="AJ150" s="9"/>
    </row>
    <row r="151" customFormat="false" ht="13.5" hidden="false" customHeight="true" outlineLevel="0" collapsed="false">
      <c r="A151" s="9"/>
      <c r="B151" s="9"/>
      <c r="C151" s="9"/>
      <c r="D151" s="9"/>
      <c r="E151" s="9"/>
      <c r="F151" s="9"/>
      <c r="G151" s="9"/>
      <c r="H151" s="9"/>
      <c r="I151" s="9"/>
      <c r="J151" s="9"/>
      <c r="K151" s="9"/>
      <c r="L151" s="9"/>
      <c r="M151" s="9"/>
      <c r="N151" s="9"/>
      <c r="O151" s="24"/>
      <c r="P151" s="9"/>
      <c r="Q151" s="9"/>
      <c r="R151" s="74"/>
      <c r="S151" s="74"/>
      <c r="T151" s="74"/>
      <c r="U151" s="9"/>
      <c r="V151" s="9"/>
      <c r="W151" s="9"/>
      <c r="X151" s="9"/>
      <c r="Y151" s="9"/>
      <c r="Z151" s="9"/>
      <c r="AA151" s="9"/>
      <c r="AB151" s="9"/>
      <c r="AC151" s="9"/>
      <c r="AD151" s="9"/>
      <c r="AE151" s="9"/>
      <c r="AF151" s="9"/>
      <c r="AG151" s="9"/>
      <c r="AH151" s="9"/>
      <c r="AI151" s="9"/>
      <c r="AJ151" s="9"/>
    </row>
    <row r="152" customFormat="false" ht="13.5" hidden="false" customHeight="true" outlineLevel="0" collapsed="false">
      <c r="A152" s="9"/>
      <c r="B152" s="9"/>
      <c r="C152" s="9"/>
      <c r="D152" s="9"/>
      <c r="E152" s="9"/>
      <c r="F152" s="9"/>
      <c r="G152" s="9"/>
      <c r="H152" s="9"/>
      <c r="I152" s="9"/>
      <c r="J152" s="9"/>
      <c r="K152" s="9"/>
      <c r="L152" s="9"/>
      <c r="M152" s="9"/>
      <c r="N152" s="9"/>
      <c r="O152" s="24"/>
      <c r="P152" s="9"/>
      <c r="Q152" s="9"/>
      <c r="R152" s="74"/>
      <c r="S152" s="74"/>
      <c r="T152" s="74"/>
      <c r="U152" s="9"/>
      <c r="V152" s="9"/>
      <c r="W152" s="9"/>
      <c r="X152" s="9"/>
      <c r="Y152" s="9"/>
      <c r="Z152" s="9"/>
      <c r="AA152" s="9"/>
      <c r="AB152" s="9"/>
      <c r="AC152" s="9"/>
      <c r="AD152" s="9"/>
      <c r="AE152" s="9"/>
      <c r="AF152" s="9"/>
      <c r="AG152" s="9"/>
      <c r="AH152" s="9"/>
      <c r="AI152" s="9"/>
      <c r="AJ152" s="9"/>
    </row>
    <row r="153" customFormat="false" ht="13.5" hidden="false" customHeight="true" outlineLevel="0" collapsed="false">
      <c r="A153" s="9"/>
      <c r="B153" s="9"/>
      <c r="C153" s="9"/>
      <c r="D153" s="9"/>
      <c r="E153" s="9"/>
      <c r="F153" s="9"/>
      <c r="G153" s="9"/>
      <c r="H153" s="9"/>
      <c r="I153" s="9"/>
      <c r="J153" s="9"/>
      <c r="K153" s="9"/>
      <c r="L153" s="9"/>
      <c r="M153" s="9"/>
      <c r="N153" s="9"/>
      <c r="O153" s="24"/>
      <c r="P153" s="9"/>
      <c r="Q153" s="9"/>
      <c r="R153" s="74"/>
      <c r="S153" s="74"/>
      <c r="T153" s="74"/>
      <c r="U153" s="9"/>
      <c r="V153" s="9"/>
      <c r="W153" s="9"/>
      <c r="X153" s="9"/>
      <c r="Y153" s="9"/>
      <c r="Z153" s="9"/>
      <c r="AA153" s="9"/>
      <c r="AB153" s="9"/>
      <c r="AC153" s="9"/>
      <c r="AD153" s="9"/>
      <c r="AE153" s="9"/>
      <c r="AF153" s="9"/>
      <c r="AG153" s="9"/>
      <c r="AH153" s="9"/>
      <c r="AI153" s="9"/>
      <c r="AJ153" s="9"/>
    </row>
    <row r="154" customFormat="false" ht="13.5" hidden="false" customHeight="true" outlineLevel="0" collapsed="false">
      <c r="A154" s="9"/>
      <c r="B154" s="9"/>
      <c r="C154" s="9"/>
      <c r="D154" s="9"/>
      <c r="E154" s="9"/>
      <c r="F154" s="9"/>
      <c r="G154" s="9"/>
      <c r="H154" s="9"/>
      <c r="I154" s="9"/>
      <c r="J154" s="9"/>
      <c r="K154" s="9"/>
      <c r="L154" s="9"/>
      <c r="M154" s="9"/>
      <c r="N154" s="9"/>
      <c r="O154" s="24"/>
      <c r="P154" s="9"/>
      <c r="Q154" s="9"/>
      <c r="R154" s="74"/>
      <c r="S154" s="74"/>
      <c r="T154" s="74"/>
      <c r="U154" s="9"/>
      <c r="V154" s="9"/>
      <c r="W154" s="9"/>
      <c r="X154" s="9"/>
      <c r="Y154" s="9"/>
      <c r="Z154" s="9"/>
      <c r="AA154" s="9"/>
      <c r="AB154" s="9"/>
      <c r="AC154" s="9"/>
      <c r="AD154" s="9"/>
      <c r="AE154" s="9"/>
      <c r="AF154" s="9"/>
      <c r="AG154" s="9"/>
      <c r="AH154" s="9"/>
      <c r="AI154" s="9"/>
      <c r="AJ154" s="9"/>
    </row>
    <row r="155" customFormat="false" ht="13.5" hidden="false" customHeight="true" outlineLevel="0" collapsed="false">
      <c r="A155" s="9"/>
      <c r="B155" s="9"/>
      <c r="C155" s="9"/>
      <c r="D155" s="9"/>
      <c r="E155" s="9"/>
      <c r="F155" s="9"/>
      <c r="G155" s="9"/>
      <c r="H155" s="9"/>
      <c r="I155" s="9"/>
      <c r="J155" s="9"/>
      <c r="K155" s="9"/>
      <c r="L155" s="9"/>
      <c r="M155" s="9"/>
      <c r="N155" s="9"/>
      <c r="O155" s="24"/>
      <c r="P155" s="9"/>
      <c r="Q155" s="9"/>
      <c r="R155" s="74"/>
      <c r="S155" s="74"/>
      <c r="T155" s="74"/>
      <c r="U155" s="9"/>
      <c r="V155" s="9"/>
      <c r="W155" s="9"/>
      <c r="X155" s="9"/>
      <c r="Y155" s="9"/>
      <c r="Z155" s="9"/>
      <c r="AA155" s="9"/>
      <c r="AB155" s="9"/>
      <c r="AC155" s="9"/>
      <c r="AD155" s="9"/>
      <c r="AE155" s="9"/>
      <c r="AF155" s="9"/>
      <c r="AG155" s="9"/>
      <c r="AH155" s="9"/>
      <c r="AI155" s="9"/>
      <c r="AJ155" s="9"/>
    </row>
    <row r="156" customFormat="false" ht="13.5" hidden="false" customHeight="true" outlineLevel="0" collapsed="false">
      <c r="A156" s="9"/>
      <c r="B156" s="9"/>
      <c r="C156" s="9"/>
      <c r="D156" s="9"/>
      <c r="E156" s="9"/>
      <c r="F156" s="9"/>
      <c r="G156" s="9"/>
      <c r="H156" s="9"/>
      <c r="I156" s="9"/>
      <c r="J156" s="9"/>
      <c r="K156" s="9"/>
      <c r="L156" s="9"/>
      <c r="M156" s="9"/>
      <c r="N156" s="9"/>
      <c r="O156" s="24"/>
      <c r="P156" s="9"/>
      <c r="Q156" s="9"/>
      <c r="R156" s="74"/>
      <c r="S156" s="74"/>
      <c r="T156" s="74"/>
      <c r="U156" s="9"/>
      <c r="V156" s="9"/>
      <c r="W156" s="9"/>
      <c r="X156" s="9"/>
      <c r="Y156" s="9"/>
      <c r="Z156" s="9"/>
      <c r="AA156" s="9"/>
      <c r="AB156" s="9"/>
      <c r="AC156" s="9"/>
      <c r="AD156" s="9"/>
      <c r="AE156" s="9"/>
      <c r="AF156" s="9"/>
      <c r="AG156" s="9"/>
      <c r="AH156" s="9"/>
      <c r="AI156" s="9"/>
      <c r="AJ156" s="9"/>
    </row>
    <row r="157" customFormat="false" ht="13.5" hidden="false" customHeight="true" outlineLevel="0" collapsed="false">
      <c r="A157" s="9"/>
      <c r="B157" s="9"/>
      <c r="C157" s="9"/>
      <c r="D157" s="9"/>
      <c r="E157" s="9"/>
      <c r="F157" s="9"/>
      <c r="G157" s="9"/>
      <c r="H157" s="9"/>
      <c r="I157" s="9"/>
      <c r="J157" s="9"/>
      <c r="K157" s="9"/>
      <c r="L157" s="9"/>
      <c r="M157" s="9"/>
      <c r="N157" s="9"/>
      <c r="O157" s="24"/>
      <c r="P157" s="9"/>
      <c r="Q157" s="9"/>
      <c r="R157" s="74"/>
      <c r="S157" s="74"/>
      <c r="T157" s="74"/>
      <c r="U157" s="9"/>
      <c r="V157" s="9"/>
      <c r="W157" s="9"/>
      <c r="X157" s="9"/>
      <c r="Y157" s="9"/>
      <c r="Z157" s="9"/>
      <c r="AA157" s="9"/>
      <c r="AB157" s="9"/>
      <c r="AC157" s="9"/>
      <c r="AD157" s="9"/>
      <c r="AE157" s="9"/>
      <c r="AF157" s="9"/>
      <c r="AG157" s="9"/>
      <c r="AH157" s="9"/>
      <c r="AI157" s="9"/>
      <c r="AJ157" s="9"/>
    </row>
    <row r="158" customFormat="false" ht="13.5" hidden="false" customHeight="true" outlineLevel="0" collapsed="false">
      <c r="A158" s="9"/>
      <c r="B158" s="9"/>
      <c r="C158" s="9"/>
      <c r="D158" s="9"/>
      <c r="E158" s="9"/>
      <c r="F158" s="9"/>
      <c r="G158" s="9"/>
      <c r="H158" s="9"/>
      <c r="I158" s="9"/>
      <c r="J158" s="9"/>
      <c r="K158" s="9"/>
      <c r="L158" s="9"/>
      <c r="M158" s="9"/>
      <c r="N158" s="9"/>
      <c r="O158" s="24"/>
      <c r="P158" s="9"/>
      <c r="Q158" s="9"/>
      <c r="R158" s="74"/>
      <c r="S158" s="74"/>
      <c r="T158" s="74"/>
      <c r="U158" s="9"/>
      <c r="V158" s="9"/>
      <c r="W158" s="9"/>
      <c r="X158" s="9"/>
      <c r="Y158" s="9"/>
      <c r="Z158" s="9"/>
      <c r="AA158" s="9"/>
      <c r="AB158" s="9"/>
      <c r="AC158" s="9"/>
      <c r="AD158" s="9"/>
      <c r="AE158" s="9"/>
      <c r="AF158" s="9"/>
      <c r="AG158" s="9"/>
      <c r="AH158" s="9"/>
      <c r="AI158" s="9"/>
      <c r="AJ158" s="9"/>
    </row>
    <row r="159" customFormat="false" ht="13.5" hidden="false" customHeight="true" outlineLevel="0" collapsed="false">
      <c r="A159" s="9"/>
      <c r="B159" s="9"/>
      <c r="C159" s="9"/>
      <c r="D159" s="9"/>
      <c r="E159" s="9"/>
      <c r="F159" s="9"/>
      <c r="G159" s="9"/>
      <c r="H159" s="9"/>
      <c r="I159" s="9"/>
      <c r="J159" s="9"/>
      <c r="K159" s="9"/>
      <c r="L159" s="9"/>
      <c r="M159" s="9"/>
      <c r="N159" s="9"/>
      <c r="O159" s="24"/>
      <c r="P159" s="9"/>
      <c r="Q159" s="9"/>
      <c r="R159" s="74"/>
      <c r="S159" s="74"/>
      <c r="T159" s="74"/>
      <c r="U159" s="9"/>
      <c r="V159" s="9"/>
      <c r="W159" s="9"/>
      <c r="X159" s="9"/>
      <c r="Y159" s="9"/>
      <c r="Z159" s="9"/>
      <c r="AA159" s="9"/>
      <c r="AB159" s="9"/>
      <c r="AC159" s="9"/>
      <c r="AD159" s="9"/>
      <c r="AE159" s="9"/>
      <c r="AF159" s="9"/>
      <c r="AG159" s="9"/>
      <c r="AH159" s="9"/>
      <c r="AI159" s="9"/>
      <c r="AJ159" s="9"/>
    </row>
    <row r="160" customFormat="false" ht="13.5" hidden="false" customHeight="true" outlineLevel="0" collapsed="false">
      <c r="A160" s="9"/>
      <c r="B160" s="9"/>
      <c r="C160" s="9"/>
      <c r="D160" s="9"/>
      <c r="E160" s="9"/>
      <c r="F160" s="9"/>
      <c r="G160" s="9"/>
      <c r="H160" s="9"/>
      <c r="I160" s="9"/>
      <c r="J160" s="9"/>
      <c r="K160" s="9"/>
      <c r="L160" s="9"/>
      <c r="M160" s="9"/>
      <c r="N160" s="9"/>
      <c r="O160" s="24"/>
      <c r="P160" s="9"/>
      <c r="Q160" s="9"/>
      <c r="R160" s="74"/>
      <c r="S160" s="74"/>
      <c r="T160" s="74"/>
      <c r="U160" s="9"/>
      <c r="V160" s="9"/>
      <c r="W160" s="9"/>
      <c r="X160" s="9"/>
      <c r="Y160" s="9"/>
      <c r="Z160" s="9"/>
      <c r="AA160" s="9"/>
      <c r="AB160" s="9"/>
      <c r="AC160" s="9"/>
      <c r="AD160" s="9"/>
      <c r="AE160" s="9"/>
      <c r="AF160" s="9"/>
      <c r="AG160" s="9"/>
      <c r="AH160" s="9"/>
      <c r="AI160" s="9"/>
      <c r="AJ160" s="9"/>
    </row>
    <row r="161" customFormat="false" ht="13.5" hidden="false" customHeight="true" outlineLevel="0" collapsed="false">
      <c r="A161" s="9"/>
      <c r="B161" s="9"/>
      <c r="C161" s="9"/>
      <c r="D161" s="9"/>
      <c r="E161" s="9"/>
      <c r="F161" s="9"/>
      <c r="G161" s="9"/>
      <c r="H161" s="9"/>
      <c r="I161" s="9"/>
      <c r="J161" s="9"/>
      <c r="K161" s="9"/>
      <c r="L161" s="9"/>
      <c r="M161" s="9"/>
      <c r="N161" s="9"/>
      <c r="O161" s="24"/>
      <c r="P161" s="9"/>
      <c r="Q161" s="9"/>
      <c r="R161" s="74"/>
      <c r="S161" s="74"/>
      <c r="T161" s="74"/>
      <c r="U161" s="9"/>
      <c r="V161" s="9"/>
      <c r="W161" s="9"/>
      <c r="X161" s="9"/>
      <c r="Y161" s="9"/>
      <c r="Z161" s="9"/>
      <c r="AA161" s="9"/>
      <c r="AB161" s="9"/>
      <c r="AC161" s="9"/>
      <c r="AD161" s="9"/>
      <c r="AE161" s="9"/>
      <c r="AF161" s="9"/>
      <c r="AG161" s="9"/>
      <c r="AH161" s="9"/>
      <c r="AI161" s="9"/>
      <c r="AJ161" s="9"/>
    </row>
    <row r="162" customFormat="false" ht="13.5" hidden="false" customHeight="true" outlineLevel="0" collapsed="false">
      <c r="A162" s="9"/>
      <c r="B162" s="9"/>
      <c r="C162" s="9"/>
      <c r="D162" s="9"/>
      <c r="E162" s="9"/>
      <c r="F162" s="9"/>
      <c r="G162" s="9"/>
      <c r="H162" s="9"/>
      <c r="I162" s="9"/>
      <c r="J162" s="9"/>
      <c r="K162" s="9"/>
      <c r="L162" s="9"/>
      <c r="M162" s="9"/>
      <c r="N162" s="9"/>
      <c r="O162" s="24"/>
      <c r="P162" s="9"/>
      <c r="Q162" s="9"/>
      <c r="R162" s="74"/>
      <c r="S162" s="74"/>
      <c r="T162" s="74"/>
      <c r="U162" s="9"/>
      <c r="V162" s="9"/>
      <c r="W162" s="9"/>
      <c r="X162" s="9"/>
      <c r="Y162" s="9"/>
      <c r="Z162" s="9"/>
      <c r="AA162" s="9"/>
      <c r="AB162" s="9"/>
      <c r="AC162" s="9"/>
      <c r="AD162" s="9"/>
      <c r="AE162" s="9"/>
      <c r="AF162" s="9"/>
      <c r="AG162" s="9"/>
      <c r="AH162" s="9"/>
      <c r="AI162" s="9"/>
      <c r="AJ162" s="9"/>
    </row>
    <row r="163" customFormat="false" ht="13.5" hidden="false" customHeight="true" outlineLevel="0" collapsed="false">
      <c r="A163" s="9"/>
      <c r="B163" s="9"/>
      <c r="C163" s="9"/>
      <c r="D163" s="9"/>
      <c r="E163" s="9"/>
      <c r="F163" s="9"/>
      <c r="G163" s="9"/>
      <c r="H163" s="9"/>
      <c r="I163" s="9"/>
      <c r="J163" s="9"/>
      <c r="K163" s="9"/>
      <c r="L163" s="9"/>
      <c r="M163" s="9"/>
      <c r="N163" s="9"/>
      <c r="O163" s="24"/>
      <c r="P163" s="9"/>
      <c r="Q163" s="9"/>
      <c r="R163" s="74"/>
      <c r="S163" s="74"/>
      <c r="T163" s="74"/>
      <c r="U163" s="9"/>
      <c r="V163" s="9"/>
      <c r="W163" s="9"/>
      <c r="X163" s="9"/>
      <c r="Y163" s="9"/>
      <c r="Z163" s="9"/>
      <c r="AA163" s="9"/>
      <c r="AB163" s="9"/>
      <c r="AC163" s="9"/>
      <c r="AD163" s="9"/>
      <c r="AE163" s="9"/>
      <c r="AF163" s="9"/>
      <c r="AG163" s="9"/>
      <c r="AH163" s="9"/>
      <c r="AI163" s="9"/>
      <c r="AJ163" s="9"/>
    </row>
    <row r="164" customFormat="false" ht="13.5" hidden="false" customHeight="true" outlineLevel="0" collapsed="false">
      <c r="A164" s="9"/>
      <c r="B164" s="9"/>
      <c r="C164" s="9"/>
      <c r="D164" s="9"/>
      <c r="E164" s="9"/>
      <c r="F164" s="9"/>
      <c r="G164" s="9"/>
      <c r="H164" s="9"/>
      <c r="I164" s="9"/>
      <c r="J164" s="9"/>
      <c r="K164" s="9"/>
      <c r="L164" s="9"/>
      <c r="M164" s="9"/>
      <c r="N164" s="9"/>
      <c r="O164" s="24"/>
      <c r="P164" s="9"/>
      <c r="Q164" s="9"/>
      <c r="R164" s="74"/>
      <c r="S164" s="74"/>
      <c r="T164" s="74"/>
      <c r="U164" s="9"/>
      <c r="V164" s="9"/>
      <c r="W164" s="9"/>
      <c r="X164" s="9"/>
      <c r="Y164" s="9"/>
      <c r="Z164" s="9"/>
      <c r="AA164" s="9"/>
      <c r="AB164" s="9"/>
      <c r="AC164" s="9"/>
      <c r="AD164" s="9"/>
      <c r="AE164" s="9"/>
      <c r="AF164" s="9"/>
      <c r="AG164" s="9"/>
      <c r="AH164" s="9"/>
      <c r="AI164" s="9"/>
      <c r="AJ164" s="9"/>
    </row>
    <row r="165" customFormat="false" ht="13.5" hidden="false" customHeight="true" outlineLevel="0" collapsed="false">
      <c r="A165" s="9"/>
      <c r="B165" s="9"/>
      <c r="C165" s="9"/>
      <c r="D165" s="9"/>
      <c r="E165" s="9"/>
      <c r="F165" s="9"/>
      <c r="G165" s="9"/>
      <c r="H165" s="9"/>
      <c r="I165" s="9"/>
      <c r="J165" s="9"/>
      <c r="K165" s="9"/>
      <c r="L165" s="9"/>
      <c r="M165" s="9"/>
      <c r="N165" s="9"/>
      <c r="O165" s="24"/>
      <c r="P165" s="9"/>
      <c r="Q165" s="9"/>
      <c r="R165" s="9"/>
      <c r="S165" s="9"/>
      <c r="T165" s="9"/>
      <c r="U165" s="9"/>
      <c r="V165" s="9"/>
      <c r="W165" s="9"/>
      <c r="X165" s="9"/>
      <c r="Y165" s="9"/>
      <c r="Z165" s="9"/>
      <c r="AA165" s="9"/>
      <c r="AB165" s="9"/>
      <c r="AC165" s="9"/>
      <c r="AD165" s="9"/>
      <c r="AE165" s="9"/>
      <c r="AF165" s="9"/>
      <c r="AG165" s="9"/>
      <c r="AH165" s="9"/>
      <c r="AI165" s="9"/>
      <c r="AJ165" s="9"/>
    </row>
    <row r="166" customFormat="false" ht="13.5" hidden="false" customHeight="true" outlineLevel="0" collapsed="false">
      <c r="A166" s="9"/>
      <c r="B166" s="9"/>
      <c r="C166" s="9"/>
      <c r="D166" s="9"/>
      <c r="E166" s="9"/>
      <c r="F166" s="9"/>
      <c r="G166" s="9"/>
      <c r="H166" s="9"/>
      <c r="I166" s="9"/>
      <c r="J166" s="9"/>
      <c r="K166" s="9"/>
      <c r="L166" s="9"/>
      <c r="M166" s="9"/>
      <c r="N166" s="9"/>
      <c r="O166" s="24"/>
      <c r="P166" s="9"/>
      <c r="Q166" s="9"/>
      <c r="R166" s="9"/>
      <c r="S166" s="9"/>
      <c r="T166" s="9"/>
      <c r="U166" s="9"/>
      <c r="V166" s="9"/>
      <c r="W166" s="9"/>
      <c r="X166" s="9"/>
      <c r="Y166" s="9"/>
      <c r="Z166" s="9"/>
      <c r="AA166" s="9"/>
      <c r="AB166" s="9"/>
      <c r="AC166" s="9"/>
      <c r="AD166" s="9"/>
      <c r="AE166" s="9"/>
      <c r="AF166" s="9"/>
      <c r="AG166" s="9"/>
      <c r="AH166" s="9"/>
      <c r="AI166" s="9"/>
      <c r="AJ166" s="9"/>
    </row>
    <row r="167" customFormat="false" ht="13.5" hidden="false" customHeight="true" outlineLevel="0" collapsed="false">
      <c r="A167" s="9"/>
      <c r="B167" s="9"/>
      <c r="C167" s="9"/>
      <c r="D167" s="9"/>
      <c r="E167" s="9"/>
      <c r="F167" s="9"/>
      <c r="G167" s="9"/>
      <c r="H167" s="9"/>
      <c r="I167" s="9"/>
      <c r="J167" s="9"/>
      <c r="K167" s="9"/>
      <c r="L167" s="9"/>
      <c r="M167" s="9"/>
      <c r="N167" s="9"/>
      <c r="O167" s="24"/>
      <c r="P167" s="9"/>
      <c r="Q167" s="9"/>
      <c r="R167" s="9"/>
      <c r="S167" s="9"/>
      <c r="T167" s="9"/>
      <c r="U167" s="9"/>
      <c r="V167" s="9"/>
      <c r="W167" s="9"/>
      <c r="X167" s="9"/>
      <c r="Y167" s="9"/>
      <c r="Z167" s="9"/>
      <c r="AA167" s="9"/>
      <c r="AB167" s="9"/>
      <c r="AC167" s="9"/>
      <c r="AD167" s="9"/>
      <c r="AE167" s="9"/>
      <c r="AF167" s="9"/>
      <c r="AG167" s="9"/>
      <c r="AH167" s="9"/>
      <c r="AI167" s="9"/>
      <c r="AJ167" s="9"/>
    </row>
    <row r="168" customFormat="false" ht="13.5" hidden="false" customHeight="true" outlineLevel="0" collapsed="false">
      <c r="A168" s="9"/>
      <c r="B168" s="9"/>
      <c r="C168" s="9"/>
      <c r="D168" s="9"/>
      <c r="E168" s="9"/>
      <c r="F168" s="9"/>
      <c r="G168" s="9"/>
      <c r="H168" s="9"/>
      <c r="I168" s="9"/>
      <c r="J168" s="9"/>
      <c r="K168" s="9"/>
      <c r="L168" s="9"/>
      <c r="M168" s="9"/>
      <c r="N168" s="9"/>
      <c r="O168" s="24"/>
      <c r="P168" s="9"/>
      <c r="Q168" s="9"/>
      <c r="R168" s="9"/>
      <c r="S168" s="9"/>
      <c r="T168" s="9"/>
      <c r="U168" s="9"/>
      <c r="V168" s="9"/>
      <c r="W168" s="9"/>
      <c r="X168" s="9"/>
      <c r="Y168" s="9"/>
      <c r="Z168" s="9"/>
      <c r="AA168" s="9"/>
      <c r="AB168" s="9"/>
      <c r="AC168" s="9"/>
      <c r="AD168" s="9"/>
      <c r="AE168" s="9"/>
      <c r="AF168" s="9"/>
      <c r="AG168" s="9"/>
      <c r="AH168" s="9"/>
      <c r="AI168" s="9"/>
      <c r="AJ168" s="9"/>
    </row>
    <row r="169" customFormat="false" ht="13.5" hidden="false" customHeight="true" outlineLevel="0" collapsed="false">
      <c r="A169" s="9"/>
      <c r="B169" s="9"/>
      <c r="C169" s="9"/>
      <c r="D169" s="9"/>
      <c r="E169" s="9"/>
      <c r="F169" s="9"/>
      <c r="G169" s="9"/>
      <c r="H169" s="9"/>
      <c r="I169" s="9"/>
      <c r="J169" s="9"/>
      <c r="K169" s="9"/>
      <c r="L169" s="9"/>
      <c r="M169" s="9"/>
      <c r="N169" s="9"/>
      <c r="O169" s="24"/>
      <c r="P169" s="9"/>
      <c r="Q169" s="9"/>
      <c r="R169" s="9"/>
      <c r="S169" s="9"/>
      <c r="T169" s="9"/>
      <c r="U169" s="9"/>
      <c r="V169" s="9"/>
      <c r="W169" s="9"/>
      <c r="X169" s="9"/>
      <c r="Y169" s="9"/>
      <c r="Z169" s="9"/>
      <c r="AA169" s="9"/>
      <c r="AB169" s="9"/>
      <c r="AC169" s="9"/>
      <c r="AD169" s="9"/>
      <c r="AE169" s="9"/>
      <c r="AF169" s="9"/>
      <c r="AG169" s="9"/>
      <c r="AH169" s="9"/>
      <c r="AI169" s="9"/>
      <c r="AJ169" s="9"/>
    </row>
    <row r="170" customFormat="false" ht="13.5" hidden="false" customHeight="true" outlineLevel="0" collapsed="false">
      <c r="A170" s="9"/>
      <c r="B170" s="9"/>
      <c r="C170" s="9"/>
      <c r="D170" s="9"/>
      <c r="E170" s="9"/>
      <c r="F170" s="9"/>
      <c r="G170" s="9"/>
      <c r="H170" s="9"/>
      <c r="I170" s="9"/>
      <c r="J170" s="9"/>
      <c r="K170" s="9"/>
      <c r="L170" s="9"/>
      <c r="M170" s="9"/>
      <c r="N170" s="9"/>
      <c r="O170" s="24"/>
      <c r="P170" s="9"/>
      <c r="Q170" s="9"/>
      <c r="R170" s="9"/>
      <c r="S170" s="9"/>
      <c r="T170" s="9"/>
      <c r="U170" s="9"/>
      <c r="V170" s="9"/>
      <c r="W170" s="9"/>
      <c r="X170" s="9"/>
      <c r="Y170" s="9"/>
      <c r="Z170" s="9"/>
      <c r="AA170" s="9"/>
      <c r="AB170" s="9"/>
      <c r="AC170" s="9"/>
      <c r="AD170" s="9"/>
      <c r="AE170" s="9"/>
      <c r="AF170" s="9"/>
      <c r="AG170" s="9"/>
      <c r="AH170" s="9"/>
      <c r="AI170" s="9"/>
      <c r="AJ170" s="9"/>
    </row>
    <row r="171" customFormat="false" ht="13.5" hidden="false" customHeight="true" outlineLevel="0" collapsed="false">
      <c r="A171" s="9"/>
      <c r="B171" s="9"/>
      <c r="C171" s="9"/>
      <c r="D171" s="9"/>
      <c r="E171" s="9"/>
      <c r="F171" s="9"/>
      <c r="G171" s="9"/>
      <c r="H171" s="9"/>
      <c r="I171" s="9"/>
      <c r="J171" s="9"/>
      <c r="K171" s="9"/>
      <c r="L171" s="9"/>
      <c r="M171" s="9"/>
      <c r="N171" s="9"/>
      <c r="O171" s="24"/>
      <c r="P171" s="9"/>
      <c r="Q171" s="9"/>
      <c r="R171" s="9"/>
      <c r="S171" s="9"/>
      <c r="T171" s="9"/>
      <c r="U171" s="9"/>
      <c r="V171" s="9"/>
      <c r="W171" s="9"/>
      <c r="X171" s="9"/>
      <c r="Y171" s="9"/>
      <c r="Z171" s="9"/>
      <c r="AA171" s="9"/>
      <c r="AB171" s="9"/>
      <c r="AC171" s="9"/>
      <c r="AD171" s="9"/>
      <c r="AE171" s="9"/>
      <c r="AF171" s="9"/>
      <c r="AG171" s="9"/>
      <c r="AH171" s="9"/>
      <c r="AI171" s="9"/>
      <c r="AJ171" s="9"/>
    </row>
    <row r="172" customFormat="false" ht="13.5" hidden="false" customHeight="true" outlineLevel="0" collapsed="false">
      <c r="A172" s="9"/>
      <c r="B172" s="9"/>
      <c r="C172" s="9"/>
      <c r="D172" s="9"/>
      <c r="E172" s="9"/>
      <c r="F172" s="9"/>
      <c r="G172" s="9"/>
      <c r="H172" s="9"/>
      <c r="I172" s="9"/>
      <c r="J172" s="9"/>
      <c r="K172" s="9"/>
      <c r="L172" s="9"/>
      <c r="M172" s="9"/>
      <c r="N172" s="9"/>
      <c r="O172" s="24"/>
      <c r="P172" s="9"/>
      <c r="Q172" s="9"/>
      <c r="R172" s="9"/>
      <c r="S172" s="9"/>
      <c r="T172" s="9"/>
      <c r="U172" s="9"/>
      <c r="V172" s="9"/>
      <c r="W172" s="9"/>
      <c r="X172" s="9"/>
      <c r="Y172" s="9"/>
      <c r="Z172" s="9"/>
      <c r="AA172" s="9"/>
      <c r="AB172" s="9"/>
      <c r="AC172" s="9"/>
      <c r="AD172" s="9"/>
      <c r="AE172" s="9"/>
      <c r="AF172" s="9"/>
      <c r="AG172" s="9"/>
      <c r="AH172" s="9"/>
      <c r="AI172" s="9"/>
      <c r="AJ172" s="9"/>
    </row>
    <row r="173" customFormat="false" ht="13.5" hidden="false" customHeight="true" outlineLevel="0" collapsed="false">
      <c r="A173" s="9"/>
      <c r="B173" s="9"/>
      <c r="C173" s="9"/>
      <c r="D173" s="9"/>
      <c r="E173" s="9"/>
      <c r="F173" s="9"/>
      <c r="G173" s="9"/>
      <c r="H173" s="9"/>
      <c r="I173" s="9"/>
      <c r="J173" s="9"/>
      <c r="K173" s="9"/>
      <c r="L173" s="9"/>
      <c r="M173" s="9"/>
      <c r="N173" s="9"/>
      <c r="O173" s="24"/>
      <c r="P173" s="9"/>
      <c r="Q173" s="9"/>
      <c r="R173" s="9"/>
      <c r="S173" s="9"/>
      <c r="T173" s="9"/>
      <c r="U173" s="9"/>
      <c r="V173" s="9"/>
      <c r="W173" s="9"/>
      <c r="X173" s="9"/>
      <c r="Y173" s="9"/>
      <c r="Z173" s="9"/>
      <c r="AA173" s="9"/>
      <c r="AB173" s="9"/>
      <c r="AC173" s="9"/>
      <c r="AD173" s="9"/>
      <c r="AE173" s="9"/>
      <c r="AF173" s="9"/>
      <c r="AG173" s="9"/>
      <c r="AH173" s="9"/>
      <c r="AI173" s="9"/>
      <c r="AJ173" s="9"/>
    </row>
    <row r="174" customFormat="false" ht="13.5" hidden="false" customHeight="true" outlineLevel="0" collapsed="false">
      <c r="A174" s="9"/>
      <c r="B174" s="9"/>
      <c r="C174" s="9"/>
      <c r="D174" s="9"/>
      <c r="E174" s="9"/>
      <c r="F174" s="9"/>
      <c r="G174" s="9"/>
      <c r="H174" s="9"/>
      <c r="I174" s="9"/>
      <c r="J174" s="9"/>
      <c r="K174" s="9"/>
      <c r="L174" s="9"/>
      <c r="M174" s="9"/>
      <c r="N174" s="9"/>
      <c r="O174" s="24"/>
      <c r="P174" s="9"/>
      <c r="Q174" s="9"/>
      <c r="R174" s="9"/>
      <c r="S174" s="9"/>
      <c r="T174" s="9"/>
      <c r="U174" s="9"/>
      <c r="V174" s="9"/>
      <c r="W174" s="9"/>
      <c r="X174" s="9"/>
      <c r="Y174" s="9"/>
      <c r="Z174" s="9"/>
      <c r="AA174" s="9"/>
      <c r="AB174" s="9"/>
      <c r="AC174" s="9"/>
      <c r="AD174" s="9"/>
      <c r="AE174" s="9"/>
      <c r="AF174" s="9"/>
      <c r="AG174" s="9"/>
      <c r="AH174" s="9"/>
      <c r="AI174" s="9"/>
      <c r="AJ174" s="9"/>
    </row>
    <row r="175" customFormat="false" ht="13.5" hidden="false" customHeight="true" outlineLevel="0" collapsed="false">
      <c r="A175" s="9"/>
      <c r="B175" s="9"/>
      <c r="C175" s="9"/>
      <c r="D175" s="9"/>
      <c r="E175" s="9"/>
      <c r="F175" s="9"/>
      <c r="G175" s="9"/>
      <c r="H175" s="9"/>
      <c r="I175" s="9"/>
      <c r="J175" s="9"/>
      <c r="K175" s="9"/>
      <c r="L175" s="9"/>
      <c r="M175" s="9"/>
      <c r="N175" s="9"/>
      <c r="O175" s="24"/>
      <c r="P175" s="9"/>
      <c r="Q175" s="9"/>
      <c r="R175" s="9"/>
      <c r="S175" s="9"/>
      <c r="T175" s="9"/>
      <c r="U175" s="9"/>
      <c r="V175" s="9"/>
      <c r="W175" s="9"/>
      <c r="X175" s="9"/>
      <c r="Y175" s="9"/>
      <c r="Z175" s="9"/>
      <c r="AA175" s="9"/>
      <c r="AB175" s="9"/>
      <c r="AC175" s="9"/>
      <c r="AD175" s="9"/>
      <c r="AE175" s="9"/>
      <c r="AF175" s="9"/>
      <c r="AG175" s="9"/>
      <c r="AH175" s="9"/>
      <c r="AI175" s="9"/>
      <c r="AJ175" s="9"/>
    </row>
    <row r="176" customFormat="false" ht="13.5" hidden="false" customHeight="true" outlineLevel="0" collapsed="false">
      <c r="A176" s="9"/>
      <c r="B176" s="9"/>
      <c r="C176" s="9"/>
      <c r="D176" s="9"/>
      <c r="E176" s="9"/>
      <c r="F176" s="9"/>
      <c r="G176" s="9"/>
      <c r="H176" s="9"/>
      <c r="I176" s="9"/>
      <c r="J176" s="9"/>
      <c r="K176" s="9"/>
      <c r="L176" s="9"/>
      <c r="M176" s="9"/>
      <c r="N176" s="9"/>
      <c r="O176" s="24"/>
      <c r="P176" s="9"/>
      <c r="Q176" s="9"/>
      <c r="R176" s="9"/>
      <c r="S176" s="9"/>
      <c r="T176" s="9"/>
      <c r="U176" s="9"/>
      <c r="V176" s="9"/>
      <c r="W176" s="9"/>
      <c r="X176" s="9"/>
      <c r="Y176" s="9"/>
      <c r="Z176" s="9"/>
      <c r="AA176" s="9"/>
      <c r="AB176" s="9"/>
      <c r="AC176" s="9"/>
      <c r="AD176" s="9"/>
      <c r="AE176" s="9"/>
      <c r="AF176" s="9"/>
      <c r="AG176" s="9"/>
      <c r="AH176" s="9"/>
      <c r="AI176" s="9"/>
      <c r="AJ176" s="9"/>
    </row>
    <row r="177" customFormat="false" ht="13.5" hidden="false" customHeight="true" outlineLevel="0" collapsed="false">
      <c r="A177" s="9"/>
      <c r="B177" s="9"/>
      <c r="C177" s="9"/>
      <c r="D177" s="9"/>
      <c r="E177" s="9"/>
      <c r="F177" s="9"/>
      <c r="G177" s="9"/>
      <c r="H177" s="9"/>
      <c r="I177" s="9"/>
      <c r="J177" s="9"/>
      <c r="K177" s="9"/>
      <c r="L177" s="9"/>
      <c r="M177" s="9"/>
      <c r="N177" s="9"/>
      <c r="O177" s="24"/>
      <c r="P177" s="9"/>
      <c r="Q177" s="9"/>
      <c r="R177" s="9"/>
      <c r="S177" s="9"/>
      <c r="T177" s="9"/>
      <c r="U177" s="9"/>
      <c r="V177" s="9"/>
      <c r="W177" s="9"/>
      <c r="X177" s="9"/>
      <c r="Y177" s="9"/>
      <c r="Z177" s="9"/>
      <c r="AA177" s="9"/>
      <c r="AB177" s="9"/>
      <c r="AC177" s="9"/>
      <c r="AD177" s="9"/>
      <c r="AE177" s="9"/>
      <c r="AF177" s="9"/>
      <c r="AG177" s="9"/>
      <c r="AH177" s="9"/>
      <c r="AI177" s="9"/>
      <c r="AJ177" s="9"/>
    </row>
    <row r="178" customFormat="false" ht="13.5" hidden="false" customHeight="true" outlineLevel="0" collapsed="false">
      <c r="A178" s="9"/>
      <c r="B178" s="9"/>
      <c r="C178" s="9"/>
      <c r="D178" s="9"/>
      <c r="E178" s="9"/>
      <c r="F178" s="9"/>
      <c r="G178" s="9"/>
      <c r="H178" s="9"/>
      <c r="I178" s="9"/>
      <c r="J178" s="9"/>
      <c r="K178" s="9"/>
      <c r="L178" s="9"/>
      <c r="M178" s="9"/>
      <c r="N178" s="9"/>
      <c r="O178" s="24"/>
      <c r="P178" s="9"/>
      <c r="Q178" s="9"/>
      <c r="R178" s="9"/>
      <c r="S178" s="9"/>
      <c r="T178" s="9"/>
      <c r="U178" s="9"/>
      <c r="V178" s="9"/>
      <c r="W178" s="9"/>
      <c r="X178" s="9"/>
      <c r="Y178" s="9"/>
      <c r="Z178" s="9"/>
      <c r="AA178" s="9"/>
      <c r="AB178" s="9"/>
      <c r="AC178" s="9"/>
      <c r="AD178" s="9"/>
      <c r="AE178" s="9"/>
      <c r="AF178" s="9"/>
      <c r="AG178" s="9"/>
      <c r="AH178" s="9"/>
      <c r="AI178" s="9"/>
      <c r="AJ178" s="9"/>
    </row>
    <row r="179" customFormat="false" ht="13.5" hidden="false" customHeight="true" outlineLevel="0" collapsed="false">
      <c r="A179" s="9"/>
      <c r="B179" s="9"/>
      <c r="C179" s="9"/>
      <c r="D179" s="9"/>
      <c r="E179" s="9"/>
      <c r="F179" s="9"/>
      <c r="G179" s="9"/>
      <c r="H179" s="9"/>
      <c r="I179" s="9"/>
      <c r="J179" s="9"/>
      <c r="K179" s="9"/>
      <c r="L179" s="9"/>
      <c r="M179" s="9"/>
      <c r="N179" s="9"/>
      <c r="O179" s="24"/>
      <c r="P179" s="9"/>
      <c r="Q179" s="9"/>
      <c r="R179" s="9"/>
      <c r="S179" s="9"/>
      <c r="T179" s="9"/>
      <c r="U179" s="9"/>
      <c r="V179" s="9"/>
      <c r="W179" s="9"/>
      <c r="X179" s="9"/>
      <c r="Y179" s="9"/>
      <c r="Z179" s="9"/>
      <c r="AA179" s="9"/>
      <c r="AB179" s="9"/>
      <c r="AC179" s="9"/>
      <c r="AD179" s="9"/>
      <c r="AE179" s="9"/>
      <c r="AF179" s="9"/>
      <c r="AG179" s="9"/>
      <c r="AH179" s="9"/>
      <c r="AI179" s="9"/>
      <c r="AJ179" s="9"/>
    </row>
    <row r="180" customFormat="false" ht="13.5" hidden="false" customHeight="true" outlineLevel="0" collapsed="false">
      <c r="A180" s="9"/>
      <c r="B180" s="9"/>
      <c r="C180" s="9"/>
      <c r="D180" s="9"/>
      <c r="E180" s="9"/>
      <c r="F180" s="9"/>
      <c r="G180" s="9"/>
      <c r="H180" s="9"/>
      <c r="I180" s="9"/>
      <c r="J180" s="9"/>
      <c r="K180" s="9"/>
      <c r="L180" s="9"/>
      <c r="M180" s="9"/>
      <c r="N180" s="9"/>
      <c r="O180" s="24"/>
      <c r="P180" s="9"/>
      <c r="Q180" s="9"/>
      <c r="R180" s="9"/>
      <c r="S180" s="9"/>
      <c r="T180" s="9"/>
      <c r="U180" s="9"/>
      <c r="V180" s="9"/>
      <c r="W180" s="9"/>
      <c r="X180" s="9"/>
      <c r="Y180" s="9"/>
      <c r="Z180" s="9"/>
      <c r="AA180" s="9"/>
      <c r="AB180" s="9"/>
      <c r="AC180" s="9"/>
      <c r="AD180" s="9"/>
      <c r="AE180" s="9"/>
      <c r="AF180" s="9"/>
      <c r="AG180" s="9"/>
      <c r="AH180" s="9"/>
      <c r="AI180" s="9"/>
      <c r="AJ180" s="9"/>
    </row>
    <row r="181" customFormat="false" ht="13.5" hidden="false" customHeight="true" outlineLevel="0" collapsed="false">
      <c r="A181" s="9"/>
      <c r="B181" s="9"/>
      <c r="C181" s="9"/>
      <c r="D181" s="9"/>
      <c r="E181" s="9"/>
      <c r="F181" s="9"/>
      <c r="G181" s="9"/>
      <c r="H181" s="9"/>
      <c r="I181" s="9"/>
      <c r="J181" s="9"/>
      <c r="K181" s="9"/>
      <c r="L181" s="9"/>
      <c r="M181" s="9"/>
      <c r="N181" s="9"/>
      <c r="O181" s="24"/>
      <c r="P181" s="9"/>
      <c r="Q181" s="9"/>
      <c r="R181" s="9"/>
      <c r="S181" s="9"/>
      <c r="T181" s="9"/>
      <c r="U181" s="9"/>
      <c r="V181" s="9"/>
      <c r="W181" s="9"/>
      <c r="X181" s="9"/>
      <c r="Y181" s="9"/>
      <c r="Z181" s="9"/>
      <c r="AA181" s="9"/>
      <c r="AB181" s="9"/>
      <c r="AC181" s="9"/>
      <c r="AD181" s="9"/>
      <c r="AE181" s="9"/>
      <c r="AF181" s="9"/>
      <c r="AG181" s="9"/>
      <c r="AH181" s="9"/>
      <c r="AI181" s="9"/>
      <c r="AJ181" s="9"/>
    </row>
    <row r="182" customFormat="false" ht="13.5" hidden="false" customHeight="true" outlineLevel="0" collapsed="false">
      <c r="A182" s="9"/>
      <c r="B182" s="9"/>
      <c r="C182" s="9"/>
      <c r="D182" s="9"/>
      <c r="E182" s="9"/>
      <c r="F182" s="9"/>
      <c r="G182" s="9"/>
      <c r="H182" s="9"/>
      <c r="I182" s="9"/>
      <c r="J182" s="9"/>
      <c r="K182" s="9"/>
      <c r="L182" s="9"/>
      <c r="M182" s="9"/>
      <c r="N182" s="9"/>
      <c r="O182" s="24"/>
      <c r="P182" s="9"/>
      <c r="Q182" s="9"/>
      <c r="R182" s="9"/>
      <c r="S182" s="9"/>
      <c r="T182" s="9"/>
      <c r="U182" s="9"/>
      <c r="V182" s="9"/>
      <c r="W182" s="9"/>
      <c r="X182" s="9"/>
      <c r="Y182" s="9"/>
      <c r="Z182" s="9"/>
      <c r="AA182" s="9"/>
      <c r="AB182" s="9"/>
      <c r="AC182" s="9"/>
      <c r="AD182" s="9"/>
      <c r="AE182" s="9"/>
      <c r="AF182" s="9"/>
      <c r="AG182" s="9"/>
      <c r="AH182" s="9"/>
      <c r="AI182" s="9"/>
      <c r="AJ182" s="9"/>
    </row>
    <row r="183" customFormat="false" ht="13.5" hidden="false" customHeight="true" outlineLevel="0" collapsed="false">
      <c r="A183" s="9"/>
      <c r="B183" s="9"/>
      <c r="C183" s="9"/>
      <c r="D183" s="9"/>
      <c r="E183" s="9"/>
      <c r="F183" s="9"/>
      <c r="G183" s="9"/>
      <c r="H183" s="9"/>
      <c r="I183" s="9"/>
      <c r="J183" s="9"/>
      <c r="K183" s="9"/>
      <c r="L183" s="9"/>
      <c r="M183" s="9"/>
      <c r="N183" s="9"/>
      <c r="O183" s="24"/>
      <c r="P183" s="9"/>
      <c r="Q183" s="9"/>
      <c r="R183" s="9"/>
      <c r="S183" s="9"/>
      <c r="T183" s="9"/>
      <c r="U183" s="9"/>
      <c r="V183" s="9"/>
      <c r="W183" s="9"/>
      <c r="X183" s="9"/>
      <c r="Y183" s="9"/>
      <c r="Z183" s="9"/>
      <c r="AA183" s="9"/>
      <c r="AB183" s="9"/>
      <c r="AC183" s="9"/>
      <c r="AD183" s="9"/>
      <c r="AE183" s="9"/>
      <c r="AF183" s="9"/>
      <c r="AG183" s="9"/>
      <c r="AH183" s="9"/>
      <c r="AI183" s="9"/>
      <c r="AJ183" s="9"/>
    </row>
    <row r="184" customFormat="false" ht="13.5" hidden="false" customHeight="true" outlineLevel="0" collapsed="false">
      <c r="A184" s="9"/>
      <c r="B184" s="9"/>
      <c r="C184" s="9"/>
      <c r="D184" s="9"/>
      <c r="E184" s="9"/>
      <c r="F184" s="9"/>
      <c r="G184" s="9"/>
      <c r="H184" s="9"/>
      <c r="I184" s="9"/>
      <c r="J184" s="9"/>
      <c r="K184" s="9"/>
      <c r="L184" s="9"/>
      <c r="M184" s="9"/>
      <c r="N184" s="9"/>
      <c r="O184" s="24"/>
      <c r="P184" s="9"/>
      <c r="Q184" s="9"/>
      <c r="R184" s="9"/>
      <c r="S184" s="9"/>
      <c r="T184" s="9"/>
      <c r="U184" s="9"/>
      <c r="V184" s="9"/>
      <c r="W184" s="9"/>
      <c r="X184" s="9"/>
      <c r="Y184" s="9"/>
      <c r="Z184" s="9"/>
      <c r="AA184" s="9"/>
      <c r="AB184" s="9"/>
      <c r="AC184" s="9"/>
      <c r="AD184" s="9"/>
      <c r="AE184" s="9"/>
      <c r="AF184" s="9"/>
      <c r="AG184" s="9"/>
      <c r="AH184" s="9"/>
      <c r="AI184" s="9"/>
      <c r="AJ184" s="9"/>
    </row>
    <row r="185" customFormat="false" ht="13.5" hidden="false" customHeight="true" outlineLevel="0" collapsed="false">
      <c r="A185" s="9"/>
      <c r="B185" s="9"/>
      <c r="C185" s="9"/>
      <c r="D185" s="9"/>
      <c r="E185" s="9"/>
      <c r="F185" s="9"/>
      <c r="G185" s="9"/>
      <c r="H185" s="9"/>
      <c r="I185" s="9"/>
      <c r="J185" s="9"/>
      <c r="K185" s="9"/>
      <c r="L185" s="9"/>
      <c r="M185" s="9"/>
      <c r="N185" s="9"/>
      <c r="O185" s="24"/>
      <c r="P185" s="9"/>
      <c r="Q185" s="9"/>
      <c r="R185" s="9"/>
      <c r="S185" s="9"/>
      <c r="T185" s="9"/>
      <c r="U185" s="9"/>
      <c r="V185" s="9"/>
      <c r="W185" s="9"/>
      <c r="X185" s="9"/>
      <c r="Y185" s="9"/>
      <c r="Z185" s="9"/>
      <c r="AA185" s="9"/>
      <c r="AB185" s="9"/>
      <c r="AC185" s="9"/>
      <c r="AD185" s="9"/>
      <c r="AE185" s="9"/>
      <c r="AF185" s="9"/>
      <c r="AG185" s="9"/>
      <c r="AH185" s="9"/>
      <c r="AI185" s="9"/>
      <c r="AJ185" s="9"/>
    </row>
    <row r="186" customFormat="false" ht="13.5" hidden="false" customHeight="true" outlineLevel="0" collapsed="false">
      <c r="A186" s="9"/>
      <c r="B186" s="9"/>
      <c r="C186" s="9"/>
      <c r="D186" s="9"/>
      <c r="E186" s="9"/>
      <c r="F186" s="9"/>
      <c r="G186" s="9"/>
      <c r="H186" s="9"/>
      <c r="I186" s="9"/>
      <c r="J186" s="9"/>
      <c r="K186" s="9"/>
      <c r="L186" s="9"/>
      <c r="M186" s="9"/>
      <c r="N186" s="9"/>
      <c r="O186" s="24"/>
      <c r="P186" s="9"/>
      <c r="Q186" s="9"/>
      <c r="R186" s="9"/>
      <c r="S186" s="9"/>
      <c r="T186" s="9"/>
      <c r="U186" s="9"/>
      <c r="V186" s="9"/>
      <c r="W186" s="9"/>
      <c r="X186" s="9"/>
      <c r="Y186" s="9"/>
      <c r="Z186" s="9"/>
      <c r="AA186" s="9"/>
      <c r="AB186" s="9"/>
      <c r="AC186" s="9"/>
      <c r="AD186" s="9"/>
      <c r="AE186" s="9"/>
      <c r="AF186" s="9"/>
      <c r="AG186" s="9"/>
      <c r="AH186" s="9"/>
      <c r="AI186" s="9"/>
      <c r="AJ186" s="9"/>
    </row>
    <row r="187" customFormat="false" ht="13.5" hidden="false" customHeight="true" outlineLevel="0" collapsed="false">
      <c r="A187" s="9"/>
      <c r="B187" s="9"/>
      <c r="C187" s="9"/>
      <c r="D187" s="9"/>
      <c r="E187" s="9"/>
      <c r="F187" s="9"/>
      <c r="G187" s="9"/>
      <c r="H187" s="9"/>
      <c r="I187" s="9"/>
      <c r="J187" s="9"/>
      <c r="K187" s="9"/>
      <c r="L187" s="9"/>
      <c r="M187" s="9"/>
      <c r="N187" s="9"/>
      <c r="O187" s="24"/>
      <c r="P187" s="9"/>
      <c r="Q187" s="9"/>
      <c r="R187" s="9"/>
      <c r="S187" s="9"/>
      <c r="T187" s="9"/>
      <c r="U187" s="9"/>
      <c r="V187" s="9"/>
      <c r="W187" s="9"/>
      <c r="X187" s="9"/>
      <c r="Y187" s="9"/>
      <c r="Z187" s="9"/>
      <c r="AA187" s="9"/>
      <c r="AB187" s="9"/>
      <c r="AC187" s="9"/>
      <c r="AD187" s="9"/>
      <c r="AE187" s="9"/>
      <c r="AF187" s="9"/>
      <c r="AG187" s="9"/>
      <c r="AH187" s="9"/>
      <c r="AI187" s="9"/>
      <c r="AJ187" s="9"/>
    </row>
    <row r="188" customFormat="false" ht="13.5" hidden="false" customHeight="true" outlineLevel="0" collapsed="false">
      <c r="A188" s="9"/>
      <c r="B188" s="9"/>
      <c r="C188" s="9"/>
      <c r="D188" s="9"/>
      <c r="E188" s="9"/>
      <c r="F188" s="9"/>
      <c r="G188" s="9"/>
      <c r="H188" s="9"/>
      <c r="I188" s="9"/>
      <c r="J188" s="9"/>
      <c r="K188" s="9"/>
      <c r="L188" s="9"/>
      <c r="M188" s="9"/>
      <c r="N188" s="9"/>
      <c r="O188" s="24"/>
      <c r="P188" s="9"/>
      <c r="Q188" s="9"/>
      <c r="R188" s="9"/>
      <c r="S188" s="9"/>
      <c r="T188" s="9"/>
      <c r="U188" s="9"/>
      <c r="V188" s="9"/>
      <c r="W188" s="9"/>
      <c r="X188" s="9"/>
      <c r="Y188" s="9"/>
      <c r="Z188" s="9"/>
      <c r="AA188" s="9"/>
      <c r="AB188" s="9"/>
      <c r="AC188" s="9"/>
      <c r="AD188" s="9"/>
      <c r="AE188" s="9"/>
      <c r="AF188" s="9"/>
      <c r="AG188" s="9"/>
      <c r="AH188" s="9"/>
      <c r="AI188" s="9"/>
      <c r="AJ188" s="9"/>
    </row>
    <row r="189" customFormat="false" ht="13.5" hidden="false" customHeight="true" outlineLevel="0" collapsed="false">
      <c r="A189" s="9"/>
      <c r="B189" s="9"/>
      <c r="C189" s="9"/>
      <c r="D189" s="9"/>
      <c r="E189" s="9"/>
      <c r="F189" s="9"/>
      <c r="G189" s="9"/>
      <c r="H189" s="9"/>
      <c r="I189" s="9"/>
      <c r="J189" s="9"/>
      <c r="K189" s="9"/>
      <c r="L189" s="9"/>
      <c r="M189" s="9"/>
      <c r="N189" s="9"/>
      <c r="O189" s="24"/>
      <c r="P189" s="9"/>
      <c r="Q189" s="9"/>
      <c r="R189" s="9"/>
      <c r="S189" s="9"/>
      <c r="T189" s="9"/>
      <c r="U189" s="9"/>
      <c r="V189" s="9"/>
      <c r="W189" s="9"/>
      <c r="X189" s="9"/>
      <c r="Y189" s="9"/>
      <c r="Z189" s="9"/>
      <c r="AA189" s="9"/>
      <c r="AB189" s="9"/>
      <c r="AC189" s="9"/>
      <c r="AD189" s="9"/>
      <c r="AE189" s="9"/>
      <c r="AF189" s="9"/>
      <c r="AG189" s="9"/>
      <c r="AH189" s="9"/>
      <c r="AI189" s="9"/>
      <c r="AJ189" s="9"/>
    </row>
    <row r="190" customFormat="false" ht="13.5" hidden="false" customHeight="true" outlineLevel="0" collapsed="false">
      <c r="A190" s="9"/>
      <c r="B190" s="9"/>
      <c r="C190" s="9"/>
      <c r="D190" s="9"/>
      <c r="E190" s="9"/>
      <c r="F190" s="9"/>
      <c r="G190" s="9"/>
      <c r="H190" s="9"/>
      <c r="I190" s="9"/>
      <c r="J190" s="9"/>
      <c r="K190" s="9"/>
      <c r="L190" s="9"/>
      <c r="M190" s="9"/>
      <c r="N190" s="9"/>
      <c r="O190" s="24"/>
      <c r="P190" s="9"/>
      <c r="Q190" s="9"/>
      <c r="R190" s="9"/>
      <c r="S190" s="9"/>
      <c r="T190" s="9"/>
      <c r="U190" s="9"/>
      <c r="V190" s="9"/>
      <c r="W190" s="9"/>
      <c r="X190" s="9"/>
      <c r="Y190" s="9"/>
      <c r="Z190" s="9"/>
      <c r="AA190" s="9"/>
      <c r="AB190" s="9"/>
      <c r="AC190" s="9"/>
      <c r="AD190" s="9"/>
      <c r="AE190" s="9"/>
      <c r="AF190" s="9"/>
      <c r="AG190" s="9"/>
      <c r="AH190" s="9"/>
      <c r="AI190" s="9"/>
      <c r="AJ190" s="9"/>
    </row>
    <row r="191" customFormat="false" ht="13.5" hidden="false" customHeight="true" outlineLevel="0" collapsed="false">
      <c r="A191" s="9"/>
      <c r="B191" s="9"/>
      <c r="C191" s="9"/>
      <c r="D191" s="9"/>
      <c r="E191" s="9"/>
      <c r="F191" s="9"/>
      <c r="G191" s="9"/>
      <c r="H191" s="9"/>
      <c r="I191" s="9"/>
      <c r="J191" s="9"/>
      <c r="K191" s="9"/>
      <c r="L191" s="9"/>
      <c r="M191" s="9"/>
      <c r="N191" s="9"/>
      <c r="O191" s="24"/>
      <c r="P191" s="9"/>
      <c r="Q191" s="9"/>
      <c r="R191" s="9"/>
      <c r="S191" s="9"/>
      <c r="T191" s="9"/>
      <c r="U191" s="9"/>
      <c r="V191" s="9"/>
      <c r="W191" s="9"/>
      <c r="X191" s="9"/>
      <c r="Y191" s="9"/>
      <c r="Z191" s="9"/>
      <c r="AA191" s="9"/>
      <c r="AB191" s="9"/>
      <c r="AC191" s="9"/>
      <c r="AD191" s="9"/>
      <c r="AE191" s="9"/>
      <c r="AF191" s="9"/>
      <c r="AG191" s="9"/>
      <c r="AH191" s="9"/>
      <c r="AI191" s="9"/>
      <c r="AJ191" s="9"/>
    </row>
    <row r="192" customFormat="false" ht="13.5" hidden="false" customHeight="true" outlineLevel="0" collapsed="false">
      <c r="A192" s="9"/>
      <c r="B192" s="9"/>
      <c r="C192" s="9"/>
      <c r="D192" s="9"/>
      <c r="E192" s="9"/>
      <c r="F192" s="9"/>
      <c r="G192" s="9"/>
      <c r="H192" s="9"/>
      <c r="I192" s="9"/>
      <c r="J192" s="9"/>
      <c r="K192" s="9"/>
      <c r="L192" s="9"/>
      <c r="M192" s="9"/>
      <c r="N192" s="9"/>
      <c r="O192" s="24"/>
      <c r="P192" s="9"/>
      <c r="Q192" s="9"/>
      <c r="R192" s="9"/>
      <c r="S192" s="9"/>
      <c r="T192" s="9"/>
      <c r="U192" s="9"/>
      <c r="V192" s="9"/>
      <c r="W192" s="9"/>
      <c r="X192" s="9"/>
      <c r="Y192" s="9"/>
      <c r="Z192" s="9"/>
      <c r="AA192" s="9"/>
      <c r="AB192" s="9"/>
      <c r="AC192" s="9"/>
      <c r="AD192" s="9"/>
      <c r="AE192" s="9"/>
      <c r="AF192" s="9"/>
      <c r="AG192" s="9"/>
      <c r="AH192" s="9"/>
      <c r="AI192" s="9"/>
      <c r="AJ192" s="9"/>
    </row>
    <row r="193" customFormat="false" ht="13.5" hidden="false" customHeight="true" outlineLevel="0" collapsed="false">
      <c r="A193" s="9"/>
      <c r="B193" s="9"/>
      <c r="C193" s="9"/>
      <c r="D193" s="9"/>
      <c r="E193" s="9"/>
      <c r="F193" s="9"/>
      <c r="G193" s="9"/>
      <c r="H193" s="9"/>
      <c r="I193" s="9"/>
      <c r="J193" s="9"/>
      <c r="K193" s="9"/>
      <c r="L193" s="9"/>
      <c r="M193" s="9"/>
      <c r="N193" s="9"/>
      <c r="O193" s="24"/>
      <c r="P193" s="9"/>
      <c r="Q193" s="9"/>
      <c r="R193" s="9"/>
      <c r="S193" s="9"/>
      <c r="T193" s="9"/>
      <c r="U193" s="9"/>
      <c r="V193" s="9"/>
      <c r="W193" s="9"/>
      <c r="X193" s="9"/>
      <c r="Y193" s="9"/>
      <c r="Z193" s="9"/>
      <c r="AA193" s="9"/>
      <c r="AB193" s="9"/>
      <c r="AC193" s="9"/>
      <c r="AD193" s="9"/>
      <c r="AE193" s="9"/>
      <c r="AF193" s="9"/>
      <c r="AG193" s="9"/>
      <c r="AH193" s="9"/>
      <c r="AI193" s="9"/>
      <c r="AJ193" s="9"/>
    </row>
    <row r="194" customFormat="false" ht="13.5" hidden="false" customHeight="true" outlineLevel="0" collapsed="false">
      <c r="A194" s="9"/>
      <c r="B194" s="9"/>
      <c r="C194" s="9"/>
      <c r="D194" s="9"/>
      <c r="E194" s="9"/>
      <c r="F194" s="9"/>
      <c r="G194" s="9"/>
      <c r="H194" s="9"/>
      <c r="I194" s="9"/>
      <c r="J194" s="9"/>
      <c r="K194" s="9"/>
      <c r="L194" s="9"/>
      <c r="M194" s="9"/>
      <c r="N194" s="9"/>
      <c r="O194" s="24"/>
      <c r="P194" s="9"/>
      <c r="Q194" s="9"/>
      <c r="R194" s="9"/>
      <c r="S194" s="9"/>
      <c r="T194" s="9"/>
      <c r="U194" s="9"/>
      <c r="V194" s="9"/>
      <c r="W194" s="9"/>
      <c r="X194" s="9"/>
      <c r="Y194" s="9"/>
      <c r="Z194" s="9"/>
      <c r="AA194" s="9"/>
      <c r="AB194" s="9"/>
      <c r="AC194" s="9"/>
      <c r="AD194" s="9"/>
      <c r="AE194" s="9"/>
      <c r="AF194" s="9"/>
      <c r="AG194" s="9"/>
      <c r="AH194" s="9"/>
      <c r="AI194" s="9"/>
      <c r="AJ194" s="9"/>
    </row>
    <row r="195" customFormat="false" ht="13.5" hidden="false" customHeight="true" outlineLevel="0" collapsed="false">
      <c r="A195" s="9"/>
      <c r="B195" s="9"/>
      <c r="C195" s="9"/>
      <c r="D195" s="9"/>
      <c r="E195" s="9"/>
      <c r="F195" s="9"/>
      <c r="G195" s="9"/>
      <c r="H195" s="9"/>
      <c r="I195" s="9"/>
      <c r="J195" s="9"/>
      <c r="K195" s="9"/>
      <c r="L195" s="9"/>
      <c r="M195" s="9"/>
      <c r="N195" s="9"/>
      <c r="O195" s="24"/>
      <c r="P195" s="9"/>
      <c r="Q195" s="9"/>
      <c r="R195" s="9"/>
      <c r="S195" s="9"/>
      <c r="T195" s="9"/>
      <c r="U195" s="9"/>
      <c r="V195" s="9"/>
      <c r="W195" s="9"/>
      <c r="X195" s="9"/>
      <c r="Y195" s="9"/>
      <c r="Z195" s="9"/>
      <c r="AA195" s="9"/>
      <c r="AB195" s="9"/>
      <c r="AC195" s="9"/>
      <c r="AD195" s="9"/>
      <c r="AE195" s="9"/>
      <c r="AF195" s="9"/>
      <c r="AG195" s="9"/>
      <c r="AH195" s="9"/>
      <c r="AI195" s="9"/>
      <c r="AJ195" s="9"/>
    </row>
    <row r="196" customFormat="false" ht="13.5" hidden="false" customHeight="true" outlineLevel="0" collapsed="false">
      <c r="A196" s="9"/>
      <c r="B196" s="9"/>
      <c r="C196" s="9"/>
      <c r="D196" s="9"/>
      <c r="E196" s="9"/>
      <c r="F196" s="9"/>
      <c r="G196" s="9"/>
      <c r="H196" s="9"/>
      <c r="I196" s="9"/>
      <c r="J196" s="9"/>
      <c r="K196" s="9"/>
      <c r="L196" s="9"/>
      <c r="M196" s="9"/>
      <c r="N196" s="9"/>
      <c r="O196" s="24"/>
      <c r="P196" s="9"/>
      <c r="Q196" s="9"/>
      <c r="R196" s="9"/>
      <c r="S196" s="9"/>
      <c r="T196" s="9"/>
      <c r="U196" s="9"/>
      <c r="V196" s="9"/>
      <c r="W196" s="9"/>
      <c r="X196" s="9"/>
      <c r="Y196" s="9"/>
      <c r="Z196" s="9"/>
      <c r="AA196" s="9"/>
      <c r="AB196" s="9"/>
      <c r="AC196" s="9"/>
      <c r="AD196" s="9"/>
      <c r="AE196" s="9"/>
      <c r="AF196" s="9"/>
      <c r="AG196" s="9"/>
      <c r="AH196" s="9"/>
      <c r="AI196" s="9"/>
      <c r="AJ196" s="9"/>
    </row>
    <row r="197" customFormat="false" ht="13.5" hidden="false" customHeight="true" outlineLevel="0" collapsed="false">
      <c r="A197" s="9"/>
      <c r="B197" s="9"/>
      <c r="C197" s="9"/>
      <c r="D197" s="9"/>
      <c r="E197" s="9"/>
      <c r="F197" s="9"/>
      <c r="G197" s="9"/>
      <c r="H197" s="9"/>
      <c r="I197" s="9"/>
      <c r="J197" s="9"/>
      <c r="K197" s="9"/>
      <c r="L197" s="9"/>
      <c r="M197" s="9"/>
      <c r="N197" s="9"/>
      <c r="O197" s="24"/>
      <c r="P197" s="9"/>
      <c r="Q197" s="9"/>
      <c r="R197" s="9"/>
      <c r="S197" s="9"/>
      <c r="T197" s="9"/>
      <c r="U197" s="9"/>
      <c r="V197" s="9"/>
      <c r="W197" s="9"/>
      <c r="X197" s="9"/>
      <c r="Y197" s="9"/>
      <c r="Z197" s="9"/>
      <c r="AA197" s="9"/>
      <c r="AB197" s="9"/>
      <c r="AC197" s="9"/>
      <c r="AD197" s="9"/>
      <c r="AE197" s="9"/>
      <c r="AF197" s="9"/>
      <c r="AG197" s="9"/>
      <c r="AH197" s="9"/>
      <c r="AI197" s="9"/>
      <c r="AJ197" s="9"/>
    </row>
    <row r="198" customFormat="false" ht="13.5" hidden="false" customHeight="true" outlineLevel="0" collapsed="false">
      <c r="A198" s="9"/>
      <c r="B198" s="9"/>
      <c r="C198" s="9"/>
      <c r="D198" s="9"/>
      <c r="E198" s="9"/>
      <c r="F198" s="9"/>
      <c r="G198" s="9"/>
      <c r="H198" s="9"/>
      <c r="I198" s="9"/>
      <c r="J198" s="9"/>
      <c r="K198" s="9"/>
      <c r="L198" s="9"/>
      <c r="M198" s="9"/>
      <c r="N198" s="9"/>
      <c r="O198" s="24"/>
      <c r="P198" s="9"/>
      <c r="Q198" s="9"/>
      <c r="R198" s="9"/>
      <c r="S198" s="9"/>
      <c r="T198" s="9"/>
      <c r="U198" s="9"/>
      <c r="V198" s="9"/>
      <c r="W198" s="9"/>
      <c r="X198" s="9"/>
      <c r="Y198" s="9"/>
      <c r="Z198" s="9"/>
      <c r="AA198" s="9"/>
      <c r="AB198" s="9"/>
      <c r="AC198" s="9"/>
      <c r="AD198" s="9"/>
      <c r="AE198" s="9"/>
      <c r="AF198" s="9"/>
      <c r="AG198" s="9"/>
      <c r="AH198" s="9"/>
      <c r="AI198" s="9"/>
      <c r="AJ198" s="9"/>
    </row>
    <row r="199" customFormat="false" ht="13.5" hidden="false" customHeight="true" outlineLevel="0" collapsed="false">
      <c r="A199" s="9"/>
      <c r="B199" s="9"/>
      <c r="C199" s="9"/>
      <c r="D199" s="9"/>
      <c r="E199" s="9"/>
      <c r="F199" s="9"/>
      <c r="G199" s="9"/>
      <c r="H199" s="9"/>
      <c r="I199" s="9"/>
      <c r="J199" s="9"/>
      <c r="K199" s="9"/>
      <c r="L199" s="9"/>
      <c r="M199" s="9"/>
      <c r="N199" s="9"/>
      <c r="O199" s="24"/>
      <c r="P199" s="9"/>
      <c r="Q199" s="9"/>
      <c r="R199" s="9"/>
      <c r="S199" s="9"/>
      <c r="T199" s="9"/>
      <c r="U199" s="9"/>
      <c r="V199" s="9"/>
      <c r="W199" s="9"/>
      <c r="X199" s="9"/>
      <c r="Y199" s="9"/>
      <c r="Z199" s="9"/>
      <c r="AA199" s="9"/>
      <c r="AB199" s="9"/>
      <c r="AC199" s="9"/>
      <c r="AD199" s="9"/>
      <c r="AE199" s="9"/>
      <c r="AF199" s="9"/>
      <c r="AG199" s="9"/>
      <c r="AH199" s="9"/>
      <c r="AI199" s="9"/>
      <c r="AJ199" s="9"/>
    </row>
    <row r="200" customFormat="false" ht="13.5" hidden="false" customHeight="true" outlineLevel="0" collapsed="false">
      <c r="A200" s="9"/>
      <c r="B200" s="9"/>
      <c r="C200" s="9"/>
      <c r="D200" s="9"/>
      <c r="E200" s="9"/>
      <c r="F200" s="9"/>
      <c r="G200" s="9"/>
      <c r="H200" s="9"/>
      <c r="I200" s="9"/>
      <c r="J200" s="9"/>
      <c r="K200" s="9"/>
      <c r="L200" s="9"/>
      <c r="M200" s="9"/>
      <c r="N200" s="9"/>
      <c r="O200" s="24"/>
      <c r="P200" s="9"/>
      <c r="Q200" s="9"/>
      <c r="R200" s="9"/>
      <c r="S200" s="9"/>
      <c r="T200" s="9"/>
      <c r="U200" s="9"/>
      <c r="V200" s="9"/>
      <c r="W200" s="9"/>
      <c r="X200" s="9"/>
      <c r="Y200" s="9"/>
      <c r="Z200" s="9"/>
      <c r="AA200" s="9"/>
      <c r="AB200" s="9"/>
      <c r="AC200" s="9"/>
      <c r="AD200" s="9"/>
      <c r="AE200" s="9"/>
      <c r="AF200" s="9"/>
      <c r="AG200" s="9"/>
      <c r="AH200" s="9"/>
      <c r="AI200" s="9"/>
      <c r="AJ200" s="9"/>
    </row>
    <row r="201" customFormat="false" ht="13.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row>
    <row r="202" customFormat="false" ht="13.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row>
    <row r="203" customFormat="false" ht="13.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row>
    <row r="204" customFormat="false" ht="13.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row>
    <row r="205" customFormat="false" ht="13.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row>
    <row r="206" customFormat="false" ht="13.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row>
    <row r="207" customFormat="false" ht="13.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row>
    <row r="208" customFormat="false" ht="13.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row>
    <row r="209" customFormat="false" ht="13.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row>
    <row r="210" customFormat="false" ht="13.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row>
    <row r="211" customFormat="false" ht="13.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row>
    <row r="212" customFormat="false" ht="13.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row>
    <row r="213" customFormat="false" ht="13.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row>
    <row r="214" customFormat="false" ht="13.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row>
    <row r="215" customFormat="false" ht="13.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row>
    <row r="216" customFormat="false" ht="13.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row>
    <row r="217" customFormat="false" ht="13.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row>
    <row r="218" customFormat="false" ht="13.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row>
    <row r="219" customFormat="false" ht="13.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row>
    <row r="220" customFormat="false" ht="13.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customFormat="false" ht="13.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row>
    <row r="222" customFormat="false" ht="13.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row>
    <row r="223" customFormat="false" ht="13.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customFormat="false" ht="13.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customFormat="false" ht="13.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customFormat="false" ht="13.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customFormat="false" ht="13.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customFormat="false" ht="13.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customFormat="false" ht="13.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customFormat="false" ht="13.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customFormat="false" ht="13.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customFormat="false" ht="13.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customFormat="false" ht="13.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customFormat="false" ht="13.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customFormat="false" ht="13.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customFormat="false" ht="13.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customFormat="false" ht="13.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customFormat="false" ht="13.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customFormat="false" ht="13.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customFormat="false" ht="13.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customFormat="false" ht="13.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customFormat="false" ht="13.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customFormat="false" ht="13.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customFormat="false" ht="13.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customFormat="false" ht="13.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customFormat="false" ht="13.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customFormat="false" ht="13.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customFormat="false" ht="13.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customFormat="false" ht="13.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customFormat="false" ht="13.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customFormat="false" ht="13.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customFormat="false" ht="13.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customFormat="false" ht="13.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customFormat="false" ht="13.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customFormat="false" ht="13.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customFormat="false" ht="13.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customFormat="false" ht="13.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customFormat="false" ht="13.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customFormat="false" ht="13.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customFormat="false" ht="13.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customFormat="false" ht="13.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customFormat="false" ht="13.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customFormat="false" ht="13.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customFormat="false" ht="13.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customFormat="false" ht="13.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customFormat="false" ht="13.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customFormat="false" ht="13.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customFormat="false" ht="13.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customFormat="false" ht="13.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customFormat="false" ht="13.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customFormat="false" ht="13.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customFormat="false" ht="13.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customFormat="false" ht="13.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customFormat="false" ht="13.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customFormat="false" ht="13.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customFormat="false" ht="13.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customFormat="false" ht="13.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customFormat="false" ht="13.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customFormat="false" ht="13.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customFormat="false" ht="13.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customFormat="false" ht="13.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customFormat="false" ht="13.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customFormat="false" ht="13.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customFormat="false" ht="13.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customFormat="false" ht="13.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customFormat="false" ht="13.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customFormat="false" ht="13.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customFormat="false" ht="13.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customFormat="false" ht="13.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customFormat="false" ht="13.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customFormat="false" ht="13.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customFormat="false" ht="13.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customFormat="false" ht="13.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customFormat="false" ht="13.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customFormat="false" ht="13.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customFormat="false" ht="13.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customFormat="false" ht="13.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customFormat="false" ht="13.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customFormat="false" ht="13.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customFormat="false" ht="13.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customFormat="false" ht="13.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customFormat="false" ht="13.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customFormat="false" ht="13.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customFormat="false" ht="13.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customFormat="false" ht="13.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customFormat="false" ht="13.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customFormat="false" ht="13.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customFormat="false" ht="13.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customFormat="false" ht="13.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customFormat="false" ht="13.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customFormat="false" ht="13.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customFormat="false" ht="13.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customFormat="false" ht="13.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customFormat="false" ht="13.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customFormat="false" ht="13.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customFormat="false" ht="13.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customFormat="false" ht="13.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customFormat="false" ht="13.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customFormat="false" ht="13.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customFormat="false" ht="13.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customFormat="false" ht="13.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customFormat="false" ht="13.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customFormat="false" ht="13.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customFormat="false" ht="13.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customFormat="false" ht="13.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customFormat="false" ht="13.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customFormat="false" ht="13.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customFormat="false" ht="13.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customFormat="false" ht="13.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customFormat="false" ht="13.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customFormat="false" ht="13.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customFormat="false" ht="13.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customFormat="false" ht="13.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customFormat="false" ht="13.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customFormat="false" ht="13.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customFormat="false" ht="13.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customFormat="false" ht="13.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customFormat="false" ht="13.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customFormat="false" ht="13.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customFormat="false" ht="13.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customFormat="false" ht="13.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customFormat="false" ht="13.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customFormat="false" ht="13.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customFormat="false" ht="13.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customFormat="false" ht="13.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customFormat="false" ht="13.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customFormat="false" ht="13.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customFormat="false" ht="13.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customFormat="false" ht="13.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customFormat="false" ht="13.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customFormat="false" ht="13.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customFormat="false" ht="13.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customFormat="false" ht="13.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customFormat="false" ht="13.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customFormat="false" ht="13.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customFormat="false" ht="13.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customFormat="false" ht="13.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customFormat="false" ht="13.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customFormat="false" ht="13.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customFormat="false" ht="13.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customFormat="false" ht="13.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customFormat="false" ht="13.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customFormat="false" ht="13.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customFormat="false" ht="13.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customFormat="false" ht="13.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customFormat="false" ht="13.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customFormat="false" ht="13.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customFormat="false" ht="13.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customFormat="false" ht="13.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customFormat="false" ht="13.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customFormat="false" ht="13.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customFormat="false" ht="13.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customFormat="false" ht="13.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customFormat="false" ht="13.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customFormat="false" ht="13.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customFormat="false" ht="13.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customFormat="false" ht="13.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customFormat="false" ht="13.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customFormat="false" ht="13.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customFormat="false" ht="13.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customFormat="false" ht="13.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customFormat="false" ht="13.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customFormat="false" ht="13.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customFormat="false" ht="13.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customFormat="false" ht="13.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customFormat="false" ht="13.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customFormat="false" ht="13.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customFormat="false" ht="13.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customFormat="false" ht="13.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customFormat="false" ht="13.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customFormat="false" ht="13.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customFormat="false" ht="13.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customFormat="false" ht="13.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customFormat="false" ht="13.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customFormat="false" ht="13.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customFormat="false" ht="13.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customFormat="false" ht="13.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customFormat="false" ht="13.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customFormat="false" ht="13.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customFormat="false" ht="13.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customFormat="false" ht="13.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customFormat="false" ht="13.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customFormat="false" ht="13.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customFormat="false" ht="13.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customFormat="false" ht="13.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customFormat="false" ht="13.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customFormat="false" ht="13.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customFormat="false" ht="13.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customFormat="false" ht="13.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customFormat="false" ht="13.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customFormat="false" ht="13.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customFormat="false" ht="13.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customFormat="false" ht="13.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customFormat="false" ht="13.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customFormat="false" ht="13.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customFormat="false" ht="13.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customFormat="false" ht="13.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customFormat="false" ht="13.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customFormat="false" ht="13.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customFormat="false" ht="13.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customFormat="false" ht="13.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customFormat="false" ht="13.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customFormat="false" ht="13.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customFormat="false" ht="13.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customFormat="false" ht="13.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customFormat="false" ht="13.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customFormat="false" ht="13.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customFormat="false" ht="13.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customFormat="false" ht="13.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customFormat="false" ht="13.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customFormat="false" ht="13.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customFormat="false" ht="13.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customFormat="false" ht="13.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customFormat="false" ht="13.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customFormat="false" ht="13.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customFormat="false" ht="13.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customFormat="false" ht="13.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customFormat="false" ht="13.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customFormat="false" ht="13.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customFormat="false" ht="13.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customFormat="false" ht="13.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customFormat="false" ht="13.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customFormat="false" ht="13.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customFormat="false" ht="13.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customFormat="false" ht="13.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customFormat="false" ht="13.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customFormat="false" ht="13.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customFormat="false" ht="13.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customFormat="false" ht="13.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customFormat="false" ht="13.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customFormat="false" ht="13.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customFormat="false" ht="13.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customFormat="false" ht="13.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customFormat="false" ht="13.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customFormat="false" ht="13.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customFormat="false" ht="13.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customFormat="false" ht="13.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customFormat="false" ht="13.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customFormat="false" ht="13.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customFormat="false" ht="13.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customFormat="false" ht="13.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customFormat="false" ht="13.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customFormat="false" ht="13.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customFormat="false" ht="13.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customFormat="false" ht="13.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customFormat="false" ht="13.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customFormat="false" ht="13.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customFormat="false" ht="13.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customFormat="false" ht="13.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customFormat="false" ht="13.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customFormat="false" ht="13.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customFormat="false" ht="13.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customFormat="false" ht="13.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customFormat="false" ht="13.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customFormat="false" ht="13.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customFormat="false" ht="13.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customFormat="false" ht="13.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customFormat="false" ht="13.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customFormat="false" ht="13.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customFormat="false" ht="13.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customFormat="false" ht="13.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customFormat="false" ht="13.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customFormat="false" ht="13.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customFormat="false" ht="13.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customFormat="false" ht="13.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customFormat="false" ht="13.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customFormat="false" ht="13.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customFormat="false" ht="13.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customFormat="false" ht="13.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customFormat="false" ht="13.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customFormat="false" ht="13.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customFormat="false" ht="13.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customFormat="false" ht="13.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customFormat="false" ht="13.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customFormat="false" ht="13.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customFormat="false" ht="13.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customFormat="false" ht="13.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customFormat="false" ht="13.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customFormat="false" ht="13.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customFormat="false" ht="13.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customFormat="false" ht="13.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customFormat="false" ht="13.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customFormat="false" ht="13.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customFormat="false" ht="13.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customFormat="false" ht="13.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customFormat="false" ht="13.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customFormat="false" ht="13.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customFormat="false" ht="13.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customFormat="false" ht="13.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customFormat="false" ht="13.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customFormat="false" ht="13.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customFormat="false" ht="13.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customFormat="false" ht="13.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customFormat="false" ht="13.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customFormat="false" ht="13.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customFormat="false" ht="13.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customFormat="false" ht="13.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customFormat="false" ht="13.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customFormat="false" ht="13.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customFormat="false" ht="13.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customFormat="false" ht="13.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customFormat="false" ht="13.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customFormat="false" ht="13.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customFormat="false" ht="13.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customFormat="false" ht="13.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customFormat="false" ht="13.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customFormat="false" ht="13.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customFormat="false" ht="13.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customFormat="false" ht="13.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customFormat="false" ht="13.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customFormat="false" ht="13.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customFormat="false" ht="13.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customFormat="false" ht="13.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customFormat="false" ht="13.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customFormat="false" ht="13.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customFormat="false" ht="13.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customFormat="false" ht="13.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customFormat="false" ht="13.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customFormat="false" ht="13.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customFormat="false" ht="13.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customFormat="false" ht="13.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customFormat="false" ht="13.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customFormat="false" ht="13.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customFormat="false" ht="13.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customFormat="false" ht="13.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customFormat="false" ht="13.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customFormat="false" ht="13.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customFormat="false" ht="13.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customFormat="false" ht="13.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customFormat="false" ht="13.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customFormat="false" ht="13.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customFormat="false" ht="13.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customFormat="false" ht="13.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customFormat="false" ht="13.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customFormat="false" ht="13.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customFormat="false" ht="13.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customFormat="false" ht="13.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customFormat="false" ht="13.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customFormat="false" ht="13.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customFormat="false" ht="13.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customFormat="false" ht="13.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customFormat="false" ht="13.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customFormat="false" ht="13.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customFormat="false" ht="13.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customFormat="false" ht="13.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customFormat="false" ht="13.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customFormat="false" ht="13.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customFormat="false" ht="13.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customFormat="false" ht="13.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customFormat="false" ht="13.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customFormat="false" ht="13.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customFormat="false" ht="13.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customFormat="false" ht="13.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customFormat="false" ht="13.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customFormat="false" ht="13.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customFormat="false" ht="13.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customFormat="false" ht="13.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customFormat="false" ht="13.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customFormat="false" ht="13.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customFormat="false" ht="13.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customFormat="false" ht="13.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customFormat="false" ht="13.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customFormat="false" ht="13.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customFormat="false" ht="13.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customFormat="false" ht="13.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customFormat="false" ht="13.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customFormat="false" ht="13.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customFormat="false" ht="13.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customFormat="false" ht="13.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customFormat="false" ht="13.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customFormat="false" ht="13.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customFormat="false" ht="13.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customFormat="false" ht="13.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customFormat="false" ht="13.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customFormat="false" ht="13.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customFormat="false" ht="13.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customFormat="false" ht="13.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customFormat="false" ht="13.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customFormat="false" ht="13.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customFormat="false" ht="13.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customFormat="false" ht="13.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customFormat="false" ht="13.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customFormat="false" ht="13.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customFormat="false" ht="13.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customFormat="false" ht="13.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customFormat="false" ht="13.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customFormat="false" ht="13.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customFormat="false" ht="13.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customFormat="false" ht="13.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customFormat="false" ht="13.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customFormat="false" ht="13.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customFormat="false" ht="13.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customFormat="false" ht="13.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customFormat="false" ht="13.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customFormat="false" ht="13.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customFormat="false" ht="13.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customFormat="false" ht="13.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customFormat="false" ht="13.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customFormat="false" ht="13.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customFormat="false" ht="13.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customFormat="false" ht="13.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customFormat="false" ht="13.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customFormat="false" ht="13.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customFormat="false" ht="13.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customFormat="false" ht="13.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customFormat="false" ht="13.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customFormat="false" ht="13.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customFormat="false" ht="13.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customFormat="false" ht="13.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customFormat="false" ht="13.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customFormat="false" ht="13.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customFormat="false" ht="13.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customFormat="false" ht="13.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customFormat="false" ht="13.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customFormat="false" ht="13.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customFormat="false" ht="13.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customFormat="false" ht="13.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customFormat="false" ht="13.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customFormat="false" ht="13.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customFormat="false" ht="13.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customFormat="false" ht="13.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customFormat="false" ht="13.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customFormat="false" ht="13.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customFormat="false" ht="13.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customFormat="false" ht="13.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customFormat="false" ht="13.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customFormat="false" ht="13.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customFormat="false" ht="13.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customFormat="false" ht="13.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customFormat="false" ht="13.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customFormat="false" ht="13.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customFormat="false" ht="13.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customFormat="false" ht="13.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customFormat="false" ht="13.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customFormat="false" ht="13.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customFormat="false" ht="13.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customFormat="false" ht="13.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customFormat="false" ht="13.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customFormat="false" ht="13.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customFormat="false" ht="13.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customFormat="false" ht="13.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customFormat="false" ht="13.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customFormat="false" ht="13.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customFormat="false" ht="13.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customFormat="false" ht="13.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customFormat="false" ht="13.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customFormat="false" ht="13.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customFormat="false" ht="13.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customFormat="false" ht="13.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customFormat="false" ht="13.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customFormat="false" ht="13.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customFormat="false" ht="13.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customFormat="false" ht="13.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customFormat="false" ht="13.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customFormat="false" ht="13.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customFormat="false" ht="13.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customFormat="false" ht="13.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customFormat="false" ht="13.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customFormat="false" ht="13.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customFormat="false" ht="13.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customFormat="false" ht="13.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customFormat="false" ht="13.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customFormat="false" ht="13.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customFormat="false" ht="13.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customFormat="false" ht="13.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customFormat="false" ht="13.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customFormat="false" ht="13.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customFormat="false" ht="13.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customFormat="false" ht="13.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customFormat="false" ht="13.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customFormat="false" ht="13.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customFormat="false" ht="13.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customFormat="false" ht="13.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customFormat="false" ht="13.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customFormat="false" ht="13.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customFormat="false" ht="13.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customFormat="false" ht="13.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customFormat="false" ht="13.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customFormat="false" ht="13.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customFormat="false" ht="13.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customFormat="false" ht="13.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customFormat="false" ht="13.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customFormat="false" ht="13.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customFormat="false" ht="13.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customFormat="false" ht="13.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customFormat="false" ht="13.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customFormat="false" ht="13.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customFormat="false" ht="13.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customFormat="false" ht="13.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customFormat="false" ht="13.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customFormat="false" ht="13.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customFormat="false" ht="13.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customFormat="false" ht="13.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customFormat="false" ht="13.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customFormat="false" ht="13.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customFormat="false" ht="13.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customFormat="false" ht="13.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customFormat="false" ht="13.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customFormat="false" ht="13.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customFormat="false" ht="13.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customFormat="false" ht="13.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customFormat="false" ht="13.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customFormat="false" ht="13.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customFormat="false" ht="13.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customFormat="false" ht="13.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customFormat="false" ht="13.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customFormat="false" ht="13.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customFormat="false" ht="13.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customFormat="false" ht="13.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customFormat="false" ht="13.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customFormat="false" ht="13.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customFormat="false" ht="13.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customFormat="false" ht="13.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customFormat="false" ht="13.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customFormat="false" ht="13.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customFormat="false" ht="13.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customFormat="false" ht="13.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customFormat="false" ht="13.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customFormat="false" ht="13.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customFormat="false" ht="13.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customFormat="false" ht="13.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customFormat="false" ht="13.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customFormat="false" ht="13.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customFormat="false" ht="13.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customFormat="false" ht="13.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customFormat="false" ht="13.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customFormat="false" ht="13.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customFormat="false" ht="13.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customFormat="false" ht="13.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customFormat="false" ht="13.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customFormat="false" ht="13.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customFormat="false" ht="13.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customFormat="false" ht="13.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customFormat="false" ht="13.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customFormat="false" ht="13.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customFormat="false" ht="13.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customFormat="false" ht="13.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customFormat="false" ht="13.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customFormat="false" ht="13.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customFormat="false" ht="13.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customFormat="false" ht="13.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customFormat="false" ht="13.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customFormat="false" ht="13.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customFormat="false" ht="13.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customFormat="false" ht="13.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customFormat="false" ht="13.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customFormat="false" ht="13.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customFormat="false" ht="13.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customFormat="false" ht="13.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customFormat="false" ht="13.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customFormat="false" ht="13.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customFormat="false" ht="13.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customFormat="false" ht="13.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customFormat="false" ht="13.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customFormat="false" ht="13.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customFormat="false" ht="13.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customFormat="false" ht="13.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customFormat="false" ht="13.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customFormat="false" ht="13.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customFormat="false" ht="13.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customFormat="false" ht="13.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customFormat="false" ht="13.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customFormat="false" ht="13.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customFormat="false" ht="13.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customFormat="false" ht="13.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customFormat="false" ht="13.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customFormat="false" ht="13.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customFormat="false" ht="13.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customFormat="false" ht="13.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customFormat="false" ht="13.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customFormat="false" ht="13.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customFormat="false" ht="13.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customFormat="false" ht="13.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customFormat="false" ht="13.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customFormat="false" ht="13.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customFormat="false" ht="13.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customFormat="false" ht="13.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customFormat="false" ht="13.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customFormat="false" ht="13.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customFormat="false" ht="13.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customFormat="false" ht="13.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customFormat="false" ht="13.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customFormat="false" ht="13.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customFormat="false" ht="13.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customFormat="false" ht="13.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customFormat="false" ht="13.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customFormat="false" ht="13.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customFormat="false" ht="13.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customFormat="false" ht="13.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customFormat="false" ht="13.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customFormat="false" ht="13.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customFormat="false" ht="13.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customFormat="false" ht="13.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customFormat="false" ht="13.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customFormat="false" ht="13.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customFormat="false" ht="13.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customFormat="false" ht="13.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customFormat="false" ht="13.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customFormat="false" ht="13.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customFormat="false" ht="13.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customFormat="false" ht="13.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customFormat="false" ht="13.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customFormat="false" ht="13.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customFormat="false" ht="13.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customFormat="false" ht="13.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customFormat="false" ht="13.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customFormat="false" ht="13.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customFormat="false" ht="13.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customFormat="false" ht="13.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customFormat="false" ht="13.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customFormat="false" ht="13.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customFormat="false" ht="13.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customFormat="false" ht="13.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customFormat="false" ht="13.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customFormat="false" ht="13.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customFormat="false" ht="13.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customFormat="false" ht="13.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customFormat="false" ht="13.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customFormat="false" ht="13.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customFormat="false" ht="13.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customFormat="false" ht="13.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customFormat="false" ht="13.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customFormat="false" ht="13.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customFormat="false" ht="13.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customFormat="false" ht="13.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customFormat="false" ht="13.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customFormat="false" ht="13.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customFormat="false" ht="13.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customFormat="false" ht="13.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customFormat="false" ht="13.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customFormat="false" ht="13.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customFormat="false" ht="13.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customFormat="false" ht="13.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customFormat="false" ht="13.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customFormat="false" ht="13.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customFormat="false" ht="13.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customFormat="false" ht="13.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customFormat="false" ht="13.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customFormat="false" ht="13.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customFormat="false" ht="13.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customFormat="false" ht="13.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customFormat="false" ht="13.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customFormat="false" ht="13.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customFormat="false" ht="13.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customFormat="false" ht="13.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customFormat="false" ht="13.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customFormat="false" ht="13.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customFormat="false" ht="13.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customFormat="false" ht="13.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customFormat="false" ht="13.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customFormat="false" ht="13.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customFormat="false" ht="13.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customFormat="false" ht="13.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customFormat="false" ht="13.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customFormat="false" ht="13.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customFormat="false" ht="13.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customFormat="false" ht="13.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customFormat="false" ht="13.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customFormat="false" ht="13.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customFormat="false" ht="13.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customFormat="false" ht="13.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customFormat="false" ht="13.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customFormat="false" ht="13.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customFormat="false" ht="13.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customFormat="false" ht="13.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customFormat="false" ht="13.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customFormat="false" ht="13.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customFormat="false" ht="13.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customFormat="false" ht="13.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customFormat="false" ht="13.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customFormat="false" ht="13.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customFormat="false" ht="13.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customFormat="false" ht="13.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customFormat="false" ht="13.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customFormat="false" ht="13.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customFormat="false" ht="13.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customFormat="false" ht="13.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customFormat="false" ht="13.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customFormat="false" ht="13.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customFormat="false" ht="13.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customFormat="false" ht="13.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customFormat="false" ht="13.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customFormat="false" ht="13.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customFormat="false" ht="13.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customFormat="false" ht="13.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customFormat="false" ht="13.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customFormat="false" ht="13.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customFormat="false" ht="13.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customFormat="false" ht="13.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customFormat="false" ht="13.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customFormat="false" ht="13.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customFormat="false" ht="13.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customFormat="false" ht="13.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customFormat="false" ht="13.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customFormat="false" ht="13.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customFormat="false" ht="13.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customFormat="false" ht="13.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customFormat="false" ht="13.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customFormat="false" ht="13.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customFormat="false" ht="13.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customFormat="false" ht="13.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customFormat="false" ht="13.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customFormat="false" ht="13.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customFormat="false" ht="13.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customFormat="false" ht="13.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customFormat="false" ht="13.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customFormat="false" ht="13.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customFormat="false" ht="13.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customFormat="false" ht="13.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customFormat="false" ht="13.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customFormat="false" ht="13.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customFormat="false" ht="13.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customFormat="false" ht="13.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customFormat="false" ht="13.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customFormat="false" ht="13.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customFormat="false" ht="13.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customFormat="false" ht="13.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customFormat="false" ht="13.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customFormat="false" ht="13.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customFormat="false" ht="13.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customFormat="false" ht="13.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customFormat="false" ht="13.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customFormat="false" ht="13.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customFormat="false" ht="13.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customFormat="false" ht="13.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customFormat="false" ht="13.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customFormat="false" ht="13.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customFormat="false" ht="13.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customFormat="false" ht="13.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customFormat="false" ht="13.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customFormat="false" ht="13.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customFormat="false" ht="13.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customFormat="false" ht="13.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customFormat="false" ht="13.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customFormat="false" ht="13.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customFormat="false" ht="13.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customFormat="false" ht="13.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customFormat="false" ht="13.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customFormat="false" ht="13.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customFormat="false" ht="13.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customFormat="false" ht="13.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customFormat="false" ht="13.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customFormat="false" ht="13.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customFormat="false" ht="13.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customFormat="false" ht="13.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customFormat="false" ht="13.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customFormat="false" ht="13.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customFormat="false" ht="13.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customFormat="false" ht="13.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customFormat="false" ht="13.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customFormat="false" ht="13.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customFormat="false" ht="13.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customFormat="false" ht="13.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customFormat="false" ht="13.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customFormat="false" ht="13.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customFormat="false" ht="13.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customFormat="false" ht="13.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customFormat="false" ht="13.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customFormat="false" ht="13.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customFormat="false" ht="13.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customFormat="false" ht="13.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customFormat="false" ht="13.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row r="983" customFormat="false" ht="13.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row>
    <row r="984" customFormat="false" ht="13.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row>
    <row r="985" customFormat="false" ht="13.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row>
    <row r="986" customFormat="false" ht="13.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row>
    <row r="987" customFormat="false" ht="13.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row>
    <row r="988" customFormat="false" ht="13.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row>
    <row r="989" customFormat="false" ht="13.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row>
    <row r="990" customFormat="false" ht="13.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row>
    <row r="991" customFormat="false" ht="13.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row>
    <row r="992" customFormat="false" ht="13.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row>
    <row r="993" customFormat="false" ht="13.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row>
    <row r="994" customFormat="false" ht="13.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row>
    <row r="995" customFormat="false" ht="13.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row>
    <row r="996" customFormat="false" ht="13.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row>
    <row r="997" customFormat="false" ht="13.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row>
    <row r="998" customFormat="false" ht="13.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row>
    <row r="999" customFormat="false" ht="13.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row>
    <row r="1000" customFormat="false" ht="13.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row>
  </sheetData>
  <conditionalFormatting sqref="S12:S13">
    <cfRule type="expression" priority="2" aboveAverage="0" equalAverage="0" bottom="0" percent="0" rank="0" text="" dxfId="0">
      <formula>AND(NOT(isformula(S12)),ISNUMBER(S12))</formula>
    </cfRule>
  </conditionalFormatting>
  <conditionalFormatting sqref="S15">
    <cfRule type="expression" priority="3" aboveAverage="0" equalAverage="0" bottom="0" percent="0" rank="0" text="" dxfId="0">
      <formula>AND(NOT(isformula(S15)),ISNUMBER(S15))</formula>
    </cfRule>
  </conditionalFormatting>
  <conditionalFormatting sqref="S19:S22">
    <cfRule type="expression" priority="4" aboveAverage="0" equalAverage="0" bottom="0" percent="0" rank="0" text="" dxfId="0">
      <formula>AND(NOT(isformula(S19)),ISNUMBER(S19))</formula>
    </cfRule>
  </conditionalFormatting>
  <conditionalFormatting sqref="S24:S26">
    <cfRule type="expression" priority="5" aboveAverage="0" equalAverage="0" bottom="0" percent="0" rank="0" text="" dxfId="0">
      <formula>AND(NOT(isformula(S24)),ISNUMBER(S24))</formula>
    </cfRule>
  </conditionalFormatting>
  <conditionalFormatting sqref="S28:S31">
    <cfRule type="expression" priority="6" aboveAverage="0" equalAverage="0" bottom="0" percent="0" rank="0" text="" dxfId="0">
      <formula>AND(NOT(isformula(S28)),ISNUMBER(S28))</formula>
    </cfRule>
  </conditionalFormatting>
  <conditionalFormatting sqref="S38:S42">
    <cfRule type="expression" priority="7" aboveAverage="0" equalAverage="0" bottom="0" percent="0" rank="0" text="" dxfId="0">
      <formula>AND(NOT(isformula(S38)),ISNUMBER(S38))</formula>
    </cfRule>
  </conditionalFormatting>
  <conditionalFormatting sqref="S44:S50">
    <cfRule type="expression" priority="8" aboveAverage="0" equalAverage="0" bottom="0" percent="0" rank="0" text="" dxfId="0">
      <formula>AND(NOT(isformula(S44)),ISNUMBER(S44))</formula>
    </cfRule>
  </conditionalFormatting>
  <conditionalFormatting sqref="S58:S60">
    <cfRule type="expression" priority="9" aboveAverage="0" equalAverage="0" bottom="0" percent="0" rank="0" text="" dxfId="0">
      <formula>AND(NOT(isformula(S58)),ISNUMBER(S58))</formula>
    </cfRule>
  </conditionalFormatting>
  <conditionalFormatting sqref="S62">
    <cfRule type="expression" priority="10" aboveAverage="0" equalAverage="0" bottom="0" percent="0" rank="0" text="" dxfId="0">
      <formula>AND(NOT(isformula(S62)),ISNUMBER(S62))</formula>
    </cfRule>
  </conditionalFormatting>
  <conditionalFormatting sqref="S70:S72">
    <cfRule type="expression" priority="11" aboveAverage="0" equalAverage="0" bottom="0" percent="0" rank="0" text="" dxfId="0">
      <formula>AND(NOT(isformula(S70)),ISNUMBER(S70))</formula>
    </cfRule>
  </conditionalFormatting>
  <conditionalFormatting sqref="S74:S80">
    <cfRule type="expression" priority="12" aboveAverage="0" equalAverage="0" bottom="0" percent="0" rank="0" text="" dxfId="0">
      <formula>AND(NOT(isformula(S74)),ISNUMBER(S74))</formula>
    </cfRule>
  </conditionalFormatting>
  <conditionalFormatting sqref="S82:S86">
    <cfRule type="expression" priority="13" aboveAverage="0" equalAverage="0" bottom="0" percent="0" rank="0" text="" dxfId="0">
      <formula>AND(NOT(isformula(S82)),ISNUMBER(S82))</formula>
    </cfRule>
  </conditionalFormatting>
  <conditionalFormatting sqref="S88:S115">
    <cfRule type="expression" priority="14" aboveAverage="0" equalAverage="0" bottom="0" percent="0" rank="0" text="" dxfId="0">
      <formula>AND(NOT(isformula(S88)),ISNUMBER(S88))</formula>
    </cfRule>
  </conditionalFormatting>
  <conditionalFormatting sqref="S120:S121">
    <cfRule type="expression" priority="15" aboveAverage="0" equalAverage="0" bottom="0" percent="0" rank="0" text="" dxfId="0">
      <formula>AND(NOT(isformula(S120)),ISNUMBER(S120))</formula>
    </cfRule>
  </conditionalFormatting>
  <conditionalFormatting sqref="S124:S129">
    <cfRule type="expression" priority="16" aboveAverage="0" equalAverage="0" bottom="0" percent="0" rank="0" text="" dxfId="0">
      <formula>AND(NOT(isformula(S124)),ISNUMBER(S124))</formula>
    </cfRule>
  </conditionalFormatting>
  <dataValidations count="2">
    <dataValidation allowBlank="true" errorStyle="stop" operator="between" prompt="Numbers only - Please enter a number (no text)." showDropDown="false" showErrorMessage="true" showInputMessage="true" sqref="S12:AF13 S15:AF15 S19:AF22 S24:AF26 S28:AF31 S38:AF42 S44:AF50 S58:AF60 S62:AF62 S70:AF72 S74:AF80 S82:AF86 S88:AF115 S120:AF121 S124:AF129" type="decimal">
      <formula1>-1000000000000000</formula1>
      <formula2>1000000000000000</formula2>
    </dataValidation>
    <dataValidation allowBlank="true" errorStyle="stop" operator="between" showDropDown="false" showErrorMessage="true" showInputMessage="false" sqref="R12:R13 R15 R19:R22 R24:R26 R28:R31 R38:R42 R44:R50 R58:R60 R62 R70:R72 R74:R80 R82:R86 R88:R115 R120:R121 R124:R129" type="list">
      <formula1>"Even,YOY Growth,Manual"</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D873"/>
    <pageSetUpPr fitToPage="false"/>
  </sheetPr>
  <dimension ref="A1:R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1" outlineLevelCol="0"/>
  <cols>
    <col collapsed="false" customWidth="true" hidden="false" outlineLevel="0" max="1" min="1" style="6" width="49.63"/>
    <col collapsed="false" customWidth="true" hidden="false" outlineLevel="0" max="17" min="2" style="6" width="9.25"/>
    <col collapsed="false" customWidth="true" hidden="false" outlineLevel="0" max="18" min="18" style="6" width="11.5"/>
    <col collapsed="false" customWidth="true" hidden="false" outlineLevel="0" max="26" min="19" style="6" width="8.63"/>
  </cols>
  <sheetData>
    <row r="1" customFormat="false" ht="14.25" hidden="false" customHeight="true" outlineLevel="0" collapsed="false">
      <c r="A1" s="77" t="s">
        <v>1420</v>
      </c>
    </row>
    <row r="2" customFormat="false" ht="14.25" hidden="false" customHeight="true" outlineLevel="0" collapsed="false">
      <c r="A2" s="78" t="s">
        <v>343</v>
      </c>
    </row>
    <row r="3" customFormat="false" ht="14.25" hidden="false" customHeight="true" outlineLevel="0" collapsed="false">
      <c r="A3" s="79" t="s">
        <v>387</v>
      </c>
    </row>
    <row r="4" customFormat="false" ht="14.25" hidden="false" customHeight="true" outlineLevel="0" collapsed="false">
      <c r="A4" s="80"/>
      <c r="B4" s="81" t="n">
        <v>46295</v>
      </c>
      <c r="C4" s="81" t="n">
        <v>46326</v>
      </c>
      <c r="D4" s="81" t="n">
        <v>46356</v>
      </c>
      <c r="E4" s="82" t="n">
        <v>46387</v>
      </c>
      <c r="F4" s="81" t="n">
        <v>46418</v>
      </c>
      <c r="G4" s="81" t="n">
        <v>46446</v>
      </c>
      <c r="H4" s="81" t="n">
        <v>46477</v>
      </c>
      <c r="I4" s="81" t="n">
        <v>46507</v>
      </c>
      <c r="J4" s="81" t="n">
        <v>46538</v>
      </c>
      <c r="K4" s="81" t="n">
        <v>46568</v>
      </c>
      <c r="L4" s="81" t="n">
        <v>46599</v>
      </c>
      <c r="M4" s="81" t="n">
        <v>46630</v>
      </c>
      <c r="N4" s="81" t="n">
        <v>46660</v>
      </c>
      <c r="O4" s="81" t="n">
        <v>46691</v>
      </c>
      <c r="P4" s="81" t="n">
        <v>46721</v>
      </c>
      <c r="Q4" s="81" t="n">
        <v>46752</v>
      </c>
      <c r="R4" s="80" t="s">
        <v>1421</v>
      </c>
    </row>
    <row r="5" customFormat="false" ht="14.25" hidden="false" customHeight="true" outlineLevel="0" collapsed="false">
      <c r="A5" s="83" t="s">
        <v>1422</v>
      </c>
      <c r="B5" s="84"/>
      <c r="C5" s="84"/>
      <c r="D5" s="84"/>
      <c r="E5" s="85"/>
      <c r="F5" s="84"/>
      <c r="G5" s="84"/>
      <c r="H5" s="84"/>
      <c r="I5" s="84"/>
      <c r="J5" s="84"/>
      <c r="K5" s="84"/>
      <c r="L5" s="84"/>
      <c r="M5" s="84"/>
      <c r="N5" s="84"/>
      <c r="O5" s="84"/>
      <c r="P5" s="84"/>
      <c r="Q5" s="84"/>
      <c r="R5" s="84"/>
    </row>
    <row r="6" customFormat="false" ht="14.25" hidden="false" customHeight="true" outlineLevel="0" collapsed="false">
      <c r="A6" s="9" t="s">
        <v>1423</v>
      </c>
      <c r="B6" s="86" t="n">
        <v>0</v>
      </c>
      <c r="C6" s="86" t="n">
        <v>0</v>
      </c>
      <c r="D6" s="86" t="n">
        <v>0</v>
      </c>
      <c r="E6" s="87" t="n">
        <v>0</v>
      </c>
      <c r="F6" s="86" t="n">
        <v>3</v>
      </c>
      <c r="G6" s="86" t="n">
        <v>3</v>
      </c>
      <c r="H6" s="86" t="n">
        <v>4</v>
      </c>
      <c r="I6" s="86" t="n">
        <v>4</v>
      </c>
      <c r="J6" s="86" t="n">
        <v>5</v>
      </c>
      <c r="K6" s="86" t="n">
        <v>6</v>
      </c>
      <c r="L6" s="86" t="n">
        <v>6</v>
      </c>
      <c r="M6" s="86" t="n">
        <v>7</v>
      </c>
      <c r="N6" s="86" t="n">
        <v>8</v>
      </c>
      <c r="O6" s="86" t="n">
        <v>9</v>
      </c>
      <c r="P6" s="86" t="n">
        <v>10</v>
      </c>
      <c r="Q6" s="86" t="n">
        <v>11</v>
      </c>
      <c r="R6" s="88" t="n">
        <v>76</v>
      </c>
    </row>
    <row r="7" customFormat="false" ht="14.25" hidden="false" customHeight="true" outlineLevel="0" collapsed="false">
      <c r="A7" s="9" t="s">
        <v>346</v>
      </c>
      <c r="B7" s="89" t="n">
        <v>0</v>
      </c>
      <c r="C7" s="89" t="n">
        <v>0</v>
      </c>
      <c r="D7" s="89" t="n">
        <v>0</v>
      </c>
      <c r="E7" s="90" t="n">
        <v>0</v>
      </c>
      <c r="F7" s="89" t="n">
        <v>948000</v>
      </c>
      <c r="G7" s="89" t="n">
        <v>948000</v>
      </c>
      <c r="H7" s="89" t="n">
        <v>1264000</v>
      </c>
      <c r="I7" s="89" t="n">
        <v>1264000</v>
      </c>
      <c r="J7" s="89" t="n">
        <v>1580000</v>
      </c>
      <c r="K7" s="89" t="n">
        <v>1896000</v>
      </c>
      <c r="L7" s="89" t="n">
        <v>1896000</v>
      </c>
      <c r="M7" s="89" t="n">
        <v>2212000</v>
      </c>
      <c r="N7" s="89" t="n">
        <v>2528000</v>
      </c>
      <c r="O7" s="89" t="n">
        <v>2844000</v>
      </c>
      <c r="P7" s="89" t="n">
        <v>3160000</v>
      </c>
      <c r="Q7" s="89" t="n">
        <v>3476000</v>
      </c>
      <c r="R7" s="91" t="n">
        <v>24016000</v>
      </c>
    </row>
    <row r="8" customFormat="false" ht="14.25" hidden="false" customHeight="true" outlineLevel="0" collapsed="false">
      <c r="A8" s="9" t="s">
        <v>1424</v>
      </c>
      <c r="B8" s="86" t="n">
        <v>0</v>
      </c>
      <c r="C8" s="86" t="n">
        <v>0</v>
      </c>
      <c r="D8" s="86" t="n">
        <v>0</v>
      </c>
      <c r="E8" s="87" t="n">
        <v>0</v>
      </c>
      <c r="F8" s="86" t="n">
        <v>1</v>
      </c>
      <c r="G8" s="86" t="n">
        <v>1</v>
      </c>
      <c r="H8" s="86" t="n">
        <v>2</v>
      </c>
      <c r="I8" s="86" t="n">
        <v>1</v>
      </c>
      <c r="J8" s="86" t="n">
        <v>1</v>
      </c>
      <c r="K8" s="86" t="n">
        <v>2</v>
      </c>
      <c r="L8" s="86" t="n">
        <v>2</v>
      </c>
      <c r="M8" s="86" t="n">
        <v>3</v>
      </c>
      <c r="N8" s="86" t="n">
        <v>2</v>
      </c>
      <c r="O8" s="86" t="n">
        <v>3</v>
      </c>
      <c r="P8" s="86" t="n">
        <v>4</v>
      </c>
      <c r="Q8" s="86" t="n">
        <v>3</v>
      </c>
      <c r="R8" s="88" t="n">
        <v>25</v>
      </c>
    </row>
    <row r="9" customFormat="false" ht="14.25" hidden="false" customHeight="true" outlineLevel="0" collapsed="false">
      <c r="A9" s="9" t="s">
        <v>349</v>
      </c>
      <c r="B9" s="89" t="n">
        <v>0</v>
      </c>
      <c r="C9" s="89" t="n">
        <v>0</v>
      </c>
      <c r="D9" s="89" t="n">
        <v>0</v>
      </c>
      <c r="E9" s="90" t="n">
        <v>0</v>
      </c>
      <c r="F9" s="89" t="n">
        <v>255142.5</v>
      </c>
      <c r="G9" s="89" t="n">
        <v>255142.5</v>
      </c>
      <c r="H9" s="89" t="n">
        <v>255142.5</v>
      </c>
      <c r="I9" s="89" t="n">
        <v>255142.5</v>
      </c>
      <c r="J9" s="89" t="n">
        <v>321502.5</v>
      </c>
      <c r="K9" s="89" t="n">
        <v>387862.5</v>
      </c>
      <c r="L9" s="89" t="n">
        <v>476342.5</v>
      </c>
      <c r="M9" s="89" t="n">
        <v>515526.5</v>
      </c>
      <c r="N9" s="89" t="n">
        <v>576830.5</v>
      </c>
      <c r="O9" s="89" t="n">
        <v>643822.5</v>
      </c>
      <c r="P9" s="89" t="n">
        <v>710814.5</v>
      </c>
      <c r="Q9" s="89" t="n">
        <v>783494.5</v>
      </c>
      <c r="R9" s="91" t="n">
        <v>5436766</v>
      </c>
    </row>
    <row r="10" customFormat="false" ht="14.25" hidden="false" customHeight="true" outlineLevel="0" collapsed="false">
      <c r="A10" s="9" t="s">
        <v>1425</v>
      </c>
      <c r="B10" s="86" t="n">
        <v>3</v>
      </c>
      <c r="C10" s="86" t="n">
        <v>0</v>
      </c>
      <c r="D10" s="86" t="n">
        <v>3</v>
      </c>
      <c r="E10" s="87" t="n">
        <v>2</v>
      </c>
      <c r="F10" s="86" t="n">
        <v>0</v>
      </c>
      <c r="G10" s="86" t="n">
        <v>0</v>
      </c>
      <c r="H10" s="86" t="n">
        <v>0</v>
      </c>
      <c r="I10" s="86" t="n">
        <v>0</v>
      </c>
      <c r="J10" s="86" t="n">
        <v>0</v>
      </c>
      <c r="K10" s="86" t="n">
        <v>0</v>
      </c>
      <c r="L10" s="86" t="n">
        <v>0</v>
      </c>
      <c r="M10" s="86" t="n">
        <v>0</v>
      </c>
      <c r="N10" s="86" t="n">
        <v>0</v>
      </c>
      <c r="O10" s="86" t="n">
        <v>0</v>
      </c>
      <c r="P10" s="86" t="n">
        <v>0</v>
      </c>
      <c r="Q10" s="86" t="n">
        <v>0</v>
      </c>
      <c r="R10" s="88" t="n">
        <f aca="false">SUM(F10:Q10)</f>
        <v>0</v>
      </c>
    </row>
    <row r="11" customFormat="false" ht="14.25" hidden="false" customHeight="true" outlineLevel="0" collapsed="false">
      <c r="A11" s="9" t="s">
        <v>352</v>
      </c>
      <c r="B11" s="89" t="n">
        <v>1280300</v>
      </c>
      <c r="C11" s="89" t="n">
        <v>0</v>
      </c>
      <c r="D11" s="89" t="n">
        <v>1632000</v>
      </c>
      <c r="E11" s="90" t="n">
        <v>632000</v>
      </c>
      <c r="F11" s="89" t="n">
        <v>0</v>
      </c>
      <c r="G11" s="89" t="n">
        <v>0</v>
      </c>
      <c r="H11" s="89" t="n">
        <v>0</v>
      </c>
      <c r="I11" s="89" t="n">
        <v>0</v>
      </c>
      <c r="J11" s="89" t="n">
        <v>0</v>
      </c>
      <c r="K11" s="89" t="n">
        <v>0</v>
      </c>
      <c r="L11" s="89" t="n">
        <v>0</v>
      </c>
      <c r="M11" s="89" t="n">
        <v>0</v>
      </c>
      <c r="N11" s="89" t="n">
        <v>0</v>
      </c>
      <c r="O11" s="89" t="n">
        <v>0</v>
      </c>
      <c r="P11" s="89" t="n">
        <v>0</v>
      </c>
      <c r="Q11" s="89" t="n">
        <v>0</v>
      </c>
      <c r="R11" s="91" t="n">
        <v>0</v>
      </c>
    </row>
    <row r="12" customFormat="false" ht="14.25" hidden="false" customHeight="true" outlineLevel="0" collapsed="false">
      <c r="A12" s="92" t="s">
        <v>1426</v>
      </c>
      <c r="B12" s="93" t="n">
        <f aca="false">B6+B8+B10</f>
        <v>3</v>
      </c>
      <c r="C12" s="93" t="n">
        <f aca="false">C6+C8+C10</f>
        <v>0</v>
      </c>
      <c r="D12" s="93" t="n">
        <f aca="false">D6+D8+D10</f>
        <v>3</v>
      </c>
      <c r="E12" s="94" t="n">
        <f aca="false">E6+E8+E10</f>
        <v>2</v>
      </c>
      <c r="F12" s="93" t="n">
        <f aca="false">F6+F8+F10</f>
        <v>4</v>
      </c>
      <c r="G12" s="93" t="n">
        <f aca="false">G6+G8+G10</f>
        <v>4</v>
      </c>
      <c r="H12" s="93" t="n">
        <f aca="false">H6+H8+H10</f>
        <v>6</v>
      </c>
      <c r="I12" s="93" t="n">
        <f aca="false">I6+I8+I10</f>
        <v>5</v>
      </c>
      <c r="J12" s="93" t="n">
        <f aca="false">J6+J8+J10</f>
        <v>6</v>
      </c>
      <c r="K12" s="93" t="n">
        <f aca="false">K6+K8+K10</f>
        <v>8</v>
      </c>
      <c r="L12" s="93" t="n">
        <f aca="false">L6+L8+L10</f>
        <v>8</v>
      </c>
      <c r="M12" s="93" t="n">
        <f aca="false">M6+M8+M10</f>
        <v>10</v>
      </c>
      <c r="N12" s="93" t="n">
        <f aca="false">N6+N8+N10</f>
        <v>10</v>
      </c>
      <c r="O12" s="93" t="n">
        <f aca="false">O6+O8+O10</f>
        <v>12</v>
      </c>
      <c r="P12" s="93" t="n">
        <f aca="false">P6+P8+P10</f>
        <v>14</v>
      </c>
      <c r="Q12" s="93" t="n">
        <f aca="false">Q6+Q8+Q10</f>
        <v>14</v>
      </c>
      <c r="R12" s="95" t="n">
        <f aca="false">R6+R8+R10</f>
        <v>101</v>
      </c>
    </row>
    <row r="13" customFormat="false" ht="14.25" hidden="false" customHeight="true" outlineLevel="0" collapsed="false">
      <c r="A13" s="96" t="s">
        <v>355</v>
      </c>
      <c r="B13" s="97" t="n">
        <f aca="false">B7+B9+B11</f>
        <v>1280300</v>
      </c>
      <c r="C13" s="97" t="n">
        <f aca="false">C7+C9+C11</f>
        <v>0</v>
      </c>
      <c r="D13" s="97" t="n">
        <f aca="false">D7+D9+D11</f>
        <v>1632000</v>
      </c>
      <c r="E13" s="98" t="n">
        <f aca="false">E7+E9+E11</f>
        <v>632000</v>
      </c>
      <c r="F13" s="97" t="n">
        <f aca="false">F7+F9+F11</f>
        <v>1203142.5</v>
      </c>
      <c r="G13" s="97" t="n">
        <f aca="false">G7+G9+G11</f>
        <v>1203142.5</v>
      </c>
      <c r="H13" s="97" t="n">
        <f aca="false">H7+H9+H11</f>
        <v>1519142.5</v>
      </c>
      <c r="I13" s="97" t="n">
        <f aca="false">I7+I9+I11</f>
        <v>1519142.5</v>
      </c>
      <c r="J13" s="97" t="n">
        <f aca="false">J7+J9+J11</f>
        <v>1901502.5</v>
      </c>
      <c r="K13" s="97" t="n">
        <f aca="false">K7+K9+K11</f>
        <v>2283862.5</v>
      </c>
      <c r="L13" s="97" t="n">
        <f aca="false">L7+L9+L11</f>
        <v>2372342.5</v>
      </c>
      <c r="M13" s="97" t="n">
        <f aca="false">M7+M9+M11</f>
        <v>2727526.5</v>
      </c>
      <c r="N13" s="97" t="n">
        <f aca="false">N7+N9+N11</f>
        <v>3104830.5</v>
      </c>
      <c r="O13" s="97" t="n">
        <f aca="false">O7+O9+O11</f>
        <v>3487822.5</v>
      </c>
      <c r="P13" s="97" t="n">
        <f aca="false">P7+P9+P11</f>
        <v>3870814.5</v>
      </c>
      <c r="Q13" s="97" t="n">
        <f aca="false">Q7+Q9+Q11</f>
        <v>4259494.5</v>
      </c>
      <c r="R13" s="99" t="n">
        <f aca="false">R7+R9+R11</f>
        <v>29452766</v>
      </c>
    </row>
    <row r="14" customFormat="false" ht="14.25" hidden="false" customHeight="true" outlineLevel="0" collapsed="false">
      <c r="A14" s="9"/>
      <c r="E14" s="100"/>
      <c r="R14" s="101"/>
    </row>
    <row r="15" customFormat="false" ht="14.25" hidden="false" customHeight="true" outlineLevel="0" collapsed="false">
      <c r="A15" s="102" t="s">
        <v>1427</v>
      </c>
      <c r="B15" s="103"/>
      <c r="C15" s="103"/>
      <c r="D15" s="103"/>
      <c r="E15" s="104"/>
      <c r="F15" s="103"/>
      <c r="G15" s="103"/>
      <c r="H15" s="103"/>
      <c r="I15" s="103"/>
      <c r="J15" s="103"/>
      <c r="K15" s="103"/>
      <c r="L15" s="103"/>
      <c r="M15" s="103"/>
      <c r="N15" s="103"/>
      <c r="O15" s="103"/>
      <c r="P15" s="103"/>
      <c r="Q15" s="103"/>
      <c r="R15" s="103"/>
    </row>
    <row r="16" customFormat="false" ht="14.25" hidden="false" customHeight="true" outlineLevel="0" collapsed="false">
      <c r="A16" s="9" t="s">
        <v>1428</v>
      </c>
      <c r="B16" s="86" t="n">
        <v>0</v>
      </c>
      <c r="C16" s="86" t="n">
        <v>2</v>
      </c>
      <c r="D16" s="86" t="n">
        <v>2</v>
      </c>
      <c r="E16" s="87" t="n">
        <v>0</v>
      </c>
      <c r="F16" s="86" t="n">
        <v>3</v>
      </c>
      <c r="G16" s="86" t="n">
        <v>2</v>
      </c>
      <c r="H16" s="86" t="n">
        <v>0</v>
      </c>
      <c r="I16" s="86" t="n">
        <v>5</v>
      </c>
      <c r="J16" s="86" t="n">
        <v>4</v>
      </c>
      <c r="K16" s="86" t="n">
        <v>6</v>
      </c>
      <c r="L16" s="86" t="n">
        <v>5</v>
      </c>
      <c r="M16" s="86" t="n">
        <v>6</v>
      </c>
      <c r="N16" s="86" t="n">
        <v>8</v>
      </c>
      <c r="O16" s="86" t="n">
        <v>8</v>
      </c>
      <c r="P16" s="86" t="n">
        <v>10</v>
      </c>
      <c r="Q16" s="86" t="n">
        <v>10</v>
      </c>
      <c r="R16" s="88" t="n">
        <v>67</v>
      </c>
    </row>
    <row r="17" customFormat="false" ht="14.25" hidden="false" customHeight="true" outlineLevel="0" collapsed="false">
      <c r="A17" s="9" t="s">
        <v>1429</v>
      </c>
      <c r="B17" s="86" t="n">
        <v>0</v>
      </c>
      <c r="C17" s="86" t="n">
        <v>0</v>
      </c>
      <c r="D17" s="86" t="n">
        <v>0</v>
      </c>
      <c r="E17" s="87" t="n">
        <v>0</v>
      </c>
      <c r="F17" s="86" t="n">
        <v>0</v>
      </c>
      <c r="G17" s="86" t="n">
        <v>0</v>
      </c>
      <c r="H17" s="86" t="n">
        <v>0</v>
      </c>
      <c r="I17" s="86" t="n">
        <v>0</v>
      </c>
      <c r="J17" s="86" t="n">
        <v>0</v>
      </c>
      <c r="K17" s="86" t="n">
        <v>0</v>
      </c>
      <c r="L17" s="86" t="n">
        <v>0</v>
      </c>
      <c r="M17" s="86" t="n">
        <v>0</v>
      </c>
      <c r="N17" s="86" t="n">
        <v>0</v>
      </c>
      <c r="O17" s="86" t="n">
        <v>0</v>
      </c>
      <c r="P17" s="86" t="n">
        <v>0</v>
      </c>
      <c r="Q17" s="86" t="n">
        <v>0</v>
      </c>
      <c r="R17" s="88" t="n">
        <v>0</v>
      </c>
    </row>
    <row r="18" customFormat="false" ht="14.25" hidden="false" customHeight="true" outlineLevel="0" collapsed="false">
      <c r="A18" s="92" t="s">
        <v>1430</v>
      </c>
      <c r="B18" s="93" t="n">
        <f aca="false">B16+B17</f>
        <v>0</v>
      </c>
      <c r="C18" s="93" t="n">
        <f aca="false">C16+C17</f>
        <v>2</v>
      </c>
      <c r="D18" s="93" t="n">
        <f aca="false">D16+D17</f>
        <v>2</v>
      </c>
      <c r="E18" s="94" t="n">
        <f aca="false">E16+E17</f>
        <v>0</v>
      </c>
      <c r="F18" s="93" t="n">
        <f aca="false">F16+F17</f>
        <v>3</v>
      </c>
      <c r="G18" s="93" t="n">
        <f aca="false">G16+G17</f>
        <v>2</v>
      </c>
      <c r="H18" s="93" t="n">
        <f aca="false">H16+H17</f>
        <v>0</v>
      </c>
      <c r="I18" s="93" t="n">
        <f aca="false">I16+I17</f>
        <v>5</v>
      </c>
      <c r="J18" s="93" t="n">
        <f aca="false">J16+J17</f>
        <v>4</v>
      </c>
      <c r="K18" s="93" t="n">
        <f aca="false">K16+K17</f>
        <v>6</v>
      </c>
      <c r="L18" s="93" t="n">
        <f aca="false">L16+L17</f>
        <v>5</v>
      </c>
      <c r="M18" s="93" t="n">
        <f aca="false">M16+M17</f>
        <v>6</v>
      </c>
      <c r="N18" s="93" t="n">
        <f aca="false">N16+N17</f>
        <v>8</v>
      </c>
      <c r="O18" s="93" t="n">
        <f aca="false">O16+O17</f>
        <v>8</v>
      </c>
      <c r="P18" s="93" t="n">
        <f aca="false">P16+P17</f>
        <v>10</v>
      </c>
      <c r="Q18" s="93" t="n">
        <f aca="false">Q16+Q17</f>
        <v>10</v>
      </c>
      <c r="R18" s="95" t="n">
        <f aca="false">R16+R17</f>
        <v>67</v>
      </c>
    </row>
    <row r="19" customFormat="false" ht="14.25" hidden="false" customHeight="true" outlineLevel="0" collapsed="false">
      <c r="A19" s="9" t="s">
        <v>1431</v>
      </c>
      <c r="B19" s="86" t="n">
        <v>0</v>
      </c>
      <c r="C19" s="86" t="n">
        <v>9</v>
      </c>
      <c r="D19" s="86" t="n">
        <v>9</v>
      </c>
      <c r="E19" s="87" t="n">
        <v>0</v>
      </c>
      <c r="F19" s="86" t="n">
        <v>20</v>
      </c>
      <c r="G19" s="86" t="n">
        <v>8</v>
      </c>
      <c r="H19" s="86" t="n">
        <v>0</v>
      </c>
      <c r="I19" s="86" t="n">
        <v>22</v>
      </c>
      <c r="J19" s="86" t="n">
        <v>14</v>
      </c>
      <c r="K19" s="86" t="n">
        <v>20</v>
      </c>
      <c r="L19" s="86" t="n">
        <v>18</v>
      </c>
      <c r="M19" s="86" t="n">
        <v>22</v>
      </c>
      <c r="N19" s="86" t="n">
        <v>28</v>
      </c>
      <c r="O19" s="86" t="n">
        <v>28</v>
      </c>
      <c r="P19" s="86" t="n">
        <v>34</v>
      </c>
      <c r="Q19" s="86" t="n">
        <v>36</v>
      </c>
      <c r="R19" s="88" t="n">
        <v>250</v>
      </c>
    </row>
    <row r="20" customFormat="false" ht="14.25" hidden="false" customHeight="true" outlineLevel="0" collapsed="false">
      <c r="A20" s="9" t="s">
        <v>1432</v>
      </c>
      <c r="B20" s="86" t="n">
        <v>0</v>
      </c>
      <c r="C20" s="86" t="n">
        <v>35</v>
      </c>
      <c r="D20" s="86" t="n">
        <v>32</v>
      </c>
      <c r="E20" s="87" t="n">
        <v>0</v>
      </c>
      <c r="F20" s="86" t="n">
        <v>60</v>
      </c>
      <c r="G20" s="86" t="n">
        <v>24</v>
      </c>
      <c r="H20" s="86" t="n">
        <v>0</v>
      </c>
      <c r="I20" s="86" t="n">
        <v>86</v>
      </c>
      <c r="J20" s="86" t="n">
        <v>61</v>
      </c>
      <c r="K20" s="86" t="n">
        <v>98</v>
      </c>
      <c r="L20" s="86" t="n">
        <v>73</v>
      </c>
      <c r="M20" s="86" t="n">
        <v>85</v>
      </c>
      <c r="N20" s="86" t="n">
        <v>122</v>
      </c>
      <c r="O20" s="86" t="n">
        <v>122</v>
      </c>
      <c r="P20" s="86" t="n">
        <v>159</v>
      </c>
      <c r="Q20" s="86" t="n">
        <v>146</v>
      </c>
      <c r="R20" s="88" t="n">
        <v>1036</v>
      </c>
    </row>
    <row r="21" customFormat="false" ht="14.25" hidden="false" customHeight="true" outlineLevel="0" collapsed="false">
      <c r="A21" s="9" t="s">
        <v>1433</v>
      </c>
      <c r="B21" s="86" t="n">
        <v>0</v>
      </c>
      <c r="C21" s="86" t="n">
        <v>0</v>
      </c>
      <c r="D21" s="86" t="n">
        <v>0</v>
      </c>
      <c r="E21" s="87" t="n">
        <v>0</v>
      </c>
      <c r="F21" s="86" t="n">
        <v>0</v>
      </c>
      <c r="G21" s="86" t="n">
        <v>0</v>
      </c>
      <c r="H21" s="86" t="n">
        <v>0</v>
      </c>
      <c r="I21" s="86" t="n">
        <v>0</v>
      </c>
      <c r="J21" s="86" t="n">
        <v>0</v>
      </c>
      <c r="K21" s="86" t="n">
        <v>0</v>
      </c>
      <c r="L21" s="86" t="n">
        <v>0</v>
      </c>
      <c r="M21" s="86" t="n">
        <v>0</v>
      </c>
      <c r="N21" s="86" t="n">
        <v>0</v>
      </c>
      <c r="O21" s="86" t="n">
        <v>0</v>
      </c>
      <c r="P21" s="86" t="n">
        <v>0</v>
      </c>
      <c r="Q21" s="86" t="n">
        <v>0</v>
      </c>
      <c r="R21" s="88" t="n">
        <v>0</v>
      </c>
    </row>
    <row r="22" customFormat="false" ht="14.25" hidden="false" customHeight="true" outlineLevel="0" collapsed="false">
      <c r="A22" s="9"/>
      <c r="E22" s="100"/>
      <c r="R22" s="101"/>
    </row>
    <row r="23" customFormat="false" ht="14.25" hidden="false" customHeight="true" outlineLevel="0" collapsed="false">
      <c r="A23" s="105" t="s">
        <v>1434</v>
      </c>
      <c r="B23" s="106"/>
      <c r="C23" s="106"/>
      <c r="D23" s="106"/>
      <c r="E23" s="107"/>
      <c r="F23" s="106"/>
      <c r="G23" s="106"/>
      <c r="H23" s="106"/>
      <c r="I23" s="106"/>
      <c r="J23" s="106"/>
      <c r="K23" s="106"/>
      <c r="L23" s="106"/>
      <c r="M23" s="106"/>
      <c r="N23" s="106"/>
      <c r="O23" s="106"/>
      <c r="P23" s="106"/>
      <c r="Q23" s="106"/>
      <c r="R23" s="106"/>
    </row>
    <row r="24" customFormat="false" ht="14.25" hidden="false" customHeight="true" outlineLevel="0" collapsed="false">
      <c r="A24" s="9" t="s">
        <v>1435</v>
      </c>
      <c r="B24" s="86" t="n">
        <v>9</v>
      </c>
      <c r="C24" s="86" t="n">
        <v>0</v>
      </c>
      <c r="D24" s="86" t="n">
        <v>20</v>
      </c>
      <c r="E24" s="87" t="n">
        <v>8</v>
      </c>
      <c r="F24" s="86" t="n">
        <v>0</v>
      </c>
      <c r="G24" s="86" t="n">
        <v>22</v>
      </c>
      <c r="H24" s="86" t="n">
        <v>14</v>
      </c>
      <c r="I24" s="86" t="n">
        <v>20</v>
      </c>
      <c r="J24" s="86" t="n">
        <v>18</v>
      </c>
      <c r="K24" s="86" t="n">
        <v>22</v>
      </c>
      <c r="L24" s="86" t="n">
        <v>28</v>
      </c>
      <c r="M24" s="86" t="n">
        <v>28</v>
      </c>
      <c r="N24" s="86" t="n">
        <v>34</v>
      </c>
      <c r="O24" s="86" t="n">
        <v>36</v>
      </c>
      <c r="P24" s="86" t="n">
        <v>42</v>
      </c>
      <c r="Q24" s="86" t="n">
        <v>48</v>
      </c>
      <c r="R24" s="88" t="n">
        <v>312</v>
      </c>
    </row>
    <row r="25" customFormat="false" ht="14.25" hidden="false" customHeight="true" outlineLevel="0" collapsed="false">
      <c r="A25" s="9" t="s">
        <v>1436</v>
      </c>
      <c r="B25" s="86" t="n">
        <v>32</v>
      </c>
      <c r="C25" s="86" t="n">
        <v>0</v>
      </c>
      <c r="D25" s="86" t="n">
        <v>60</v>
      </c>
      <c r="E25" s="87" t="n">
        <v>24</v>
      </c>
      <c r="F25" s="86" t="n">
        <v>0</v>
      </c>
      <c r="G25" s="86" t="n">
        <v>86</v>
      </c>
      <c r="H25" s="86" t="n">
        <v>61</v>
      </c>
      <c r="I25" s="86" t="n">
        <v>98</v>
      </c>
      <c r="J25" s="86" t="n">
        <v>73</v>
      </c>
      <c r="K25" s="86" t="n">
        <v>85</v>
      </c>
      <c r="L25" s="86" t="n">
        <v>122</v>
      </c>
      <c r="M25" s="86" t="n">
        <v>122</v>
      </c>
      <c r="N25" s="86" t="n">
        <v>159</v>
      </c>
      <c r="O25" s="86" t="n">
        <v>146</v>
      </c>
      <c r="P25" s="86" t="n">
        <v>183</v>
      </c>
      <c r="Q25" s="86" t="n">
        <v>220</v>
      </c>
      <c r="R25" s="88" t="n">
        <v>1355</v>
      </c>
    </row>
    <row r="26" customFormat="false" ht="14.25" hidden="false" customHeight="true" outlineLevel="0" collapsed="false">
      <c r="A26" s="9" t="s">
        <v>1437</v>
      </c>
      <c r="B26" s="86" t="n">
        <v>0</v>
      </c>
      <c r="C26" s="86" t="n">
        <v>0</v>
      </c>
      <c r="D26" s="86" t="n">
        <v>0</v>
      </c>
      <c r="E26" s="87" t="n">
        <v>0</v>
      </c>
      <c r="F26" s="86" t="n">
        <v>0</v>
      </c>
      <c r="G26" s="86" t="n">
        <v>0</v>
      </c>
      <c r="H26" s="86" t="n">
        <v>0</v>
      </c>
      <c r="I26" s="86" t="n">
        <v>0</v>
      </c>
      <c r="J26" s="86" t="n">
        <v>0</v>
      </c>
      <c r="K26" s="86" t="n">
        <v>0</v>
      </c>
      <c r="L26" s="86" t="n">
        <v>0</v>
      </c>
      <c r="M26" s="86" t="n">
        <v>0</v>
      </c>
      <c r="N26" s="86" t="n">
        <v>0</v>
      </c>
      <c r="O26" s="86" t="n">
        <v>0</v>
      </c>
      <c r="P26" s="86" t="n">
        <v>0</v>
      </c>
      <c r="Q26" s="86" t="n">
        <v>0</v>
      </c>
      <c r="R26" s="88" t="n">
        <v>0</v>
      </c>
    </row>
    <row r="27" customFormat="false" ht="14.25" hidden="false" customHeight="true" outlineLevel="0" collapsed="false">
      <c r="A27" s="108" t="s">
        <v>1438</v>
      </c>
      <c r="B27" s="109" t="n">
        <f aca="false">B24/(DAY(B$4)/7)</f>
        <v>2.1</v>
      </c>
      <c r="C27" s="109" t="n">
        <f aca="false">C24/(DAY(C$4)/7)</f>
        <v>0</v>
      </c>
      <c r="D27" s="109" t="n">
        <f aca="false">D24/(DAY(D$4)/7)</f>
        <v>4.66666666666667</v>
      </c>
      <c r="E27" s="110" t="n">
        <f aca="false">E24/(DAY(E$4)/7)</f>
        <v>1.80645161290323</v>
      </c>
      <c r="F27" s="109" t="n">
        <f aca="false">F24/(DAY(F$4)/7)</f>
        <v>0</v>
      </c>
      <c r="G27" s="109" t="n">
        <f aca="false">G24/(DAY(G$4)/7)</f>
        <v>5.5</v>
      </c>
      <c r="H27" s="109" t="n">
        <f aca="false">H24/(DAY(H$4)/7)</f>
        <v>3.16129032258065</v>
      </c>
      <c r="I27" s="109" t="n">
        <f aca="false">I24/(DAY(I$4)/7)</f>
        <v>4.66666666666667</v>
      </c>
      <c r="J27" s="109" t="n">
        <f aca="false">J24/(DAY(J$4)/7)</f>
        <v>4.06451612903226</v>
      </c>
      <c r="K27" s="109" t="n">
        <f aca="false">K24/(DAY(K$4)/7)</f>
        <v>5.13333333333333</v>
      </c>
      <c r="L27" s="109" t="n">
        <f aca="false">L24/(DAY(L$4)/7)</f>
        <v>6.32258064516129</v>
      </c>
      <c r="M27" s="109" t="n">
        <f aca="false">M24/(DAY(M$4)/7)</f>
        <v>6.32258064516129</v>
      </c>
      <c r="N27" s="109" t="n">
        <f aca="false">N24/(DAY(N$4)/7)</f>
        <v>7.93333333333333</v>
      </c>
      <c r="O27" s="109" t="n">
        <f aca="false">O24/(DAY(O$4)/7)</f>
        <v>8.12903225806452</v>
      </c>
      <c r="P27" s="109" t="n">
        <f aca="false">P24/(DAY(P$4)/7)</f>
        <v>9.8</v>
      </c>
      <c r="Q27" s="109" t="n">
        <f aca="false">Q24/(DAY(Q$4)/7)</f>
        <v>10.8387096774194</v>
      </c>
      <c r="R27" s="111" t="n">
        <f aca="false" t="array" ref="R27:R27">R24/(SUMPRODUCT(DAY($F$4:$Q$4))/7)</f>
        <v>5.98356164383562</v>
      </c>
    </row>
    <row r="28" customFormat="false" ht="14.25" hidden="false" customHeight="true" outlineLevel="0" collapsed="false">
      <c r="A28" s="108" t="s">
        <v>1439</v>
      </c>
      <c r="B28" s="109" t="n">
        <f aca="false">B25/(DAY(B$4)/7)</f>
        <v>7.46666666666667</v>
      </c>
      <c r="C28" s="109" t="n">
        <f aca="false">C25/(DAY(C$4)/7)</f>
        <v>0</v>
      </c>
      <c r="D28" s="109" t="n">
        <f aca="false">D25/(DAY(D$4)/7)</f>
        <v>14</v>
      </c>
      <c r="E28" s="110" t="n">
        <f aca="false">E25/(DAY(E$4)/7)</f>
        <v>5.41935483870968</v>
      </c>
      <c r="F28" s="109" t="n">
        <f aca="false">F25/(DAY(F$4)/7)</f>
        <v>0</v>
      </c>
      <c r="G28" s="109" t="n">
        <f aca="false">G25/(DAY(G$4)/7)</f>
        <v>21.5</v>
      </c>
      <c r="H28" s="109" t="n">
        <f aca="false">H25/(DAY(H$4)/7)</f>
        <v>13.7741935483871</v>
      </c>
      <c r="I28" s="109" t="n">
        <f aca="false">I25/(DAY(I$4)/7)</f>
        <v>22.8666666666667</v>
      </c>
      <c r="J28" s="109" t="n">
        <f aca="false">J25/(DAY(J$4)/7)</f>
        <v>16.4838709677419</v>
      </c>
      <c r="K28" s="109" t="n">
        <f aca="false">K25/(DAY(K$4)/7)</f>
        <v>19.8333333333333</v>
      </c>
      <c r="L28" s="109" t="n">
        <f aca="false">L25/(DAY(L$4)/7)</f>
        <v>27.5483870967742</v>
      </c>
      <c r="M28" s="109" t="n">
        <f aca="false">M25/(DAY(M$4)/7)</f>
        <v>27.5483870967742</v>
      </c>
      <c r="N28" s="109" t="n">
        <f aca="false">N25/(DAY(N$4)/7)</f>
        <v>37.1</v>
      </c>
      <c r="O28" s="109" t="n">
        <f aca="false">O25/(DAY(O$4)/7)</f>
        <v>32.9677419354839</v>
      </c>
      <c r="P28" s="109" t="n">
        <f aca="false">P25/(DAY(P$4)/7)</f>
        <v>42.7</v>
      </c>
      <c r="Q28" s="109" t="n">
        <f aca="false">Q25/(DAY(Q$4)/7)</f>
        <v>49.6774193548387</v>
      </c>
      <c r="R28" s="111" t="n">
        <f aca="false" t="array" ref="R28:R28">R25/(SUMPRODUCT(DAY($F$4:$Q$4))/7)</f>
        <v>25.986301369863</v>
      </c>
    </row>
    <row r="29" customFormat="false" ht="14.25" hidden="false" customHeight="true" outlineLevel="0" collapsed="false">
      <c r="A29" s="112" t="s">
        <v>358</v>
      </c>
      <c r="B29" s="113" t="n">
        <v>878237.5</v>
      </c>
      <c r="C29" s="113" t="n">
        <v>0</v>
      </c>
      <c r="D29" s="113" t="n">
        <v>1862750</v>
      </c>
      <c r="E29" s="114" t="n">
        <v>745100</v>
      </c>
      <c r="F29" s="113" t="n">
        <v>0</v>
      </c>
      <c r="G29" s="113" t="n">
        <v>2209025</v>
      </c>
      <c r="H29" s="113" t="n">
        <v>1455925</v>
      </c>
      <c r="I29" s="113" t="n">
        <v>2166750</v>
      </c>
      <c r="J29" s="113" t="n">
        <v>1828475</v>
      </c>
      <c r="K29" s="113" t="n">
        <v>2201025</v>
      </c>
      <c r="L29" s="113" t="n">
        <v>2911850</v>
      </c>
      <c r="M29" s="113" t="n">
        <v>2911850</v>
      </c>
      <c r="N29" s="113" t="n">
        <v>3622675</v>
      </c>
      <c r="O29" s="113" t="n">
        <v>3656950</v>
      </c>
      <c r="P29" s="113" t="n">
        <v>4367775</v>
      </c>
      <c r="Q29" s="113" t="n">
        <v>5078600</v>
      </c>
      <c r="R29" s="115" t="n">
        <v>32410900</v>
      </c>
    </row>
    <row r="30" customFormat="false" ht="14.25" hidden="false" customHeight="true" outlineLevel="1" collapsed="false">
      <c r="A30" s="9" t="s">
        <v>361</v>
      </c>
      <c r="B30" s="89" t="n">
        <v>0</v>
      </c>
      <c r="C30" s="89" t="n">
        <v>10000</v>
      </c>
      <c r="D30" s="89" t="n">
        <v>10000</v>
      </c>
      <c r="E30" s="90" t="n">
        <v>0</v>
      </c>
      <c r="F30" s="89" t="n">
        <v>15000</v>
      </c>
      <c r="G30" s="89" t="n">
        <v>10000</v>
      </c>
      <c r="H30" s="89" t="n">
        <v>0</v>
      </c>
      <c r="I30" s="89" t="n">
        <v>25000</v>
      </c>
      <c r="J30" s="89" t="n">
        <v>20000</v>
      </c>
      <c r="K30" s="89" t="n">
        <v>30000</v>
      </c>
      <c r="L30" s="89" t="n">
        <v>25000</v>
      </c>
      <c r="M30" s="89" t="n">
        <v>30000</v>
      </c>
      <c r="N30" s="89" t="n">
        <v>40000</v>
      </c>
      <c r="O30" s="89" t="n">
        <v>40000</v>
      </c>
      <c r="P30" s="89" t="n">
        <v>50000</v>
      </c>
      <c r="Q30" s="89" t="n">
        <v>50000</v>
      </c>
      <c r="R30" s="91" t="n">
        <v>335000</v>
      </c>
    </row>
    <row r="31" customFormat="false" ht="14.25" hidden="false" customHeight="true" outlineLevel="0" collapsed="false">
      <c r="A31" s="9"/>
      <c r="E31" s="100"/>
      <c r="R31" s="101"/>
    </row>
    <row r="32" customFormat="false" ht="14.25" hidden="false" customHeight="true" outlineLevel="1" collapsed="false">
      <c r="A32" s="116" t="s">
        <v>1440</v>
      </c>
      <c r="B32" s="117"/>
      <c r="C32" s="117"/>
      <c r="D32" s="117"/>
      <c r="E32" s="118"/>
      <c r="F32" s="117"/>
      <c r="G32" s="117"/>
      <c r="H32" s="117"/>
      <c r="I32" s="117"/>
      <c r="J32" s="117"/>
      <c r="K32" s="117"/>
      <c r="L32" s="117"/>
      <c r="M32" s="117"/>
      <c r="N32" s="117"/>
      <c r="O32" s="117"/>
      <c r="P32" s="117"/>
      <c r="Q32" s="117"/>
      <c r="R32" s="117"/>
    </row>
    <row r="33" customFormat="false" ht="14.25" hidden="false" customHeight="true" outlineLevel="1" collapsed="false">
      <c r="A33" s="108" t="s">
        <v>1441</v>
      </c>
      <c r="B33" s="119" t="n">
        <v>0</v>
      </c>
      <c r="C33" s="119" t="n">
        <v>0</v>
      </c>
      <c r="D33" s="119" t="n">
        <v>0</v>
      </c>
      <c r="E33" s="120" t="n">
        <v>0</v>
      </c>
      <c r="F33" s="119" t="n">
        <v>0</v>
      </c>
      <c r="G33" s="119" t="n">
        <v>0</v>
      </c>
      <c r="H33" s="119" t="n">
        <v>0</v>
      </c>
      <c r="I33" s="119" t="n">
        <v>0</v>
      </c>
      <c r="J33" s="119" t="n">
        <v>0</v>
      </c>
      <c r="K33" s="119" t="n">
        <v>0</v>
      </c>
      <c r="L33" s="119" t="n">
        <v>0</v>
      </c>
      <c r="M33" s="119" t="n">
        <v>0</v>
      </c>
      <c r="N33" s="119" t="n">
        <v>0</v>
      </c>
      <c r="O33" s="119" t="n">
        <v>0</v>
      </c>
      <c r="P33" s="119" t="n">
        <v>42</v>
      </c>
      <c r="Q33" s="119" t="n">
        <v>48</v>
      </c>
      <c r="R33" s="121" t="n">
        <f aca="false">SUM(F33:Q33)</f>
        <v>90</v>
      </c>
    </row>
    <row r="34" customFormat="false" ht="14.25" hidden="false" customHeight="true" outlineLevel="1" collapsed="false">
      <c r="A34" s="108" t="s">
        <v>1442</v>
      </c>
      <c r="B34" s="119" t="n">
        <v>0</v>
      </c>
      <c r="C34" s="119" t="n">
        <v>0</v>
      </c>
      <c r="D34" s="119" t="n">
        <v>0</v>
      </c>
      <c r="E34" s="120" t="n">
        <v>0</v>
      </c>
      <c r="F34" s="119" t="n">
        <v>0</v>
      </c>
      <c r="G34" s="119" t="n">
        <v>0</v>
      </c>
      <c r="H34" s="119" t="n">
        <v>0</v>
      </c>
      <c r="I34" s="119" t="n">
        <v>0</v>
      </c>
      <c r="J34" s="119" t="n">
        <v>0</v>
      </c>
      <c r="K34" s="119" t="n">
        <v>0</v>
      </c>
      <c r="L34" s="119" t="n">
        <v>0</v>
      </c>
      <c r="M34" s="119" t="n">
        <v>0</v>
      </c>
      <c r="N34" s="119" t="n">
        <v>0</v>
      </c>
      <c r="O34" s="119" t="n">
        <v>0</v>
      </c>
      <c r="P34" s="119" t="n">
        <v>183</v>
      </c>
      <c r="Q34" s="119" t="n">
        <v>220</v>
      </c>
      <c r="R34" s="121" t="n">
        <f aca="false">SUM(F34:Q34)</f>
        <v>403</v>
      </c>
    </row>
    <row r="35" customFormat="false" ht="14.25" hidden="false" customHeight="true" outlineLevel="1" collapsed="false">
      <c r="A35" s="108" t="s">
        <v>364</v>
      </c>
      <c r="B35" s="122" t="n">
        <v>0</v>
      </c>
      <c r="C35" s="122" t="n">
        <v>0</v>
      </c>
      <c r="D35" s="122" t="n">
        <v>0</v>
      </c>
      <c r="E35" s="123" t="n">
        <v>0</v>
      </c>
      <c r="F35" s="122" t="n">
        <v>0</v>
      </c>
      <c r="G35" s="122" t="n">
        <v>0</v>
      </c>
      <c r="H35" s="122" t="n">
        <v>0</v>
      </c>
      <c r="I35" s="122" t="n">
        <v>0</v>
      </c>
      <c r="J35" s="122" t="n">
        <v>0</v>
      </c>
      <c r="K35" s="122" t="n">
        <v>0</v>
      </c>
      <c r="L35" s="122" t="n">
        <v>0</v>
      </c>
      <c r="M35" s="122" t="n">
        <v>0</v>
      </c>
      <c r="N35" s="122" t="n">
        <v>0</v>
      </c>
      <c r="O35" s="122" t="n">
        <v>0</v>
      </c>
      <c r="P35" s="122" t="n">
        <v>4367775</v>
      </c>
      <c r="Q35" s="122" t="n">
        <v>5078600</v>
      </c>
      <c r="R35" s="124" t="n">
        <v>9446375</v>
      </c>
    </row>
    <row r="36" customFormat="false" ht="14.25" hidden="false" customHeight="true" outlineLevel="1" collapsed="false">
      <c r="A36" s="9"/>
      <c r="E36" s="100"/>
      <c r="R36" s="101"/>
    </row>
    <row r="37" customFormat="false" ht="14.25" hidden="false" customHeight="true" outlineLevel="0" collapsed="false">
      <c r="A37" s="125" t="s">
        <v>1443</v>
      </c>
      <c r="B37" s="126"/>
      <c r="C37" s="126"/>
      <c r="D37" s="126"/>
      <c r="E37" s="127"/>
      <c r="F37" s="126"/>
      <c r="G37" s="126"/>
      <c r="H37" s="126"/>
      <c r="I37" s="126"/>
      <c r="J37" s="126"/>
      <c r="K37" s="126"/>
      <c r="L37" s="126"/>
      <c r="M37" s="126"/>
      <c r="N37" s="126"/>
      <c r="O37" s="126"/>
      <c r="P37" s="126"/>
      <c r="Q37" s="126"/>
      <c r="R37" s="126"/>
    </row>
    <row r="38" customFormat="false" ht="14.25" hidden="false" customHeight="true" outlineLevel="0" collapsed="false">
      <c r="A38" s="9" t="s">
        <v>367</v>
      </c>
      <c r="B38" s="89" t="n">
        <v>7941700</v>
      </c>
      <c r="C38" s="89" t="n">
        <v>7941700</v>
      </c>
      <c r="D38" s="89" t="n">
        <v>9573700</v>
      </c>
      <c r="E38" s="90" t="n">
        <v>10205700</v>
      </c>
      <c r="F38" s="89" t="n">
        <v>11238747.5</v>
      </c>
      <c r="G38" s="89" t="n">
        <v>12271795</v>
      </c>
      <c r="H38" s="89" t="n">
        <v>13620842.5</v>
      </c>
      <c r="I38" s="89" t="n">
        <v>14969890</v>
      </c>
      <c r="J38" s="89" t="n">
        <v>16701297.5</v>
      </c>
      <c r="K38" s="89" t="n">
        <v>18815065</v>
      </c>
      <c r="L38" s="89" t="n">
        <v>21017312.5</v>
      </c>
      <c r="M38" s="89" t="n">
        <v>23574744</v>
      </c>
      <c r="N38" s="89" t="n">
        <v>26509479.5</v>
      </c>
      <c r="O38" s="89" t="n">
        <v>29827207</v>
      </c>
      <c r="P38" s="89" t="n">
        <v>33527926.5</v>
      </c>
      <c r="Q38" s="89" t="n">
        <v>37617326</v>
      </c>
      <c r="R38" s="91" t="n">
        <v>37617326</v>
      </c>
    </row>
    <row r="39" customFormat="false" ht="14.25" hidden="false" customHeight="true" outlineLevel="0" collapsed="false">
      <c r="A39" s="9" t="s">
        <v>370</v>
      </c>
      <c r="B39" s="89"/>
      <c r="C39" s="89"/>
      <c r="D39" s="89"/>
      <c r="E39" s="90"/>
      <c r="F39" s="89"/>
      <c r="G39" s="89"/>
      <c r="H39" s="89"/>
      <c r="I39" s="89"/>
      <c r="J39" s="89"/>
      <c r="K39" s="89"/>
      <c r="L39" s="89"/>
      <c r="M39" s="89"/>
      <c r="N39" s="89"/>
      <c r="O39" s="89"/>
      <c r="P39" s="89"/>
      <c r="Q39" s="89"/>
      <c r="R39" s="91"/>
    </row>
    <row r="40" customFormat="false" ht="14.25" hidden="false" customHeight="true" outlineLevel="1" collapsed="false">
      <c r="A40" s="9" t="s">
        <v>373</v>
      </c>
      <c r="B40" s="89" t="n">
        <v>570291.5</v>
      </c>
      <c r="C40" s="89" t="n">
        <v>632828</v>
      </c>
      <c r="D40" s="89" t="n">
        <v>662103</v>
      </c>
      <c r="E40" s="90" t="n">
        <v>662103</v>
      </c>
      <c r="F40" s="89" t="n">
        <v>783428.416666667</v>
      </c>
      <c r="G40" s="89" t="n">
        <v>821920.5</v>
      </c>
      <c r="H40" s="89" t="n">
        <v>807745.916666667</v>
      </c>
      <c r="I40" s="89" t="n">
        <v>907121.875</v>
      </c>
      <c r="J40" s="89" t="n">
        <v>997375.833333334</v>
      </c>
      <c r="K40" s="89" t="n">
        <v>1116046.45833333</v>
      </c>
      <c r="L40" s="89" t="n">
        <v>1231592.08333333</v>
      </c>
      <c r="M40" s="89" t="n">
        <v>1379626.04166667</v>
      </c>
      <c r="N40" s="89" t="n">
        <v>1561856.66666667</v>
      </c>
      <c r="O40" s="89" t="n">
        <v>1751627.29166667</v>
      </c>
      <c r="P40" s="89" t="n">
        <v>1975163.25</v>
      </c>
      <c r="Q40" s="89" t="n">
        <v>2230141.20833333</v>
      </c>
      <c r="R40" s="91" t="n">
        <v>15563645.5416667</v>
      </c>
    </row>
    <row r="41" customFormat="false" ht="14.25" hidden="true" customHeight="true" outlineLevel="1" collapsed="false">
      <c r="A41" s="9" t="s">
        <v>376</v>
      </c>
      <c r="B41" s="89" t="n">
        <v>421637</v>
      </c>
      <c r="C41" s="89" t="n">
        <v>753940.5</v>
      </c>
      <c r="D41" s="89" t="n">
        <v>1076240.5</v>
      </c>
      <c r="E41" s="90" t="n">
        <v>274101.5</v>
      </c>
      <c r="F41" s="89" t="n">
        <v>1898996.5</v>
      </c>
      <c r="G41" s="89" t="n">
        <v>1108006.5</v>
      </c>
      <c r="H41" s="89" t="n">
        <v>713306.5</v>
      </c>
      <c r="I41" s="89" t="n">
        <v>1810671</v>
      </c>
      <c r="J41" s="89" t="n">
        <v>1916271</v>
      </c>
      <c r="K41" s="89" t="n">
        <v>2148309</v>
      </c>
      <c r="L41" s="89" t="n">
        <v>1857761</v>
      </c>
      <c r="M41" s="89" t="n">
        <v>2534631</v>
      </c>
      <c r="N41" s="89" t="n">
        <v>2595313</v>
      </c>
      <c r="O41" s="89" t="n">
        <v>3040310</v>
      </c>
      <c r="P41" s="89" t="n">
        <v>3767794</v>
      </c>
      <c r="Q41" s="89" t="n">
        <v>3342959</v>
      </c>
      <c r="R41" s="91" t="n">
        <v>26734328.5</v>
      </c>
    </row>
    <row r="42" customFormat="false" ht="14.25" hidden="true" customHeight="true" outlineLevel="1" collapsed="false">
      <c r="A42" s="9" t="s">
        <v>379</v>
      </c>
      <c r="B42" s="89" t="n">
        <v>1877250.66666667</v>
      </c>
      <c r="C42" s="89" t="n">
        <v>1998363.16666667</v>
      </c>
      <c r="D42" s="89" t="n">
        <v>2412500.66666667</v>
      </c>
      <c r="E42" s="90" t="n">
        <v>2024499.16666667</v>
      </c>
      <c r="F42" s="89" t="n">
        <v>3140067.25</v>
      </c>
      <c r="G42" s="89" t="n">
        <v>3426153.25</v>
      </c>
      <c r="H42" s="89" t="n">
        <v>3331713.83333333</v>
      </c>
      <c r="I42" s="89" t="n">
        <v>4235262.95833333</v>
      </c>
      <c r="J42" s="89" t="n">
        <v>5154158.125</v>
      </c>
      <c r="K42" s="89" t="n">
        <v>6186420.66666667</v>
      </c>
      <c r="L42" s="89" t="n">
        <v>6812589.58333333</v>
      </c>
      <c r="M42" s="89" t="n">
        <v>7967594.54166667</v>
      </c>
      <c r="N42" s="89" t="n">
        <v>9001050.875</v>
      </c>
      <c r="O42" s="89" t="n">
        <v>10289733.5833333</v>
      </c>
      <c r="P42" s="89" t="n">
        <v>12082364.3333333</v>
      </c>
      <c r="Q42" s="89" t="n">
        <v>13195182.125</v>
      </c>
      <c r="R42" s="91" t="n">
        <v>13195182.125</v>
      </c>
    </row>
    <row r="43" customFormat="false" ht="14.25" hidden="false" customHeight="true" outlineLevel="0" collapsed="false">
      <c r="A43" s="9"/>
    </row>
    <row r="44" customFormat="false" ht="13.5" hidden="false" customHeight="true" outlineLevel="0" collapsed="false">
      <c r="A44" s="125" t="s">
        <v>1444</v>
      </c>
      <c r="B44" s="126"/>
      <c r="C44" s="126"/>
      <c r="D44" s="126"/>
      <c r="E44" s="126"/>
      <c r="F44" s="126"/>
      <c r="G44" s="126"/>
      <c r="H44" s="126"/>
      <c r="I44" s="126"/>
      <c r="J44" s="126"/>
      <c r="K44" s="126"/>
      <c r="L44" s="126"/>
      <c r="M44" s="126"/>
      <c r="N44" s="126"/>
      <c r="O44" s="126"/>
      <c r="P44" s="126"/>
      <c r="Q44" s="126"/>
      <c r="R44" s="126"/>
    </row>
    <row r="45" customFormat="false" ht="13.5" hidden="false" customHeight="true" outlineLevel="0" collapsed="false">
      <c r="A45" s="128" t="s">
        <v>1230</v>
      </c>
      <c r="B45" s="128"/>
      <c r="C45" s="128"/>
      <c r="D45" s="128"/>
      <c r="E45" s="128"/>
      <c r="F45" s="128"/>
      <c r="G45" s="128"/>
      <c r="H45" s="128"/>
      <c r="I45" s="128"/>
      <c r="J45" s="128"/>
      <c r="K45" s="128"/>
      <c r="L45" s="128"/>
      <c r="M45" s="128"/>
      <c r="N45" s="128"/>
      <c r="O45" s="128"/>
      <c r="P45" s="128"/>
      <c r="Q45" s="128"/>
      <c r="R45" s="128"/>
    </row>
    <row r="46" customFormat="false" ht="13.5" hidden="false" customHeight="true" outlineLevel="0" collapsed="false">
      <c r="A46" s="128" t="s">
        <v>1233</v>
      </c>
      <c r="B46" s="128"/>
      <c r="C46" s="128"/>
      <c r="D46" s="128"/>
      <c r="E46" s="128"/>
      <c r="F46" s="128"/>
      <c r="G46" s="128"/>
      <c r="H46" s="128"/>
      <c r="I46" s="128"/>
      <c r="J46" s="128"/>
      <c r="K46" s="128"/>
      <c r="L46" s="128"/>
      <c r="M46" s="128"/>
      <c r="N46" s="128"/>
      <c r="O46" s="128"/>
      <c r="P46" s="128"/>
      <c r="Q46" s="128"/>
      <c r="R46" s="128"/>
    </row>
    <row r="47" customFormat="false" ht="13.5" hidden="false" customHeight="true" outlineLevel="0" collapsed="false">
      <c r="A47" s="128" t="s">
        <v>1236</v>
      </c>
      <c r="B47" s="128"/>
      <c r="C47" s="128"/>
      <c r="D47" s="128"/>
      <c r="E47" s="128"/>
      <c r="F47" s="128"/>
      <c r="G47" s="128"/>
      <c r="H47" s="128"/>
      <c r="I47" s="128"/>
      <c r="J47" s="128"/>
      <c r="K47" s="128"/>
      <c r="L47" s="128"/>
      <c r="M47" s="128"/>
      <c r="N47" s="128"/>
      <c r="O47" s="128"/>
      <c r="P47" s="128"/>
      <c r="Q47" s="128"/>
      <c r="R47" s="128"/>
    </row>
    <row r="48" customFormat="false" ht="13.5" hidden="false" customHeight="true" outlineLevel="0" collapsed="false">
      <c r="A48" s="128" t="s">
        <v>1239</v>
      </c>
      <c r="B48" s="128"/>
      <c r="C48" s="128"/>
      <c r="D48" s="128"/>
      <c r="E48" s="128"/>
      <c r="F48" s="128"/>
      <c r="G48" s="128"/>
      <c r="H48" s="128"/>
      <c r="I48" s="128"/>
      <c r="J48" s="128"/>
      <c r="K48" s="128"/>
      <c r="L48" s="128"/>
      <c r="M48" s="128"/>
      <c r="N48" s="128"/>
      <c r="O48" s="128"/>
      <c r="P48" s="128"/>
      <c r="Q48" s="128"/>
      <c r="R48" s="128"/>
    </row>
    <row r="49" customFormat="false" ht="14.25" hidden="false" customHeight="true" outlineLevel="0" collapsed="false">
      <c r="A49" s="128" t="s">
        <v>1242</v>
      </c>
      <c r="B49" s="128"/>
      <c r="C49" s="128"/>
      <c r="D49" s="128"/>
      <c r="E49" s="128"/>
      <c r="F49" s="128"/>
      <c r="G49" s="128"/>
      <c r="H49" s="128"/>
      <c r="I49" s="128"/>
      <c r="J49" s="128"/>
      <c r="K49" s="128"/>
      <c r="L49" s="128"/>
      <c r="M49" s="128"/>
      <c r="N49" s="128"/>
      <c r="O49" s="128"/>
      <c r="P49" s="128"/>
      <c r="Q49" s="128"/>
      <c r="R49" s="128"/>
    </row>
    <row r="50" customFormat="false" ht="14.25" hidden="false" customHeight="true" outlineLevel="0" collapsed="false">
      <c r="A50" s="128" t="s">
        <v>1445</v>
      </c>
      <c r="B50" s="128"/>
      <c r="C50" s="128"/>
      <c r="D50" s="128"/>
      <c r="E50" s="128"/>
      <c r="F50" s="128"/>
      <c r="G50" s="128"/>
      <c r="H50" s="128"/>
      <c r="I50" s="128"/>
      <c r="J50" s="128"/>
      <c r="K50" s="128"/>
      <c r="L50" s="128"/>
      <c r="M50" s="128"/>
      <c r="N50" s="128"/>
      <c r="O50" s="128"/>
      <c r="P50" s="128"/>
      <c r="Q50" s="128"/>
      <c r="R50" s="128"/>
    </row>
    <row r="51" customFormat="false" ht="14.25" hidden="false" customHeight="true" outlineLevel="0" collapsed="false"/>
    <row r="52" customFormat="false" ht="14.25" hidden="false" customHeight="true" outlineLevel="0" collapsed="false">
      <c r="A52" s="102" t="s">
        <v>1446</v>
      </c>
      <c r="B52" s="102"/>
      <c r="C52" s="102"/>
      <c r="D52" s="102"/>
      <c r="E52" s="102"/>
      <c r="F52" s="102"/>
      <c r="G52" s="102"/>
      <c r="H52" s="102"/>
      <c r="I52" s="102"/>
      <c r="J52" s="102"/>
      <c r="K52" s="102"/>
      <c r="L52" s="102"/>
      <c r="M52" s="102"/>
      <c r="N52" s="102"/>
      <c r="O52" s="102"/>
      <c r="P52" s="102"/>
      <c r="Q52" s="102"/>
      <c r="R52" s="102"/>
    </row>
    <row r="53" customFormat="false" ht="14.25" hidden="false" customHeight="true" outlineLevel="0" collapsed="false">
      <c r="A53" s="80" t="s">
        <v>1447</v>
      </c>
      <c r="B53" s="81" t="n">
        <v>46295</v>
      </c>
      <c r="C53" s="81" t="n">
        <v>46326</v>
      </c>
      <c r="D53" s="81" t="n">
        <v>46356</v>
      </c>
      <c r="E53" s="82" t="n">
        <v>46387</v>
      </c>
      <c r="F53" s="81" t="n">
        <v>46418</v>
      </c>
      <c r="G53" s="81" t="n">
        <v>46446</v>
      </c>
      <c r="H53" s="81" t="n">
        <v>46477</v>
      </c>
      <c r="I53" s="81" t="n">
        <v>46507</v>
      </c>
      <c r="J53" s="81" t="n">
        <v>46538</v>
      </c>
      <c r="K53" s="81" t="n">
        <v>46568</v>
      </c>
      <c r="L53" s="81" t="n">
        <v>46599</v>
      </c>
      <c r="M53" s="81" t="n">
        <v>46630</v>
      </c>
      <c r="N53" s="81" t="n">
        <v>46660</v>
      </c>
      <c r="O53" s="81" t="n">
        <v>46691</v>
      </c>
      <c r="P53" s="81" t="n">
        <v>46721</v>
      </c>
      <c r="Q53" s="81" t="n">
        <v>46752</v>
      </c>
      <c r="R53" s="80" t="s">
        <v>1421</v>
      </c>
    </row>
    <row r="54" customFormat="false" ht="14.25" hidden="false" customHeight="true" outlineLevel="0" collapsed="false">
      <c r="A54" s="52" t="s">
        <v>1448</v>
      </c>
      <c r="B54" s="129" t="n">
        <v>0</v>
      </c>
      <c r="C54" s="129" t="n">
        <v>0</v>
      </c>
      <c r="D54" s="129" t="n">
        <v>0</v>
      </c>
      <c r="E54" s="130" t="n">
        <v>0</v>
      </c>
      <c r="F54" s="129" t="n">
        <v>3</v>
      </c>
      <c r="G54" s="129" t="n">
        <v>2</v>
      </c>
      <c r="H54" s="129" t="n">
        <v>0</v>
      </c>
      <c r="I54" s="129" t="n">
        <v>3</v>
      </c>
      <c r="J54" s="129" t="n">
        <v>3</v>
      </c>
      <c r="K54" s="129" t="n">
        <v>4</v>
      </c>
      <c r="L54" s="129" t="n">
        <v>4</v>
      </c>
      <c r="M54" s="129" t="n">
        <v>5</v>
      </c>
      <c r="N54" s="129" t="n">
        <v>6</v>
      </c>
      <c r="O54" s="129" t="n">
        <v>6</v>
      </c>
      <c r="P54" s="129" t="n">
        <v>7</v>
      </c>
      <c r="Q54" s="129" t="n">
        <v>8</v>
      </c>
      <c r="R54" s="131" t="n">
        <v>51</v>
      </c>
    </row>
    <row r="55" customFormat="false" ht="14.25" hidden="false" customHeight="true" outlineLevel="0" collapsed="false">
      <c r="A55" s="9" t="s">
        <v>1449</v>
      </c>
      <c r="B55" s="86" t="n">
        <v>0</v>
      </c>
      <c r="C55" s="86" t="n">
        <v>0</v>
      </c>
      <c r="D55" s="86" t="n">
        <v>0</v>
      </c>
      <c r="E55" s="87" t="n">
        <v>0</v>
      </c>
      <c r="F55" s="86" t="n">
        <v>20</v>
      </c>
      <c r="G55" s="86" t="n">
        <v>8</v>
      </c>
      <c r="H55" s="86" t="n">
        <v>0</v>
      </c>
      <c r="I55" s="86" t="n">
        <v>12</v>
      </c>
      <c r="J55" s="86" t="n">
        <v>12</v>
      </c>
      <c r="K55" s="86" t="n">
        <v>16</v>
      </c>
      <c r="L55" s="86" t="n">
        <v>16</v>
      </c>
      <c r="M55" s="86" t="n">
        <v>20</v>
      </c>
      <c r="N55" s="86" t="n">
        <v>24</v>
      </c>
      <c r="O55" s="86" t="n">
        <v>24</v>
      </c>
      <c r="P55" s="86" t="n">
        <v>28</v>
      </c>
      <c r="Q55" s="86" t="n">
        <v>32</v>
      </c>
      <c r="R55" s="88" t="n">
        <v>212</v>
      </c>
    </row>
    <row r="56" customFormat="false" ht="14.25" hidden="false" customHeight="true" outlineLevel="0" collapsed="false">
      <c r="A56" s="9" t="s">
        <v>1450</v>
      </c>
      <c r="B56" s="86" t="n">
        <v>0</v>
      </c>
      <c r="C56" s="86" t="n">
        <v>0</v>
      </c>
      <c r="D56" s="86" t="n">
        <v>0</v>
      </c>
      <c r="E56" s="87" t="n">
        <v>0</v>
      </c>
      <c r="F56" s="86" t="n">
        <v>60</v>
      </c>
      <c r="G56" s="86" t="n">
        <v>24</v>
      </c>
      <c r="H56" s="86" t="n">
        <v>0</v>
      </c>
      <c r="I56" s="86" t="n">
        <v>36</v>
      </c>
      <c r="J56" s="86" t="n">
        <v>36</v>
      </c>
      <c r="K56" s="86" t="n">
        <v>48</v>
      </c>
      <c r="L56" s="86" t="n">
        <v>48</v>
      </c>
      <c r="M56" s="86" t="n">
        <v>60</v>
      </c>
      <c r="N56" s="86" t="n">
        <v>72</v>
      </c>
      <c r="O56" s="86" t="n">
        <v>72</v>
      </c>
      <c r="P56" s="86" t="n">
        <v>84</v>
      </c>
      <c r="Q56" s="86" t="n">
        <v>96</v>
      </c>
      <c r="R56" s="88" t="n">
        <v>636</v>
      </c>
    </row>
    <row r="57" customFormat="false" ht="14.25" hidden="false" customHeight="true" outlineLevel="0" collapsed="false">
      <c r="A57" s="52" t="s">
        <v>1451</v>
      </c>
      <c r="B57" s="129" t="n">
        <v>0</v>
      </c>
      <c r="C57" s="129" t="n">
        <v>0</v>
      </c>
      <c r="D57" s="129" t="n">
        <v>0</v>
      </c>
      <c r="E57" s="130" t="n">
        <v>0</v>
      </c>
      <c r="F57" s="129" t="n">
        <v>0</v>
      </c>
      <c r="G57" s="129" t="n">
        <v>0</v>
      </c>
      <c r="H57" s="129" t="n">
        <v>0</v>
      </c>
      <c r="I57" s="129" t="n">
        <v>1</v>
      </c>
      <c r="J57" s="129" t="n">
        <v>1</v>
      </c>
      <c r="K57" s="129" t="n">
        <v>2</v>
      </c>
      <c r="L57" s="129" t="n">
        <v>1</v>
      </c>
      <c r="M57" s="129" t="n">
        <v>1</v>
      </c>
      <c r="N57" s="129" t="n">
        <v>2</v>
      </c>
      <c r="O57" s="129" t="n">
        <v>2</v>
      </c>
      <c r="P57" s="129" t="n">
        <v>3</v>
      </c>
      <c r="Q57" s="129" t="n">
        <v>2</v>
      </c>
      <c r="R57" s="131" t="n">
        <v>15</v>
      </c>
    </row>
    <row r="58" customFormat="false" ht="14.25" hidden="false" customHeight="true" outlineLevel="0" collapsed="false">
      <c r="A58" s="9" t="s">
        <v>1449</v>
      </c>
      <c r="B58" s="86" t="n">
        <v>0</v>
      </c>
      <c r="C58" s="86" t="n">
        <v>0</v>
      </c>
      <c r="D58" s="86" t="n">
        <v>0</v>
      </c>
      <c r="E58" s="87" t="n">
        <v>0</v>
      </c>
      <c r="F58" s="86" t="n">
        <v>0</v>
      </c>
      <c r="G58" s="86" t="n">
        <v>0</v>
      </c>
      <c r="H58" s="86" t="n">
        <v>0</v>
      </c>
      <c r="I58" s="86" t="n">
        <v>2</v>
      </c>
      <c r="J58" s="86" t="n">
        <v>2</v>
      </c>
      <c r="K58" s="86" t="n">
        <v>4</v>
      </c>
      <c r="L58" s="86" t="n">
        <v>2</v>
      </c>
      <c r="M58" s="86" t="n">
        <v>2</v>
      </c>
      <c r="N58" s="86" t="n">
        <v>4</v>
      </c>
      <c r="O58" s="86" t="n">
        <v>4</v>
      </c>
      <c r="P58" s="86" t="n">
        <v>6</v>
      </c>
      <c r="Q58" s="86" t="n">
        <v>4</v>
      </c>
      <c r="R58" s="88" t="n">
        <v>30</v>
      </c>
    </row>
    <row r="59" customFormat="false" ht="14.25" hidden="false" customHeight="true" outlineLevel="0" collapsed="false">
      <c r="A59" s="9" t="s">
        <v>1450</v>
      </c>
      <c r="B59" s="86" t="n">
        <v>0</v>
      </c>
      <c r="C59" s="86" t="n">
        <v>0</v>
      </c>
      <c r="D59" s="86" t="n">
        <v>0</v>
      </c>
      <c r="E59" s="87" t="n">
        <v>0</v>
      </c>
      <c r="F59" s="86" t="n">
        <v>0</v>
      </c>
      <c r="G59" s="86" t="n">
        <v>0</v>
      </c>
      <c r="H59" s="86" t="n">
        <v>0</v>
      </c>
      <c r="I59" s="86" t="n">
        <v>25</v>
      </c>
      <c r="J59" s="86" t="n">
        <v>25</v>
      </c>
      <c r="K59" s="86" t="n">
        <v>50</v>
      </c>
      <c r="L59" s="86" t="n">
        <v>25</v>
      </c>
      <c r="M59" s="86" t="n">
        <v>25</v>
      </c>
      <c r="N59" s="86" t="n">
        <v>50</v>
      </c>
      <c r="O59" s="86" t="n">
        <v>50</v>
      </c>
      <c r="P59" s="86" t="n">
        <v>75</v>
      </c>
      <c r="Q59" s="86" t="n">
        <v>50</v>
      </c>
      <c r="R59" s="88" t="n">
        <v>375</v>
      </c>
    </row>
    <row r="60" customFormat="false" ht="14.25" hidden="false" customHeight="true" outlineLevel="0" collapsed="false">
      <c r="A60" s="52" t="s">
        <v>1452</v>
      </c>
      <c r="B60" s="129" t="n">
        <v>0</v>
      </c>
      <c r="C60" s="129" t="n">
        <v>2</v>
      </c>
      <c r="D60" s="129" t="n">
        <v>2</v>
      </c>
      <c r="E60" s="130" t="n">
        <v>0</v>
      </c>
      <c r="F60" s="129" t="n">
        <v>0</v>
      </c>
      <c r="G60" s="129" t="n">
        <v>0</v>
      </c>
      <c r="H60" s="129" t="n">
        <v>0</v>
      </c>
      <c r="I60" s="129" t="n">
        <v>1</v>
      </c>
      <c r="J60" s="129" t="n">
        <v>0</v>
      </c>
      <c r="K60" s="129" t="n">
        <v>0</v>
      </c>
      <c r="L60" s="129" t="n">
        <v>0</v>
      </c>
      <c r="M60" s="129" t="n">
        <v>0</v>
      </c>
      <c r="N60" s="129" t="n">
        <v>0</v>
      </c>
      <c r="O60" s="129" t="n">
        <v>0</v>
      </c>
      <c r="P60" s="129" t="n">
        <v>0</v>
      </c>
      <c r="Q60" s="129" t="n">
        <v>0</v>
      </c>
      <c r="R60" s="131" t="n">
        <v>1</v>
      </c>
    </row>
    <row r="61" customFormat="false" ht="14.25" hidden="false" customHeight="true" outlineLevel="0" collapsed="false">
      <c r="A61" s="9" t="s">
        <v>1449</v>
      </c>
      <c r="B61" s="86" t="n">
        <v>0</v>
      </c>
      <c r="C61" s="86" t="n">
        <v>9</v>
      </c>
      <c r="D61" s="86" t="n">
        <v>9</v>
      </c>
      <c r="E61" s="87" t="n">
        <v>0</v>
      </c>
      <c r="F61" s="86" t="n">
        <v>0</v>
      </c>
      <c r="G61" s="86" t="n">
        <v>0</v>
      </c>
      <c r="H61" s="86" t="n">
        <v>0</v>
      </c>
      <c r="I61" s="86" t="n">
        <v>8</v>
      </c>
      <c r="J61" s="86" t="n">
        <v>0</v>
      </c>
      <c r="K61" s="86" t="n">
        <v>0</v>
      </c>
      <c r="L61" s="86" t="n">
        <v>0</v>
      </c>
      <c r="M61" s="86" t="n">
        <v>0</v>
      </c>
      <c r="N61" s="86" t="n">
        <v>0</v>
      </c>
      <c r="O61" s="86" t="n">
        <v>0</v>
      </c>
      <c r="P61" s="86" t="n">
        <v>0</v>
      </c>
      <c r="Q61" s="86" t="n">
        <v>0</v>
      </c>
      <c r="R61" s="88" t="n">
        <v>8</v>
      </c>
    </row>
    <row r="62" customFormat="false" ht="14.25" hidden="false" customHeight="true" outlineLevel="0" collapsed="false">
      <c r="A62" s="9" t="s">
        <v>1450</v>
      </c>
      <c r="B62" s="86" t="n">
        <v>0</v>
      </c>
      <c r="C62" s="86" t="n">
        <v>35</v>
      </c>
      <c r="D62" s="86" t="n">
        <v>32</v>
      </c>
      <c r="E62" s="87" t="n">
        <v>0</v>
      </c>
      <c r="F62" s="86" t="n">
        <v>0</v>
      </c>
      <c r="G62" s="86" t="n">
        <v>0</v>
      </c>
      <c r="H62" s="86" t="n">
        <v>0</v>
      </c>
      <c r="I62" s="86" t="n">
        <v>25</v>
      </c>
      <c r="J62" s="86" t="n">
        <v>0</v>
      </c>
      <c r="K62" s="86" t="n">
        <v>0</v>
      </c>
      <c r="L62" s="86" t="n">
        <v>0</v>
      </c>
      <c r="M62" s="86" t="n">
        <v>0</v>
      </c>
      <c r="N62" s="86" t="n">
        <v>0</v>
      </c>
      <c r="O62" s="86" t="n">
        <v>0</v>
      </c>
      <c r="P62" s="86" t="n">
        <v>0</v>
      </c>
      <c r="Q62" s="86" t="n">
        <v>0</v>
      </c>
      <c r="R62" s="88" t="n">
        <v>25</v>
      </c>
    </row>
    <row r="63" customFormat="false" ht="14.25" hidden="false" customHeight="true" outlineLevel="0" collapsed="false">
      <c r="A63" s="9" t="s">
        <v>1453</v>
      </c>
      <c r="B63" s="86" t="n">
        <v>0</v>
      </c>
      <c r="C63" s="86" t="n">
        <v>0</v>
      </c>
      <c r="D63" s="86" t="n">
        <v>0</v>
      </c>
      <c r="E63" s="87" t="n">
        <v>0</v>
      </c>
      <c r="F63" s="86" t="n">
        <v>0</v>
      </c>
      <c r="G63" s="86" t="n">
        <v>0</v>
      </c>
      <c r="H63" s="86" t="n">
        <v>0</v>
      </c>
      <c r="I63" s="86" t="n">
        <v>0</v>
      </c>
      <c r="J63" s="86" t="n">
        <v>0</v>
      </c>
      <c r="K63" s="86" t="n">
        <v>0</v>
      </c>
      <c r="L63" s="86" t="n">
        <v>0</v>
      </c>
      <c r="M63" s="86" t="n">
        <v>0</v>
      </c>
      <c r="N63" s="86" t="n">
        <v>0</v>
      </c>
      <c r="O63" s="86" t="n">
        <v>0</v>
      </c>
      <c r="P63" s="86" t="n">
        <v>0</v>
      </c>
      <c r="Q63" s="86" t="n">
        <v>0</v>
      </c>
      <c r="R63" s="88" t="n">
        <v>0</v>
      </c>
    </row>
    <row r="64" customFormat="false" ht="14.25" hidden="false" customHeight="true" outlineLevel="0" collapsed="false">
      <c r="A64" s="96" t="s">
        <v>1430</v>
      </c>
      <c r="B64" s="132" t="n">
        <v>0</v>
      </c>
      <c r="C64" s="132" t="n">
        <v>2</v>
      </c>
      <c r="D64" s="132" t="n">
        <v>2</v>
      </c>
      <c r="E64" s="133" t="n">
        <v>0</v>
      </c>
      <c r="F64" s="132" t="n">
        <v>3</v>
      </c>
      <c r="G64" s="132" t="n">
        <v>2</v>
      </c>
      <c r="H64" s="132" t="n">
        <v>0</v>
      </c>
      <c r="I64" s="132" t="n">
        <v>5</v>
      </c>
      <c r="J64" s="132" t="n">
        <v>4</v>
      </c>
      <c r="K64" s="132" t="n">
        <v>6</v>
      </c>
      <c r="L64" s="132" t="n">
        <v>5</v>
      </c>
      <c r="M64" s="132" t="n">
        <v>6</v>
      </c>
      <c r="N64" s="132" t="n">
        <v>8</v>
      </c>
      <c r="O64" s="132" t="n">
        <v>8</v>
      </c>
      <c r="P64" s="132" t="n">
        <v>10</v>
      </c>
      <c r="Q64" s="132" t="n">
        <v>10</v>
      </c>
      <c r="R64" s="134" t="n">
        <v>67</v>
      </c>
    </row>
    <row r="65" customFormat="false" ht="14.25" hidden="false" customHeight="true" outlineLevel="0" collapsed="false">
      <c r="A65" s="108" t="s">
        <v>1454</v>
      </c>
      <c r="B65" s="135" t="n">
        <v>0</v>
      </c>
      <c r="C65" s="135" t="n">
        <v>0</v>
      </c>
      <c r="D65" s="135" t="n">
        <v>0</v>
      </c>
      <c r="E65" s="136" t="n">
        <v>0</v>
      </c>
      <c r="F65" s="135" t="n">
        <v>1</v>
      </c>
      <c r="G65" s="135" t="n">
        <v>1</v>
      </c>
      <c r="H65" s="135" t="n">
        <v>0</v>
      </c>
      <c r="I65" s="135" t="n">
        <v>0.6</v>
      </c>
      <c r="J65" s="135" t="n">
        <v>0.75</v>
      </c>
      <c r="K65" s="135" t="n">
        <v>0.666666666666667</v>
      </c>
      <c r="L65" s="135" t="n">
        <v>0.8</v>
      </c>
      <c r="M65" s="135" t="n">
        <v>0.833333333333333</v>
      </c>
      <c r="N65" s="135" t="n">
        <v>0.75</v>
      </c>
      <c r="O65" s="135" t="n">
        <v>0.75</v>
      </c>
      <c r="P65" s="135" t="n">
        <v>0.7</v>
      </c>
      <c r="Q65" s="135" t="n">
        <v>0.8</v>
      </c>
      <c r="R65" s="137" t="n">
        <v>0.761194029850746</v>
      </c>
    </row>
    <row r="66" customFormat="false" ht="14.25" hidden="false" customHeight="true" outlineLevel="0" collapsed="false">
      <c r="A66" s="108" t="s">
        <v>1455</v>
      </c>
      <c r="B66" s="135" t="n">
        <v>0</v>
      </c>
      <c r="C66" s="135" t="n">
        <v>0</v>
      </c>
      <c r="D66" s="135" t="n">
        <v>0</v>
      </c>
      <c r="E66" s="136" t="n">
        <v>0</v>
      </c>
      <c r="F66" s="135" t="n">
        <v>0</v>
      </c>
      <c r="G66" s="135" t="n">
        <v>0</v>
      </c>
      <c r="H66" s="135" t="n">
        <v>0</v>
      </c>
      <c r="I66" s="135" t="n">
        <v>0.2</v>
      </c>
      <c r="J66" s="135" t="n">
        <v>0.25</v>
      </c>
      <c r="K66" s="135" t="n">
        <v>0.333333333333333</v>
      </c>
      <c r="L66" s="135" t="n">
        <v>0.2</v>
      </c>
      <c r="M66" s="135" t="n">
        <v>0.166666666666667</v>
      </c>
      <c r="N66" s="135" t="n">
        <v>0.25</v>
      </c>
      <c r="O66" s="135" t="n">
        <v>0.25</v>
      </c>
      <c r="P66" s="135" t="n">
        <v>0.3</v>
      </c>
      <c r="Q66" s="135" t="n">
        <v>0.2</v>
      </c>
      <c r="R66" s="137" t="n">
        <v>0.223880597014925</v>
      </c>
    </row>
    <row r="67" customFormat="false" ht="14.25" hidden="false" customHeight="true" outlineLevel="0" collapsed="false">
      <c r="A67" s="79" t="s">
        <v>1456</v>
      </c>
    </row>
    <row r="68" customFormat="false" ht="14.25" hidden="false" customHeight="true" outlineLevel="0" collapsed="false"/>
    <row r="69" customFormat="false" ht="14.25" hidden="false" customHeight="true" outlineLevel="0" collapsed="false">
      <c r="A69" s="138" t="s">
        <v>1457</v>
      </c>
    </row>
    <row r="70" customFormat="false" ht="14.25" hidden="false" customHeight="true" outlineLevel="0" collapsed="false">
      <c r="A70" s="6" t="s">
        <v>1458</v>
      </c>
      <c r="B70" s="139" t="n">
        <f aca="false">B16+B17-(B54+B57+B60)</f>
        <v>0</v>
      </c>
      <c r="C70" s="139" t="n">
        <f aca="false">C16+C17-(C54+C57+C60)</f>
        <v>0</v>
      </c>
      <c r="D70" s="139" t="n">
        <f aca="false">D16+D17-(D54+D57+D60)</f>
        <v>0</v>
      </c>
      <c r="E70" s="139" t="n">
        <f aca="false">E16+E17-(E54+E57+E60)</f>
        <v>0</v>
      </c>
      <c r="F70" s="139" t="n">
        <f aca="false">F16+F17-(F54+F57+F60)</f>
        <v>0</v>
      </c>
      <c r="G70" s="139" t="n">
        <f aca="false">G16+G17-(G54+G57+G60)</f>
        <v>0</v>
      </c>
      <c r="H70" s="139" t="n">
        <f aca="false">H16+H17-(H54+H57+H60)</f>
        <v>0</v>
      </c>
      <c r="I70" s="139" t="n">
        <f aca="false">I16+I17-(I54+I57+I60)</f>
        <v>0</v>
      </c>
      <c r="J70" s="139" t="n">
        <f aca="false">J16+J17-(J54+J57+J60)</f>
        <v>0</v>
      </c>
      <c r="K70" s="139" t="n">
        <f aca="false">K16+K17-(K54+K57+K60)</f>
        <v>0</v>
      </c>
      <c r="L70" s="139" t="n">
        <f aca="false">L16+L17-(L54+L57+L60)</f>
        <v>0</v>
      </c>
      <c r="M70" s="139" t="n">
        <f aca="false">M16+M17-(M54+M57+M60)</f>
        <v>0</v>
      </c>
      <c r="N70" s="139" t="n">
        <f aca="false">N16+N17-(N54+N57+N60)</f>
        <v>0</v>
      </c>
      <c r="O70" s="139" t="n">
        <f aca="false">O16+O17-(O54+O57+O60)</f>
        <v>0</v>
      </c>
      <c r="P70" s="139" t="n">
        <f aca="false">P16+P17-(P54+P57+P60)</f>
        <v>0</v>
      </c>
      <c r="Q70" s="139" t="n">
        <f aca="false">Q16+Q17-(Q54+Q57+Q60)</f>
        <v>0</v>
      </c>
      <c r="R70" s="139" t="n">
        <f aca="false">R16+R17-(R54+R57+R60)</f>
        <v>0</v>
      </c>
    </row>
    <row r="71" customFormat="false" ht="14.25" hidden="false" customHeight="true" outlineLevel="0" collapsed="false">
      <c r="A71" s="6" t="s">
        <v>1459</v>
      </c>
      <c r="B71" s="139" t="n">
        <f aca="false">B18-B64</f>
        <v>0</v>
      </c>
      <c r="C71" s="139" t="n">
        <f aca="false">C18-C64</f>
        <v>0</v>
      </c>
      <c r="D71" s="139" t="n">
        <f aca="false">D18-D64</f>
        <v>0</v>
      </c>
      <c r="E71" s="139" t="n">
        <f aca="false">E18-E64</f>
        <v>0</v>
      </c>
      <c r="F71" s="139" t="n">
        <f aca="false">F18-F64</f>
        <v>0</v>
      </c>
      <c r="G71" s="139" t="n">
        <f aca="false">G18-G64</f>
        <v>0</v>
      </c>
      <c r="H71" s="139" t="n">
        <f aca="false">H18-H64</f>
        <v>0</v>
      </c>
      <c r="I71" s="139" t="n">
        <f aca="false">I18-I64</f>
        <v>0</v>
      </c>
      <c r="J71" s="139" t="n">
        <f aca="false">J18-J64</f>
        <v>0</v>
      </c>
      <c r="K71" s="139" t="n">
        <f aca="false">K18-K64</f>
        <v>0</v>
      </c>
      <c r="L71" s="139" t="n">
        <f aca="false">L18-L64</f>
        <v>0</v>
      </c>
      <c r="M71" s="139" t="n">
        <f aca="false">M18-M64</f>
        <v>0</v>
      </c>
      <c r="N71" s="139" t="n">
        <f aca="false">N18-N64</f>
        <v>0</v>
      </c>
      <c r="O71" s="139" t="n">
        <f aca="false">O18-O64</f>
        <v>0</v>
      </c>
      <c r="P71" s="139" t="n">
        <f aca="false">P18-P64</f>
        <v>0</v>
      </c>
      <c r="Q71" s="139" t="n">
        <f aca="false">Q18-Q64</f>
        <v>0</v>
      </c>
      <c r="R71" s="139" t="n">
        <f aca="false">R18-R64</f>
        <v>0</v>
      </c>
    </row>
    <row r="72" customFormat="false" ht="14.25" hidden="false" customHeight="true" outlineLevel="0" collapsed="false">
      <c r="A72" s="6" t="s">
        <v>1460</v>
      </c>
      <c r="B72" s="139" t="n">
        <f aca="false">B19-(B55+B58+B61)</f>
        <v>0</v>
      </c>
      <c r="C72" s="139" t="n">
        <f aca="false">C19-(C55+C58+C61)</f>
        <v>0</v>
      </c>
      <c r="D72" s="139" t="n">
        <f aca="false">D19-(D55+D58+D61)</f>
        <v>0</v>
      </c>
      <c r="E72" s="139" t="n">
        <f aca="false">E19-(E55+E58+E61)</f>
        <v>0</v>
      </c>
      <c r="F72" s="139" t="n">
        <f aca="false">F19-(F55+F58+F61)</f>
        <v>0</v>
      </c>
      <c r="G72" s="139" t="n">
        <f aca="false">G19-(G55+G58+G61)</f>
        <v>0</v>
      </c>
      <c r="H72" s="139" t="n">
        <f aca="false">H19-(H55+H58+H61)</f>
        <v>0</v>
      </c>
      <c r="I72" s="139" t="n">
        <f aca="false">I19-(I55+I58+I61)</f>
        <v>0</v>
      </c>
      <c r="J72" s="139" t="n">
        <f aca="false">J19-(J55+J58+J61)</f>
        <v>0</v>
      </c>
      <c r="K72" s="139" t="n">
        <f aca="false">K19-(K55+K58+K61)</f>
        <v>0</v>
      </c>
      <c r="L72" s="139" t="n">
        <f aca="false">L19-(L55+L58+L61)</f>
        <v>0</v>
      </c>
      <c r="M72" s="139" t="n">
        <f aca="false">M19-(M55+M58+M61)</f>
        <v>0</v>
      </c>
      <c r="N72" s="139" t="n">
        <f aca="false">N19-(N55+N58+N61)</f>
        <v>0</v>
      </c>
      <c r="O72" s="139" t="n">
        <f aca="false">O19-(O55+O58+O61)</f>
        <v>0</v>
      </c>
      <c r="P72" s="139" t="n">
        <f aca="false">P19-(P55+P58+P61)</f>
        <v>0</v>
      </c>
      <c r="Q72" s="139" t="n">
        <f aca="false">Q19-(Q55+Q58+Q61)</f>
        <v>0</v>
      </c>
      <c r="R72" s="139" t="n">
        <f aca="false">R19-(R55+R58+R61)</f>
        <v>0</v>
      </c>
    </row>
    <row r="73" customFormat="false" ht="14.25" hidden="false" customHeight="true" outlineLevel="0" collapsed="false">
      <c r="A73" s="6" t="s">
        <v>1461</v>
      </c>
      <c r="B73" s="139" t="n">
        <f aca="false">B20-(B56+B59+B62)</f>
        <v>0</v>
      </c>
      <c r="C73" s="139" t="n">
        <f aca="false">C20-(C56+C59+C62)</f>
        <v>0</v>
      </c>
      <c r="D73" s="139" t="n">
        <f aca="false">D20-(D56+D59+D62)</f>
        <v>0</v>
      </c>
      <c r="E73" s="139" t="n">
        <f aca="false">E20-(E56+E59+E62)</f>
        <v>0</v>
      </c>
      <c r="F73" s="139" t="n">
        <f aca="false">F20-(F56+F59+F62)</f>
        <v>0</v>
      </c>
      <c r="G73" s="139" t="n">
        <f aca="false">G20-(G56+G59+G62)</f>
        <v>0</v>
      </c>
      <c r="H73" s="139" t="n">
        <f aca="false">H20-(H56+H59+H62)</f>
        <v>0</v>
      </c>
      <c r="I73" s="139" t="n">
        <f aca="false">I20-(I56+I59+I62)</f>
        <v>0</v>
      </c>
      <c r="J73" s="139" t="n">
        <f aca="false">J20-(J56+J59+J62)</f>
        <v>0</v>
      </c>
      <c r="K73" s="139" t="n">
        <f aca="false">K20-(K56+K59+K62)</f>
        <v>0</v>
      </c>
      <c r="L73" s="139" t="n">
        <f aca="false">L20-(L56+L59+L62)</f>
        <v>0</v>
      </c>
      <c r="M73" s="139" t="n">
        <f aca="false">M20-(M56+M59+M62)</f>
        <v>0</v>
      </c>
      <c r="N73" s="139" t="n">
        <f aca="false">N20-(N56+N59+N62)</f>
        <v>0</v>
      </c>
      <c r="O73" s="139" t="n">
        <f aca="false">O20-(O56+O59+O62)</f>
        <v>0</v>
      </c>
      <c r="P73" s="139" t="n">
        <f aca="false">P20-(P56+P59+P62)</f>
        <v>0</v>
      </c>
      <c r="Q73" s="139" t="n">
        <f aca="false">Q20-(Q56+Q59+Q62)</f>
        <v>0</v>
      </c>
      <c r="R73" s="139" t="n">
        <f aca="false">R20-(R56+R59+R62)</f>
        <v>0</v>
      </c>
    </row>
    <row r="74" customFormat="false" ht="14.25" hidden="false" customHeight="true" outlineLevel="0" collapsed="false">
      <c r="A74" s="6" t="s">
        <v>1462</v>
      </c>
      <c r="B74" s="139" t="n">
        <f aca="false">B21-B63</f>
        <v>0</v>
      </c>
      <c r="C74" s="139" t="n">
        <f aca="false">C21-C63</f>
        <v>0</v>
      </c>
      <c r="D74" s="139" t="n">
        <f aca="false">D21-D63</f>
        <v>0</v>
      </c>
      <c r="E74" s="139" t="n">
        <f aca="false">E21-E63</f>
        <v>0</v>
      </c>
      <c r="F74" s="139" t="n">
        <f aca="false">F21-F63</f>
        <v>0</v>
      </c>
      <c r="G74" s="139" t="n">
        <f aca="false">G21-G63</f>
        <v>0</v>
      </c>
      <c r="H74" s="139" t="n">
        <f aca="false">H21-H63</f>
        <v>0</v>
      </c>
      <c r="I74" s="139" t="n">
        <f aca="false">I21-I63</f>
        <v>0</v>
      </c>
      <c r="J74" s="139" t="n">
        <f aca="false">J21-J63</f>
        <v>0</v>
      </c>
      <c r="K74" s="139" t="n">
        <f aca="false">K21-K63</f>
        <v>0</v>
      </c>
      <c r="L74" s="139" t="n">
        <f aca="false">L21-L63</f>
        <v>0</v>
      </c>
      <c r="M74" s="139" t="n">
        <f aca="false">M21-M63</f>
        <v>0</v>
      </c>
      <c r="N74" s="139" t="n">
        <f aca="false">N21-N63</f>
        <v>0</v>
      </c>
      <c r="O74" s="139" t="n">
        <f aca="false">O21-O63</f>
        <v>0</v>
      </c>
      <c r="P74" s="139" t="n">
        <f aca="false">P21-P63</f>
        <v>0</v>
      </c>
      <c r="Q74" s="139" t="n">
        <f aca="false">Q21-Q63</f>
        <v>0</v>
      </c>
      <c r="R74" s="139" t="n">
        <f aca="false">R21-R63</f>
        <v>0</v>
      </c>
    </row>
    <row r="75" customFormat="false" ht="14.25" hidden="false" customHeight="true" outlineLevel="0" collapsed="false">
      <c r="A75" s="6" t="s">
        <v>1463</v>
      </c>
      <c r="B75" s="139" t="n">
        <f aca="false">B17</f>
        <v>0</v>
      </c>
      <c r="C75" s="139" t="n">
        <f aca="false">C17</f>
        <v>0</v>
      </c>
      <c r="D75" s="139" t="n">
        <f aca="false">D17</f>
        <v>0</v>
      </c>
      <c r="E75" s="139" t="n">
        <f aca="false">E17</f>
        <v>0</v>
      </c>
      <c r="F75" s="139" t="n">
        <f aca="false">F17</f>
        <v>0</v>
      </c>
      <c r="G75" s="139" t="n">
        <f aca="false">G17</f>
        <v>0</v>
      </c>
      <c r="H75" s="139" t="n">
        <f aca="false">H17</f>
        <v>0</v>
      </c>
      <c r="I75" s="139" t="n">
        <f aca="false">I17</f>
        <v>0</v>
      </c>
      <c r="J75" s="139" t="n">
        <f aca="false">J17</f>
        <v>0</v>
      </c>
      <c r="K75" s="139" t="n">
        <f aca="false">K17</f>
        <v>0</v>
      </c>
      <c r="L75" s="139" t="n">
        <f aca="false">L17</f>
        <v>0</v>
      </c>
      <c r="M75" s="139" t="n">
        <f aca="false">M17</f>
        <v>0</v>
      </c>
      <c r="N75" s="139" t="n">
        <f aca="false">N17</f>
        <v>0</v>
      </c>
      <c r="O75" s="139" t="n">
        <f aca="false">O17</f>
        <v>0</v>
      </c>
      <c r="P75" s="139" t="n">
        <f aca="false">P17</f>
        <v>0</v>
      </c>
      <c r="Q75" s="139" t="n">
        <f aca="false">Q17</f>
        <v>0</v>
      </c>
      <c r="R75" s="139" t="n">
        <f aca="false">R17</f>
        <v>0</v>
      </c>
    </row>
    <row r="76" customFormat="false" ht="14.25" hidden="false" customHeight="true" outlineLevel="0" collapsed="false">
      <c r="A76" s="138" t="str">
        <f aca="false">IF(SUMPRODUCT(ABS(B70:R74))=0,"Tie-out rows 16-21 vs 54-64: OK","Tie-out rows 16-21 vs 54-64: CHECK")</f>
        <v>Tie-out rows 16-21 vs 54-64: OK</v>
      </c>
    </row>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mergeCells count="6">
    <mergeCell ref="A45:R45"/>
    <mergeCell ref="A46:R46"/>
    <mergeCell ref="A47:R47"/>
    <mergeCell ref="A48:R48"/>
    <mergeCell ref="A49:R49"/>
    <mergeCell ref="A50:R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18" min="6" style="0" width="13"/>
    <col collapsed="false" customWidth="true" hidden="false" outlineLevel="0" max="19" min="19" style="0" width="70"/>
  </cols>
  <sheetData>
    <row r="1" customFormat="false" ht="17.35" hidden="false" customHeight="false" outlineLevel="0" collapsed="false">
      <c r="A1" s="1" t="s">
        <v>1464</v>
      </c>
    </row>
    <row r="2" customFormat="false" ht="15" hidden="false" customHeight="false" outlineLevel="0" collapsed="false">
      <c r="A2" s="0" t="s">
        <v>1465</v>
      </c>
    </row>
    <row r="4" customFormat="false" ht="15" hidden="false" customHeight="false" outlineLevel="0" collapsed="false">
      <c r="A4" s="2" t="s">
        <v>1466</v>
      </c>
    </row>
    <row r="5" customFormat="false" ht="15" hidden="false" customHeight="false" outlineLevel="0" collapsed="false">
      <c r="A5" s="3" t="s">
        <v>1467</v>
      </c>
      <c r="B5" s="3" t="s">
        <v>1468</v>
      </c>
      <c r="C5" s="3" t="s">
        <v>1469</v>
      </c>
      <c r="D5" s="3" t="s">
        <v>1470</v>
      </c>
    </row>
    <row r="6" customFormat="false" ht="15" hidden="false" customHeight="false" outlineLevel="0" collapsed="false">
      <c r="A6" s="0" t="s">
        <v>1471</v>
      </c>
      <c r="B6" s="140" t="n">
        <v>65000</v>
      </c>
      <c r="C6" s="0" t="s">
        <v>1472</v>
      </c>
      <c r="D6" s="0" t="s">
        <v>1473</v>
      </c>
    </row>
    <row r="7" customFormat="false" ht="15" hidden="false" customHeight="false" outlineLevel="0" collapsed="false">
      <c r="A7" s="0" t="s">
        <v>1474</v>
      </c>
      <c r="B7" s="140" t="n">
        <f aca="false">(DeploySum!R29-DeploySum!R25*B8)/DeploySum!R24-B6</f>
        <v>4137.5</v>
      </c>
      <c r="C7" s="0" t="s">
        <v>1472</v>
      </c>
      <c r="D7" s="0" t="s">
        <v>1475</v>
      </c>
    </row>
    <row r="8" customFormat="false" ht="15" hidden="false" customHeight="false" outlineLevel="0" collapsed="false">
      <c r="A8" s="0" t="s">
        <v>1476</v>
      </c>
      <c r="B8" s="140" t="n">
        <v>8000</v>
      </c>
      <c r="C8" s="0" t="s">
        <v>1472</v>
      </c>
      <c r="D8" s="0" t="s">
        <v>1477</v>
      </c>
    </row>
    <row r="9" customFormat="false" ht="15" hidden="false" customHeight="false" outlineLevel="0" collapsed="false">
      <c r="A9" s="0" t="s">
        <v>1478</v>
      </c>
      <c r="B9" s="141" t="n">
        <v>84</v>
      </c>
      <c r="C9" s="0" t="s">
        <v>1479</v>
      </c>
      <c r="D9" s="0" t="s">
        <v>1480</v>
      </c>
    </row>
    <row r="10" customFormat="false" ht="15" hidden="false" customHeight="false" outlineLevel="0" collapsed="false">
      <c r="A10" s="0" t="s">
        <v>1481</v>
      </c>
      <c r="B10" s="141" t="n">
        <v>120</v>
      </c>
      <c r="C10" s="0" t="s">
        <v>1479</v>
      </c>
      <c r="D10" s="0" t="s">
        <v>1482</v>
      </c>
    </row>
    <row r="11" customFormat="false" ht="15" hidden="false" customHeight="false" outlineLevel="0" collapsed="false">
      <c r="A11" s="0" t="s">
        <v>1483</v>
      </c>
      <c r="B11" s="141" t="n">
        <f aca="false">B9</f>
        <v>84</v>
      </c>
      <c r="C11" s="0" t="s">
        <v>1479</v>
      </c>
      <c r="D11" s="0" t="s">
        <v>1484</v>
      </c>
    </row>
    <row r="12" customFormat="false" ht="15" hidden="false" customHeight="false" outlineLevel="0" collapsed="false">
      <c r="A12" s="0" t="s">
        <v>1485</v>
      </c>
      <c r="B12" s="142" t="n">
        <v>0</v>
      </c>
      <c r="C12" s="0" t="s">
        <v>1486</v>
      </c>
      <c r="D12" s="0" t="s">
        <v>1487</v>
      </c>
    </row>
    <row r="13" customFormat="false" ht="15" hidden="false" customHeight="false" outlineLevel="0" collapsed="false">
      <c r="A13" s="0" t="s">
        <v>1488</v>
      </c>
      <c r="B13" s="141" t="n">
        <v>0</v>
      </c>
      <c r="C13" s="0" t="s">
        <v>1479</v>
      </c>
      <c r="D13" s="0" t="s">
        <v>1489</v>
      </c>
    </row>
    <row r="14" customFormat="false" ht="15" hidden="false" customHeight="false" outlineLevel="0" collapsed="false">
      <c r="A14" s="0" t="s">
        <v>1490</v>
      </c>
      <c r="B14" s="141" t="n">
        <v>5011</v>
      </c>
      <c r="C14" s="0" t="s">
        <v>1491</v>
      </c>
      <c r="D14" s="0" t="s">
        <v>1492</v>
      </c>
    </row>
    <row r="15" customFormat="false" ht="15" hidden="false" customHeight="false" outlineLevel="0" collapsed="false">
      <c r="A15" s="0" t="s">
        <v>1493</v>
      </c>
      <c r="B15" s="141" t="n">
        <v>5012</v>
      </c>
      <c r="C15" s="0" t="s">
        <v>1491</v>
      </c>
      <c r="D15" s="0" t="s">
        <v>1494</v>
      </c>
    </row>
    <row r="16" customFormat="false" ht="15" hidden="false" customHeight="false" outlineLevel="0" collapsed="false">
      <c r="A16" s="0" t="s">
        <v>1495</v>
      </c>
      <c r="B16" s="141" t="n">
        <v>5020</v>
      </c>
      <c r="C16" s="0" t="s">
        <v>1491</v>
      </c>
      <c r="D16" s="0" t="s">
        <v>1496</v>
      </c>
    </row>
    <row r="17" customFormat="false" ht="15" hidden="false" customHeight="false" outlineLevel="0" collapsed="false">
      <c r="A17" s="0" t="s">
        <v>1497</v>
      </c>
      <c r="B17" s="143" t="s">
        <v>1498</v>
      </c>
      <c r="C17" s="0" t="s">
        <v>1499</v>
      </c>
      <c r="D17" s="0" t="s">
        <v>1500</v>
      </c>
    </row>
    <row r="19" customFormat="false" ht="15" hidden="false" customHeight="false" outlineLevel="0" collapsed="false">
      <c r="A19" s="2" t="s">
        <v>1501</v>
      </c>
    </row>
    <row r="20" customFormat="false" ht="15" hidden="false" customHeight="false" outlineLevel="0" collapsed="false">
      <c r="A20" s="3" t="s">
        <v>11</v>
      </c>
      <c r="B20" s="3" t="s">
        <v>1502</v>
      </c>
      <c r="C20" s="3" t="s">
        <v>1491</v>
      </c>
      <c r="D20" s="3" t="s">
        <v>1470</v>
      </c>
    </row>
    <row r="21" customFormat="false" ht="15" hidden="false" customHeight="false" outlineLevel="0" collapsed="false">
      <c r="A21" s="0" t="s">
        <v>1503</v>
      </c>
      <c r="B21" s="140" t="n">
        <f aca="false">PO!M19</f>
        <v>112797.85</v>
      </c>
      <c r="C21" s="0" t="n">
        <v>5010</v>
      </c>
      <c r="D21" s="0" t="s">
        <v>1504</v>
      </c>
    </row>
    <row r="22" customFormat="false" ht="15" hidden="false" customHeight="false" outlineLevel="0" collapsed="false">
      <c r="A22" s="0" t="s">
        <v>1505</v>
      </c>
      <c r="B22" s="140" t="n">
        <f aca="false">PO!M20</f>
        <v>20444.9</v>
      </c>
      <c r="C22" s="0" t="n">
        <v>5011</v>
      </c>
      <c r="D22" s="0" t="s">
        <v>1506</v>
      </c>
    </row>
    <row r="23" customFormat="false" ht="15" hidden="false" customHeight="false" outlineLevel="0" collapsed="false">
      <c r="A23" s="0" t="s">
        <v>1507</v>
      </c>
      <c r="B23" s="140" t="n">
        <f aca="false">PO!M21</f>
        <v>6502.64</v>
      </c>
      <c r="C23" s="0" t="n">
        <v>5012</v>
      </c>
      <c r="D23" s="0" t="s">
        <v>1508</v>
      </c>
    </row>
    <row r="24" customFormat="false" ht="15" hidden="false" customHeight="false" outlineLevel="0" collapsed="false">
      <c r="A24" s="0" t="s">
        <v>1509</v>
      </c>
      <c r="B24" s="140" t="n">
        <f aca="false">PO!M22</f>
        <v>19525.33</v>
      </c>
      <c r="C24" s="0" t="n">
        <v>5020</v>
      </c>
      <c r="D24" s="0" t="s">
        <v>1510</v>
      </c>
    </row>
    <row r="26" customFormat="false" ht="15" hidden="false" customHeight="false" outlineLevel="0" collapsed="false">
      <c r="A26" s="2" t="s">
        <v>1511</v>
      </c>
    </row>
    <row r="27" customFormat="false" ht="15" hidden="false" customHeight="false" outlineLevel="0" collapsed="false">
      <c r="A27" s="3" t="s">
        <v>11</v>
      </c>
      <c r="B27" s="3" t="s">
        <v>1491</v>
      </c>
      <c r="C27" s="3" t="s">
        <v>1512</v>
      </c>
      <c r="D27" s="3" t="s">
        <v>1513</v>
      </c>
      <c r="E27" s="3" t="s">
        <v>1514</v>
      </c>
      <c r="F27" s="144" t="n">
        <f aca="false">DeploySum!F4</f>
        <v>46418</v>
      </c>
      <c r="G27" s="144" t="n">
        <f aca="false">DeploySum!G4</f>
        <v>46446</v>
      </c>
      <c r="H27" s="144" t="n">
        <f aca="false">DeploySum!H4</f>
        <v>46477</v>
      </c>
      <c r="I27" s="144" t="n">
        <f aca="false">DeploySum!I4</f>
        <v>46507</v>
      </c>
      <c r="J27" s="144" t="n">
        <f aca="false">DeploySum!J4</f>
        <v>46538</v>
      </c>
      <c r="K27" s="144" t="n">
        <f aca="false">DeploySum!K4</f>
        <v>46568</v>
      </c>
      <c r="L27" s="144" t="n">
        <f aca="false">DeploySum!L4</f>
        <v>46599</v>
      </c>
      <c r="M27" s="144" t="n">
        <f aca="false">DeploySum!M4</f>
        <v>46630</v>
      </c>
      <c r="N27" s="144" t="n">
        <f aca="false">DeploySum!N4</f>
        <v>46660</v>
      </c>
      <c r="O27" s="144" t="n">
        <f aca="false">DeploySum!O4</f>
        <v>46691</v>
      </c>
      <c r="P27" s="144" t="n">
        <f aca="false">DeploySum!P4</f>
        <v>46721</v>
      </c>
      <c r="Q27" s="144" t="n">
        <f aca="false">DeploySum!Q4</f>
        <v>46752</v>
      </c>
      <c r="R27" s="3" t="s">
        <v>1421</v>
      </c>
      <c r="S27" s="3" t="s">
        <v>1515</v>
      </c>
    </row>
    <row r="28" customFormat="false" ht="15" hidden="false" customHeight="false" outlineLevel="0" collapsed="false">
      <c r="A28" s="0" t="s">
        <v>1516</v>
      </c>
      <c r="F28" s="0" t="n">
        <v>1</v>
      </c>
      <c r="G28" s="0" t="n">
        <v>2</v>
      </c>
      <c r="H28" s="0" t="n">
        <v>3</v>
      </c>
      <c r="I28" s="0" t="n">
        <v>4</v>
      </c>
      <c r="J28" s="0" t="n">
        <v>5</v>
      </c>
      <c r="K28" s="0" t="n">
        <v>6</v>
      </c>
      <c r="L28" s="0" t="n">
        <v>7</v>
      </c>
      <c r="M28" s="0" t="n">
        <v>8</v>
      </c>
      <c r="N28" s="0" t="n">
        <v>9</v>
      </c>
      <c r="O28" s="0" t="n">
        <v>10</v>
      </c>
      <c r="P28" s="0" t="n">
        <v>11</v>
      </c>
      <c r="Q28" s="0" t="n">
        <v>12</v>
      </c>
    </row>
    <row r="29" customFormat="false" ht="15" hidden="false" customHeight="false" outlineLevel="0" collapsed="false">
      <c r="A29" s="0" t="s">
        <v>1431</v>
      </c>
      <c r="F29" s="145" t="n">
        <f aca="false">DeploySum!F19</f>
        <v>20</v>
      </c>
      <c r="G29" s="145" t="n">
        <f aca="false">DeploySum!G19</f>
        <v>8</v>
      </c>
      <c r="H29" s="145" t="n">
        <f aca="false">DeploySum!H19</f>
        <v>0</v>
      </c>
      <c r="I29" s="145" t="n">
        <f aca="false">DeploySum!I19</f>
        <v>22</v>
      </c>
      <c r="J29" s="145" t="n">
        <f aca="false">DeploySum!J19</f>
        <v>14</v>
      </c>
      <c r="K29" s="145" t="n">
        <f aca="false">DeploySum!K19</f>
        <v>20</v>
      </c>
      <c r="L29" s="145" t="n">
        <f aca="false">DeploySum!L19</f>
        <v>18</v>
      </c>
      <c r="M29" s="145" t="n">
        <f aca="false">DeploySum!M19</f>
        <v>22</v>
      </c>
      <c r="N29" s="145" t="n">
        <f aca="false">DeploySum!N19</f>
        <v>28</v>
      </c>
      <c r="O29" s="145" t="n">
        <f aca="false">DeploySum!O19</f>
        <v>28</v>
      </c>
      <c r="P29" s="145" t="n">
        <f aca="false">DeploySum!P19</f>
        <v>34</v>
      </c>
      <c r="Q29" s="145" t="n">
        <f aca="false">DeploySum!Q19</f>
        <v>36</v>
      </c>
      <c r="R29" s="145" t="n">
        <f aca="false">SUM(F29:Q29)</f>
        <v>250</v>
      </c>
      <c r="S29" s="0" t="s">
        <v>1517</v>
      </c>
    </row>
    <row r="30" customFormat="false" ht="15" hidden="false" customHeight="false" outlineLevel="0" collapsed="false">
      <c r="A30" s="0" t="s">
        <v>1432</v>
      </c>
      <c r="F30" s="145" t="n">
        <f aca="false">DeploySum!F20</f>
        <v>60</v>
      </c>
      <c r="G30" s="145" t="n">
        <f aca="false">DeploySum!G20</f>
        <v>24</v>
      </c>
      <c r="H30" s="145" t="n">
        <f aca="false">DeploySum!H20</f>
        <v>0</v>
      </c>
      <c r="I30" s="145" t="n">
        <f aca="false">DeploySum!I20</f>
        <v>86</v>
      </c>
      <c r="J30" s="145" t="n">
        <f aca="false">DeploySum!J20</f>
        <v>61</v>
      </c>
      <c r="K30" s="145" t="n">
        <f aca="false">DeploySum!K20</f>
        <v>98</v>
      </c>
      <c r="L30" s="145" t="n">
        <f aca="false">DeploySum!L20</f>
        <v>73</v>
      </c>
      <c r="M30" s="145" t="n">
        <f aca="false">DeploySum!M20</f>
        <v>85</v>
      </c>
      <c r="N30" s="145" t="n">
        <f aca="false">DeploySum!N20</f>
        <v>122</v>
      </c>
      <c r="O30" s="145" t="n">
        <f aca="false">DeploySum!O20</f>
        <v>122</v>
      </c>
      <c r="P30" s="145" t="n">
        <f aca="false">DeploySum!P20</f>
        <v>159</v>
      </c>
      <c r="Q30" s="145" t="n">
        <f aca="false">DeploySum!Q20</f>
        <v>146</v>
      </c>
      <c r="R30" s="145" t="n">
        <f aca="false">SUM(F30:Q30)</f>
        <v>1036</v>
      </c>
      <c r="S30" s="0" t="s">
        <v>1518</v>
      </c>
    </row>
    <row r="32" customFormat="false" ht="15" hidden="false" customHeight="false" outlineLevel="0" collapsed="false">
      <c r="A32" s="146" t="s">
        <v>1519</v>
      </c>
    </row>
    <row r="33" customFormat="false" ht="15" hidden="false" customHeight="false" outlineLevel="0" collapsed="false">
      <c r="A33" s="0" t="s">
        <v>1503</v>
      </c>
      <c r="B33" s="0" t="n">
        <f aca="false">C21</f>
        <v>5010</v>
      </c>
      <c r="E33" s="147" t="n">
        <f aca="false">B21</f>
        <v>112797.85</v>
      </c>
      <c r="F33" s="147" t="n">
        <f aca="false">$E33</f>
        <v>112797.85</v>
      </c>
      <c r="G33" s="147" t="n">
        <f aca="false">$E33</f>
        <v>112797.85</v>
      </c>
      <c r="H33" s="147" t="n">
        <f aca="false">$E33</f>
        <v>112797.85</v>
      </c>
      <c r="I33" s="147" t="n">
        <f aca="false">$E33</f>
        <v>112797.85</v>
      </c>
      <c r="J33" s="147" t="n">
        <f aca="false">$E33</f>
        <v>112797.85</v>
      </c>
      <c r="K33" s="147" t="n">
        <f aca="false">$E33</f>
        <v>112797.85</v>
      </c>
      <c r="L33" s="147" t="n">
        <f aca="false">$E33</f>
        <v>112797.85</v>
      </c>
      <c r="M33" s="147" t="n">
        <f aca="false">$E33</f>
        <v>112797.85</v>
      </c>
      <c r="N33" s="147" t="n">
        <f aca="false">$E33</f>
        <v>112797.85</v>
      </c>
      <c r="O33" s="147" t="n">
        <f aca="false">$E33</f>
        <v>112797.85</v>
      </c>
      <c r="P33" s="147" t="n">
        <f aca="false">$E33</f>
        <v>112797.85</v>
      </c>
      <c r="Q33" s="147" t="n">
        <f aca="false">$E33</f>
        <v>112797.85</v>
      </c>
      <c r="R33" s="147" t="n">
        <f aca="false">SUM(F33:Q33)</f>
        <v>1353574.2</v>
      </c>
      <c r="S33" s="0" t="s">
        <v>1520</v>
      </c>
    </row>
    <row r="34" customFormat="false" ht="15" hidden="false" customHeight="false" outlineLevel="0" collapsed="false">
      <c r="A34" s="0" t="s">
        <v>1505</v>
      </c>
      <c r="B34" s="0" t="n">
        <f aca="false">C22</f>
        <v>5011</v>
      </c>
      <c r="E34" s="147" t="n">
        <f aca="false">B22</f>
        <v>20444.9</v>
      </c>
      <c r="F34" s="147" t="n">
        <f aca="false">$E34</f>
        <v>20444.9</v>
      </c>
      <c r="G34" s="147" t="n">
        <f aca="false">$E34</f>
        <v>20444.9</v>
      </c>
      <c r="H34" s="147" t="n">
        <f aca="false">$E34</f>
        <v>20444.9</v>
      </c>
      <c r="I34" s="147" t="n">
        <f aca="false">$E34</f>
        <v>20444.9</v>
      </c>
      <c r="J34" s="147" t="n">
        <f aca="false">$E34</f>
        <v>20444.9</v>
      </c>
      <c r="K34" s="147" t="n">
        <f aca="false">$E34</f>
        <v>20444.9</v>
      </c>
      <c r="L34" s="147" t="n">
        <f aca="false">$E34</f>
        <v>20444.9</v>
      </c>
      <c r="M34" s="147" t="n">
        <f aca="false">$E34</f>
        <v>20444.9</v>
      </c>
      <c r="N34" s="147" t="n">
        <f aca="false">$E34</f>
        <v>20444.9</v>
      </c>
      <c r="O34" s="147" t="n">
        <f aca="false">$E34</f>
        <v>20444.9</v>
      </c>
      <c r="P34" s="147" t="n">
        <f aca="false">$E34</f>
        <v>20444.9</v>
      </c>
      <c r="Q34" s="147" t="n">
        <f aca="false">$E34</f>
        <v>20444.9</v>
      </c>
      <c r="R34" s="147" t="n">
        <f aca="false">SUM(F34:Q34)</f>
        <v>245338.8</v>
      </c>
      <c r="S34" s="0" t="s">
        <v>1521</v>
      </c>
    </row>
    <row r="35" customFormat="false" ht="15" hidden="false" customHeight="false" outlineLevel="0" collapsed="false">
      <c r="A35" s="0" t="s">
        <v>1507</v>
      </c>
      <c r="B35" s="0" t="n">
        <f aca="false">C23</f>
        <v>5012</v>
      </c>
      <c r="E35" s="147" t="n">
        <f aca="false">B23</f>
        <v>6502.64</v>
      </c>
      <c r="F35" s="147" t="n">
        <f aca="false">$E35</f>
        <v>6502.64</v>
      </c>
      <c r="G35" s="147" t="n">
        <f aca="false">$E35</f>
        <v>6502.64</v>
      </c>
      <c r="H35" s="147" t="n">
        <f aca="false">$E35</f>
        <v>6502.64</v>
      </c>
      <c r="I35" s="147" t="n">
        <f aca="false">$E35</f>
        <v>6502.64</v>
      </c>
      <c r="J35" s="147" t="n">
        <f aca="false">$E35</f>
        <v>6502.64</v>
      </c>
      <c r="K35" s="147" t="n">
        <f aca="false">$E35</f>
        <v>6502.64</v>
      </c>
      <c r="L35" s="147" t="n">
        <f aca="false">$E35</f>
        <v>6502.64</v>
      </c>
      <c r="M35" s="147" t="n">
        <f aca="false">$E35</f>
        <v>6502.64</v>
      </c>
      <c r="N35" s="147" t="n">
        <f aca="false">$E35</f>
        <v>6502.64</v>
      </c>
      <c r="O35" s="147" t="n">
        <f aca="false">$E35</f>
        <v>6502.64</v>
      </c>
      <c r="P35" s="147" t="n">
        <f aca="false">$E35</f>
        <v>6502.64</v>
      </c>
      <c r="Q35" s="147" t="n">
        <f aca="false">$E35</f>
        <v>6502.64</v>
      </c>
      <c r="R35" s="147" t="n">
        <f aca="false">SUM(F35:Q35)</f>
        <v>78031.68</v>
      </c>
      <c r="S35" s="0" t="s">
        <v>1522</v>
      </c>
    </row>
    <row r="36" customFormat="false" ht="15" hidden="false" customHeight="false" outlineLevel="0" collapsed="false">
      <c r="A36" s="0" t="s">
        <v>1509</v>
      </c>
      <c r="B36" s="0" t="n">
        <f aca="false">C24</f>
        <v>5020</v>
      </c>
      <c r="E36" s="147" t="n">
        <f aca="false">B24</f>
        <v>19525.33</v>
      </c>
      <c r="F36" s="147" t="n">
        <f aca="false">$E36</f>
        <v>19525.33</v>
      </c>
      <c r="G36" s="147" t="n">
        <f aca="false">$E36</f>
        <v>19525.33</v>
      </c>
      <c r="H36" s="147" t="n">
        <f aca="false">$E36</f>
        <v>19525.33</v>
      </c>
      <c r="I36" s="147" t="n">
        <f aca="false">$E36</f>
        <v>19525.33</v>
      </c>
      <c r="J36" s="147" t="n">
        <f aca="false">$E36</f>
        <v>19525.33</v>
      </c>
      <c r="K36" s="147" t="n">
        <f aca="false">$E36</f>
        <v>19525.33</v>
      </c>
      <c r="L36" s="147" t="n">
        <f aca="false">$E36</f>
        <v>19525.33</v>
      </c>
      <c r="M36" s="147" t="n">
        <f aca="false">$E36</f>
        <v>19525.33</v>
      </c>
      <c r="N36" s="147" t="n">
        <f aca="false">$E36</f>
        <v>19525.33</v>
      </c>
      <c r="O36" s="147" t="n">
        <f aca="false">$E36</f>
        <v>19525.33</v>
      </c>
      <c r="P36" s="147" t="n">
        <f aca="false">$E36</f>
        <v>19525.33</v>
      </c>
      <c r="Q36" s="147" t="n">
        <f aca="false">$E36</f>
        <v>19525.33</v>
      </c>
      <c r="R36" s="147" t="n">
        <f aca="false">SUM(F36:Q36)</f>
        <v>234303.96</v>
      </c>
      <c r="S36" s="0" t="s">
        <v>1523</v>
      </c>
    </row>
    <row r="37" customFormat="false" ht="15" hidden="false" customHeight="false" outlineLevel="0" collapsed="false">
      <c r="A37" s="146" t="s">
        <v>1524</v>
      </c>
    </row>
    <row r="38" customFormat="false" ht="15" hidden="false" customHeight="false" outlineLevel="0" collapsed="false">
      <c r="A38" s="0" t="s">
        <v>1525</v>
      </c>
      <c r="B38" s="148" t="n">
        <f aca="false">$B$14</f>
        <v>5011</v>
      </c>
      <c r="C38" s="0" t="n">
        <v>1</v>
      </c>
      <c r="D38" s="145" t="n">
        <f aca="false">F$29</f>
        <v>20</v>
      </c>
      <c r="E38" s="147" t="n">
        <f aca="false">D38*$B$6*(1-$B$12)/$B$9</f>
        <v>15476.1904761905</v>
      </c>
      <c r="F38" s="147" t="n">
        <f aca="false">IF(AND(F$28&gt;=$C38+$B$13,F$28&lt;$C38+$B$13+$B$9),$E38,0)</f>
        <v>15476.1904761905</v>
      </c>
      <c r="G38" s="147" t="n">
        <f aca="false">IF(AND(G$28&gt;=$C38+$B$13,G$28&lt;$C38+$B$13+$B$9),$E38,0)</f>
        <v>15476.1904761905</v>
      </c>
      <c r="H38" s="147" t="n">
        <f aca="false">IF(AND(H$28&gt;=$C38+$B$13,H$28&lt;$C38+$B$13+$B$9),$E38,0)</f>
        <v>15476.1904761905</v>
      </c>
      <c r="I38" s="147" t="n">
        <f aca="false">IF(AND(I$28&gt;=$C38+$B$13,I$28&lt;$C38+$B$13+$B$9),$E38,0)</f>
        <v>15476.1904761905</v>
      </c>
      <c r="J38" s="147" t="n">
        <f aca="false">IF(AND(J$28&gt;=$C38+$B$13,J$28&lt;$C38+$B$13+$B$9),$E38,0)</f>
        <v>15476.1904761905</v>
      </c>
      <c r="K38" s="147" t="n">
        <f aca="false">IF(AND(K$28&gt;=$C38+$B$13,K$28&lt;$C38+$B$13+$B$9),$E38,0)</f>
        <v>15476.1904761905</v>
      </c>
      <c r="L38" s="147" t="n">
        <f aca="false">IF(AND(L$28&gt;=$C38+$B$13,L$28&lt;$C38+$B$13+$B$9),$E38,0)</f>
        <v>15476.1904761905</v>
      </c>
      <c r="M38" s="147" t="n">
        <f aca="false">IF(AND(M$28&gt;=$C38+$B$13,M$28&lt;$C38+$B$13+$B$9),$E38,0)</f>
        <v>15476.1904761905</v>
      </c>
      <c r="N38" s="147" t="n">
        <f aca="false">IF(AND(N$28&gt;=$C38+$B$13,N$28&lt;$C38+$B$13+$B$9),$E38,0)</f>
        <v>15476.1904761905</v>
      </c>
      <c r="O38" s="147" t="n">
        <f aca="false">IF(AND(O$28&gt;=$C38+$B$13,O$28&lt;$C38+$B$13+$B$9),$E38,0)</f>
        <v>15476.1904761905</v>
      </c>
      <c r="P38" s="147" t="n">
        <f aca="false">IF(AND(P$28&gt;=$C38+$B$13,P$28&lt;$C38+$B$13+$B$9),$E38,0)</f>
        <v>15476.1904761905</v>
      </c>
      <c r="Q38" s="147" t="n">
        <f aca="false">IF(AND(Q$28&gt;=$C38+$B$13,Q$28&lt;$C38+$B$13+$B$9),$E38,0)</f>
        <v>15476.1904761905</v>
      </c>
      <c r="R38" s="147" t="n">
        <f aca="false">SUM(F38:Q38)</f>
        <v>185714.285714286</v>
      </c>
      <c r="S38" s="0" t="s">
        <v>1526</v>
      </c>
    </row>
    <row r="39" customFormat="false" ht="15" hidden="false" customHeight="false" outlineLevel="0" collapsed="false">
      <c r="A39" s="0" t="s">
        <v>1527</v>
      </c>
      <c r="B39" s="148" t="n">
        <f aca="false">$B$14</f>
        <v>5011</v>
      </c>
      <c r="C39" s="0" t="n">
        <v>2</v>
      </c>
      <c r="D39" s="145" t="n">
        <f aca="false">G$29</f>
        <v>8</v>
      </c>
      <c r="E39" s="147" t="n">
        <f aca="false">D39*$B$6*(1-$B$12)/$B$9</f>
        <v>6190.47619047619</v>
      </c>
      <c r="F39" s="147" t="n">
        <f aca="false">IF(AND(F$28&gt;=$C39+$B$13,F$28&lt;$C39+$B$13+$B$9),$E39,0)</f>
        <v>0</v>
      </c>
      <c r="G39" s="147" t="n">
        <f aca="false">IF(AND(G$28&gt;=$C39+$B$13,G$28&lt;$C39+$B$13+$B$9),$E39,0)</f>
        <v>6190.47619047619</v>
      </c>
      <c r="H39" s="147" t="n">
        <f aca="false">IF(AND(H$28&gt;=$C39+$B$13,H$28&lt;$C39+$B$13+$B$9),$E39,0)</f>
        <v>6190.47619047619</v>
      </c>
      <c r="I39" s="147" t="n">
        <f aca="false">IF(AND(I$28&gt;=$C39+$B$13,I$28&lt;$C39+$B$13+$B$9),$E39,0)</f>
        <v>6190.47619047619</v>
      </c>
      <c r="J39" s="147" t="n">
        <f aca="false">IF(AND(J$28&gt;=$C39+$B$13,J$28&lt;$C39+$B$13+$B$9),$E39,0)</f>
        <v>6190.47619047619</v>
      </c>
      <c r="K39" s="147" t="n">
        <f aca="false">IF(AND(K$28&gt;=$C39+$B$13,K$28&lt;$C39+$B$13+$B$9),$E39,0)</f>
        <v>6190.47619047619</v>
      </c>
      <c r="L39" s="147" t="n">
        <f aca="false">IF(AND(L$28&gt;=$C39+$B$13,L$28&lt;$C39+$B$13+$B$9),$E39,0)</f>
        <v>6190.47619047619</v>
      </c>
      <c r="M39" s="147" t="n">
        <f aca="false">IF(AND(M$28&gt;=$C39+$B$13,M$28&lt;$C39+$B$13+$B$9),$E39,0)</f>
        <v>6190.47619047619</v>
      </c>
      <c r="N39" s="147" t="n">
        <f aca="false">IF(AND(N$28&gt;=$C39+$B$13,N$28&lt;$C39+$B$13+$B$9),$E39,0)</f>
        <v>6190.47619047619</v>
      </c>
      <c r="O39" s="147" t="n">
        <f aca="false">IF(AND(O$28&gt;=$C39+$B$13,O$28&lt;$C39+$B$13+$B$9),$E39,0)</f>
        <v>6190.47619047619</v>
      </c>
      <c r="P39" s="147" t="n">
        <f aca="false">IF(AND(P$28&gt;=$C39+$B$13,P$28&lt;$C39+$B$13+$B$9),$E39,0)</f>
        <v>6190.47619047619</v>
      </c>
      <c r="Q39" s="147" t="n">
        <f aca="false">IF(AND(Q$28&gt;=$C39+$B$13,Q$28&lt;$C39+$B$13+$B$9),$E39,0)</f>
        <v>6190.47619047619</v>
      </c>
      <c r="R39" s="147" t="n">
        <f aca="false">SUM(F39:Q39)</f>
        <v>68095.2380952381</v>
      </c>
    </row>
    <row r="40" customFormat="false" ht="15" hidden="false" customHeight="false" outlineLevel="0" collapsed="false">
      <c r="A40" s="0" t="s">
        <v>1528</v>
      </c>
      <c r="B40" s="148" t="n">
        <f aca="false">$B$14</f>
        <v>5011</v>
      </c>
      <c r="C40" s="0" t="n">
        <v>3</v>
      </c>
      <c r="D40" s="145" t="n">
        <f aca="false">H$29</f>
        <v>0</v>
      </c>
      <c r="E40" s="147" t="n">
        <f aca="false">D40*$B$6*(1-$B$12)/$B$9</f>
        <v>0</v>
      </c>
      <c r="F40" s="147" t="n">
        <f aca="false">IF(AND(F$28&gt;=$C40+$B$13,F$28&lt;$C40+$B$13+$B$9),$E40,0)</f>
        <v>0</v>
      </c>
      <c r="G40" s="147" t="n">
        <f aca="false">IF(AND(G$28&gt;=$C40+$B$13,G$28&lt;$C40+$B$13+$B$9),$E40,0)</f>
        <v>0</v>
      </c>
      <c r="H40" s="147" t="n">
        <f aca="false">IF(AND(H$28&gt;=$C40+$B$13,H$28&lt;$C40+$B$13+$B$9),$E40,0)</f>
        <v>0</v>
      </c>
      <c r="I40" s="147" t="n">
        <f aca="false">IF(AND(I$28&gt;=$C40+$B$13,I$28&lt;$C40+$B$13+$B$9),$E40,0)</f>
        <v>0</v>
      </c>
      <c r="J40" s="147" t="n">
        <f aca="false">IF(AND(J$28&gt;=$C40+$B$13,J$28&lt;$C40+$B$13+$B$9),$E40,0)</f>
        <v>0</v>
      </c>
      <c r="K40" s="147" t="n">
        <f aca="false">IF(AND(K$28&gt;=$C40+$B$13,K$28&lt;$C40+$B$13+$B$9),$E40,0)</f>
        <v>0</v>
      </c>
      <c r="L40" s="147" t="n">
        <f aca="false">IF(AND(L$28&gt;=$C40+$B$13,L$28&lt;$C40+$B$13+$B$9),$E40,0)</f>
        <v>0</v>
      </c>
      <c r="M40" s="147" t="n">
        <f aca="false">IF(AND(M$28&gt;=$C40+$B$13,M$28&lt;$C40+$B$13+$B$9),$E40,0)</f>
        <v>0</v>
      </c>
      <c r="N40" s="147" t="n">
        <f aca="false">IF(AND(N$28&gt;=$C40+$B$13,N$28&lt;$C40+$B$13+$B$9),$E40,0)</f>
        <v>0</v>
      </c>
      <c r="O40" s="147" t="n">
        <f aca="false">IF(AND(O$28&gt;=$C40+$B$13,O$28&lt;$C40+$B$13+$B$9),$E40,0)</f>
        <v>0</v>
      </c>
      <c r="P40" s="147" t="n">
        <f aca="false">IF(AND(P$28&gt;=$C40+$B$13,P$28&lt;$C40+$B$13+$B$9),$E40,0)</f>
        <v>0</v>
      </c>
      <c r="Q40" s="147" t="n">
        <f aca="false">IF(AND(Q$28&gt;=$C40+$B$13,Q$28&lt;$C40+$B$13+$B$9),$E40,0)</f>
        <v>0</v>
      </c>
      <c r="R40" s="147" t="n">
        <f aca="false">SUM(F40:Q40)</f>
        <v>0</v>
      </c>
    </row>
    <row r="41" customFormat="false" ht="15" hidden="false" customHeight="false" outlineLevel="0" collapsed="false">
      <c r="A41" s="0" t="s">
        <v>1529</v>
      </c>
      <c r="B41" s="148" t="n">
        <f aca="false">$B$14</f>
        <v>5011</v>
      </c>
      <c r="C41" s="0" t="n">
        <v>4</v>
      </c>
      <c r="D41" s="145" t="n">
        <f aca="false">I$29</f>
        <v>22</v>
      </c>
      <c r="E41" s="147" t="n">
        <f aca="false">D41*$B$6*(1-$B$12)/$B$9</f>
        <v>17023.8095238095</v>
      </c>
      <c r="F41" s="147" t="n">
        <f aca="false">IF(AND(F$28&gt;=$C41+$B$13,F$28&lt;$C41+$B$13+$B$9),$E41,0)</f>
        <v>0</v>
      </c>
      <c r="G41" s="147" t="n">
        <f aca="false">IF(AND(G$28&gt;=$C41+$B$13,G$28&lt;$C41+$B$13+$B$9),$E41,0)</f>
        <v>0</v>
      </c>
      <c r="H41" s="147" t="n">
        <f aca="false">IF(AND(H$28&gt;=$C41+$B$13,H$28&lt;$C41+$B$13+$B$9),$E41,0)</f>
        <v>0</v>
      </c>
      <c r="I41" s="147" t="n">
        <f aca="false">IF(AND(I$28&gt;=$C41+$B$13,I$28&lt;$C41+$B$13+$B$9),$E41,0)</f>
        <v>17023.8095238095</v>
      </c>
      <c r="J41" s="147" t="n">
        <f aca="false">IF(AND(J$28&gt;=$C41+$B$13,J$28&lt;$C41+$B$13+$B$9),$E41,0)</f>
        <v>17023.8095238095</v>
      </c>
      <c r="K41" s="147" t="n">
        <f aca="false">IF(AND(K$28&gt;=$C41+$B$13,K$28&lt;$C41+$B$13+$B$9),$E41,0)</f>
        <v>17023.8095238095</v>
      </c>
      <c r="L41" s="147" t="n">
        <f aca="false">IF(AND(L$28&gt;=$C41+$B$13,L$28&lt;$C41+$B$13+$B$9),$E41,0)</f>
        <v>17023.8095238095</v>
      </c>
      <c r="M41" s="147" t="n">
        <f aca="false">IF(AND(M$28&gt;=$C41+$B$13,M$28&lt;$C41+$B$13+$B$9),$E41,0)</f>
        <v>17023.8095238095</v>
      </c>
      <c r="N41" s="147" t="n">
        <f aca="false">IF(AND(N$28&gt;=$C41+$B$13,N$28&lt;$C41+$B$13+$B$9),$E41,0)</f>
        <v>17023.8095238095</v>
      </c>
      <c r="O41" s="147" t="n">
        <f aca="false">IF(AND(O$28&gt;=$C41+$B$13,O$28&lt;$C41+$B$13+$B$9),$E41,0)</f>
        <v>17023.8095238095</v>
      </c>
      <c r="P41" s="147" t="n">
        <f aca="false">IF(AND(P$28&gt;=$C41+$B$13,P$28&lt;$C41+$B$13+$B$9),$E41,0)</f>
        <v>17023.8095238095</v>
      </c>
      <c r="Q41" s="147" t="n">
        <f aca="false">IF(AND(Q$28&gt;=$C41+$B$13,Q$28&lt;$C41+$B$13+$B$9),$E41,0)</f>
        <v>17023.8095238095</v>
      </c>
      <c r="R41" s="147" t="n">
        <f aca="false">SUM(F41:Q41)</f>
        <v>153214.285714286</v>
      </c>
    </row>
    <row r="42" customFormat="false" ht="15" hidden="false" customHeight="false" outlineLevel="0" collapsed="false">
      <c r="A42" s="0" t="s">
        <v>1530</v>
      </c>
      <c r="B42" s="148" t="n">
        <f aca="false">$B$14</f>
        <v>5011</v>
      </c>
      <c r="C42" s="0" t="n">
        <v>5</v>
      </c>
      <c r="D42" s="145" t="n">
        <f aca="false">J$29</f>
        <v>14</v>
      </c>
      <c r="E42" s="147" t="n">
        <f aca="false">D42*$B$6*(1-$B$12)/$B$9</f>
        <v>10833.3333333333</v>
      </c>
      <c r="F42" s="147" t="n">
        <f aca="false">IF(AND(F$28&gt;=$C42+$B$13,F$28&lt;$C42+$B$13+$B$9),$E42,0)</f>
        <v>0</v>
      </c>
      <c r="G42" s="147" t="n">
        <f aca="false">IF(AND(G$28&gt;=$C42+$B$13,G$28&lt;$C42+$B$13+$B$9),$E42,0)</f>
        <v>0</v>
      </c>
      <c r="H42" s="147" t="n">
        <f aca="false">IF(AND(H$28&gt;=$C42+$B$13,H$28&lt;$C42+$B$13+$B$9),$E42,0)</f>
        <v>0</v>
      </c>
      <c r="I42" s="147" t="n">
        <f aca="false">IF(AND(I$28&gt;=$C42+$B$13,I$28&lt;$C42+$B$13+$B$9),$E42,0)</f>
        <v>0</v>
      </c>
      <c r="J42" s="147" t="n">
        <f aca="false">IF(AND(J$28&gt;=$C42+$B$13,J$28&lt;$C42+$B$13+$B$9),$E42,0)</f>
        <v>10833.3333333333</v>
      </c>
      <c r="K42" s="147" t="n">
        <f aca="false">IF(AND(K$28&gt;=$C42+$B$13,K$28&lt;$C42+$B$13+$B$9),$E42,0)</f>
        <v>10833.3333333333</v>
      </c>
      <c r="L42" s="147" t="n">
        <f aca="false">IF(AND(L$28&gt;=$C42+$B$13,L$28&lt;$C42+$B$13+$B$9),$E42,0)</f>
        <v>10833.3333333333</v>
      </c>
      <c r="M42" s="147" t="n">
        <f aca="false">IF(AND(M$28&gt;=$C42+$B$13,M$28&lt;$C42+$B$13+$B$9),$E42,0)</f>
        <v>10833.3333333333</v>
      </c>
      <c r="N42" s="147" t="n">
        <f aca="false">IF(AND(N$28&gt;=$C42+$B$13,N$28&lt;$C42+$B$13+$B$9),$E42,0)</f>
        <v>10833.3333333333</v>
      </c>
      <c r="O42" s="147" t="n">
        <f aca="false">IF(AND(O$28&gt;=$C42+$B$13,O$28&lt;$C42+$B$13+$B$9),$E42,0)</f>
        <v>10833.3333333333</v>
      </c>
      <c r="P42" s="147" t="n">
        <f aca="false">IF(AND(P$28&gt;=$C42+$B$13,P$28&lt;$C42+$B$13+$B$9),$E42,0)</f>
        <v>10833.3333333333</v>
      </c>
      <c r="Q42" s="147" t="n">
        <f aca="false">IF(AND(Q$28&gt;=$C42+$B$13,Q$28&lt;$C42+$B$13+$B$9),$E42,0)</f>
        <v>10833.3333333333</v>
      </c>
      <c r="R42" s="147" t="n">
        <f aca="false">SUM(F42:Q42)</f>
        <v>86666.6666666667</v>
      </c>
    </row>
    <row r="43" customFormat="false" ht="15" hidden="false" customHeight="false" outlineLevel="0" collapsed="false">
      <c r="A43" s="0" t="s">
        <v>1531</v>
      </c>
      <c r="B43" s="148" t="n">
        <f aca="false">$B$14</f>
        <v>5011</v>
      </c>
      <c r="C43" s="0" t="n">
        <v>6</v>
      </c>
      <c r="D43" s="145" t="n">
        <f aca="false">K$29</f>
        <v>20</v>
      </c>
      <c r="E43" s="147" t="n">
        <f aca="false">D43*$B$6*(1-$B$12)/$B$9</f>
        <v>15476.1904761905</v>
      </c>
      <c r="F43" s="147" t="n">
        <f aca="false">IF(AND(F$28&gt;=$C43+$B$13,F$28&lt;$C43+$B$13+$B$9),$E43,0)</f>
        <v>0</v>
      </c>
      <c r="G43" s="147" t="n">
        <f aca="false">IF(AND(G$28&gt;=$C43+$B$13,G$28&lt;$C43+$B$13+$B$9),$E43,0)</f>
        <v>0</v>
      </c>
      <c r="H43" s="147" t="n">
        <f aca="false">IF(AND(H$28&gt;=$C43+$B$13,H$28&lt;$C43+$B$13+$B$9),$E43,0)</f>
        <v>0</v>
      </c>
      <c r="I43" s="147" t="n">
        <f aca="false">IF(AND(I$28&gt;=$C43+$B$13,I$28&lt;$C43+$B$13+$B$9),$E43,0)</f>
        <v>0</v>
      </c>
      <c r="J43" s="147" t="n">
        <f aca="false">IF(AND(J$28&gt;=$C43+$B$13,J$28&lt;$C43+$B$13+$B$9),$E43,0)</f>
        <v>0</v>
      </c>
      <c r="K43" s="147" t="n">
        <f aca="false">IF(AND(K$28&gt;=$C43+$B$13,K$28&lt;$C43+$B$13+$B$9),$E43,0)</f>
        <v>15476.1904761905</v>
      </c>
      <c r="L43" s="147" t="n">
        <f aca="false">IF(AND(L$28&gt;=$C43+$B$13,L$28&lt;$C43+$B$13+$B$9),$E43,0)</f>
        <v>15476.1904761905</v>
      </c>
      <c r="M43" s="147" t="n">
        <f aca="false">IF(AND(M$28&gt;=$C43+$B$13,M$28&lt;$C43+$B$13+$B$9),$E43,0)</f>
        <v>15476.1904761905</v>
      </c>
      <c r="N43" s="147" t="n">
        <f aca="false">IF(AND(N$28&gt;=$C43+$B$13,N$28&lt;$C43+$B$13+$B$9),$E43,0)</f>
        <v>15476.1904761905</v>
      </c>
      <c r="O43" s="147" t="n">
        <f aca="false">IF(AND(O$28&gt;=$C43+$B$13,O$28&lt;$C43+$B$13+$B$9),$E43,0)</f>
        <v>15476.1904761905</v>
      </c>
      <c r="P43" s="147" t="n">
        <f aca="false">IF(AND(P$28&gt;=$C43+$B$13,P$28&lt;$C43+$B$13+$B$9),$E43,0)</f>
        <v>15476.1904761905</v>
      </c>
      <c r="Q43" s="147" t="n">
        <f aca="false">IF(AND(Q$28&gt;=$C43+$B$13,Q$28&lt;$C43+$B$13+$B$9),$E43,0)</f>
        <v>15476.1904761905</v>
      </c>
      <c r="R43" s="147" t="n">
        <f aca="false">SUM(F43:Q43)</f>
        <v>108333.333333333</v>
      </c>
    </row>
    <row r="44" customFormat="false" ht="15" hidden="false" customHeight="false" outlineLevel="0" collapsed="false">
      <c r="A44" s="0" t="s">
        <v>1532</v>
      </c>
      <c r="B44" s="148" t="n">
        <f aca="false">$B$14</f>
        <v>5011</v>
      </c>
      <c r="C44" s="0" t="n">
        <v>7</v>
      </c>
      <c r="D44" s="145" t="n">
        <f aca="false">L$29</f>
        <v>18</v>
      </c>
      <c r="E44" s="147" t="n">
        <f aca="false">D44*$B$6*(1-$B$12)/$B$9</f>
        <v>13928.5714285714</v>
      </c>
      <c r="F44" s="147" t="n">
        <f aca="false">IF(AND(F$28&gt;=$C44+$B$13,F$28&lt;$C44+$B$13+$B$9),$E44,0)</f>
        <v>0</v>
      </c>
      <c r="G44" s="147" t="n">
        <f aca="false">IF(AND(G$28&gt;=$C44+$B$13,G$28&lt;$C44+$B$13+$B$9),$E44,0)</f>
        <v>0</v>
      </c>
      <c r="H44" s="147" t="n">
        <f aca="false">IF(AND(H$28&gt;=$C44+$B$13,H$28&lt;$C44+$B$13+$B$9),$E44,0)</f>
        <v>0</v>
      </c>
      <c r="I44" s="147" t="n">
        <f aca="false">IF(AND(I$28&gt;=$C44+$B$13,I$28&lt;$C44+$B$13+$B$9),$E44,0)</f>
        <v>0</v>
      </c>
      <c r="J44" s="147" t="n">
        <f aca="false">IF(AND(J$28&gt;=$C44+$B$13,J$28&lt;$C44+$B$13+$B$9),$E44,0)</f>
        <v>0</v>
      </c>
      <c r="K44" s="147" t="n">
        <f aca="false">IF(AND(K$28&gt;=$C44+$B$13,K$28&lt;$C44+$B$13+$B$9),$E44,0)</f>
        <v>0</v>
      </c>
      <c r="L44" s="147" t="n">
        <f aca="false">IF(AND(L$28&gt;=$C44+$B$13,L$28&lt;$C44+$B$13+$B$9),$E44,0)</f>
        <v>13928.5714285714</v>
      </c>
      <c r="M44" s="147" t="n">
        <f aca="false">IF(AND(M$28&gt;=$C44+$B$13,M$28&lt;$C44+$B$13+$B$9),$E44,0)</f>
        <v>13928.5714285714</v>
      </c>
      <c r="N44" s="147" t="n">
        <f aca="false">IF(AND(N$28&gt;=$C44+$B$13,N$28&lt;$C44+$B$13+$B$9),$E44,0)</f>
        <v>13928.5714285714</v>
      </c>
      <c r="O44" s="147" t="n">
        <f aca="false">IF(AND(O$28&gt;=$C44+$B$13,O$28&lt;$C44+$B$13+$B$9),$E44,0)</f>
        <v>13928.5714285714</v>
      </c>
      <c r="P44" s="147" t="n">
        <f aca="false">IF(AND(P$28&gt;=$C44+$B$13,P$28&lt;$C44+$B$13+$B$9),$E44,0)</f>
        <v>13928.5714285714</v>
      </c>
      <c r="Q44" s="147" t="n">
        <f aca="false">IF(AND(Q$28&gt;=$C44+$B$13,Q$28&lt;$C44+$B$13+$B$9),$E44,0)</f>
        <v>13928.5714285714</v>
      </c>
      <c r="R44" s="147" t="n">
        <f aca="false">SUM(F44:Q44)</f>
        <v>83571.4285714286</v>
      </c>
    </row>
    <row r="45" customFormat="false" ht="15" hidden="false" customHeight="false" outlineLevel="0" collapsed="false">
      <c r="A45" s="0" t="s">
        <v>1533</v>
      </c>
      <c r="B45" s="148" t="n">
        <f aca="false">$B$14</f>
        <v>5011</v>
      </c>
      <c r="C45" s="0" t="n">
        <v>8</v>
      </c>
      <c r="D45" s="145" t="n">
        <f aca="false">M$29</f>
        <v>22</v>
      </c>
      <c r="E45" s="147" t="n">
        <f aca="false">D45*$B$6*(1-$B$12)/$B$9</f>
        <v>17023.8095238095</v>
      </c>
      <c r="F45" s="147" t="n">
        <f aca="false">IF(AND(F$28&gt;=$C45+$B$13,F$28&lt;$C45+$B$13+$B$9),$E45,0)</f>
        <v>0</v>
      </c>
      <c r="G45" s="147" t="n">
        <f aca="false">IF(AND(G$28&gt;=$C45+$B$13,G$28&lt;$C45+$B$13+$B$9),$E45,0)</f>
        <v>0</v>
      </c>
      <c r="H45" s="147" t="n">
        <f aca="false">IF(AND(H$28&gt;=$C45+$B$13,H$28&lt;$C45+$B$13+$B$9),$E45,0)</f>
        <v>0</v>
      </c>
      <c r="I45" s="147" t="n">
        <f aca="false">IF(AND(I$28&gt;=$C45+$B$13,I$28&lt;$C45+$B$13+$B$9),$E45,0)</f>
        <v>0</v>
      </c>
      <c r="J45" s="147" t="n">
        <f aca="false">IF(AND(J$28&gt;=$C45+$B$13,J$28&lt;$C45+$B$13+$B$9),$E45,0)</f>
        <v>0</v>
      </c>
      <c r="K45" s="147" t="n">
        <f aca="false">IF(AND(K$28&gt;=$C45+$B$13,K$28&lt;$C45+$B$13+$B$9),$E45,0)</f>
        <v>0</v>
      </c>
      <c r="L45" s="147" t="n">
        <f aca="false">IF(AND(L$28&gt;=$C45+$B$13,L$28&lt;$C45+$B$13+$B$9),$E45,0)</f>
        <v>0</v>
      </c>
      <c r="M45" s="147" t="n">
        <f aca="false">IF(AND(M$28&gt;=$C45+$B$13,M$28&lt;$C45+$B$13+$B$9),$E45,0)</f>
        <v>17023.8095238095</v>
      </c>
      <c r="N45" s="147" t="n">
        <f aca="false">IF(AND(N$28&gt;=$C45+$B$13,N$28&lt;$C45+$B$13+$B$9),$E45,0)</f>
        <v>17023.8095238095</v>
      </c>
      <c r="O45" s="147" t="n">
        <f aca="false">IF(AND(O$28&gt;=$C45+$B$13,O$28&lt;$C45+$B$13+$B$9),$E45,0)</f>
        <v>17023.8095238095</v>
      </c>
      <c r="P45" s="147" t="n">
        <f aca="false">IF(AND(P$28&gt;=$C45+$B$13,P$28&lt;$C45+$B$13+$B$9),$E45,0)</f>
        <v>17023.8095238095</v>
      </c>
      <c r="Q45" s="147" t="n">
        <f aca="false">IF(AND(Q$28&gt;=$C45+$B$13,Q$28&lt;$C45+$B$13+$B$9),$E45,0)</f>
        <v>17023.8095238095</v>
      </c>
      <c r="R45" s="147" t="n">
        <f aca="false">SUM(F45:Q45)</f>
        <v>85119.0476190476</v>
      </c>
    </row>
    <row r="46" customFormat="false" ht="15" hidden="false" customHeight="false" outlineLevel="0" collapsed="false">
      <c r="A46" s="0" t="s">
        <v>1534</v>
      </c>
      <c r="B46" s="148" t="n">
        <f aca="false">$B$14</f>
        <v>5011</v>
      </c>
      <c r="C46" s="0" t="n">
        <v>9</v>
      </c>
      <c r="D46" s="145" t="n">
        <f aca="false">N$29</f>
        <v>28</v>
      </c>
      <c r="E46" s="147" t="n">
        <f aca="false">D46*$B$6*(1-$B$12)/$B$9</f>
        <v>21666.6666666667</v>
      </c>
      <c r="F46" s="147" t="n">
        <f aca="false">IF(AND(F$28&gt;=$C46+$B$13,F$28&lt;$C46+$B$13+$B$9),$E46,0)</f>
        <v>0</v>
      </c>
      <c r="G46" s="147" t="n">
        <f aca="false">IF(AND(G$28&gt;=$C46+$B$13,G$28&lt;$C46+$B$13+$B$9),$E46,0)</f>
        <v>0</v>
      </c>
      <c r="H46" s="147" t="n">
        <f aca="false">IF(AND(H$28&gt;=$C46+$B$13,H$28&lt;$C46+$B$13+$B$9),$E46,0)</f>
        <v>0</v>
      </c>
      <c r="I46" s="147" t="n">
        <f aca="false">IF(AND(I$28&gt;=$C46+$B$13,I$28&lt;$C46+$B$13+$B$9),$E46,0)</f>
        <v>0</v>
      </c>
      <c r="J46" s="147" t="n">
        <f aca="false">IF(AND(J$28&gt;=$C46+$B$13,J$28&lt;$C46+$B$13+$B$9),$E46,0)</f>
        <v>0</v>
      </c>
      <c r="K46" s="147" t="n">
        <f aca="false">IF(AND(K$28&gt;=$C46+$B$13,K$28&lt;$C46+$B$13+$B$9),$E46,0)</f>
        <v>0</v>
      </c>
      <c r="L46" s="147" t="n">
        <f aca="false">IF(AND(L$28&gt;=$C46+$B$13,L$28&lt;$C46+$B$13+$B$9),$E46,0)</f>
        <v>0</v>
      </c>
      <c r="M46" s="147" t="n">
        <f aca="false">IF(AND(M$28&gt;=$C46+$B$13,M$28&lt;$C46+$B$13+$B$9),$E46,0)</f>
        <v>0</v>
      </c>
      <c r="N46" s="147" t="n">
        <f aca="false">IF(AND(N$28&gt;=$C46+$B$13,N$28&lt;$C46+$B$13+$B$9),$E46,0)</f>
        <v>21666.6666666667</v>
      </c>
      <c r="O46" s="147" t="n">
        <f aca="false">IF(AND(O$28&gt;=$C46+$B$13,O$28&lt;$C46+$B$13+$B$9),$E46,0)</f>
        <v>21666.6666666667</v>
      </c>
      <c r="P46" s="147" t="n">
        <f aca="false">IF(AND(P$28&gt;=$C46+$B$13,P$28&lt;$C46+$B$13+$B$9),$E46,0)</f>
        <v>21666.6666666667</v>
      </c>
      <c r="Q46" s="147" t="n">
        <f aca="false">IF(AND(Q$28&gt;=$C46+$B$13,Q$28&lt;$C46+$B$13+$B$9),$E46,0)</f>
        <v>21666.6666666667</v>
      </c>
      <c r="R46" s="147" t="n">
        <f aca="false">SUM(F46:Q46)</f>
        <v>86666.6666666667</v>
      </c>
    </row>
    <row r="47" customFormat="false" ht="15" hidden="false" customHeight="false" outlineLevel="0" collapsed="false">
      <c r="A47" s="0" t="s">
        <v>1535</v>
      </c>
      <c r="B47" s="148" t="n">
        <f aca="false">$B$14</f>
        <v>5011</v>
      </c>
      <c r="C47" s="0" t="n">
        <v>10</v>
      </c>
      <c r="D47" s="145" t="n">
        <f aca="false">O$29</f>
        <v>28</v>
      </c>
      <c r="E47" s="147" t="n">
        <f aca="false">D47*$B$6*(1-$B$12)/$B$9</f>
        <v>21666.6666666667</v>
      </c>
      <c r="F47" s="147" t="n">
        <f aca="false">IF(AND(F$28&gt;=$C47+$B$13,F$28&lt;$C47+$B$13+$B$9),$E47,0)</f>
        <v>0</v>
      </c>
      <c r="G47" s="147" t="n">
        <f aca="false">IF(AND(G$28&gt;=$C47+$B$13,G$28&lt;$C47+$B$13+$B$9),$E47,0)</f>
        <v>0</v>
      </c>
      <c r="H47" s="147" t="n">
        <f aca="false">IF(AND(H$28&gt;=$C47+$B$13,H$28&lt;$C47+$B$13+$B$9),$E47,0)</f>
        <v>0</v>
      </c>
      <c r="I47" s="147" t="n">
        <f aca="false">IF(AND(I$28&gt;=$C47+$B$13,I$28&lt;$C47+$B$13+$B$9),$E47,0)</f>
        <v>0</v>
      </c>
      <c r="J47" s="147" t="n">
        <f aca="false">IF(AND(J$28&gt;=$C47+$B$13,J$28&lt;$C47+$B$13+$B$9),$E47,0)</f>
        <v>0</v>
      </c>
      <c r="K47" s="147" t="n">
        <f aca="false">IF(AND(K$28&gt;=$C47+$B$13,K$28&lt;$C47+$B$13+$B$9),$E47,0)</f>
        <v>0</v>
      </c>
      <c r="L47" s="147" t="n">
        <f aca="false">IF(AND(L$28&gt;=$C47+$B$13,L$28&lt;$C47+$B$13+$B$9),$E47,0)</f>
        <v>0</v>
      </c>
      <c r="M47" s="147" t="n">
        <f aca="false">IF(AND(M$28&gt;=$C47+$B$13,M$28&lt;$C47+$B$13+$B$9),$E47,0)</f>
        <v>0</v>
      </c>
      <c r="N47" s="147" t="n">
        <f aca="false">IF(AND(N$28&gt;=$C47+$B$13,N$28&lt;$C47+$B$13+$B$9),$E47,0)</f>
        <v>0</v>
      </c>
      <c r="O47" s="147" t="n">
        <f aca="false">IF(AND(O$28&gt;=$C47+$B$13,O$28&lt;$C47+$B$13+$B$9),$E47,0)</f>
        <v>21666.6666666667</v>
      </c>
      <c r="P47" s="147" t="n">
        <f aca="false">IF(AND(P$28&gt;=$C47+$B$13,P$28&lt;$C47+$B$13+$B$9),$E47,0)</f>
        <v>21666.6666666667</v>
      </c>
      <c r="Q47" s="147" t="n">
        <f aca="false">IF(AND(Q$28&gt;=$C47+$B$13,Q$28&lt;$C47+$B$13+$B$9),$E47,0)</f>
        <v>21666.6666666667</v>
      </c>
      <c r="R47" s="147" t="n">
        <f aca="false">SUM(F47:Q47)</f>
        <v>65000</v>
      </c>
    </row>
    <row r="48" customFormat="false" ht="15" hidden="false" customHeight="false" outlineLevel="0" collapsed="false">
      <c r="A48" s="0" t="s">
        <v>1536</v>
      </c>
      <c r="B48" s="148" t="n">
        <f aca="false">$B$14</f>
        <v>5011</v>
      </c>
      <c r="C48" s="0" t="n">
        <v>11</v>
      </c>
      <c r="D48" s="145" t="n">
        <f aca="false">P$29</f>
        <v>34</v>
      </c>
      <c r="E48" s="147" t="n">
        <f aca="false">D48*$B$6*(1-$B$12)/$B$9</f>
        <v>26309.5238095238</v>
      </c>
      <c r="F48" s="147" t="n">
        <f aca="false">IF(AND(F$28&gt;=$C48+$B$13,F$28&lt;$C48+$B$13+$B$9),$E48,0)</f>
        <v>0</v>
      </c>
      <c r="G48" s="147" t="n">
        <f aca="false">IF(AND(G$28&gt;=$C48+$B$13,G$28&lt;$C48+$B$13+$B$9),$E48,0)</f>
        <v>0</v>
      </c>
      <c r="H48" s="147" t="n">
        <f aca="false">IF(AND(H$28&gt;=$C48+$B$13,H$28&lt;$C48+$B$13+$B$9),$E48,0)</f>
        <v>0</v>
      </c>
      <c r="I48" s="147" t="n">
        <f aca="false">IF(AND(I$28&gt;=$C48+$B$13,I$28&lt;$C48+$B$13+$B$9),$E48,0)</f>
        <v>0</v>
      </c>
      <c r="J48" s="147" t="n">
        <f aca="false">IF(AND(J$28&gt;=$C48+$B$13,J$28&lt;$C48+$B$13+$B$9),$E48,0)</f>
        <v>0</v>
      </c>
      <c r="K48" s="147" t="n">
        <f aca="false">IF(AND(K$28&gt;=$C48+$B$13,K$28&lt;$C48+$B$13+$B$9),$E48,0)</f>
        <v>0</v>
      </c>
      <c r="L48" s="147" t="n">
        <f aca="false">IF(AND(L$28&gt;=$C48+$B$13,L$28&lt;$C48+$B$13+$B$9),$E48,0)</f>
        <v>0</v>
      </c>
      <c r="M48" s="147" t="n">
        <f aca="false">IF(AND(M$28&gt;=$C48+$B$13,M$28&lt;$C48+$B$13+$B$9),$E48,0)</f>
        <v>0</v>
      </c>
      <c r="N48" s="147" t="n">
        <f aca="false">IF(AND(N$28&gt;=$C48+$B$13,N$28&lt;$C48+$B$13+$B$9),$E48,0)</f>
        <v>0</v>
      </c>
      <c r="O48" s="147" t="n">
        <f aca="false">IF(AND(O$28&gt;=$C48+$B$13,O$28&lt;$C48+$B$13+$B$9),$E48,0)</f>
        <v>0</v>
      </c>
      <c r="P48" s="147" t="n">
        <f aca="false">IF(AND(P$28&gt;=$C48+$B$13,P$28&lt;$C48+$B$13+$B$9),$E48,0)</f>
        <v>26309.5238095238</v>
      </c>
      <c r="Q48" s="147" t="n">
        <f aca="false">IF(AND(Q$28&gt;=$C48+$B$13,Q$28&lt;$C48+$B$13+$B$9),$E48,0)</f>
        <v>26309.5238095238</v>
      </c>
      <c r="R48" s="147" t="n">
        <f aca="false">SUM(F48:Q48)</f>
        <v>52619.0476190476</v>
      </c>
    </row>
    <row r="49" customFormat="false" ht="15" hidden="false" customHeight="false" outlineLevel="0" collapsed="false">
      <c r="A49" s="0" t="s">
        <v>1537</v>
      </c>
      <c r="B49" s="148" t="n">
        <f aca="false">$B$14</f>
        <v>5011</v>
      </c>
      <c r="C49" s="0" t="n">
        <v>12</v>
      </c>
      <c r="D49" s="145" t="n">
        <f aca="false">Q$29</f>
        <v>36</v>
      </c>
      <c r="E49" s="147" t="n">
        <f aca="false">D49*$B$6*(1-$B$12)/$B$9</f>
        <v>27857.1428571429</v>
      </c>
      <c r="F49" s="147" t="n">
        <f aca="false">IF(AND(F$28&gt;=$C49+$B$13,F$28&lt;$C49+$B$13+$B$9),$E49,0)</f>
        <v>0</v>
      </c>
      <c r="G49" s="147" t="n">
        <f aca="false">IF(AND(G$28&gt;=$C49+$B$13,G$28&lt;$C49+$B$13+$B$9),$E49,0)</f>
        <v>0</v>
      </c>
      <c r="H49" s="147" t="n">
        <f aca="false">IF(AND(H$28&gt;=$C49+$B$13,H$28&lt;$C49+$B$13+$B$9),$E49,0)</f>
        <v>0</v>
      </c>
      <c r="I49" s="147" t="n">
        <f aca="false">IF(AND(I$28&gt;=$C49+$B$13,I$28&lt;$C49+$B$13+$B$9),$E49,0)</f>
        <v>0</v>
      </c>
      <c r="J49" s="147" t="n">
        <f aca="false">IF(AND(J$28&gt;=$C49+$B$13,J$28&lt;$C49+$B$13+$B$9),$E49,0)</f>
        <v>0</v>
      </c>
      <c r="K49" s="147" t="n">
        <f aca="false">IF(AND(K$28&gt;=$C49+$B$13,K$28&lt;$C49+$B$13+$B$9),$E49,0)</f>
        <v>0</v>
      </c>
      <c r="L49" s="147" t="n">
        <f aca="false">IF(AND(L$28&gt;=$C49+$B$13,L$28&lt;$C49+$B$13+$B$9),$E49,0)</f>
        <v>0</v>
      </c>
      <c r="M49" s="147" t="n">
        <f aca="false">IF(AND(M$28&gt;=$C49+$B$13,M$28&lt;$C49+$B$13+$B$9),$E49,0)</f>
        <v>0</v>
      </c>
      <c r="N49" s="147" t="n">
        <f aca="false">IF(AND(N$28&gt;=$C49+$B$13,N$28&lt;$C49+$B$13+$B$9),$E49,0)</f>
        <v>0</v>
      </c>
      <c r="O49" s="147" t="n">
        <f aca="false">IF(AND(O$28&gt;=$C49+$B$13,O$28&lt;$C49+$B$13+$B$9),$E49,0)</f>
        <v>0</v>
      </c>
      <c r="P49" s="147" t="n">
        <f aca="false">IF(AND(P$28&gt;=$C49+$B$13,P$28&lt;$C49+$B$13+$B$9),$E49,0)</f>
        <v>0</v>
      </c>
      <c r="Q49" s="147" t="n">
        <f aca="false">IF(AND(Q$28&gt;=$C49+$B$13,Q$28&lt;$C49+$B$13+$B$9),$E49,0)</f>
        <v>27857.1428571429</v>
      </c>
      <c r="R49" s="147" t="n">
        <f aca="false">SUM(F49:Q49)</f>
        <v>27857.1428571429</v>
      </c>
    </row>
    <row r="50" customFormat="false" ht="15" hidden="false" customHeight="false" outlineLevel="0" collapsed="false">
      <c r="A50" s="146" t="s">
        <v>1538</v>
      </c>
    </row>
    <row r="51" customFormat="false" ht="15" hidden="false" customHeight="false" outlineLevel="0" collapsed="false">
      <c r="A51" s="0" t="s">
        <v>1539</v>
      </c>
      <c r="B51" s="148" t="n">
        <f aca="false">$B$15</f>
        <v>5012</v>
      </c>
      <c r="C51" s="0" t="n">
        <v>1</v>
      </c>
      <c r="D51" s="145" t="n">
        <f aca="false">F$30</f>
        <v>60</v>
      </c>
      <c r="E51" s="147" t="n">
        <f aca="false">D51*$B$8*(1-$B$12)/$B$10</f>
        <v>4000</v>
      </c>
      <c r="F51" s="147" t="n">
        <f aca="false">IF(AND(F$28&gt;=$C51+$B$13,F$28&lt;$C51+$B$13+$B$10),$E51,0)</f>
        <v>4000</v>
      </c>
      <c r="G51" s="147" t="n">
        <f aca="false">IF(AND(G$28&gt;=$C51+$B$13,G$28&lt;$C51+$B$13+$B$10),$E51,0)</f>
        <v>4000</v>
      </c>
      <c r="H51" s="147" t="n">
        <f aca="false">IF(AND(H$28&gt;=$C51+$B$13,H$28&lt;$C51+$B$13+$B$10),$E51,0)</f>
        <v>4000</v>
      </c>
      <c r="I51" s="147" t="n">
        <f aca="false">IF(AND(I$28&gt;=$C51+$B$13,I$28&lt;$C51+$B$13+$B$10),$E51,0)</f>
        <v>4000</v>
      </c>
      <c r="J51" s="147" t="n">
        <f aca="false">IF(AND(J$28&gt;=$C51+$B$13,J$28&lt;$C51+$B$13+$B$10),$E51,0)</f>
        <v>4000</v>
      </c>
      <c r="K51" s="147" t="n">
        <f aca="false">IF(AND(K$28&gt;=$C51+$B$13,K$28&lt;$C51+$B$13+$B$10),$E51,0)</f>
        <v>4000</v>
      </c>
      <c r="L51" s="147" t="n">
        <f aca="false">IF(AND(L$28&gt;=$C51+$B$13,L$28&lt;$C51+$B$13+$B$10),$E51,0)</f>
        <v>4000</v>
      </c>
      <c r="M51" s="147" t="n">
        <f aca="false">IF(AND(M$28&gt;=$C51+$B$13,M$28&lt;$C51+$B$13+$B$10),$E51,0)</f>
        <v>4000</v>
      </c>
      <c r="N51" s="147" t="n">
        <f aca="false">IF(AND(N$28&gt;=$C51+$B$13,N$28&lt;$C51+$B$13+$B$10),$E51,0)</f>
        <v>4000</v>
      </c>
      <c r="O51" s="147" t="n">
        <f aca="false">IF(AND(O$28&gt;=$C51+$B$13,O$28&lt;$C51+$B$13+$B$10),$E51,0)</f>
        <v>4000</v>
      </c>
      <c r="P51" s="147" t="n">
        <f aca="false">IF(AND(P$28&gt;=$C51+$B$13,P$28&lt;$C51+$B$13+$B$10),$E51,0)</f>
        <v>4000</v>
      </c>
      <c r="Q51" s="147" t="n">
        <f aca="false">IF(AND(Q$28&gt;=$C51+$B$13,Q$28&lt;$C51+$B$13+$B$10),$E51,0)</f>
        <v>4000</v>
      </c>
      <c r="R51" s="147" t="n">
        <f aca="false">SUM(F51:Q51)</f>
        <v>48000</v>
      </c>
      <c r="S51" s="0" t="s">
        <v>1526</v>
      </c>
    </row>
    <row r="52" customFormat="false" ht="15" hidden="false" customHeight="false" outlineLevel="0" collapsed="false">
      <c r="A52" s="0" t="s">
        <v>1540</v>
      </c>
      <c r="B52" s="148" t="n">
        <f aca="false">$B$15</f>
        <v>5012</v>
      </c>
      <c r="C52" s="0" t="n">
        <v>2</v>
      </c>
      <c r="D52" s="145" t="n">
        <f aca="false">G$30</f>
        <v>24</v>
      </c>
      <c r="E52" s="147" t="n">
        <f aca="false">D52*$B$8*(1-$B$12)/$B$10</f>
        <v>1600</v>
      </c>
      <c r="F52" s="147" t="n">
        <f aca="false">IF(AND(F$28&gt;=$C52+$B$13,F$28&lt;$C52+$B$13+$B$10),$E52,0)</f>
        <v>0</v>
      </c>
      <c r="G52" s="147" t="n">
        <f aca="false">IF(AND(G$28&gt;=$C52+$B$13,G$28&lt;$C52+$B$13+$B$10),$E52,0)</f>
        <v>1600</v>
      </c>
      <c r="H52" s="147" t="n">
        <f aca="false">IF(AND(H$28&gt;=$C52+$B$13,H$28&lt;$C52+$B$13+$B$10),$E52,0)</f>
        <v>1600</v>
      </c>
      <c r="I52" s="147" t="n">
        <f aca="false">IF(AND(I$28&gt;=$C52+$B$13,I$28&lt;$C52+$B$13+$B$10),$E52,0)</f>
        <v>1600</v>
      </c>
      <c r="J52" s="147" t="n">
        <f aca="false">IF(AND(J$28&gt;=$C52+$B$13,J$28&lt;$C52+$B$13+$B$10),$E52,0)</f>
        <v>1600</v>
      </c>
      <c r="K52" s="147" t="n">
        <f aca="false">IF(AND(K$28&gt;=$C52+$B$13,K$28&lt;$C52+$B$13+$B$10),$E52,0)</f>
        <v>1600</v>
      </c>
      <c r="L52" s="147" t="n">
        <f aca="false">IF(AND(L$28&gt;=$C52+$B$13,L$28&lt;$C52+$B$13+$B$10),$E52,0)</f>
        <v>1600</v>
      </c>
      <c r="M52" s="147" t="n">
        <f aca="false">IF(AND(M$28&gt;=$C52+$B$13,M$28&lt;$C52+$B$13+$B$10),$E52,0)</f>
        <v>1600</v>
      </c>
      <c r="N52" s="147" t="n">
        <f aca="false">IF(AND(N$28&gt;=$C52+$B$13,N$28&lt;$C52+$B$13+$B$10),$E52,0)</f>
        <v>1600</v>
      </c>
      <c r="O52" s="147" t="n">
        <f aca="false">IF(AND(O$28&gt;=$C52+$B$13,O$28&lt;$C52+$B$13+$B$10),$E52,0)</f>
        <v>1600</v>
      </c>
      <c r="P52" s="147" t="n">
        <f aca="false">IF(AND(P$28&gt;=$C52+$B$13,P$28&lt;$C52+$B$13+$B$10),$E52,0)</f>
        <v>1600</v>
      </c>
      <c r="Q52" s="147" t="n">
        <f aca="false">IF(AND(Q$28&gt;=$C52+$B$13,Q$28&lt;$C52+$B$13+$B$10),$E52,0)</f>
        <v>1600</v>
      </c>
      <c r="R52" s="147" t="n">
        <f aca="false">SUM(F52:Q52)</f>
        <v>17600</v>
      </c>
    </row>
    <row r="53" customFormat="false" ht="15" hidden="false" customHeight="false" outlineLevel="0" collapsed="false">
      <c r="A53" s="0" t="s">
        <v>1541</v>
      </c>
      <c r="B53" s="148" t="n">
        <f aca="false">$B$15</f>
        <v>5012</v>
      </c>
      <c r="C53" s="0" t="n">
        <v>3</v>
      </c>
      <c r="D53" s="145" t="n">
        <f aca="false">H$30</f>
        <v>0</v>
      </c>
      <c r="E53" s="147" t="n">
        <f aca="false">D53*$B$8*(1-$B$12)/$B$10</f>
        <v>0</v>
      </c>
      <c r="F53" s="147" t="n">
        <f aca="false">IF(AND(F$28&gt;=$C53+$B$13,F$28&lt;$C53+$B$13+$B$10),$E53,0)</f>
        <v>0</v>
      </c>
      <c r="G53" s="147" t="n">
        <f aca="false">IF(AND(G$28&gt;=$C53+$B$13,G$28&lt;$C53+$B$13+$B$10),$E53,0)</f>
        <v>0</v>
      </c>
      <c r="H53" s="147" t="n">
        <f aca="false">IF(AND(H$28&gt;=$C53+$B$13,H$28&lt;$C53+$B$13+$B$10),$E53,0)</f>
        <v>0</v>
      </c>
      <c r="I53" s="147" t="n">
        <f aca="false">IF(AND(I$28&gt;=$C53+$B$13,I$28&lt;$C53+$B$13+$B$10),$E53,0)</f>
        <v>0</v>
      </c>
      <c r="J53" s="147" t="n">
        <f aca="false">IF(AND(J$28&gt;=$C53+$B$13,J$28&lt;$C53+$B$13+$B$10),$E53,0)</f>
        <v>0</v>
      </c>
      <c r="K53" s="147" t="n">
        <f aca="false">IF(AND(K$28&gt;=$C53+$B$13,K$28&lt;$C53+$B$13+$B$10),$E53,0)</f>
        <v>0</v>
      </c>
      <c r="L53" s="147" t="n">
        <f aca="false">IF(AND(L$28&gt;=$C53+$B$13,L$28&lt;$C53+$B$13+$B$10),$E53,0)</f>
        <v>0</v>
      </c>
      <c r="M53" s="147" t="n">
        <f aca="false">IF(AND(M$28&gt;=$C53+$B$13,M$28&lt;$C53+$B$13+$B$10),$E53,0)</f>
        <v>0</v>
      </c>
      <c r="N53" s="147" t="n">
        <f aca="false">IF(AND(N$28&gt;=$C53+$B$13,N$28&lt;$C53+$B$13+$B$10),$E53,0)</f>
        <v>0</v>
      </c>
      <c r="O53" s="147" t="n">
        <f aca="false">IF(AND(O$28&gt;=$C53+$B$13,O$28&lt;$C53+$B$13+$B$10),$E53,0)</f>
        <v>0</v>
      </c>
      <c r="P53" s="147" t="n">
        <f aca="false">IF(AND(P$28&gt;=$C53+$B$13,P$28&lt;$C53+$B$13+$B$10),$E53,0)</f>
        <v>0</v>
      </c>
      <c r="Q53" s="147" t="n">
        <f aca="false">IF(AND(Q$28&gt;=$C53+$B$13,Q$28&lt;$C53+$B$13+$B$10),$E53,0)</f>
        <v>0</v>
      </c>
      <c r="R53" s="147" t="n">
        <f aca="false">SUM(F53:Q53)</f>
        <v>0</v>
      </c>
    </row>
    <row r="54" customFormat="false" ht="15" hidden="false" customHeight="false" outlineLevel="0" collapsed="false">
      <c r="A54" s="0" t="s">
        <v>1542</v>
      </c>
      <c r="B54" s="148" t="n">
        <f aca="false">$B$15</f>
        <v>5012</v>
      </c>
      <c r="C54" s="0" t="n">
        <v>4</v>
      </c>
      <c r="D54" s="145" t="n">
        <f aca="false">I$30</f>
        <v>86</v>
      </c>
      <c r="E54" s="147" t="n">
        <f aca="false">D54*$B$8*(1-$B$12)/$B$10</f>
        <v>5733.33333333333</v>
      </c>
      <c r="F54" s="147" t="n">
        <f aca="false">IF(AND(F$28&gt;=$C54+$B$13,F$28&lt;$C54+$B$13+$B$10),$E54,0)</f>
        <v>0</v>
      </c>
      <c r="G54" s="147" t="n">
        <f aca="false">IF(AND(G$28&gt;=$C54+$B$13,G$28&lt;$C54+$B$13+$B$10),$E54,0)</f>
        <v>0</v>
      </c>
      <c r="H54" s="147" t="n">
        <f aca="false">IF(AND(H$28&gt;=$C54+$B$13,H$28&lt;$C54+$B$13+$B$10),$E54,0)</f>
        <v>0</v>
      </c>
      <c r="I54" s="147" t="n">
        <f aca="false">IF(AND(I$28&gt;=$C54+$B$13,I$28&lt;$C54+$B$13+$B$10),$E54,0)</f>
        <v>5733.33333333333</v>
      </c>
      <c r="J54" s="147" t="n">
        <f aca="false">IF(AND(J$28&gt;=$C54+$B$13,J$28&lt;$C54+$B$13+$B$10),$E54,0)</f>
        <v>5733.33333333333</v>
      </c>
      <c r="K54" s="147" t="n">
        <f aca="false">IF(AND(K$28&gt;=$C54+$B$13,K$28&lt;$C54+$B$13+$B$10),$E54,0)</f>
        <v>5733.33333333333</v>
      </c>
      <c r="L54" s="147" t="n">
        <f aca="false">IF(AND(L$28&gt;=$C54+$B$13,L$28&lt;$C54+$B$13+$B$10),$E54,0)</f>
        <v>5733.33333333333</v>
      </c>
      <c r="M54" s="147" t="n">
        <f aca="false">IF(AND(M$28&gt;=$C54+$B$13,M$28&lt;$C54+$B$13+$B$10),$E54,0)</f>
        <v>5733.33333333333</v>
      </c>
      <c r="N54" s="147" t="n">
        <f aca="false">IF(AND(N$28&gt;=$C54+$B$13,N$28&lt;$C54+$B$13+$B$10),$E54,0)</f>
        <v>5733.33333333333</v>
      </c>
      <c r="O54" s="147" t="n">
        <f aca="false">IF(AND(O$28&gt;=$C54+$B$13,O$28&lt;$C54+$B$13+$B$10),$E54,0)</f>
        <v>5733.33333333333</v>
      </c>
      <c r="P54" s="147" t="n">
        <f aca="false">IF(AND(P$28&gt;=$C54+$B$13,P$28&lt;$C54+$B$13+$B$10),$E54,0)</f>
        <v>5733.33333333333</v>
      </c>
      <c r="Q54" s="147" t="n">
        <f aca="false">IF(AND(Q$28&gt;=$C54+$B$13,Q$28&lt;$C54+$B$13+$B$10),$E54,0)</f>
        <v>5733.33333333333</v>
      </c>
      <c r="R54" s="147" t="n">
        <f aca="false">SUM(F54:Q54)</f>
        <v>51600</v>
      </c>
    </row>
    <row r="55" customFormat="false" ht="15" hidden="false" customHeight="false" outlineLevel="0" collapsed="false">
      <c r="A55" s="0" t="s">
        <v>1543</v>
      </c>
      <c r="B55" s="148" t="n">
        <f aca="false">$B$15</f>
        <v>5012</v>
      </c>
      <c r="C55" s="0" t="n">
        <v>5</v>
      </c>
      <c r="D55" s="145" t="n">
        <f aca="false">J$30</f>
        <v>61</v>
      </c>
      <c r="E55" s="147" t="n">
        <f aca="false">D55*$B$8*(1-$B$12)/$B$10</f>
        <v>4066.66666666667</v>
      </c>
      <c r="F55" s="147" t="n">
        <f aca="false">IF(AND(F$28&gt;=$C55+$B$13,F$28&lt;$C55+$B$13+$B$10),$E55,0)</f>
        <v>0</v>
      </c>
      <c r="G55" s="147" t="n">
        <f aca="false">IF(AND(G$28&gt;=$C55+$B$13,G$28&lt;$C55+$B$13+$B$10),$E55,0)</f>
        <v>0</v>
      </c>
      <c r="H55" s="147" t="n">
        <f aca="false">IF(AND(H$28&gt;=$C55+$B$13,H$28&lt;$C55+$B$13+$B$10),$E55,0)</f>
        <v>0</v>
      </c>
      <c r="I55" s="147" t="n">
        <f aca="false">IF(AND(I$28&gt;=$C55+$B$13,I$28&lt;$C55+$B$13+$B$10),$E55,0)</f>
        <v>0</v>
      </c>
      <c r="J55" s="147" t="n">
        <f aca="false">IF(AND(J$28&gt;=$C55+$B$13,J$28&lt;$C55+$B$13+$B$10),$E55,0)</f>
        <v>4066.66666666667</v>
      </c>
      <c r="K55" s="147" t="n">
        <f aca="false">IF(AND(K$28&gt;=$C55+$B$13,K$28&lt;$C55+$B$13+$B$10),$E55,0)</f>
        <v>4066.66666666667</v>
      </c>
      <c r="L55" s="147" t="n">
        <f aca="false">IF(AND(L$28&gt;=$C55+$B$13,L$28&lt;$C55+$B$13+$B$10),$E55,0)</f>
        <v>4066.66666666667</v>
      </c>
      <c r="M55" s="147" t="n">
        <f aca="false">IF(AND(M$28&gt;=$C55+$B$13,M$28&lt;$C55+$B$13+$B$10),$E55,0)</f>
        <v>4066.66666666667</v>
      </c>
      <c r="N55" s="147" t="n">
        <f aca="false">IF(AND(N$28&gt;=$C55+$B$13,N$28&lt;$C55+$B$13+$B$10),$E55,0)</f>
        <v>4066.66666666667</v>
      </c>
      <c r="O55" s="147" t="n">
        <f aca="false">IF(AND(O$28&gt;=$C55+$B$13,O$28&lt;$C55+$B$13+$B$10),$E55,0)</f>
        <v>4066.66666666667</v>
      </c>
      <c r="P55" s="147" t="n">
        <f aca="false">IF(AND(P$28&gt;=$C55+$B$13,P$28&lt;$C55+$B$13+$B$10),$E55,0)</f>
        <v>4066.66666666667</v>
      </c>
      <c r="Q55" s="147" t="n">
        <f aca="false">IF(AND(Q$28&gt;=$C55+$B$13,Q$28&lt;$C55+$B$13+$B$10),$E55,0)</f>
        <v>4066.66666666667</v>
      </c>
      <c r="R55" s="147" t="n">
        <f aca="false">SUM(F55:Q55)</f>
        <v>32533.3333333333</v>
      </c>
    </row>
    <row r="56" customFormat="false" ht="15" hidden="false" customHeight="false" outlineLevel="0" collapsed="false">
      <c r="A56" s="0" t="s">
        <v>1544</v>
      </c>
      <c r="B56" s="148" t="n">
        <f aca="false">$B$15</f>
        <v>5012</v>
      </c>
      <c r="C56" s="0" t="n">
        <v>6</v>
      </c>
      <c r="D56" s="145" t="n">
        <f aca="false">K$30</f>
        <v>98</v>
      </c>
      <c r="E56" s="147" t="n">
        <f aca="false">D56*$B$8*(1-$B$12)/$B$10</f>
        <v>6533.33333333333</v>
      </c>
      <c r="F56" s="147" t="n">
        <f aca="false">IF(AND(F$28&gt;=$C56+$B$13,F$28&lt;$C56+$B$13+$B$10),$E56,0)</f>
        <v>0</v>
      </c>
      <c r="G56" s="147" t="n">
        <f aca="false">IF(AND(G$28&gt;=$C56+$B$13,G$28&lt;$C56+$B$13+$B$10),$E56,0)</f>
        <v>0</v>
      </c>
      <c r="H56" s="147" t="n">
        <f aca="false">IF(AND(H$28&gt;=$C56+$B$13,H$28&lt;$C56+$B$13+$B$10),$E56,0)</f>
        <v>0</v>
      </c>
      <c r="I56" s="147" t="n">
        <f aca="false">IF(AND(I$28&gt;=$C56+$B$13,I$28&lt;$C56+$B$13+$B$10),$E56,0)</f>
        <v>0</v>
      </c>
      <c r="J56" s="147" t="n">
        <f aca="false">IF(AND(J$28&gt;=$C56+$B$13,J$28&lt;$C56+$B$13+$B$10),$E56,0)</f>
        <v>0</v>
      </c>
      <c r="K56" s="147" t="n">
        <f aca="false">IF(AND(K$28&gt;=$C56+$B$13,K$28&lt;$C56+$B$13+$B$10),$E56,0)</f>
        <v>6533.33333333333</v>
      </c>
      <c r="L56" s="147" t="n">
        <f aca="false">IF(AND(L$28&gt;=$C56+$B$13,L$28&lt;$C56+$B$13+$B$10),$E56,0)</f>
        <v>6533.33333333333</v>
      </c>
      <c r="M56" s="147" t="n">
        <f aca="false">IF(AND(M$28&gt;=$C56+$B$13,M$28&lt;$C56+$B$13+$B$10),$E56,0)</f>
        <v>6533.33333333333</v>
      </c>
      <c r="N56" s="147" t="n">
        <f aca="false">IF(AND(N$28&gt;=$C56+$B$13,N$28&lt;$C56+$B$13+$B$10),$E56,0)</f>
        <v>6533.33333333333</v>
      </c>
      <c r="O56" s="147" t="n">
        <f aca="false">IF(AND(O$28&gt;=$C56+$B$13,O$28&lt;$C56+$B$13+$B$10),$E56,0)</f>
        <v>6533.33333333333</v>
      </c>
      <c r="P56" s="147" t="n">
        <f aca="false">IF(AND(P$28&gt;=$C56+$B$13,P$28&lt;$C56+$B$13+$B$10),$E56,0)</f>
        <v>6533.33333333333</v>
      </c>
      <c r="Q56" s="147" t="n">
        <f aca="false">IF(AND(Q$28&gt;=$C56+$B$13,Q$28&lt;$C56+$B$13+$B$10),$E56,0)</f>
        <v>6533.33333333333</v>
      </c>
      <c r="R56" s="147" t="n">
        <f aca="false">SUM(F56:Q56)</f>
        <v>45733.3333333333</v>
      </c>
    </row>
    <row r="57" customFormat="false" ht="15" hidden="false" customHeight="false" outlineLevel="0" collapsed="false">
      <c r="A57" s="0" t="s">
        <v>1545</v>
      </c>
      <c r="B57" s="148" t="n">
        <f aca="false">$B$15</f>
        <v>5012</v>
      </c>
      <c r="C57" s="0" t="n">
        <v>7</v>
      </c>
      <c r="D57" s="145" t="n">
        <f aca="false">L$30</f>
        <v>73</v>
      </c>
      <c r="E57" s="147" t="n">
        <f aca="false">D57*$B$8*(1-$B$12)/$B$10</f>
        <v>4866.66666666667</v>
      </c>
      <c r="F57" s="147" t="n">
        <f aca="false">IF(AND(F$28&gt;=$C57+$B$13,F$28&lt;$C57+$B$13+$B$10),$E57,0)</f>
        <v>0</v>
      </c>
      <c r="G57" s="147" t="n">
        <f aca="false">IF(AND(G$28&gt;=$C57+$B$13,G$28&lt;$C57+$B$13+$B$10),$E57,0)</f>
        <v>0</v>
      </c>
      <c r="H57" s="147" t="n">
        <f aca="false">IF(AND(H$28&gt;=$C57+$B$13,H$28&lt;$C57+$B$13+$B$10),$E57,0)</f>
        <v>0</v>
      </c>
      <c r="I57" s="147" t="n">
        <f aca="false">IF(AND(I$28&gt;=$C57+$B$13,I$28&lt;$C57+$B$13+$B$10),$E57,0)</f>
        <v>0</v>
      </c>
      <c r="J57" s="147" t="n">
        <f aca="false">IF(AND(J$28&gt;=$C57+$B$13,J$28&lt;$C57+$B$13+$B$10),$E57,0)</f>
        <v>0</v>
      </c>
      <c r="K57" s="147" t="n">
        <f aca="false">IF(AND(K$28&gt;=$C57+$B$13,K$28&lt;$C57+$B$13+$B$10),$E57,0)</f>
        <v>0</v>
      </c>
      <c r="L57" s="147" t="n">
        <f aca="false">IF(AND(L$28&gt;=$C57+$B$13,L$28&lt;$C57+$B$13+$B$10),$E57,0)</f>
        <v>4866.66666666667</v>
      </c>
      <c r="M57" s="147" t="n">
        <f aca="false">IF(AND(M$28&gt;=$C57+$B$13,M$28&lt;$C57+$B$13+$B$10),$E57,0)</f>
        <v>4866.66666666667</v>
      </c>
      <c r="N57" s="147" t="n">
        <f aca="false">IF(AND(N$28&gt;=$C57+$B$13,N$28&lt;$C57+$B$13+$B$10),$E57,0)</f>
        <v>4866.66666666667</v>
      </c>
      <c r="O57" s="147" t="n">
        <f aca="false">IF(AND(O$28&gt;=$C57+$B$13,O$28&lt;$C57+$B$13+$B$10),$E57,0)</f>
        <v>4866.66666666667</v>
      </c>
      <c r="P57" s="147" t="n">
        <f aca="false">IF(AND(P$28&gt;=$C57+$B$13,P$28&lt;$C57+$B$13+$B$10),$E57,0)</f>
        <v>4866.66666666667</v>
      </c>
      <c r="Q57" s="147" t="n">
        <f aca="false">IF(AND(Q$28&gt;=$C57+$B$13,Q$28&lt;$C57+$B$13+$B$10),$E57,0)</f>
        <v>4866.66666666667</v>
      </c>
      <c r="R57" s="147" t="n">
        <f aca="false">SUM(F57:Q57)</f>
        <v>29200</v>
      </c>
    </row>
    <row r="58" customFormat="false" ht="15" hidden="false" customHeight="false" outlineLevel="0" collapsed="false">
      <c r="A58" s="0" t="s">
        <v>1546</v>
      </c>
      <c r="B58" s="148" t="n">
        <f aca="false">$B$15</f>
        <v>5012</v>
      </c>
      <c r="C58" s="0" t="n">
        <v>8</v>
      </c>
      <c r="D58" s="145" t="n">
        <f aca="false">M$30</f>
        <v>85</v>
      </c>
      <c r="E58" s="147" t="n">
        <f aca="false">D58*$B$8*(1-$B$12)/$B$10</f>
        <v>5666.66666666667</v>
      </c>
      <c r="F58" s="147" t="n">
        <f aca="false">IF(AND(F$28&gt;=$C58+$B$13,F$28&lt;$C58+$B$13+$B$10),$E58,0)</f>
        <v>0</v>
      </c>
      <c r="G58" s="147" t="n">
        <f aca="false">IF(AND(G$28&gt;=$C58+$B$13,G$28&lt;$C58+$B$13+$B$10),$E58,0)</f>
        <v>0</v>
      </c>
      <c r="H58" s="147" t="n">
        <f aca="false">IF(AND(H$28&gt;=$C58+$B$13,H$28&lt;$C58+$B$13+$B$10),$E58,0)</f>
        <v>0</v>
      </c>
      <c r="I58" s="147" t="n">
        <f aca="false">IF(AND(I$28&gt;=$C58+$B$13,I$28&lt;$C58+$B$13+$B$10),$E58,0)</f>
        <v>0</v>
      </c>
      <c r="J58" s="147" t="n">
        <f aca="false">IF(AND(J$28&gt;=$C58+$B$13,J$28&lt;$C58+$B$13+$B$10),$E58,0)</f>
        <v>0</v>
      </c>
      <c r="K58" s="147" t="n">
        <f aca="false">IF(AND(K$28&gt;=$C58+$B$13,K$28&lt;$C58+$B$13+$B$10),$E58,0)</f>
        <v>0</v>
      </c>
      <c r="L58" s="147" t="n">
        <f aca="false">IF(AND(L$28&gt;=$C58+$B$13,L$28&lt;$C58+$B$13+$B$10),$E58,0)</f>
        <v>0</v>
      </c>
      <c r="M58" s="147" t="n">
        <f aca="false">IF(AND(M$28&gt;=$C58+$B$13,M$28&lt;$C58+$B$13+$B$10),$E58,0)</f>
        <v>5666.66666666667</v>
      </c>
      <c r="N58" s="147" t="n">
        <f aca="false">IF(AND(N$28&gt;=$C58+$B$13,N$28&lt;$C58+$B$13+$B$10),$E58,0)</f>
        <v>5666.66666666667</v>
      </c>
      <c r="O58" s="147" t="n">
        <f aca="false">IF(AND(O$28&gt;=$C58+$B$13,O$28&lt;$C58+$B$13+$B$10),$E58,0)</f>
        <v>5666.66666666667</v>
      </c>
      <c r="P58" s="147" t="n">
        <f aca="false">IF(AND(P$28&gt;=$C58+$B$13,P$28&lt;$C58+$B$13+$B$10),$E58,0)</f>
        <v>5666.66666666667</v>
      </c>
      <c r="Q58" s="147" t="n">
        <f aca="false">IF(AND(Q$28&gt;=$C58+$B$13,Q$28&lt;$C58+$B$13+$B$10),$E58,0)</f>
        <v>5666.66666666667</v>
      </c>
      <c r="R58" s="147" t="n">
        <f aca="false">SUM(F58:Q58)</f>
        <v>28333.3333333333</v>
      </c>
    </row>
    <row r="59" customFormat="false" ht="15" hidden="false" customHeight="false" outlineLevel="0" collapsed="false">
      <c r="A59" s="0" t="s">
        <v>1547</v>
      </c>
      <c r="B59" s="148" t="n">
        <f aca="false">$B$15</f>
        <v>5012</v>
      </c>
      <c r="C59" s="0" t="n">
        <v>9</v>
      </c>
      <c r="D59" s="145" t="n">
        <f aca="false">N$30</f>
        <v>122</v>
      </c>
      <c r="E59" s="147" t="n">
        <f aca="false">D59*$B$8*(1-$B$12)/$B$10</f>
        <v>8133.33333333333</v>
      </c>
      <c r="F59" s="147" t="n">
        <f aca="false">IF(AND(F$28&gt;=$C59+$B$13,F$28&lt;$C59+$B$13+$B$10),$E59,0)</f>
        <v>0</v>
      </c>
      <c r="G59" s="147" t="n">
        <f aca="false">IF(AND(G$28&gt;=$C59+$B$13,G$28&lt;$C59+$B$13+$B$10),$E59,0)</f>
        <v>0</v>
      </c>
      <c r="H59" s="147" t="n">
        <f aca="false">IF(AND(H$28&gt;=$C59+$B$13,H$28&lt;$C59+$B$13+$B$10),$E59,0)</f>
        <v>0</v>
      </c>
      <c r="I59" s="147" t="n">
        <f aca="false">IF(AND(I$28&gt;=$C59+$B$13,I$28&lt;$C59+$B$13+$B$10),$E59,0)</f>
        <v>0</v>
      </c>
      <c r="J59" s="147" t="n">
        <f aca="false">IF(AND(J$28&gt;=$C59+$B$13,J$28&lt;$C59+$B$13+$B$10),$E59,0)</f>
        <v>0</v>
      </c>
      <c r="K59" s="147" t="n">
        <f aca="false">IF(AND(K$28&gt;=$C59+$B$13,K$28&lt;$C59+$B$13+$B$10),$E59,0)</f>
        <v>0</v>
      </c>
      <c r="L59" s="147" t="n">
        <f aca="false">IF(AND(L$28&gt;=$C59+$B$13,L$28&lt;$C59+$B$13+$B$10),$E59,0)</f>
        <v>0</v>
      </c>
      <c r="M59" s="147" t="n">
        <f aca="false">IF(AND(M$28&gt;=$C59+$B$13,M$28&lt;$C59+$B$13+$B$10),$E59,0)</f>
        <v>0</v>
      </c>
      <c r="N59" s="147" t="n">
        <f aca="false">IF(AND(N$28&gt;=$C59+$B$13,N$28&lt;$C59+$B$13+$B$10),$E59,0)</f>
        <v>8133.33333333333</v>
      </c>
      <c r="O59" s="147" t="n">
        <f aca="false">IF(AND(O$28&gt;=$C59+$B$13,O$28&lt;$C59+$B$13+$B$10),$E59,0)</f>
        <v>8133.33333333333</v>
      </c>
      <c r="P59" s="147" t="n">
        <f aca="false">IF(AND(P$28&gt;=$C59+$B$13,P$28&lt;$C59+$B$13+$B$10),$E59,0)</f>
        <v>8133.33333333333</v>
      </c>
      <c r="Q59" s="147" t="n">
        <f aca="false">IF(AND(Q$28&gt;=$C59+$B$13,Q$28&lt;$C59+$B$13+$B$10),$E59,0)</f>
        <v>8133.33333333333</v>
      </c>
      <c r="R59" s="147" t="n">
        <f aca="false">SUM(F59:Q59)</f>
        <v>32533.3333333333</v>
      </c>
    </row>
    <row r="60" customFormat="false" ht="15" hidden="false" customHeight="false" outlineLevel="0" collapsed="false">
      <c r="A60" s="0" t="s">
        <v>1548</v>
      </c>
      <c r="B60" s="148" t="n">
        <f aca="false">$B$15</f>
        <v>5012</v>
      </c>
      <c r="C60" s="0" t="n">
        <v>10</v>
      </c>
      <c r="D60" s="145" t="n">
        <f aca="false">O$30</f>
        <v>122</v>
      </c>
      <c r="E60" s="147" t="n">
        <f aca="false">D60*$B$8*(1-$B$12)/$B$10</f>
        <v>8133.33333333333</v>
      </c>
      <c r="F60" s="147" t="n">
        <f aca="false">IF(AND(F$28&gt;=$C60+$B$13,F$28&lt;$C60+$B$13+$B$10),$E60,0)</f>
        <v>0</v>
      </c>
      <c r="G60" s="147" t="n">
        <f aca="false">IF(AND(G$28&gt;=$C60+$B$13,G$28&lt;$C60+$B$13+$B$10),$E60,0)</f>
        <v>0</v>
      </c>
      <c r="H60" s="147" t="n">
        <f aca="false">IF(AND(H$28&gt;=$C60+$B$13,H$28&lt;$C60+$B$13+$B$10),$E60,0)</f>
        <v>0</v>
      </c>
      <c r="I60" s="147" t="n">
        <f aca="false">IF(AND(I$28&gt;=$C60+$B$13,I$28&lt;$C60+$B$13+$B$10),$E60,0)</f>
        <v>0</v>
      </c>
      <c r="J60" s="147" t="n">
        <f aca="false">IF(AND(J$28&gt;=$C60+$B$13,J$28&lt;$C60+$B$13+$B$10),$E60,0)</f>
        <v>0</v>
      </c>
      <c r="K60" s="147" t="n">
        <f aca="false">IF(AND(K$28&gt;=$C60+$B$13,K$28&lt;$C60+$B$13+$B$10),$E60,0)</f>
        <v>0</v>
      </c>
      <c r="L60" s="147" t="n">
        <f aca="false">IF(AND(L$28&gt;=$C60+$B$13,L$28&lt;$C60+$B$13+$B$10),$E60,0)</f>
        <v>0</v>
      </c>
      <c r="M60" s="147" t="n">
        <f aca="false">IF(AND(M$28&gt;=$C60+$B$13,M$28&lt;$C60+$B$13+$B$10),$E60,0)</f>
        <v>0</v>
      </c>
      <c r="N60" s="147" t="n">
        <f aca="false">IF(AND(N$28&gt;=$C60+$B$13,N$28&lt;$C60+$B$13+$B$10),$E60,0)</f>
        <v>0</v>
      </c>
      <c r="O60" s="147" t="n">
        <f aca="false">IF(AND(O$28&gt;=$C60+$B$13,O$28&lt;$C60+$B$13+$B$10),$E60,0)</f>
        <v>8133.33333333333</v>
      </c>
      <c r="P60" s="147" t="n">
        <f aca="false">IF(AND(P$28&gt;=$C60+$B$13,P$28&lt;$C60+$B$13+$B$10),$E60,0)</f>
        <v>8133.33333333333</v>
      </c>
      <c r="Q60" s="147" t="n">
        <f aca="false">IF(AND(Q$28&gt;=$C60+$B$13,Q$28&lt;$C60+$B$13+$B$10),$E60,0)</f>
        <v>8133.33333333333</v>
      </c>
      <c r="R60" s="147" t="n">
        <f aca="false">SUM(F60:Q60)</f>
        <v>24400</v>
      </c>
    </row>
    <row r="61" customFormat="false" ht="15" hidden="false" customHeight="false" outlineLevel="0" collapsed="false">
      <c r="A61" s="0" t="s">
        <v>1549</v>
      </c>
      <c r="B61" s="148" t="n">
        <f aca="false">$B$15</f>
        <v>5012</v>
      </c>
      <c r="C61" s="0" t="n">
        <v>11</v>
      </c>
      <c r="D61" s="145" t="n">
        <f aca="false">P$30</f>
        <v>159</v>
      </c>
      <c r="E61" s="147" t="n">
        <f aca="false">D61*$B$8*(1-$B$12)/$B$10</f>
        <v>10600</v>
      </c>
      <c r="F61" s="147" t="n">
        <f aca="false">IF(AND(F$28&gt;=$C61+$B$13,F$28&lt;$C61+$B$13+$B$10),$E61,0)</f>
        <v>0</v>
      </c>
      <c r="G61" s="147" t="n">
        <f aca="false">IF(AND(G$28&gt;=$C61+$B$13,G$28&lt;$C61+$B$13+$B$10),$E61,0)</f>
        <v>0</v>
      </c>
      <c r="H61" s="147" t="n">
        <f aca="false">IF(AND(H$28&gt;=$C61+$B$13,H$28&lt;$C61+$B$13+$B$10),$E61,0)</f>
        <v>0</v>
      </c>
      <c r="I61" s="147" t="n">
        <f aca="false">IF(AND(I$28&gt;=$C61+$B$13,I$28&lt;$C61+$B$13+$B$10),$E61,0)</f>
        <v>0</v>
      </c>
      <c r="J61" s="147" t="n">
        <f aca="false">IF(AND(J$28&gt;=$C61+$B$13,J$28&lt;$C61+$B$13+$B$10),$E61,0)</f>
        <v>0</v>
      </c>
      <c r="K61" s="147" t="n">
        <f aca="false">IF(AND(K$28&gt;=$C61+$B$13,K$28&lt;$C61+$B$13+$B$10),$E61,0)</f>
        <v>0</v>
      </c>
      <c r="L61" s="147" t="n">
        <f aca="false">IF(AND(L$28&gt;=$C61+$B$13,L$28&lt;$C61+$B$13+$B$10),$E61,0)</f>
        <v>0</v>
      </c>
      <c r="M61" s="147" t="n">
        <f aca="false">IF(AND(M$28&gt;=$C61+$B$13,M$28&lt;$C61+$B$13+$B$10),$E61,0)</f>
        <v>0</v>
      </c>
      <c r="N61" s="147" t="n">
        <f aca="false">IF(AND(N$28&gt;=$C61+$B$13,N$28&lt;$C61+$B$13+$B$10),$E61,0)</f>
        <v>0</v>
      </c>
      <c r="O61" s="147" t="n">
        <f aca="false">IF(AND(O$28&gt;=$C61+$B$13,O$28&lt;$C61+$B$13+$B$10),$E61,0)</f>
        <v>0</v>
      </c>
      <c r="P61" s="147" t="n">
        <f aca="false">IF(AND(P$28&gt;=$C61+$B$13,P$28&lt;$C61+$B$13+$B$10),$E61,0)</f>
        <v>10600</v>
      </c>
      <c r="Q61" s="147" t="n">
        <f aca="false">IF(AND(Q$28&gt;=$C61+$B$13,Q$28&lt;$C61+$B$13+$B$10),$E61,0)</f>
        <v>10600</v>
      </c>
      <c r="R61" s="147" t="n">
        <f aca="false">SUM(F61:Q61)</f>
        <v>21200</v>
      </c>
    </row>
    <row r="62" customFormat="false" ht="15" hidden="false" customHeight="false" outlineLevel="0" collapsed="false">
      <c r="A62" s="0" t="s">
        <v>1550</v>
      </c>
      <c r="B62" s="148" t="n">
        <f aca="false">$B$15</f>
        <v>5012</v>
      </c>
      <c r="C62" s="0" t="n">
        <v>12</v>
      </c>
      <c r="D62" s="145" t="n">
        <f aca="false">Q$30</f>
        <v>146</v>
      </c>
      <c r="E62" s="147" t="n">
        <f aca="false">D62*$B$8*(1-$B$12)/$B$10</f>
        <v>9733.33333333333</v>
      </c>
      <c r="F62" s="147" t="n">
        <f aca="false">IF(AND(F$28&gt;=$C62+$B$13,F$28&lt;$C62+$B$13+$B$10),$E62,0)</f>
        <v>0</v>
      </c>
      <c r="G62" s="147" t="n">
        <f aca="false">IF(AND(G$28&gt;=$C62+$B$13,G$28&lt;$C62+$B$13+$B$10),$E62,0)</f>
        <v>0</v>
      </c>
      <c r="H62" s="147" t="n">
        <f aca="false">IF(AND(H$28&gt;=$C62+$B$13,H$28&lt;$C62+$B$13+$B$10),$E62,0)</f>
        <v>0</v>
      </c>
      <c r="I62" s="147" t="n">
        <f aca="false">IF(AND(I$28&gt;=$C62+$B$13,I$28&lt;$C62+$B$13+$B$10),$E62,0)</f>
        <v>0</v>
      </c>
      <c r="J62" s="147" t="n">
        <f aca="false">IF(AND(J$28&gt;=$C62+$B$13,J$28&lt;$C62+$B$13+$B$10),$E62,0)</f>
        <v>0</v>
      </c>
      <c r="K62" s="147" t="n">
        <f aca="false">IF(AND(K$28&gt;=$C62+$B$13,K$28&lt;$C62+$B$13+$B$10),$E62,0)</f>
        <v>0</v>
      </c>
      <c r="L62" s="147" t="n">
        <f aca="false">IF(AND(L$28&gt;=$C62+$B$13,L$28&lt;$C62+$B$13+$B$10),$E62,0)</f>
        <v>0</v>
      </c>
      <c r="M62" s="147" t="n">
        <f aca="false">IF(AND(M$28&gt;=$C62+$B$13,M$28&lt;$C62+$B$13+$B$10),$E62,0)</f>
        <v>0</v>
      </c>
      <c r="N62" s="147" t="n">
        <f aca="false">IF(AND(N$28&gt;=$C62+$B$13,N$28&lt;$C62+$B$13+$B$10),$E62,0)</f>
        <v>0</v>
      </c>
      <c r="O62" s="147" t="n">
        <f aca="false">IF(AND(O$28&gt;=$C62+$B$13,O$28&lt;$C62+$B$13+$B$10),$E62,0)</f>
        <v>0</v>
      </c>
      <c r="P62" s="147" t="n">
        <f aca="false">IF(AND(P$28&gt;=$C62+$B$13,P$28&lt;$C62+$B$13+$B$10),$E62,0)</f>
        <v>0</v>
      </c>
      <c r="Q62" s="147" t="n">
        <f aca="false">IF(AND(Q$28&gt;=$C62+$B$13,Q$28&lt;$C62+$B$13+$B$10),$E62,0)</f>
        <v>9733.33333333333</v>
      </c>
      <c r="R62" s="147" t="n">
        <f aca="false">SUM(F62:Q62)</f>
        <v>9733.33333333333</v>
      </c>
    </row>
    <row r="63" customFormat="false" ht="15" hidden="false" customHeight="false" outlineLevel="0" collapsed="false">
      <c r="A63" s="146" t="s">
        <v>1551</v>
      </c>
    </row>
    <row r="64" customFormat="false" ht="15" hidden="false" customHeight="false" outlineLevel="0" collapsed="false">
      <c r="A64" s="0" t="s">
        <v>1552</v>
      </c>
      <c r="B64" s="148" t="n">
        <f aca="false">$B$16</f>
        <v>5020</v>
      </c>
      <c r="C64" s="0" t="n">
        <v>1</v>
      </c>
      <c r="D64" s="145" t="n">
        <f aca="false">F$29</f>
        <v>20</v>
      </c>
      <c r="E64" s="147" t="n">
        <f aca="false">D64*$B$7*(1-$B$12)/$B$11</f>
        <v>985.119047619048</v>
      </c>
      <c r="F64" s="147" t="n">
        <f aca="false">IF(AND(F$28&gt;=$C64+$B$13,F$28&lt;$C64+$B$13+$B$11),$E64,0)</f>
        <v>985.119047619048</v>
      </c>
      <c r="G64" s="147" t="n">
        <f aca="false">IF(AND(G$28&gt;=$C64+$B$13,G$28&lt;$C64+$B$13+$B$11),$E64,0)</f>
        <v>985.119047619048</v>
      </c>
      <c r="H64" s="147" t="n">
        <f aca="false">IF(AND(H$28&gt;=$C64+$B$13,H$28&lt;$C64+$B$13+$B$11),$E64,0)</f>
        <v>985.119047619048</v>
      </c>
      <c r="I64" s="147" t="n">
        <f aca="false">IF(AND(I$28&gt;=$C64+$B$13,I$28&lt;$C64+$B$13+$B$11),$E64,0)</f>
        <v>985.119047619048</v>
      </c>
      <c r="J64" s="147" t="n">
        <f aca="false">IF(AND(J$28&gt;=$C64+$B$13,J$28&lt;$C64+$B$13+$B$11),$E64,0)</f>
        <v>985.119047619048</v>
      </c>
      <c r="K64" s="147" t="n">
        <f aca="false">IF(AND(K$28&gt;=$C64+$B$13,K$28&lt;$C64+$B$13+$B$11),$E64,0)</f>
        <v>985.119047619048</v>
      </c>
      <c r="L64" s="147" t="n">
        <f aca="false">IF(AND(L$28&gt;=$C64+$B$13,L$28&lt;$C64+$B$13+$B$11),$E64,0)</f>
        <v>985.119047619048</v>
      </c>
      <c r="M64" s="147" t="n">
        <f aca="false">IF(AND(M$28&gt;=$C64+$B$13,M$28&lt;$C64+$B$13+$B$11),$E64,0)</f>
        <v>985.119047619048</v>
      </c>
      <c r="N64" s="147" t="n">
        <f aca="false">IF(AND(N$28&gt;=$C64+$B$13,N$28&lt;$C64+$B$13+$B$11),$E64,0)</f>
        <v>985.119047619048</v>
      </c>
      <c r="O64" s="147" t="n">
        <f aca="false">IF(AND(O$28&gt;=$C64+$B$13,O$28&lt;$C64+$B$13+$B$11),$E64,0)</f>
        <v>985.119047619048</v>
      </c>
      <c r="P64" s="147" t="n">
        <f aca="false">IF(AND(P$28&gt;=$C64+$B$13,P$28&lt;$C64+$B$13+$B$11),$E64,0)</f>
        <v>985.119047619048</v>
      </c>
      <c r="Q64" s="147" t="n">
        <f aca="false">IF(AND(Q$28&gt;=$C64+$B$13,Q$28&lt;$C64+$B$13+$B$11),$E64,0)</f>
        <v>985.119047619048</v>
      </c>
      <c r="R64" s="147" t="n">
        <f aca="false">SUM(F64:Q64)</f>
        <v>11821.4285714286</v>
      </c>
      <c r="S64" s="0" t="s">
        <v>1526</v>
      </c>
    </row>
    <row r="65" customFormat="false" ht="15" hidden="false" customHeight="false" outlineLevel="0" collapsed="false">
      <c r="A65" s="0" t="s">
        <v>1553</v>
      </c>
      <c r="B65" s="148" t="n">
        <f aca="false">$B$16</f>
        <v>5020</v>
      </c>
      <c r="C65" s="0" t="n">
        <v>2</v>
      </c>
      <c r="D65" s="145" t="n">
        <f aca="false">G$29</f>
        <v>8</v>
      </c>
      <c r="E65" s="147" t="n">
        <f aca="false">D65*$B$7*(1-$B$12)/$B$11</f>
        <v>394.047619047619</v>
      </c>
      <c r="F65" s="147" t="n">
        <f aca="false">IF(AND(F$28&gt;=$C65+$B$13,F$28&lt;$C65+$B$13+$B$11),$E65,0)</f>
        <v>0</v>
      </c>
      <c r="G65" s="147" t="n">
        <f aca="false">IF(AND(G$28&gt;=$C65+$B$13,G$28&lt;$C65+$B$13+$B$11),$E65,0)</f>
        <v>394.047619047619</v>
      </c>
      <c r="H65" s="147" t="n">
        <f aca="false">IF(AND(H$28&gt;=$C65+$B$13,H$28&lt;$C65+$B$13+$B$11),$E65,0)</f>
        <v>394.047619047619</v>
      </c>
      <c r="I65" s="147" t="n">
        <f aca="false">IF(AND(I$28&gt;=$C65+$B$13,I$28&lt;$C65+$B$13+$B$11),$E65,0)</f>
        <v>394.047619047619</v>
      </c>
      <c r="J65" s="147" t="n">
        <f aca="false">IF(AND(J$28&gt;=$C65+$B$13,J$28&lt;$C65+$B$13+$B$11),$E65,0)</f>
        <v>394.047619047619</v>
      </c>
      <c r="K65" s="147" t="n">
        <f aca="false">IF(AND(K$28&gt;=$C65+$B$13,K$28&lt;$C65+$B$13+$B$11),$E65,0)</f>
        <v>394.047619047619</v>
      </c>
      <c r="L65" s="147" t="n">
        <f aca="false">IF(AND(L$28&gt;=$C65+$B$13,L$28&lt;$C65+$B$13+$B$11),$E65,0)</f>
        <v>394.047619047619</v>
      </c>
      <c r="M65" s="147" t="n">
        <f aca="false">IF(AND(M$28&gt;=$C65+$B$13,M$28&lt;$C65+$B$13+$B$11),$E65,0)</f>
        <v>394.047619047619</v>
      </c>
      <c r="N65" s="147" t="n">
        <f aca="false">IF(AND(N$28&gt;=$C65+$B$13,N$28&lt;$C65+$B$13+$B$11),$E65,0)</f>
        <v>394.047619047619</v>
      </c>
      <c r="O65" s="147" t="n">
        <f aca="false">IF(AND(O$28&gt;=$C65+$B$13,O$28&lt;$C65+$B$13+$B$11),$E65,0)</f>
        <v>394.047619047619</v>
      </c>
      <c r="P65" s="147" t="n">
        <f aca="false">IF(AND(P$28&gt;=$C65+$B$13,P$28&lt;$C65+$B$13+$B$11),$E65,0)</f>
        <v>394.047619047619</v>
      </c>
      <c r="Q65" s="147" t="n">
        <f aca="false">IF(AND(Q$28&gt;=$C65+$B$13,Q$28&lt;$C65+$B$13+$B$11),$E65,0)</f>
        <v>394.047619047619</v>
      </c>
      <c r="R65" s="147" t="n">
        <f aca="false">SUM(F65:Q65)</f>
        <v>4334.52380952381</v>
      </c>
    </row>
    <row r="66" customFormat="false" ht="15" hidden="false" customHeight="false" outlineLevel="0" collapsed="false">
      <c r="A66" s="0" t="s">
        <v>1554</v>
      </c>
      <c r="B66" s="148" t="n">
        <f aca="false">$B$16</f>
        <v>5020</v>
      </c>
      <c r="C66" s="0" t="n">
        <v>3</v>
      </c>
      <c r="D66" s="145" t="n">
        <f aca="false">H$29</f>
        <v>0</v>
      </c>
      <c r="E66" s="147" t="n">
        <f aca="false">D66*$B$7*(1-$B$12)/$B$11</f>
        <v>0</v>
      </c>
      <c r="F66" s="147" t="n">
        <f aca="false">IF(AND(F$28&gt;=$C66+$B$13,F$28&lt;$C66+$B$13+$B$11),$E66,0)</f>
        <v>0</v>
      </c>
      <c r="G66" s="147" t="n">
        <f aca="false">IF(AND(G$28&gt;=$C66+$B$13,G$28&lt;$C66+$B$13+$B$11),$E66,0)</f>
        <v>0</v>
      </c>
      <c r="H66" s="147" t="n">
        <f aca="false">IF(AND(H$28&gt;=$C66+$B$13,H$28&lt;$C66+$B$13+$B$11),$E66,0)</f>
        <v>0</v>
      </c>
      <c r="I66" s="147" t="n">
        <f aca="false">IF(AND(I$28&gt;=$C66+$B$13,I$28&lt;$C66+$B$13+$B$11),$E66,0)</f>
        <v>0</v>
      </c>
      <c r="J66" s="147" t="n">
        <f aca="false">IF(AND(J$28&gt;=$C66+$B$13,J$28&lt;$C66+$B$13+$B$11),$E66,0)</f>
        <v>0</v>
      </c>
      <c r="K66" s="147" t="n">
        <f aca="false">IF(AND(K$28&gt;=$C66+$B$13,K$28&lt;$C66+$B$13+$B$11),$E66,0)</f>
        <v>0</v>
      </c>
      <c r="L66" s="147" t="n">
        <f aca="false">IF(AND(L$28&gt;=$C66+$B$13,L$28&lt;$C66+$B$13+$B$11),$E66,0)</f>
        <v>0</v>
      </c>
      <c r="M66" s="147" t="n">
        <f aca="false">IF(AND(M$28&gt;=$C66+$B$13,M$28&lt;$C66+$B$13+$B$11),$E66,0)</f>
        <v>0</v>
      </c>
      <c r="N66" s="147" t="n">
        <f aca="false">IF(AND(N$28&gt;=$C66+$B$13,N$28&lt;$C66+$B$13+$B$11),$E66,0)</f>
        <v>0</v>
      </c>
      <c r="O66" s="147" t="n">
        <f aca="false">IF(AND(O$28&gt;=$C66+$B$13,O$28&lt;$C66+$B$13+$B$11),$E66,0)</f>
        <v>0</v>
      </c>
      <c r="P66" s="147" t="n">
        <f aca="false">IF(AND(P$28&gt;=$C66+$B$13,P$28&lt;$C66+$B$13+$B$11),$E66,0)</f>
        <v>0</v>
      </c>
      <c r="Q66" s="147" t="n">
        <f aca="false">IF(AND(Q$28&gt;=$C66+$B$13,Q$28&lt;$C66+$B$13+$B$11),$E66,0)</f>
        <v>0</v>
      </c>
      <c r="R66" s="147" t="n">
        <f aca="false">SUM(F66:Q66)</f>
        <v>0</v>
      </c>
    </row>
    <row r="67" customFormat="false" ht="15" hidden="false" customHeight="false" outlineLevel="0" collapsed="false">
      <c r="A67" s="0" t="s">
        <v>1555</v>
      </c>
      <c r="B67" s="148" t="n">
        <f aca="false">$B$16</f>
        <v>5020</v>
      </c>
      <c r="C67" s="0" t="n">
        <v>4</v>
      </c>
      <c r="D67" s="145" t="n">
        <f aca="false">I$29</f>
        <v>22</v>
      </c>
      <c r="E67" s="147" t="n">
        <f aca="false">D67*$B$7*(1-$B$12)/$B$11</f>
        <v>1083.63095238095</v>
      </c>
      <c r="F67" s="147" t="n">
        <f aca="false">IF(AND(F$28&gt;=$C67+$B$13,F$28&lt;$C67+$B$13+$B$11),$E67,0)</f>
        <v>0</v>
      </c>
      <c r="G67" s="147" t="n">
        <f aca="false">IF(AND(G$28&gt;=$C67+$B$13,G$28&lt;$C67+$B$13+$B$11),$E67,0)</f>
        <v>0</v>
      </c>
      <c r="H67" s="147" t="n">
        <f aca="false">IF(AND(H$28&gt;=$C67+$B$13,H$28&lt;$C67+$B$13+$B$11),$E67,0)</f>
        <v>0</v>
      </c>
      <c r="I67" s="147" t="n">
        <f aca="false">IF(AND(I$28&gt;=$C67+$B$13,I$28&lt;$C67+$B$13+$B$11),$E67,0)</f>
        <v>1083.63095238095</v>
      </c>
      <c r="J67" s="147" t="n">
        <f aca="false">IF(AND(J$28&gt;=$C67+$B$13,J$28&lt;$C67+$B$13+$B$11),$E67,0)</f>
        <v>1083.63095238095</v>
      </c>
      <c r="K67" s="147" t="n">
        <f aca="false">IF(AND(K$28&gt;=$C67+$B$13,K$28&lt;$C67+$B$13+$B$11),$E67,0)</f>
        <v>1083.63095238095</v>
      </c>
      <c r="L67" s="147" t="n">
        <f aca="false">IF(AND(L$28&gt;=$C67+$B$13,L$28&lt;$C67+$B$13+$B$11),$E67,0)</f>
        <v>1083.63095238095</v>
      </c>
      <c r="M67" s="147" t="n">
        <f aca="false">IF(AND(M$28&gt;=$C67+$B$13,M$28&lt;$C67+$B$13+$B$11),$E67,0)</f>
        <v>1083.63095238095</v>
      </c>
      <c r="N67" s="147" t="n">
        <f aca="false">IF(AND(N$28&gt;=$C67+$B$13,N$28&lt;$C67+$B$13+$B$11),$E67,0)</f>
        <v>1083.63095238095</v>
      </c>
      <c r="O67" s="147" t="n">
        <f aca="false">IF(AND(O$28&gt;=$C67+$B$13,O$28&lt;$C67+$B$13+$B$11),$E67,0)</f>
        <v>1083.63095238095</v>
      </c>
      <c r="P67" s="147" t="n">
        <f aca="false">IF(AND(P$28&gt;=$C67+$B$13,P$28&lt;$C67+$B$13+$B$11),$E67,0)</f>
        <v>1083.63095238095</v>
      </c>
      <c r="Q67" s="147" t="n">
        <f aca="false">IF(AND(Q$28&gt;=$C67+$B$13,Q$28&lt;$C67+$B$13+$B$11),$E67,0)</f>
        <v>1083.63095238095</v>
      </c>
      <c r="R67" s="147" t="n">
        <f aca="false">SUM(F67:Q67)</f>
        <v>9752.67857142857</v>
      </c>
    </row>
    <row r="68" customFormat="false" ht="15" hidden="false" customHeight="false" outlineLevel="0" collapsed="false">
      <c r="A68" s="0" t="s">
        <v>1556</v>
      </c>
      <c r="B68" s="148" t="n">
        <f aca="false">$B$16</f>
        <v>5020</v>
      </c>
      <c r="C68" s="0" t="n">
        <v>5</v>
      </c>
      <c r="D68" s="145" t="n">
        <f aca="false">J$29</f>
        <v>14</v>
      </c>
      <c r="E68" s="147" t="n">
        <f aca="false">D68*$B$7*(1-$B$12)/$B$11</f>
        <v>689.583333333333</v>
      </c>
      <c r="F68" s="147" t="n">
        <f aca="false">IF(AND(F$28&gt;=$C68+$B$13,F$28&lt;$C68+$B$13+$B$11),$E68,0)</f>
        <v>0</v>
      </c>
      <c r="G68" s="147" t="n">
        <f aca="false">IF(AND(G$28&gt;=$C68+$B$13,G$28&lt;$C68+$B$13+$B$11),$E68,0)</f>
        <v>0</v>
      </c>
      <c r="H68" s="147" t="n">
        <f aca="false">IF(AND(H$28&gt;=$C68+$B$13,H$28&lt;$C68+$B$13+$B$11),$E68,0)</f>
        <v>0</v>
      </c>
      <c r="I68" s="147" t="n">
        <f aca="false">IF(AND(I$28&gt;=$C68+$B$13,I$28&lt;$C68+$B$13+$B$11),$E68,0)</f>
        <v>0</v>
      </c>
      <c r="J68" s="147" t="n">
        <f aca="false">IF(AND(J$28&gt;=$C68+$B$13,J$28&lt;$C68+$B$13+$B$11),$E68,0)</f>
        <v>689.583333333333</v>
      </c>
      <c r="K68" s="147" t="n">
        <f aca="false">IF(AND(K$28&gt;=$C68+$B$13,K$28&lt;$C68+$B$13+$B$11),$E68,0)</f>
        <v>689.583333333333</v>
      </c>
      <c r="L68" s="147" t="n">
        <f aca="false">IF(AND(L$28&gt;=$C68+$B$13,L$28&lt;$C68+$B$13+$B$11),$E68,0)</f>
        <v>689.583333333333</v>
      </c>
      <c r="M68" s="147" t="n">
        <f aca="false">IF(AND(M$28&gt;=$C68+$B$13,M$28&lt;$C68+$B$13+$B$11),$E68,0)</f>
        <v>689.583333333333</v>
      </c>
      <c r="N68" s="147" t="n">
        <f aca="false">IF(AND(N$28&gt;=$C68+$B$13,N$28&lt;$C68+$B$13+$B$11),$E68,0)</f>
        <v>689.583333333333</v>
      </c>
      <c r="O68" s="147" t="n">
        <f aca="false">IF(AND(O$28&gt;=$C68+$B$13,O$28&lt;$C68+$B$13+$B$11),$E68,0)</f>
        <v>689.583333333333</v>
      </c>
      <c r="P68" s="147" t="n">
        <f aca="false">IF(AND(P$28&gt;=$C68+$B$13,P$28&lt;$C68+$B$13+$B$11),$E68,0)</f>
        <v>689.583333333333</v>
      </c>
      <c r="Q68" s="147" t="n">
        <f aca="false">IF(AND(Q$28&gt;=$C68+$B$13,Q$28&lt;$C68+$B$13+$B$11),$E68,0)</f>
        <v>689.583333333333</v>
      </c>
      <c r="R68" s="147" t="n">
        <f aca="false">SUM(F68:Q68)</f>
        <v>5516.66666666667</v>
      </c>
    </row>
    <row r="69" customFormat="false" ht="15" hidden="false" customHeight="false" outlineLevel="0" collapsed="false">
      <c r="A69" s="0" t="s">
        <v>1557</v>
      </c>
      <c r="B69" s="148" t="n">
        <f aca="false">$B$16</f>
        <v>5020</v>
      </c>
      <c r="C69" s="0" t="n">
        <v>6</v>
      </c>
      <c r="D69" s="145" t="n">
        <f aca="false">K$29</f>
        <v>20</v>
      </c>
      <c r="E69" s="147" t="n">
        <f aca="false">D69*$B$7*(1-$B$12)/$B$11</f>
        <v>985.119047619048</v>
      </c>
      <c r="F69" s="147" t="n">
        <f aca="false">IF(AND(F$28&gt;=$C69+$B$13,F$28&lt;$C69+$B$13+$B$11),$E69,0)</f>
        <v>0</v>
      </c>
      <c r="G69" s="147" t="n">
        <f aca="false">IF(AND(G$28&gt;=$C69+$B$13,G$28&lt;$C69+$B$13+$B$11),$E69,0)</f>
        <v>0</v>
      </c>
      <c r="H69" s="147" t="n">
        <f aca="false">IF(AND(H$28&gt;=$C69+$B$13,H$28&lt;$C69+$B$13+$B$11),$E69,0)</f>
        <v>0</v>
      </c>
      <c r="I69" s="147" t="n">
        <f aca="false">IF(AND(I$28&gt;=$C69+$B$13,I$28&lt;$C69+$B$13+$B$11),$E69,0)</f>
        <v>0</v>
      </c>
      <c r="J69" s="147" t="n">
        <f aca="false">IF(AND(J$28&gt;=$C69+$B$13,J$28&lt;$C69+$B$13+$B$11),$E69,0)</f>
        <v>0</v>
      </c>
      <c r="K69" s="147" t="n">
        <f aca="false">IF(AND(K$28&gt;=$C69+$B$13,K$28&lt;$C69+$B$13+$B$11),$E69,0)</f>
        <v>985.119047619048</v>
      </c>
      <c r="L69" s="147" t="n">
        <f aca="false">IF(AND(L$28&gt;=$C69+$B$13,L$28&lt;$C69+$B$13+$B$11),$E69,0)</f>
        <v>985.119047619048</v>
      </c>
      <c r="M69" s="147" t="n">
        <f aca="false">IF(AND(M$28&gt;=$C69+$B$13,M$28&lt;$C69+$B$13+$B$11),$E69,0)</f>
        <v>985.119047619048</v>
      </c>
      <c r="N69" s="147" t="n">
        <f aca="false">IF(AND(N$28&gt;=$C69+$B$13,N$28&lt;$C69+$B$13+$B$11),$E69,0)</f>
        <v>985.119047619048</v>
      </c>
      <c r="O69" s="147" t="n">
        <f aca="false">IF(AND(O$28&gt;=$C69+$B$13,O$28&lt;$C69+$B$13+$B$11),$E69,0)</f>
        <v>985.119047619048</v>
      </c>
      <c r="P69" s="147" t="n">
        <f aca="false">IF(AND(P$28&gt;=$C69+$B$13,P$28&lt;$C69+$B$13+$B$11),$E69,0)</f>
        <v>985.119047619048</v>
      </c>
      <c r="Q69" s="147" t="n">
        <f aca="false">IF(AND(Q$28&gt;=$C69+$B$13,Q$28&lt;$C69+$B$13+$B$11),$E69,0)</f>
        <v>985.119047619048</v>
      </c>
      <c r="R69" s="147" t="n">
        <f aca="false">SUM(F69:Q69)</f>
        <v>6895.83333333333</v>
      </c>
    </row>
    <row r="70" customFormat="false" ht="15" hidden="false" customHeight="false" outlineLevel="0" collapsed="false">
      <c r="A70" s="0" t="s">
        <v>1558</v>
      </c>
      <c r="B70" s="148" t="n">
        <f aca="false">$B$16</f>
        <v>5020</v>
      </c>
      <c r="C70" s="0" t="n">
        <v>7</v>
      </c>
      <c r="D70" s="145" t="n">
        <f aca="false">L$29</f>
        <v>18</v>
      </c>
      <c r="E70" s="147" t="n">
        <f aca="false">D70*$B$7*(1-$B$12)/$B$11</f>
        <v>886.607142857143</v>
      </c>
      <c r="F70" s="147" t="n">
        <f aca="false">IF(AND(F$28&gt;=$C70+$B$13,F$28&lt;$C70+$B$13+$B$11),$E70,0)</f>
        <v>0</v>
      </c>
      <c r="G70" s="147" t="n">
        <f aca="false">IF(AND(G$28&gt;=$C70+$B$13,G$28&lt;$C70+$B$13+$B$11),$E70,0)</f>
        <v>0</v>
      </c>
      <c r="H70" s="147" t="n">
        <f aca="false">IF(AND(H$28&gt;=$C70+$B$13,H$28&lt;$C70+$B$13+$B$11),$E70,0)</f>
        <v>0</v>
      </c>
      <c r="I70" s="147" t="n">
        <f aca="false">IF(AND(I$28&gt;=$C70+$B$13,I$28&lt;$C70+$B$13+$B$11),$E70,0)</f>
        <v>0</v>
      </c>
      <c r="J70" s="147" t="n">
        <f aca="false">IF(AND(J$28&gt;=$C70+$B$13,J$28&lt;$C70+$B$13+$B$11),$E70,0)</f>
        <v>0</v>
      </c>
      <c r="K70" s="147" t="n">
        <f aca="false">IF(AND(K$28&gt;=$C70+$B$13,K$28&lt;$C70+$B$13+$B$11),$E70,0)</f>
        <v>0</v>
      </c>
      <c r="L70" s="147" t="n">
        <f aca="false">IF(AND(L$28&gt;=$C70+$B$13,L$28&lt;$C70+$B$13+$B$11),$E70,0)</f>
        <v>886.607142857143</v>
      </c>
      <c r="M70" s="147" t="n">
        <f aca="false">IF(AND(M$28&gt;=$C70+$B$13,M$28&lt;$C70+$B$13+$B$11),$E70,0)</f>
        <v>886.607142857143</v>
      </c>
      <c r="N70" s="147" t="n">
        <f aca="false">IF(AND(N$28&gt;=$C70+$B$13,N$28&lt;$C70+$B$13+$B$11),$E70,0)</f>
        <v>886.607142857143</v>
      </c>
      <c r="O70" s="147" t="n">
        <f aca="false">IF(AND(O$28&gt;=$C70+$B$13,O$28&lt;$C70+$B$13+$B$11),$E70,0)</f>
        <v>886.607142857143</v>
      </c>
      <c r="P70" s="147" t="n">
        <f aca="false">IF(AND(P$28&gt;=$C70+$B$13,P$28&lt;$C70+$B$13+$B$11),$E70,0)</f>
        <v>886.607142857143</v>
      </c>
      <c r="Q70" s="147" t="n">
        <f aca="false">IF(AND(Q$28&gt;=$C70+$B$13,Q$28&lt;$C70+$B$13+$B$11),$E70,0)</f>
        <v>886.607142857143</v>
      </c>
      <c r="R70" s="147" t="n">
        <f aca="false">SUM(F70:Q70)</f>
        <v>5319.64285714286</v>
      </c>
    </row>
    <row r="71" customFormat="false" ht="15" hidden="false" customHeight="false" outlineLevel="0" collapsed="false">
      <c r="A71" s="0" t="s">
        <v>1559</v>
      </c>
      <c r="B71" s="148" t="n">
        <f aca="false">$B$16</f>
        <v>5020</v>
      </c>
      <c r="C71" s="0" t="n">
        <v>8</v>
      </c>
      <c r="D71" s="145" t="n">
        <f aca="false">M$29</f>
        <v>22</v>
      </c>
      <c r="E71" s="147" t="n">
        <f aca="false">D71*$B$7*(1-$B$12)/$B$11</f>
        <v>1083.63095238095</v>
      </c>
      <c r="F71" s="147" t="n">
        <f aca="false">IF(AND(F$28&gt;=$C71+$B$13,F$28&lt;$C71+$B$13+$B$11),$E71,0)</f>
        <v>0</v>
      </c>
      <c r="G71" s="147" t="n">
        <f aca="false">IF(AND(G$28&gt;=$C71+$B$13,G$28&lt;$C71+$B$13+$B$11),$E71,0)</f>
        <v>0</v>
      </c>
      <c r="H71" s="147" t="n">
        <f aca="false">IF(AND(H$28&gt;=$C71+$B$13,H$28&lt;$C71+$B$13+$B$11),$E71,0)</f>
        <v>0</v>
      </c>
      <c r="I71" s="147" t="n">
        <f aca="false">IF(AND(I$28&gt;=$C71+$B$13,I$28&lt;$C71+$B$13+$B$11),$E71,0)</f>
        <v>0</v>
      </c>
      <c r="J71" s="147" t="n">
        <f aca="false">IF(AND(J$28&gt;=$C71+$B$13,J$28&lt;$C71+$B$13+$B$11),$E71,0)</f>
        <v>0</v>
      </c>
      <c r="K71" s="147" t="n">
        <f aca="false">IF(AND(K$28&gt;=$C71+$B$13,K$28&lt;$C71+$B$13+$B$11),$E71,0)</f>
        <v>0</v>
      </c>
      <c r="L71" s="147" t="n">
        <f aca="false">IF(AND(L$28&gt;=$C71+$B$13,L$28&lt;$C71+$B$13+$B$11),$E71,0)</f>
        <v>0</v>
      </c>
      <c r="M71" s="147" t="n">
        <f aca="false">IF(AND(M$28&gt;=$C71+$B$13,M$28&lt;$C71+$B$13+$B$11),$E71,0)</f>
        <v>1083.63095238095</v>
      </c>
      <c r="N71" s="147" t="n">
        <f aca="false">IF(AND(N$28&gt;=$C71+$B$13,N$28&lt;$C71+$B$13+$B$11),$E71,0)</f>
        <v>1083.63095238095</v>
      </c>
      <c r="O71" s="147" t="n">
        <f aca="false">IF(AND(O$28&gt;=$C71+$B$13,O$28&lt;$C71+$B$13+$B$11),$E71,0)</f>
        <v>1083.63095238095</v>
      </c>
      <c r="P71" s="147" t="n">
        <f aca="false">IF(AND(P$28&gt;=$C71+$B$13,P$28&lt;$C71+$B$13+$B$11),$E71,0)</f>
        <v>1083.63095238095</v>
      </c>
      <c r="Q71" s="147" t="n">
        <f aca="false">IF(AND(Q$28&gt;=$C71+$B$13,Q$28&lt;$C71+$B$13+$B$11),$E71,0)</f>
        <v>1083.63095238095</v>
      </c>
      <c r="R71" s="147" t="n">
        <f aca="false">SUM(F71:Q71)</f>
        <v>5418.15476190476</v>
      </c>
    </row>
    <row r="72" customFormat="false" ht="15" hidden="false" customHeight="false" outlineLevel="0" collapsed="false">
      <c r="A72" s="0" t="s">
        <v>1560</v>
      </c>
      <c r="B72" s="148" t="n">
        <f aca="false">$B$16</f>
        <v>5020</v>
      </c>
      <c r="C72" s="0" t="n">
        <v>9</v>
      </c>
      <c r="D72" s="145" t="n">
        <f aca="false">N$29</f>
        <v>28</v>
      </c>
      <c r="E72" s="147" t="n">
        <f aca="false">D72*$B$7*(1-$B$12)/$B$11</f>
        <v>1379.16666666667</v>
      </c>
      <c r="F72" s="147" t="n">
        <f aca="false">IF(AND(F$28&gt;=$C72+$B$13,F$28&lt;$C72+$B$13+$B$11),$E72,0)</f>
        <v>0</v>
      </c>
      <c r="G72" s="147" t="n">
        <f aca="false">IF(AND(G$28&gt;=$C72+$B$13,G$28&lt;$C72+$B$13+$B$11),$E72,0)</f>
        <v>0</v>
      </c>
      <c r="H72" s="147" t="n">
        <f aca="false">IF(AND(H$28&gt;=$C72+$B$13,H$28&lt;$C72+$B$13+$B$11),$E72,0)</f>
        <v>0</v>
      </c>
      <c r="I72" s="147" t="n">
        <f aca="false">IF(AND(I$28&gt;=$C72+$B$13,I$28&lt;$C72+$B$13+$B$11),$E72,0)</f>
        <v>0</v>
      </c>
      <c r="J72" s="147" t="n">
        <f aca="false">IF(AND(J$28&gt;=$C72+$B$13,J$28&lt;$C72+$B$13+$B$11),$E72,0)</f>
        <v>0</v>
      </c>
      <c r="K72" s="147" t="n">
        <f aca="false">IF(AND(K$28&gt;=$C72+$B$13,K$28&lt;$C72+$B$13+$B$11),$E72,0)</f>
        <v>0</v>
      </c>
      <c r="L72" s="147" t="n">
        <f aca="false">IF(AND(L$28&gt;=$C72+$B$13,L$28&lt;$C72+$B$13+$B$11),$E72,0)</f>
        <v>0</v>
      </c>
      <c r="M72" s="147" t="n">
        <f aca="false">IF(AND(M$28&gt;=$C72+$B$13,M$28&lt;$C72+$B$13+$B$11),$E72,0)</f>
        <v>0</v>
      </c>
      <c r="N72" s="147" t="n">
        <f aca="false">IF(AND(N$28&gt;=$C72+$B$13,N$28&lt;$C72+$B$13+$B$11),$E72,0)</f>
        <v>1379.16666666667</v>
      </c>
      <c r="O72" s="147" t="n">
        <f aca="false">IF(AND(O$28&gt;=$C72+$B$13,O$28&lt;$C72+$B$13+$B$11),$E72,0)</f>
        <v>1379.16666666667</v>
      </c>
      <c r="P72" s="147" t="n">
        <f aca="false">IF(AND(P$28&gt;=$C72+$B$13,P$28&lt;$C72+$B$13+$B$11),$E72,0)</f>
        <v>1379.16666666667</v>
      </c>
      <c r="Q72" s="147" t="n">
        <f aca="false">IF(AND(Q$28&gt;=$C72+$B$13,Q$28&lt;$C72+$B$13+$B$11),$E72,0)</f>
        <v>1379.16666666667</v>
      </c>
      <c r="R72" s="147" t="n">
        <f aca="false">SUM(F72:Q72)</f>
        <v>5516.66666666667</v>
      </c>
    </row>
    <row r="73" customFormat="false" ht="15" hidden="false" customHeight="false" outlineLevel="0" collapsed="false">
      <c r="A73" s="0" t="s">
        <v>1561</v>
      </c>
      <c r="B73" s="148" t="n">
        <f aca="false">$B$16</f>
        <v>5020</v>
      </c>
      <c r="C73" s="0" t="n">
        <v>10</v>
      </c>
      <c r="D73" s="145" t="n">
        <f aca="false">O$29</f>
        <v>28</v>
      </c>
      <c r="E73" s="147" t="n">
        <f aca="false">D73*$B$7*(1-$B$12)/$B$11</f>
        <v>1379.16666666667</v>
      </c>
      <c r="F73" s="147" t="n">
        <f aca="false">IF(AND(F$28&gt;=$C73+$B$13,F$28&lt;$C73+$B$13+$B$11),$E73,0)</f>
        <v>0</v>
      </c>
      <c r="G73" s="147" t="n">
        <f aca="false">IF(AND(G$28&gt;=$C73+$B$13,G$28&lt;$C73+$B$13+$B$11),$E73,0)</f>
        <v>0</v>
      </c>
      <c r="H73" s="147" t="n">
        <f aca="false">IF(AND(H$28&gt;=$C73+$B$13,H$28&lt;$C73+$B$13+$B$11),$E73,0)</f>
        <v>0</v>
      </c>
      <c r="I73" s="147" t="n">
        <f aca="false">IF(AND(I$28&gt;=$C73+$B$13,I$28&lt;$C73+$B$13+$B$11),$E73,0)</f>
        <v>0</v>
      </c>
      <c r="J73" s="147" t="n">
        <f aca="false">IF(AND(J$28&gt;=$C73+$B$13,J$28&lt;$C73+$B$13+$B$11),$E73,0)</f>
        <v>0</v>
      </c>
      <c r="K73" s="147" t="n">
        <f aca="false">IF(AND(K$28&gt;=$C73+$B$13,K$28&lt;$C73+$B$13+$B$11),$E73,0)</f>
        <v>0</v>
      </c>
      <c r="L73" s="147" t="n">
        <f aca="false">IF(AND(L$28&gt;=$C73+$B$13,L$28&lt;$C73+$B$13+$B$11),$E73,0)</f>
        <v>0</v>
      </c>
      <c r="M73" s="147" t="n">
        <f aca="false">IF(AND(M$28&gt;=$C73+$B$13,M$28&lt;$C73+$B$13+$B$11),$E73,0)</f>
        <v>0</v>
      </c>
      <c r="N73" s="147" t="n">
        <f aca="false">IF(AND(N$28&gt;=$C73+$B$13,N$28&lt;$C73+$B$13+$B$11),$E73,0)</f>
        <v>0</v>
      </c>
      <c r="O73" s="147" t="n">
        <f aca="false">IF(AND(O$28&gt;=$C73+$B$13,O$28&lt;$C73+$B$13+$B$11),$E73,0)</f>
        <v>1379.16666666667</v>
      </c>
      <c r="P73" s="147" t="n">
        <f aca="false">IF(AND(P$28&gt;=$C73+$B$13,P$28&lt;$C73+$B$13+$B$11),$E73,0)</f>
        <v>1379.16666666667</v>
      </c>
      <c r="Q73" s="147" t="n">
        <f aca="false">IF(AND(Q$28&gt;=$C73+$B$13,Q$28&lt;$C73+$B$13+$B$11),$E73,0)</f>
        <v>1379.16666666667</v>
      </c>
      <c r="R73" s="147" t="n">
        <f aca="false">SUM(F73:Q73)</f>
        <v>4137.5</v>
      </c>
    </row>
    <row r="74" customFormat="false" ht="15" hidden="false" customHeight="false" outlineLevel="0" collapsed="false">
      <c r="A74" s="0" t="s">
        <v>1562</v>
      </c>
      <c r="B74" s="148" t="n">
        <f aca="false">$B$16</f>
        <v>5020</v>
      </c>
      <c r="C74" s="0" t="n">
        <v>11</v>
      </c>
      <c r="D74" s="145" t="n">
        <f aca="false">P$29</f>
        <v>34</v>
      </c>
      <c r="E74" s="147" t="n">
        <f aca="false">D74*$B$7*(1-$B$12)/$B$11</f>
        <v>1674.70238095238</v>
      </c>
      <c r="F74" s="147" t="n">
        <f aca="false">IF(AND(F$28&gt;=$C74+$B$13,F$28&lt;$C74+$B$13+$B$11),$E74,0)</f>
        <v>0</v>
      </c>
      <c r="G74" s="147" t="n">
        <f aca="false">IF(AND(G$28&gt;=$C74+$B$13,G$28&lt;$C74+$B$13+$B$11),$E74,0)</f>
        <v>0</v>
      </c>
      <c r="H74" s="147" t="n">
        <f aca="false">IF(AND(H$28&gt;=$C74+$B$13,H$28&lt;$C74+$B$13+$B$11),$E74,0)</f>
        <v>0</v>
      </c>
      <c r="I74" s="147" t="n">
        <f aca="false">IF(AND(I$28&gt;=$C74+$B$13,I$28&lt;$C74+$B$13+$B$11),$E74,0)</f>
        <v>0</v>
      </c>
      <c r="J74" s="147" t="n">
        <f aca="false">IF(AND(J$28&gt;=$C74+$B$13,J$28&lt;$C74+$B$13+$B$11),$E74,0)</f>
        <v>0</v>
      </c>
      <c r="K74" s="147" t="n">
        <f aca="false">IF(AND(K$28&gt;=$C74+$B$13,K$28&lt;$C74+$B$13+$B$11),$E74,0)</f>
        <v>0</v>
      </c>
      <c r="L74" s="147" t="n">
        <f aca="false">IF(AND(L$28&gt;=$C74+$B$13,L$28&lt;$C74+$B$13+$B$11),$E74,0)</f>
        <v>0</v>
      </c>
      <c r="M74" s="147" t="n">
        <f aca="false">IF(AND(M$28&gt;=$C74+$B$13,M$28&lt;$C74+$B$13+$B$11),$E74,0)</f>
        <v>0</v>
      </c>
      <c r="N74" s="147" t="n">
        <f aca="false">IF(AND(N$28&gt;=$C74+$B$13,N$28&lt;$C74+$B$13+$B$11),$E74,0)</f>
        <v>0</v>
      </c>
      <c r="O74" s="147" t="n">
        <f aca="false">IF(AND(O$28&gt;=$C74+$B$13,O$28&lt;$C74+$B$13+$B$11),$E74,0)</f>
        <v>0</v>
      </c>
      <c r="P74" s="147" t="n">
        <f aca="false">IF(AND(P$28&gt;=$C74+$B$13,P$28&lt;$C74+$B$13+$B$11),$E74,0)</f>
        <v>1674.70238095238</v>
      </c>
      <c r="Q74" s="147" t="n">
        <f aca="false">IF(AND(Q$28&gt;=$C74+$B$13,Q$28&lt;$C74+$B$13+$B$11),$E74,0)</f>
        <v>1674.70238095238</v>
      </c>
      <c r="R74" s="147" t="n">
        <f aca="false">SUM(F74:Q74)</f>
        <v>3349.40476190476</v>
      </c>
    </row>
    <row r="75" customFormat="false" ht="15" hidden="false" customHeight="false" outlineLevel="0" collapsed="false">
      <c r="A75" s="0" t="s">
        <v>1563</v>
      </c>
      <c r="B75" s="148" t="n">
        <f aca="false">$B$16</f>
        <v>5020</v>
      </c>
      <c r="C75" s="0" t="n">
        <v>12</v>
      </c>
      <c r="D75" s="145" t="n">
        <f aca="false">Q$29</f>
        <v>36</v>
      </c>
      <c r="E75" s="147" t="n">
        <f aca="false">D75*$B$7*(1-$B$12)/$B$11</f>
        <v>1773.21428571429</v>
      </c>
      <c r="F75" s="147" t="n">
        <f aca="false">IF(AND(F$28&gt;=$C75+$B$13,F$28&lt;$C75+$B$13+$B$11),$E75,0)</f>
        <v>0</v>
      </c>
      <c r="G75" s="147" t="n">
        <f aca="false">IF(AND(G$28&gt;=$C75+$B$13,G$28&lt;$C75+$B$13+$B$11),$E75,0)</f>
        <v>0</v>
      </c>
      <c r="H75" s="147" t="n">
        <f aca="false">IF(AND(H$28&gt;=$C75+$B$13,H$28&lt;$C75+$B$13+$B$11),$E75,0)</f>
        <v>0</v>
      </c>
      <c r="I75" s="147" t="n">
        <f aca="false">IF(AND(I$28&gt;=$C75+$B$13,I$28&lt;$C75+$B$13+$B$11),$E75,0)</f>
        <v>0</v>
      </c>
      <c r="J75" s="147" t="n">
        <f aca="false">IF(AND(J$28&gt;=$C75+$B$13,J$28&lt;$C75+$B$13+$B$11),$E75,0)</f>
        <v>0</v>
      </c>
      <c r="K75" s="147" t="n">
        <f aca="false">IF(AND(K$28&gt;=$C75+$B$13,K$28&lt;$C75+$B$13+$B$11),$E75,0)</f>
        <v>0</v>
      </c>
      <c r="L75" s="147" t="n">
        <f aca="false">IF(AND(L$28&gt;=$C75+$B$13,L$28&lt;$C75+$B$13+$B$11),$E75,0)</f>
        <v>0</v>
      </c>
      <c r="M75" s="147" t="n">
        <f aca="false">IF(AND(M$28&gt;=$C75+$B$13,M$28&lt;$C75+$B$13+$B$11),$E75,0)</f>
        <v>0</v>
      </c>
      <c r="N75" s="147" t="n">
        <f aca="false">IF(AND(N$28&gt;=$C75+$B$13,N$28&lt;$C75+$B$13+$B$11),$E75,0)</f>
        <v>0</v>
      </c>
      <c r="O75" s="147" t="n">
        <f aca="false">IF(AND(O$28&gt;=$C75+$B$13,O$28&lt;$C75+$B$13+$B$11),$E75,0)</f>
        <v>0</v>
      </c>
      <c r="P75" s="147" t="n">
        <f aca="false">IF(AND(P$28&gt;=$C75+$B$13,P$28&lt;$C75+$B$13+$B$11),$E75,0)</f>
        <v>0</v>
      </c>
      <c r="Q75" s="147" t="n">
        <f aca="false">IF(AND(Q$28&gt;=$C75+$B$13,Q$28&lt;$C75+$B$13+$B$11),$E75,0)</f>
        <v>1773.21428571429</v>
      </c>
      <c r="R75" s="147" t="n">
        <f aca="false">SUM(F75:Q75)</f>
        <v>1773.21428571429</v>
      </c>
    </row>
    <row r="77" customFormat="false" ht="15" hidden="false" customHeight="false" outlineLevel="0" collapsed="false">
      <c r="A77" s="2" t="s">
        <v>1564</v>
      </c>
    </row>
    <row r="78" customFormat="false" ht="15" hidden="false" customHeight="false" outlineLevel="0" collapsed="false">
      <c r="A78" s="3" t="s">
        <v>1565</v>
      </c>
      <c r="B78" s="3" t="s">
        <v>1491</v>
      </c>
      <c r="C78" s="3" t="s">
        <v>1566</v>
      </c>
      <c r="F78" s="144" t="n">
        <f aca="false">F27</f>
        <v>46418</v>
      </c>
      <c r="G78" s="144" t="n">
        <f aca="false">G27</f>
        <v>46446</v>
      </c>
      <c r="H78" s="144" t="n">
        <f aca="false">H27</f>
        <v>46477</v>
      </c>
      <c r="I78" s="144" t="n">
        <f aca="false">I27</f>
        <v>46507</v>
      </c>
      <c r="J78" s="144" t="n">
        <f aca="false">J27</f>
        <v>46538</v>
      </c>
      <c r="K78" s="144" t="n">
        <f aca="false">K27</f>
        <v>46568</v>
      </c>
      <c r="L78" s="144" t="n">
        <f aca="false">L27</f>
        <v>46599</v>
      </c>
      <c r="M78" s="144" t="n">
        <f aca="false">M27</f>
        <v>46630</v>
      </c>
      <c r="N78" s="144" t="n">
        <f aca="false">N27</f>
        <v>46660</v>
      </c>
      <c r="O78" s="144" t="n">
        <f aca="false">O27</f>
        <v>46691</v>
      </c>
      <c r="P78" s="144" t="n">
        <f aca="false">P27</f>
        <v>46721</v>
      </c>
      <c r="Q78" s="144" t="n">
        <f aca="false">Q27</f>
        <v>46752</v>
      </c>
      <c r="R78" s="3" t="s">
        <v>1421</v>
      </c>
    </row>
    <row r="79" customFormat="false" ht="15" hidden="false" customHeight="false" outlineLevel="0" collapsed="false">
      <c r="A79" s="0" t="s">
        <v>1275</v>
      </c>
      <c r="B79" s="0" t="n">
        <v>5010</v>
      </c>
      <c r="C79" s="0" t="n">
        <v>19</v>
      </c>
      <c r="F79" s="147" t="n">
        <f aca="false">SUMIF($B$32:$B$75,$B79,F$32:F$75)</f>
        <v>112797.85</v>
      </c>
      <c r="G79" s="147" t="n">
        <f aca="false">SUMIF($B$32:$B$75,$B79,G$32:G$75)</f>
        <v>112797.85</v>
      </c>
      <c r="H79" s="147" t="n">
        <f aca="false">SUMIF($B$32:$B$75,$B79,H$32:H$75)</f>
        <v>112797.85</v>
      </c>
      <c r="I79" s="147" t="n">
        <f aca="false">SUMIF($B$32:$B$75,$B79,I$32:I$75)</f>
        <v>112797.85</v>
      </c>
      <c r="J79" s="147" t="n">
        <f aca="false">SUMIF($B$32:$B$75,$B79,J$32:J$75)</f>
        <v>112797.85</v>
      </c>
      <c r="K79" s="147" t="n">
        <f aca="false">SUMIF($B$32:$B$75,$B79,K$32:K$75)</f>
        <v>112797.85</v>
      </c>
      <c r="L79" s="147" t="n">
        <f aca="false">SUMIF($B$32:$B$75,$B79,L$32:L$75)</f>
        <v>112797.85</v>
      </c>
      <c r="M79" s="147" t="n">
        <f aca="false">SUMIF($B$32:$B$75,$B79,M$32:M$75)</f>
        <v>112797.85</v>
      </c>
      <c r="N79" s="147" t="n">
        <f aca="false">SUMIF($B$32:$B$75,$B79,N$32:N$75)</f>
        <v>112797.85</v>
      </c>
      <c r="O79" s="147" t="n">
        <f aca="false">SUMIF($B$32:$B$75,$B79,O$32:O$75)</f>
        <v>112797.85</v>
      </c>
      <c r="P79" s="147" t="n">
        <f aca="false">SUMIF($B$32:$B$75,$B79,P$32:P$75)</f>
        <v>112797.85</v>
      </c>
      <c r="Q79" s="147" t="n">
        <f aca="false">SUMIF($B$32:$B$75,$B79,Q$32:Q$75)</f>
        <v>112797.85</v>
      </c>
      <c r="R79" s="147" t="n">
        <f aca="false">SUM(F79:Q79)</f>
        <v>1353574.2</v>
      </c>
      <c r="S79" s="0" t="s">
        <v>1567</v>
      </c>
    </row>
    <row r="80" customFormat="false" ht="15" hidden="false" customHeight="false" outlineLevel="0" collapsed="false">
      <c r="A80" s="0" t="s">
        <v>1276</v>
      </c>
      <c r="B80" s="0" t="n">
        <v>5011</v>
      </c>
      <c r="C80" s="0" t="n">
        <v>20</v>
      </c>
      <c r="F80" s="147" t="n">
        <f aca="false">SUMIF($B$32:$B$75,$B80,F$32:F$75)</f>
        <v>35921.0904761905</v>
      </c>
      <c r="G80" s="147" t="n">
        <f aca="false">SUMIF($B$32:$B$75,$B80,G$32:G$75)</f>
        <v>42111.5666666667</v>
      </c>
      <c r="H80" s="147" t="n">
        <f aca="false">SUMIF($B$32:$B$75,$B80,H$32:H$75)</f>
        <v>42111.5666666667</v>
      </c>
      <c r="I80" s="147" t="n">
        <f aca="false">SUMIF($B$32:$B$75,$B80,I$32:I$75)</f>
        <v>59135.3761904762</v>
      </c>
      <c r="J80" s="147" t="n">
        <f aca="false">SUMIF($B$32:$B$75,$B80,J$32:J$75)</f>
        <v>69968.7095238095</v>
      </c>
      <c r="K80" s="147" t="n">
        <f aca="false">SUMIF($B$32:$B$75,$B80,K$32:K$75)</f>
        <v>85444.9</v>
      </c>
      <c r="L80" s="147" t="n">
        <f aca="false">SUMIF($B$32:$B$75,$B80,L$32:L$75)</f>
        <v>99373.4714285714</v>
      </c>
      <c r="M80" s="147" t="n">
        <f aca="false">SUMIF($B$32:$B$75,$B80,M$32:M$75)</f>
        <v>116397.280952381</v>
      </c>
      <c r="N80" s="147" t="n">
        <f aca="false">SUMIF($B$32:$B$75,$B80,N$32:N$75)</f>
        <v>138063.947619048</v>
      </c>
      <c r="O80" s="147" t="n">
        <f aca="false">SUMIF($B$32:$B$75,$B80,O$32:O$75)</f>
        <v>159730.614285714</v>
      </c>
      <c r="P80" s="147" t="n">
        <f aca="false">SUMIF($B$32:$B$75,$B80,P$32:P$75)</f>
        <v>186040.138095238</v>
      </c>
      <c r="Q80" s="147" t="n">
        <f aca="false">SUMIF($B$32:$B$75,$B80,Q$32:Q$75)</f>
        <v>213897.280952381</v>
      </c>
      <c r="R80" s="147" t="n">
        <f aca="false">SUM(F80:Q80)</f>
        <v>1248195.94285714</v>
      </c>
      <c r="S80" s="0" t="s">
        <v>1568</v>
      </c>
    </row>
    <row r="81" customFormat="false" ht="15" hidden="false" customHeight="false" outlineLevel="0" collapsed="false">
      <c r="A81" s="0" t="s">
        <v>1277</v>
      </c>
      <c r="B81" s="0" t="n">
        <v>5012</v>
      </c>
      <c r="C81" s="0" t="n">
        <v>21</v>
      </c>
      <c r="F81" s="147" t="n">
        <f aca="false">SUMIF($B$32:$B$75,$B81,F$32:F$75)</f>
        <v>10502.64</v>
      </c>
      <c r="G81" s="147" t="n">
        <f aca="false">SUMIF($B$32:$B$75,$B81,G$32:G$75)</f>
        <v>12102.64</v>
      </c>
      <c r="H81" s="147" t="n">
        <f aca="false">SUMIF($B$32:$B$75,$B81,H$32:H$75)</f>
        <v>12102.64</v>
      </c>
      <c r="I81" s="147" t="n">
        <f aca="false">SUMIF($B$32:$B$75,$B81,I$32:I$75)</f>
        <v>17835.9733333333</v>
      </c>
      <c r="J81" s="147" t="n">
        <f aca="false">SUMIF($B$32:$B$75,$B81,J$32:J$75)</f>
        <v>21902.64</v>
      </c>
      <c r="K81" s="147" t="n">
        <f aca="false">SUMIF($B$32:$B$75,$B81,K$32:K$75)</f>
        <v>28435.9733333333</v>
      </c>
      <c r="L81" s="147" t="n">
        <f aca="false">SUMIF($B$32:$B$75,$B81,L$32:L$75)</f>
        <v>33302.64</v>
      </c>
      <c r="M81" s="147" t="n">
        <f aca="false">SUMIF($B$32:$B$75,$B81,M$32:M$75)</f>
        <v>38969.3066666667</v>
      </c>
      <c r="N81" s="147" t="n">
        <f aca="false">SUMIF($B$32:$B$75,$B81,N$32:N$75)</f>
        <v>47102.64</v>
      </c>
      <c r="O81" s="147" t="n">
        <f aca="false">SUMIF($B$32:$B$75,$B81,O$32:O$75)</f>
        <v>55235.9733333333</v>
      </c>
      <c r="P81" s="147" t="n">
        <f aca="false">SUMIF($B$32:$B$75,$B81,P$32:P$75)</f>
        <v>65835.9733333333</v>
      </c>
      <c r="Q81" s="147" t="n">
        <f aca="false">SUMIF($B$32:$B$75,$B81,Q$32:Q$75)</f>
        <v>75569.3066666667</v>
      </c>
      <c r="R81" s="147" t="n">
        <f aca="false">SUM(F81:Q81)</f>
        <v>418898.346666667</v>
      </c>
      <c r="S81" s="0" t="s">
        <v>1569</v>
      </c>
    </row>
    <row r="82" customFormat="false" ht="15" hidden="false" customHeight="false" outlineLevel="0" collapsed="false">
      <c r="A82" s="0" t="s">
        <v>1278</v>
      </c>
      <c r="B82" s="0" t="n">
        <v>5020</v>
      </c>
      <c r="C82" s="0" t="n">
        <v>22</v>
      </c>
      <c r="F82" s="147" t="n">
        <f aca="false">SUMIF($B$32:$B$75,$B82,F$32:F$75)</f>
        <v>20510.449047619</v>
      </c>
      <c r="G82" s="147" t="n">
        <f aca="false">SUMIF($B$32:$B$75,$B82,G$32:G$75)</f>
        <v>20904.4966666667</v>
      </c>
      <c r="H82" s="147" t="n">
        <f aca="false">SUMIF($B$32:$B$75,$B82,H$32:H$75)</f>
        <v>20904.4966666667</v>
      </c>
      <c r="I82" s="147" t="n">
        <f aca="false">SUMIF($B$32:$B$75,$B82,I$32:I$75)</f>
        <v>21988.1276190476</v>
      </c>
      <c r="J82" s="147" t="n">
        <f aca="false">SUMIF($B$32:$B$75,$B82,J$32:J$75)</f>
        <v>22677.710952381</v>
      </c>
      <c r="K82" s="147" t="n">
        <f aca="false">SUMIF($B$32:$B$75,$B82,K$32:K$75)</f>
        <v>23662.83</v>
      </c>
      <c r="L82" s="147" t="n">
        <f aca="false">SUMIF($B$32:$B$75,$B82,L$32:L$75)</f>
        <v>24549.4371428571</v>
      </c>
      <c r="M82" s="147" t="n">
        <f aca="false">SUMIF($B$32:$B$75,$B82,M$32:M$75)</f>
        <v>25633.0680952381</v>
      </c>
      <c r="N82" s="147" t="n">
        <f aca="false">SUMIF($B$32:$B$75,$B82,N$32:N$75)</f>
        <v>27012.2347619048</v>
      </c>
      <c r="O82" s="147" t="n">
        <f aca="false">SUMIF($B$32:$B$75,$B82,O$32:O$75)</f>
        <v>28391.4014285714</v>
      </c>
      <c r="P82" s="147" t="n">
        <f aca="false">SUMIF($B$32:$B$75,$B82,P$32:P$75)</f>
        <v>30066.1038095238</v>
      </c>
      <c r="Q82" s="147" t="n">
        <f aca="false">SUMIF($B$32:$B$75,$B82,Q$32:Q$75)</f>
        <v>31839.3180952381</v>
      </c>
      <c r="R82" s="147" t="n">
        <f aca="false">SUM(F82:Q82)</f>
        <v>298139.674285714</v>
      </c>
      <c r="S82" s="0" t="s">
        <v>1570</v>
      </c>
    </row>
    <row r="83" customFormat="false" ht="15" hidden="false" customHeight="false" outlineLevel="0" collapsed="false">
      <c r="A83" s="146" t="s">
        <v>1571</v>
      </c>
      <c r="F83" s="147" t="n">
        <f aca="false">SUM(F79:F82)</f>
        <v>179732.02952381</v>
      </c>
      <c r="G83" s="147" t="n">
        <f aca="false">SUM(G79:G82)</f>
        <v>187916.553333333</v>
      </c>
      <c r="H83" s="147" t="n">
        <f aca="false">SUM(H79:H82)</f>
        <v>187916.553333333</v>
      </c>
      <c r="I83" s="147" t="n">
        <f aca="false">SUM(I79:I82)</f>
        <v>211757.327142857</v>
      </c>
      <c r="J83" s="147" t="n">
        <f aca="false">SUM(J79:J82)</f>
        <v>227346.910476191</v>
      </c>
      <c r="K83" s="147" t="n">
        <f aca="false">SUM(K79:K82)</f>
        <v>250341.553333333</v>
      </c>
      <c r="L83" s="147" t="n">
        <f aca="false">SUM(L79:L82)</f>
        <v>270023.398571429</v>
      </c>
      <c r="M83" s="147" t="n">
        <f aca="false">SUM(M79:M82)</f>
        <v>293797.505714286</v>
      </c>
      <c r="N83" s="147" t="n">
        <f aca="false">SUM(N79:N82)</f>
        <v>324976.672380952</v>
      </c>
      <c r="O83" s="147" t="n">
        <f aca="false">SUM(O79:O82)</f>
        <v>356155.839047619</v>
      </c>
      <c r="P83" s="147" t="n">
        <f aca="false">SUM(P79:P82)</f>
        <v>394740.065238095</v>
      </c>
      <c r="Q83" s="147" t="n">
        <f aca="false">SUM(Q79:Q82)</f>
        <v>434103.755714286</v>
      </c>
      <c r="R83" s="147" t="n">
        <f aca="false">SUM(R79:R82)</f>
        <v>3318808.16380952</v>
      </c>
    </row>
    <row r="84" customFormat="false" ht="15" hidden="false" customHeight="false" outlineLevel="0" collapsed="false">
      <c r="A84" s="0" t="s">
        <v>1572</v>
      </c>
      <c r="F84" s="147" t="n">
        <f aca="false">SUM(F33:F36)</f>
        <v>159270.72</v>
      </c>
      <c r="G84" s="147" t="n">
        <f aca="false">SUM(G33:G36)</f>
        <v>159270.72</v>
      </c>
      <c r="H84" s="147" t="n">
        <f aca="false">SUM(H33:H36)</f>
        <v>159270.72</v>
      </c>
      <c r="I84" s="147" t="n">
        <f aca="false">SUM(I33:I36)</f>
        <v>159270.72</v>
      </c>
      <c r="J84" s="147" t="n">
        <f aca="false">SUM(J33:J36)</f>
        <v>159270.72</v>
      </c>
      <c r="K84" s="147" t="n">
        <f aca="false">SUM(K33:K36)</f>
        <v>159270.72</v>
      </c>
      <c r="L84" s="147" t="n">
        <f aca="false">SUM(L33:L36)</f>
        <v>159270.72</v>
      </c>
      <c r="M84" s="147" t="n">
        <f aca="false">SUM(M33:M36)</f>
        <v>159270.72</v>
      </c>
      <c r="N84" s="147" t="n">
        <f aca="false">SUM(N33:N36)</f>
        <v>159270.72</v>
      </c>
      <c r="O84" s="147" t="n">
        <f aca="false">SUM(O33:O36)</f>
        <v>159270.72</v>
      </c>
      <c r="P84" s="147" t="n">
        <f aca="false">SUM(P33:P36)</f>
        <v>159270.72</v>
      </c>
      <c r="Q84" s="147" t="n">
        <f aca="false">SUM(Q33:Q36)</f>
        <v>159270.72</v>
      </c>
      <c r="R84" s="147" t="n">
        <f aca="false">SUM(R33:R36)</f>
        <v>1911248.64</v>
      </c>
    </row>
    <row r="85" customFormat="false" ht="15" hidden="false" customHeight="false" outlineLevel="0" collapsed="false">
      <c r="A85" s="0" t="s">
        <v>1573</v>
      </c>
      <c r="F85" s="147" t="n">
        <f aca="false">SUM(F38:F75)</f>
        <v>20461.3095238095</v>
      </c>
      <c r="G85" s="147" t="n">
        <f aca="false">SUM(G38:G75)</f>
        <v>28645.8333333333</v>
      </c>
      <c r="H85" s="147" t="n">
        <f aca="false">SUM(H38:H75)</f>
        <v>28645.8333333333</v>
      </c>
      <c r="I85" s="147" t="n">
        <f aca="false">SUM(I38:I75)</f>
        <v>52486.6071428571</v>
      </c>
      <c r="J85" s="147" t="n">
        <f aca="false">SUM(J38:J75)</f>
        <v>68076.1904761905</v>
      </c>
      <c r="K85" s="147" t="n">
        <f aca="false">SUM(K38:K75)</f>
        <v>91070.8333333333</v>
      </c>
      <c r="L85" s="147" t="n">
        <f aca="false">SUM(L38:L75)</f>
        <v>110752.678571429</v>
      </c>
      <c r="M85" s="147" t="n">
        <f aca="false">SUM(M38:M75)</f>
        <v>134526.785714286</v>
      </c>
      <c r="N85" s="147" t="n">
        <f aca="false">SUM(N38:N75)</f>
        <v>165705.952380952</v>
      </c>
      <c r="O85" s="147" t="n">
        <f aca="false">SUM(O38:O75)</f>
        <v>196885.119047619</v>
      </c>
      <c r="P85" s="147" t="n">
        <f aca="false">SUM(P38:P75)</f>
        <v>235469.345238095</v>
      </c>
      <c r="Q85" s="147" t="n">
        <f aca="false">SUM(Q38:Q75)</f>
        <v>274833.035714286</v>
      </c>
      <c r="R85" s="147" t="n">
        <f aca="false">SUM(R38:R75)</f>
        <v>1407559.52380952</v>
      </c>
    </row>
    <row r="86" customFormat="false" ht="15" hidden="false" customHeight="false" outlineLevel="0" collapsed="false">
      <c r="A86" s="0" t="s">
        <v>1574</v>
      </c>
      <c r="F86" s="147" t="n">
        <f aca="false">F83-SUM(F32:F75)</f>
        <v>0</v>
      </c>
      <c r="G86" s="147" t="n">
        <f aca="false">G83-SUM(G32:G75)</f>
        <v>0</v>
      </c>
      <c r="H86" s="147" t="n">
        <f aca="false">H83-SUM(H32:H75)</f>
        <v>0</v>
      </c>
      <c r="I86" s="147" t="n">
        <f aca="false">I83-SUM(I32:I75)</f>
        <v>0</v>
      </c>
      <c r="J86" s="147" t="n">
        <f aca="false">J83-SUM(J32:J75)</f>
        <v>0</v>
      </c>
      <c r="K86" s="147" t="n">
        <f aca="false">K83-SUM(K32:K75)</f>
        <v>0</v>
      </c>
      <c r="L86" s="147" t="n">
        <f aca="false">L83-SUM(L32:L75)</f>
        <v>0</v>
      </c>
      <c r="M86" s="147" t="n">
        <f aca="false">M83-SUM(M32:M75)</f>
        <v>0</v>
      </c>
      <c r="N86" s="147" t="n">
        <f aca="false">N83-SUM(N32:N75)</f>
        <v>0</v>
      </c>
      <c r="O86" s="147" t="n">
        <f aca="false">O83-SUM(O32:O75)</f>
        <v>0</v>
      </c>
      <c r="P86" s="147" t="n">
        <f aca="false">P83-SUM(P32:P75)</f>
        <v>0</v>
      </c>
      <c r="Q86" s="147" t="n">
        <f aca="false">Q83-SUM(Q32:Q75)</f>
        <v>0</v>
      </c>
      <c r="R86" s="147" t="n">
        <f aca="false">R83-SUM(R32:R75)</f>
        <v>0</v>
      </c>
    </row>
    <row r="88" customFormat="false" ht="15" hidden="false" customHeight="false" outlineLevel="0" collapsed="false">
      <c r="A88" s="2" t="s">
        <v>1575</v>
      </c>
    </row>
    <row r="89" customFormat="false" ht="15" hidden="false" customHeight="false" outlineLevel="0" collapsed="false">
      <c r="A89" s="3" t="s">
        <v>1576</v>
      </c>
      <c r="B89" s="3" t="s">
        <v>1577</v>
      </c>
      <c r="C89" s="3" t="s">
        <v>1578</v>
      </c>
      <c r="D89" s="3" t="s">
        <v>1579</v>
      </c>
    </row>
    <row r="90" customFormat="false" ht="15" hidden="false" customHeight="false" outlineLevel="0" collapsed="false">
      <c r="A90" s="0" t="s">
        <v>1580</v>
      </c>
      <c r="B90" s="147" t="n">
        <f aca="false">PO!M20-PO!J20</f>
        <v>11607.1428571429</v>
      </c>
      <c r="C90" s="147" t="n">
        <f aca="false">PO!M21-PO!J21</f>
        <v>3533.33333333333</v>
      </c>
      <c r="D90" s="147" t="n">
        <f aca="false">PO!M22-PO!J22</f>
        <v>4658.3333333333</v>
      </c>
    </row>
    <row r="91" customFormat="false" ht="15" hidden="false" customHeight="false" outlineLevel="0" collapsed="false">
      <c r="A91" s="0" t="s">
        <v>1581</v>
      </c>
      <c r="B91" s="147" t="n">
        <f aca="false">$B$6/$B$9</f>
        <v>773.809523809524</v>
      </c>
      <c r="C91" s="147" t="n">
        <f aca="false">$B$8/$B$10</f>
        <v>66.6666666666667</v>
      </c>
      <c r="D91" s="147" t="n">
        <f aca="false">$B$7/$B$11</f>
        <v>49.2559523809524</v>
      </c>
    </row>
    <row r="92" customFormat="false" ht="15" hidden="false" customHeight="false" outlineLevel="0" collapsed="false">
      <c r="A92" s="0" t="s">
        <v>1582</v>
      </c>
      <c r="B92" s="149" t="n">
        <f aca="false">B90/B91</f>
        <v>15</v>
      </c>
      <c r="C92" s="149" t="n">
        <f aca="false">C90/C91</f>
        <v>53</v>
      </c>
      <c r="D92" s="149" t="n">
        <f aca="false">D90/D91</f>
        <v>94.5740181268876</v>
      </c>
    </row>
    <row r="93" customFormat="false" ht="15" hidden="false" customHeight="false" outlineLevel="0" collapsed="false">
      <c r="A93" s="0" t="s">
        <v>1583</v>
      </c>
      <c r="B93" s="145" t="n">
        <f aca="false">SUM(DeploySum!C19:E19)</f>
        <v>18</v>
      </c>
      <c r="C93" s="145" t="n">
        <f aca="false">SUM(DeploySum!C20:E20)</f>
        <v>67</v>
      </c>
      <c r="D93" s="145" t="n">
        <f aca="false">SUM(DeploySum!C19:E19)</f>
        <v>18</v>
      </c>
    </row>
    <row r="94" customFormat="false" ht="15" hidden="false" customHeight="false" outlineLevel="0" collapsed="false">
      <c r="A94" s="0" t="s">
        <v>1584</v>
      </c>
      <c r="B94" s="149" t="n">
        <f aca="false">B93-B92</f>
        <v>2.99999999999999</v>
      </c>
      <c r="C94" s="149" t="n">
        <f aca="false">C93-C92</f>
        <v>14.0000000000001</v>
      </c>
      <c r="D94" s="149" t="s">
        <v>1585</v>
      </c>
    </row>
    <row r="95" customFormat="false" ht="15" hidden="false" customHeight="false" outlineLevel="0" collapsed="false">
      <c r="A95" s="0" t="s">
        <v>1586</v>
      </c>
      <c r="B95" s="147" t="n">
        <f aca="false">B94*B91</f>
        <v>2321.42857142857</v>
      </c>
      <c r="C95" s="147" t="n">
        <f aca="false">C94*C91</f>
        <v>933.333333333337</v>
      </c>
      <c r="D95" s="147" t="s">
        <v>1587</v>
      </c>
    </row>
    <row r="96" customFormat="false" ht="15" hidden="false" customHeight="false" outlineLevel="0" collapsed="false">
      <c r="A96" s="0" t="s">
        <v>1588</v>
      </c>
      <c r="B96" s="147" t="n">
        <f aca="false">B95*12</f>
        <v>27857.1428571428</v>
      </c>
      <c r="C96" s="147" t="n">
        <f aca="false">C95*12</f>
        <v>11200</v>
      </c>
      <c r="D96" s="147" t="s">
        <v>1589</v>
      </c>
    </row>
    <row r="97" customFormat="false" ht="15" hidden="false" customHeight="false" outlineLevel="0" collapsed="false">
      <c r="A97" s="0" t="s">
        <v>1590</v>
      </c>
    </row>
    <row r="99" customFormat="false" ht="15" hidden="false" customHeight="false" outlineLevel="0" collapsed="false">
      <c r="A99" s="2" t="s">
        <v>1591</v>
      </c>
    </row>
    <row r="100" customFormat="false" ht="41.75" hidden="false" customHeight="false" outlineLevel="0" collapsed="false">
      <c r="A100" s="150" t="s">
        <v>1592</v>
      </c>
      <c r="B100" s="150" t="s">
        <v>1435</v>
      </c>
      <c r="C100" s="150" t="s">
        <v>1436</v>
      </c>
      <c r="D100" s="150" t="s">
        <v>1593</v>
      </c>
      <c r="E100" s="150" t="s">
        <v>1594</v>
      </c>
      <c r="F100" s="150" t="s">
        <v>1595</v>
      </c>
      <c r="G100" s="150" t="s">
        <v>1596</v>
      </c>
      <c r="H100" s="150" t="s">
        <v>1597</v>
      </c>
      <c r="I100" s="150" t="s">
        <v>1598</v>
      </c>
    </row>
    <row r="101" customFormat="false" ht="15" hidden="false" customHeight="false" outlineLevel="0" collapsed="false">
      <c r="A101" s="151" t="n">
        <f aca="false">DeploySum!B4</f>
        <v>46295</v>
      </c>
      <c r="B101" s="145" t="n">
        <f aca="false">DeploySum!B24</f>
        <v>9</v>
      </c>
      <c r="C101" s="145" t="n">
        <f aca="false">DeploySum!B25</f>
        <v>32</v>
      </c>
      <c r="D101" s="147" t="n">
        <f aca="false">DeploySum!B29</f>
        <v>878237.5</v>
      </c>
      <c r="E101" s="147" t="n">
        <f aca="false">IF(B101+C101=0,"",D101/(B101+C101))</f>
        <v>21420.4268292683</v>
      </c>
      <c r="F101" s="147" t="n">
        <f aca="false">B101*($B$6+$B$7)+C101*$B$8</f>
        <v>878237.5</v>
      </c>
      <c r="G101" s="147" t="n">
        <f aca="false">D101-F101</f>
        <v>0</v>
      </c>
      <c r="H101" s="147" t="n">
        <f aca="false">B101*($B$6+ROUND($B$7,0))+C101*$B$8</f>
        <v>878242</v>
      </c>
      <c r="I101" s="147" t="n">
        <f aca="false">D101-H101</f>
        <v>-4.5</v>
      </c>
    </row>
    <row r="102" customFormat="false" ht="15" hidden="false" customHeight="false" outlineLevel="0" collapsed="false">
      <c r="A102" s="151" t="n">
        <f aca="false">DeploySum!C4</f>
        <v>46326</v>
      </c>
      <c r="B102" s="145" t="n">
        <f aca="false">DeploySum!C24</f>
        <v>0</v>
      </c>
      <c r="C102" s="145" t="n">
        <f aca="false">DeploySum!C25</f>
        <v>0</v>
      </c>
      <c r="D102" s="147" t="n">
        <f aca="false">DeploySum!C29</f>
        <v>0</v>
      </c>
      <c r="E102" s="147" t="str">
        <f aca="false">IF(B102+C102=0,"",D102/(B102+C102))</f>
        <v/>
      </c>
      <c r="F102" s="147" t="n">
        <f aca="false">B102*($B$6+$B$7)+C102*$B$8</f>
        <v>0</v>
      </c>
      <c r="G102" s="147" t="n">
        <f aca="false">D102-F102</f>
        <v>0</v>
      </c>
      <c r="H102" s="147" t="n">
        <f aca="false">B102*($B$6+ROUND($B$7,0))+C102*$B$8</f>
        <v>0</v>
      </c>
      <c r="I102" s="147" t="n">
        <f aca="false">D102-H102</f>
        <v>0</v>
      </c>
    </row>
    <row r="103" customFormat="false" ht="15" hidden="false" customHeight="false" outlineLevel="0" collapsed="false">
      <c r="A103" s="151" t="n">
        <f aca="false">DeploySum!D4</f>
        <v>46356</v>
      </c>
      <c r="B103" s="145" t="n">
        <f aca="false">DeploySum!D24</f>
        <v>20</v>
      </c>
      <c r="C103" s="145" t="n">
        <f aca="false">DeploySum!D25</f>
        <v>60</v>
      </c>
      <c r="D103" s="147" t="n">
        <f aca="false">DeploySum!D29</f>
        <v>1862750</v>
      </c>
      <c r="E103" s="147" t="n">
        <f aca="false">IF(B103+C103=0,"",D103/(B103+C103))</f>
        <v>23284.375</v>
      </c>
      <c r="F103" s="147" t="n">
        <f aca="false">B103*($B$6+$B$7)+C103*$B$8</f>
        <v>1862750</v>
      </c>
      <c r="G103" s="147" t="n">
        <f aca="false">D103-F103</f>
        <v>0</v>
      </c>
      <c r="H103" s="147" t="n">
        <f aca="false">B103*($B$6+ROUND($B$7,0))+C103*$B$8</f>
        <v>1862760</v>
      </c>
      <c r="I103" s="147" t="n">
        <f aca="false">D103-H103</f>
        <v>-10</v>
      </c>
    </row>
    <row r="104" customFormat="false" ht="15" hidden="false" customHeight="false" outlineLevel="0" collapsed="false">
      <c r="A104" s="151" t="n">
        <f aca="false">DeploySum!E4</f>
        <v>46387</v>
      </c>
      <c r="B104" s="145" t="n">
        <f aca="false">DeploySum!E24</f>
        <v>8</v>
      </c>
      <c r="C104" s="145" t="n">
        <f aca="false">DeploySum!E25</f>
        <v>24</v>
      </c>
      <c r="D104" s="147" t="n">
        <f aca="false">DeploySum!E29</f>
        <v>745100</v>
      </c>
      <c r="E104" s="147" t="n">
        <f aca="false">IF(B104+C104=0,"",D104/(B104+C104))</f>
        <v>23284.375</v>
      </c>
      <c r="F104" s="147" t="n">
        <f aca="false">B104*($B$6+$B$7)+C104*$B$8</f>
        <v>745100</v>
      </c>
      <c r="G104" s="147" t="n">
        <f aca="false">D104-F104</f>
        <v>0</v>
      </c>
      <c r="H104" s="147" t="n">
        <f aca="false">B104*($B$6+ROUND($B$7,0))+C104*$B$8</f>
        <v>745104</v>
      </c>
      <c r="I104" s="147" t="n">
        <f aca="false">D104-H104</f>
        <v>-4</v>
      </c>
    </row>
    <row r="105" customFormat="false" ht="15" hidden="false" customHeight="false" outlineLevel="0" collapsed="false">
      <c r="A105" s="151" t="n">
        <f aca="false">DeploySum!F4</f>
        <v>46418</v>
      </c>
      <c r="B105" s="145" t="n">
        <f aca="false">DeploySum!F24</f>
        <v>0</v>
      </c>
      <c r="C105" s="145" t="n">
        <f aca="false">DeploySum!F25</f>
        <v>0</v>
      </c>
      <c r="D105" s="147" t="n">
        <f aca="false">DeploySum!F29</f>
        <v>0</v>
      </c>
      <c r="E105" s="147" t="str">
        <f aca="false">IF(B105+C105=0,"",D105/(B105+C105))</f>
        <v/>
      </c>
      <c r="F105" s="147" t="n">
        <f aca="false">B105*($B$6+$B$7)+C105*$B$8</f>
        <v>0</v>
      </c>
      <c r="G105" s="147" t="n">
        <f aca="false">D105-F105</f>
        <v>0</v>
      </c>
      <c r="H105" s="147" t="n">
        <f aca="false">B105*($B$6+ROUND($B$7,0))+C105*$B$8</f>
        <v>0</v>
      </c>
      <c r="I105" s="147" t="n">
        <f aca="false">D105-H105</f>
        <v>0</v>
      </c>
    </row>
    <row r="106" customFormat="false" ht="15" hidden="false" customHeight="false" outlineLevel="0" collapsed="false">
      <c r="A106" s="151" t="n">
        <f aca="false">DeploySum!G4</f>
        <v>46446</v>
      </c>
      <c r="B106" s="145" t="n">
        <f aca="false">DeploySum!G24</f>
        <v>22</v>
      </c>
      <c r="C106" s="145" t="n">
        <f aca="false">DeploySum!G25</f>
        <v>86</v>
      </c>
      <c r="D106" s="147" t="n">
        <f aca="false">DeploySum!G29</f>
        <v>2209025</v>
      </c>
      <c r="E106" s="147" t="n">
        <f aca="false">IF(B106+C106=0,"",D106/(B106+C106))</f>
        <v>20453.9351851852</v>
      </c>
      <c r="F106" s="147" t="n">
        <f aca="false">B106*($B$6+$B$7)+C106*$B$8</f>
        <v>2209025</v>
      </c>
      <c r="G106" s="147" t="n">
        <f aca="false">D106-F106</f>
        <v>0</v>
      </c>
      <c r="H106" s="147" t="n">
        <f aca="false">B106*($B$6+ROUND($B$7,0))+C106*$B$8</f>
        <v>2209036</v>
      </c>
      <c r="I106" s="147" t="n">
        <f aca="false">D106-H106</f>
        <v>-11</v>
      </c>
    </row>
    <row r="107" customFormat="false" ht="15" hidden="false" customHeight="false" outlineLevel="0" collapsed="false">
      <c r="A107" s="151" t="n">
        <f aca="false">DeploySum!H4</f>
        <v>46477</v>
      </c>
      <c r="B107" s="145" t="n">
        <f aca="false">DeploySum!H24</f>
        <v>14</v>
      </c>
      <c r="C107" s="145" t="n">
        <f aca="false">DeploySum!H25</f>
        <v>61</v>
      </c>
      <c r="D107" s="147" t="n">
        <f aca="false">DeploySum!H29</f>
        <v>1455925</v>
      </c>
      <c r="E107" s="147" t="n">
        <f aca="false">IF(B107+C107=0,"",D107/(B107+C107))</f>
        <v>19412.3333333333</v>
      </c>
      <c r="F107" s="147" t="n">
        <f aca="false">B107*($B$6+$B$7)+C107*$B$8</f>
        <v>1455925</v>
      </c>
      <c r="G107" s="147" t="n">
        <f aca="false">D107-F107</f>
        <v>0</v>
      </c>
      <c r="H107" s="147" t="n">
        <f aca="false">B107*($B$6+ROUND($B$7,0))+C107*$B$8</f>
        <v>1455932</v>
      </c>
      <c r="I107" s="147" t="n">
        <f aca="false">D107-H107</f>
        <v>-7</v>
      </c>
    </row>
    <row r="108" customFormat="false" ht="15" hidden="false" customHeight="false" outlineLevel="0" collapsed="false">
      <c r="A108" s="151" t="n">
        <f aca="false">DeploySum!I4</f>
        <v>46507</v>
      </c>
      <c r="B108" s="145" t="n">
        <f aca="false">DeploySum!I24</f>
        <v>20</v>
      </c>
      <c r="C108" s="145" t="n">
        <f aca="false">DeploySum!I25</f>
        <v>98</v>
      </c>
      <c r="D108" s="147" t="n">
        <f aca="false">DeploySum!I29</f>
        <v>2166750</v>
      </c>
      <c r="E108" s="147" t="n">
        <f aca="false">IF(B108+C108=0,"",D108/(B108+C108))</f>
        <v>18362.2881355932</v>
      </c>
      <c r="F108" s="147" t="n">
        <f aca="false">B108*($B$6+$B$7)+C108*$B$8</f>
        <v>2166750</v>
      </c>
      <c r="G108" s="147" t="n">
        <f aca="false">D108-F108</f>
        <v>0</v>
      </c>
      <c r="H108" s="147" t="n">
        <f aca="false">B108*($B$6+ROUND($B$7,0))+C108*$B$8</f>
        <v>2166760</v>
      </c>
      <c r="I108" s="147" t="n">
        <f aca="false">D108-H108</f>
        <v>-10</v>
      </c>
    </row>
    <row r="109" customFormat="false" ht="15" hidden="false" customHeight="false" outlineLevel="0" collapsed="false">
      <c r="A109" s="151" t="n">
        <f aca="false">DeploySum!J4</f>
        <v>46538</v>
      </c>
      <c r="B109" s="145" t="n">
        <f aca="false">DeploySum!J24</f>
        <v>18</v>
      </c>
      <c r="C109" s="145" t="n">
        <f aca="false">DeploySum!J25</f>
        <v>73</v>
      </c>
      <c r="D109" s="147" t="n">
        <f aca="false">DeploySum!J29</f>
        <v>1828475</v>
      </c>
      <c r="E109" s="147" t="n">
        <f aca="false">IF(B109+C109=0,"",D109/(B109+C109))</f>
        <v>20093.1318681319</v>
      </c>
      <c r="F109" s="147" t="n">
        <f aca="false">B109*($B$6+$B$7)+C109*$B$8</f>
        <v>1828475</v>
      </c>
      <c r="G109" s="147" t="n">
        <f aca="false">D109-F109</f>
        <v>0</v>
      </c>
      <c r="H109" s="147" t="n">
        <f aca="false">B109*($B$6+ROUND($B$7,0))+C109*$B$8</f>
        <v>1828484</v>
      </c>
      <c r="I109" s="147" t="n">
        <f aca="false">D109-H109</f>
        <v>-9</v>
      </c>
    </row>
    <row r="110" customFormat="false" ht="15" hidden="false" customHeight="false" outlineLevel="0" collapsed="false">
      <c r="A110" s="151" t="n">
        <f aca="false">DeploySum!K4</f>
        <v>46568</v>
      </c>
      <c r="B110" s="145" t="n">
        <f aca="false">DeploySum!K24</f>
        <v>22</v>
      </c>
      <c r="C110" s="145" t="n">
        <f aca="false">DeploySum!K25</f>
        <v>85</v>
      </c>
      <c r="D110" s="147" t="n">
        <f aca="false">DeploySum!K29</f>
        <v>2201025</v>
      </c>
      <c r="E110" s="147" t="n">
        <f aca="false">IF(B110+C110=0,"",D110/(B110+C110))</f>
        <v>20570.3271028037</v>
      </c>
      <c r="F110" s="147" t="n">
        <f aca="false">B110*($B$6+$B$7)+C110*$B$8</f>
        <v>2201025</v>
      </c>
      <c r="G110" s="147" t="n">
        <f aca="false">D110-F110</f>
        <v>0</v>
      </c>
      <c r="H110" s="147" t="n">
        <f aca="false">B110*($B$6+ROUND($B$7,0))+C110*$B$8</f>
        <v>2201036</v>
      </c>
      <c r="I110" s="147" t="n">
        <f aca="false">D110-H110</f>
        <v>-11</v>
      </c>
    </row>
    <row r="111" customFormat="false" ht="15" hidden="false" customHeight="false" outlineLevel="0" collapsed="false">
      <c r="A111" s="151" t="n">
        <f aca="false">DeploySum!L4</f>
        <v>46599</v>
      </c>
      <c r="B111" s="145" t="n">
        <f aca="false">DeploySum!L24</f>
        <v>28</v>
      </c>
      <c r="C111" s="145" t="n">
        <f aca="false">DeploySum!L25</f>
        <v>122</v>
      </c>
      <c r="D111" s="147" t="n">
        <f aca="false">DeploySum!L29</f>
        <v>2911850</v>
      </c>
      <c r="E111" s="147" t="n">
        <f aca="false">IF(B111+C111=0,"",D111/(B111+C111))</f>
        <v>19412.3333333333</v>
      </c>
      <c r="F111" s="147" t="n">
        <f aca="false">B111*($B$6+$B$7)+C111*$B$8</f>
        <v>2911850</v>
      </c>
      <c r="G111" s="147" t="n">
        <f aca="false">D111-F111</f>
        <v>0</v>
      </c>
      <c r="H111" s="147" t="n">
        <f aca="false">B111*($B$6+ROUND($B$7,0))+C111*$B$8</f>
        <v>2911864</v>
      </c>
      <c r="I111" s="147" t="n">
        <f aca="false">D111-H111</f>
        <v>-14</v>
      </c>
    </row>
    <row r="112" customFormat="false" ht="15" hidden="false" customHeight="false" outlineLevel="0" collapsed="false">
      <c r="A112" s="151" t="n">
        <f aca="false">DeploySum!M4</f>
        <v>46630</v>
      </c>
      <c r="B112" s="145" t="n">
        <f aca="false">DeploySum!M24</f>
        <v>28</v>
      </c>
      <c r="C112" s="145" t="n">
        <f aca="false">DeploySum!M25</f>
        <v>122</v>
      </c>
      <c r="D112" s="147" t="n">
        <f aca="false">DeploySum!M29</f>
        <v>2911850</v>
      </c>
      <c r="E112" s="147" t="n">
        <f aca="false">IF(B112+C112=0,"",D112/(B112+C112))</f>
        <v>19412.3333333333</v>
      </c>
      <c r="F112" s="147" t="n">
        <f aca="false">B112*($B$6+$B$7)+C112*$B$8</f>
        <v>2911850</v>
      </c>
      <c r="G112" s="147" t="n">
        <f aca="false">D112-F112</f>
        <v>0</v>
      </c>
      <c r="H112" s="147" t="n">
        <f aca="false">B112*($B$6+ROUND($B$7,0))+C112*$B$8</f>
        <v>2911864</v>
      </c>
      <c r="I112" s="147" t="n">
        <f aca="false">D112-H112</f>
        <v>-14</v>
      </c>
    </row>
    <row r="113" customFormat="false" ht="15" hidden="false" customHeight="false" outlineLevel="0" collapsed="false">
      <c r="A113" s="151" t="n">
        <f aca="false">DeploySum!N4</f>
        <v>46660</v>
      </c>
      <c r="B113" s="145" t="n">
        <f aca="false">DeploySum!N24</f>
        <v>34</v>
      </c>
      <c r="C113" s="145" t="n">
        <f aca="false">DeploySum!N25</f>
        <v>159</v>
      </c>
      <c r="D113" s="147" t="n">
        <f aca="false">DeploySum!N29</f>
        <v>3622675</v>
      </c>
      <c r="E113" s="147" t="n">
        <f aca="false">IF(B113+C113=0,"",D113/(B113+C113))</f>
        <v>18770.3367875648</v>
      </c>
      <c r="F113" s="147" t="n">
        <f aca="false">B113*($B$6+$B$7)+C113*$B$8</f>
        <v>3622675</v>
      </c>
      <c r="G113" s="147" t="n">
        <f aca="false">D113-F113</f>
        <v>0</v>
      </c>
      <c r="H113" s="147" t="n">
        <f aca="false">B113*($B$6+ROUND($B$7,0))+C113*$B$8</f>
        <v>3622692</v>
      </c>
      <c r="I113" s="147" t="n">
        <f aca="false">D113-H113</f>
        <v>-17</v>
      </c>
    </row>
    <row r="114" customFormat="false" ht="15" hidden="false" customHeight="false" outlineLevel="0" collapsed="false">
      <c r="A114" s="151" t="n">
        <f aca="false">DeploySum!O4</f>
        <v>46691</v>
      </c>
      <c r="B114" s="145" t="n">
        <f aca="false">DeploySum!O24</f>
        <v>36</v>
      </c>
      <c r="C114" s="145" t="n">
        <f aca="false">DeploySum!O25</f>
        <v>146</v>
      </c>
      <c r="D114" s="147" t="n">
        <f aca="false">DeploySum!O29</f>
        <v>3656950</v>
      </c>
      <c r="E114" s="147" t="n">
        <f aca="false">IF(B114+C114=0,"",D114/(B114+C114))</f>
        <v>20093.1318681319</v>
      </c>
      <c r="F114" s="147" t="n">
        <f aca="false">B114*($B$6+$B$7)+C114*$B$8</f>
        <v>3656950</v>
      </c>
      <c r="G114" s="147" t="n">
        <f aca="false">D114-F114</f>
        <v>0</v>
      </c>
      <c r="H114" s="147" t="n">
        <f aca="false">B114*($B$6+ROUND($B$7,0))+C114*$B$8</f>
        <v>3656968</v>
      </c>
      <c r="I114" s="147" t="n">
        <f aca="false">D114-H114</f>
        <v>-18</v>
      </c>
    </row>
    <row r="115" customFormat="false" ht="15" hidden="false" customHeight="false" outlineLevel="0" collapsed="false">
      <c r="A115" s="151" t="n">
        <f aca="false">DeploySum!P4</f>
        <v>46721</v>
      </c>
      <c r="B115" s="145" t="n">
        <f aca="false">DeploySum!P24</f>
        <v>42</v>
      </c>
      <c r="C115" s="145" t="n">
        <f aca="false">DeploySum!P25</f>
        <v>183</v>
      </c>
      <c r="D115" s="147" t="n">
        <f aca="false">DeploySum!P29</f>
        <v>4367775</v>
      </c>
      <c r="E115" s="147" t="n">
        <f aca="false">IF(B115+C115=0,"",D115/(B115+C115))</f>
        <v>19412.3333333333</v>
      </c>
      <c r="F115" s="147" t="n">
        <f aca="false">B115*($B$6+$B$7)+C115*$B$8</f>
        <v>4367775</v>
      </c>
      <c r="G115" s="147" t="n">
        <f aca="false">D115-F115</f>
        <v>0</v>
      </c>
      <c r="H115" s="147" t="n">
        <f aca="false">B115*($B$6+ROUND($B$7,0))+C115*$B$8</f>
        <v>4367796</v>
      </c>
      <c r="I115" s="147" t="n">
        <f aca="false">D115-H115</f>
        <v>-21</v>
      </c>
    </row>
    <row r="116" customFormat="false" ht="15" hidden="false" customHeight="false" outlineLevel="0" collapsed="false">
      <c r="A116" s="151" t="n">
        <f aca="false">DeploySum!Q4</f>
        <v>46752</v>
      </c>
      <c r="B116" s="145" t="n">
        <f aca="false">DeploySum!Q24</f>
        <v>48</v>
      </c>
      <c r="C116" s="145" t="n">
        <f aca="false">DeploySum!Q25</f>
        <v>220</v>
      </c>
      <c r="D116" s="147" t="n">
        <f aca="false">DeploySum!Q29</f>
        <v>5078600</v>
      </c>
      <c r="E116" s="147" t="n">
        <f aca="false">IF(B116+C116=0,"",D116/(B116+C116))</f>
        <v>18950</v>
      </c>
      <c r="F116" s="147" t="n">
        <f aca="false">B116*($B$6+$B$7)+C116*$B$8</f>
        <v>5078600</v>
      </c>
      <c r="G116" s="147" t="n">
        <f aca="false">D116-F116</f>
        <v>0</v>
      </c>
      <c r="H116" s="147" t="n">
        <f aca="false">B116*($B$6+ROUND($B$7,0))+C116*$B$8</f>
        <v>5078624</v>
      </c>
      <c r="I116" s="147" t="n">
        <f aca="false">D116-H116</f>
        <v>-24</v>
      </c>
    </row>
    <row r="117" customFormat="false" ht="15" hidden="false" customHeight="false" outlineLevel="0" collapsed="false">
      <c r="A117" s="146" t="s">
        <v>1599</v>
      </c>
      <c r="B117" s="145" t="n">
        <f aca="false">SUM(B101:B116)</f>
        <v>349</v>
      </c>
      <c r="C117" s="145" t="n">
        <f aca="false">SUM(C101:C116)</f>
        <v>1471</v>
      </c>
      <c r="D117" s="147" t="n">
        <f aca="false">SUM(D101:D116)</f>
        <v>35896987.5</v>
      </c>
      <c r="F117" s="147" t="n">
        <f aca="false">SUM(F101:F116)</f>
        <v>35896987.5</v>
      </c>
      <c r="G117" s="147" t="n">
        <f aca="false">SUM(G101:G116)</f>
        <v>0</v>
      </c>
      <c r="H117" s="147" t="n">
        <f aca="false">SUM(H101:H116)</f>
        <v>35897162</v>
      </c>
      <c r="I117" s="147" t="n">
        <f aca="false">SUM(I101:I116)</f>
        <v>-174.5</v>
      </c>
    </row>
    <row r="118" customFormat="false" ht="15" hidden="false" customHeight="false" outlineLevel="0" collapsed="false">
      <c r="A118" s="0" t="s">
        <v>1600</v>
      </c>
      <c r="G118" s="147" t="n">
        <f aca="false">SUMPRODUCT(MAX(ABS(G101:G116)))</f>
        <v>0</v>
      </c>
    </row>
    <row r="120" customFormat="false" ht="15" hidden="false" customHeight="false" outlineLevel="0" collapsed="false">
      <c r="A120" s="2" t="s">
        <v>1601</v>
      </c>
    </row>
    <row r="121" customFormat="false" ht="15" hidden="false" customHeight="false" outlineLevel="0" collapsed="false">
      <c r="A121" s="0" t="s">
        <v>1602</v>
      </c>
      <c r="B121" s="147" t="n">
        <f aca="false">R29*($B$6+$B$7)+R30*$B$8</f>
        <v>25572375</v>
      </c>
    </row>
    <row r="122" customFormat="false" ht="15" hidden="false" customHeight="false" outlineLevel="0" collapsed="false">
      <c r="A122" s="0" t="s">
        <v>1603</v>
      </c>
      <c r="B122" s="147" t="n">
        <f aca="false">DeploySum!R29</f>
        <v>32410900</v>
      </c>
    </row>
    <row r="123" customFormat="false" ht="15" hidden="false" customHeight="false" outlineLevel="0" collapsed="false">
      <c r="A123" s="0" t="s">
        <v>1604</v>
      </c>
      <c r="B123" s="147" t="n">
        <f aca="false">-DeploySum!R35</f>
        <v>-9446375</v>
      </c>
    </row>
    <row r="124" customFormat="false" ht="15" hidden="false" customHeight="false" outlineLevel="0" collapsed="false">
      <c r="A124" s="0" t="s">
        <v>1605</v>
      </c>
      <c r="B124" s="147" t="n">
        <f aca="false">DeploySum!D29+DeploySum!E29</f>
        <v>2607850</v>
      </c>
    </row>
    <row r="125" customFormat="false" ht="15" hidden="false" customHeight="false" outlineLevel="0" collapsed="false">
      <c r="A125" s="0" t="s">
        <v>1606</v>
      </c>
      <c r="B125" s="147" t="n">
        <f aca="false">SUM(B122:B124)</f>
        <v>25572375</v>
      </c>
    </row>
    <row r="126" customFormat="false" ht="15" hidden="false" customHeight="false" outlineLevel="0" collapsed="false">
      <c r="A126" s="0" t="s">
        <v>1607</v>
      </c>
      <c r="B126" s="147" t="n">
        <f aca="false">B121-B125</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9" topLeftCell="B20" activePane="bottomRight" state="frozen"/>
      <selection pane="topLeft" activeCell="A1" activeCellId="0" sqref="A1"/>
      <selection pane="topRight" activeCell="B1" activeCellId="0" sqref="B1"/>
      <selection pane="bottomLeft" activeCell="A20" activeCellId="0" sqref="A20"/>
      <selection pane="bottomRight" activeCell="A1" activeCellId="0" sqref="A1"/>
    </sheetView>
  </sheetViews>
  <sheetFormatPr defaultColWidth="12.6328125" defaultRowHeight="15" zeroHeight="false" outlineLevelRow="0" outlineLevelCol="0"/>
  <cols>
    <col collapsed="false" customWidth="true" hidden="false" outlineLevel="0" max="1" min="1" style="6" width="52"/>
    <col collapsed="false" customWidth="true" hidden="false" outlineLevel="0" max="9" min="2" style="6" width="12.5"/>
    <col collapsed="false" customWidth="true" hidden="false" outlineLevel="0" max="10" min="10" style="6" width="13.13"/>
    <col collapsed="false" customWidth="true" hidden="false" outlineLevel="0" max="11" min="11" style="6" width="13.38"/>
    <col collapsed="false" customWidth="true" hidden="false" outlineLevel="0" max="19" min="12" style="6" width="12.5"/>
    <col collapsed="false" customWidth="true" hidden="false" outlineLevel="0" max="20" min="20" style="6" width="22"/>
    <col collapsed="false" customWidth="true" hidden="false" outlineLevel="0" max="26" min="21" style="6" width="8.63"/>
  </cols>
  <sheetData>
    <row r="1" customFormat="false" ht="14.25" hidden="false" customHeight="true" outlineLevel="0" collapsed="false">
      <c r="A1" s="152" t="s">
        <v>1608</v>
      </c>
    </row>
    <row r="2" customFormat="false" ht="14.25" hidden="false" customHeight="true" outlineLevel="0" collapsed="false">
      <c r="A2" s="78" t="s">
        <v>1609</v>
      </c>
    </row>
    <row r="3" customFormat="false" ht="14.25" hidden="false" customHeight="true" outlineLevel="0" collapsed="false"/>
    <row r="4" customFormat="false" ht="14.25" hidden="false" customHeight="true" outlineLevel="0" collapsed="false">
      <c r="A4" s="153" t="s">
        <v>1610</v>
      </c>
      <c r="B4" s="154" t="s">
        <v>1611</v>
      </c>
      <c r="C4" s="154"/>
      <c r="D4" s="154"/>
      <c r="E4" s="155" t="s">
        <v>1612</v>
      </c>
      <c r="F4" s="155"/>
      <c r="G4" s="155"/>
      <c r="H4" s="155"/>
      <c r="J4" s="155" t="s">
        <v>1613</v>
      </c>
      <c r="K4" s="155"/>
      <c r="L4" s="155"/>
      <c r="M4" s="155"/>
    </row>
    <row r="5" customFormat="false" ht="14.25" hidden="false" customHeight="true" outlineLevel="0" collapsed="false">
      <c r="A5" s="6" t="s">
        <v>1614</v>
      </c>
      <c r="B5" s="156" t="n">
        <v>1</v>
      </c>
      <c r="E5" s="6" t="s">
        <v>1615</v>
      </c>
      <c r="H5" s="157" t="n">
        <v>90000</v>
      </c>
      <c r="J5" s="6" t="s">
        <v>1616</v>
      </c>
      <c r="M5" s="158" t="n">
        <f aca="false">'Prod Payroll'!M5</f>
        <v>0.03</v>
      </c>
    </row>
    <row r="6" customFormat="false" ht="14.25" hidden="false" customHeight="true" outlineLevel="0" collapsed="false">
      <c r="A6" s="6" t="s">
        <v>1617</v>
      </c>
      <c r="B6" s="157" t="n">
        <v>63000</v>
      </c>
      <c r="E6" s="6" t="s">
        <v>1618</v>
      </c>
      <c r="H6" s="159" t="n">
        <v>0.068</v>
      </c>
      <c r="J6" s="6" t="s">
        <v>1619</v>
      </c>
      <c r="M6" s="160" t="n">
        <f aca="false">'Prod Payroll'!M6</f>
        <v>46661</v>
      </c>
    </row>
    <row r="7" customFormat="false" ht="14.25" hidden="false" customHeight="true" outlineLevel="0" collapsed="false">
      <c r="A7" s="6" t="s">
        <v>1618</v>
      </c>
      <c r="B7" s="159" t="n">
        <v>0.068</v>
      </c>
      <c r="E7" s="6" t="s">
        <v>1620</v>
      </c>
      <c r="H7" s="159" t="n">
        <v>0.164</v>
      </c>
      <c r="J7" s="6" t="s">
        <v>1621</v>
      </c>
      <c r="M7" s="161" t="n">
        <f aca="false">'Prod Payroll'!M9</f>
        <v>6</v>
      </c>
    </row>
    <row r="8" customFormat="false" ht="14.25" hidden="false" customHeight="true" outlineLevel="0" collapsed="false">
      <c r="A8" s="6" t="s">
        <v>1620</v>
      </c>
      <c r="B8" s="159" t="n">
        <v>0.164</v>
      </c>
      <c r="E8" s="6" t="s">
        <v>1622</v>
      </c>
      <c r="H8" s="162" t="n">
        <v>20</v>
      </c>
      <c r="J8" s="163" t="s">
        <v>1623</v>
      </c>
    </row>
    <row r="9" customFormat="false" ht="14.25" hidden="false" customHeight="true" outlineLevel="0" collapsed="false">
      <c r="A9" s="6" t="s">
        <v>1624</v>
      </c>
      <c r="B9" s="157" t="n">
        <v>2000</v>
      </c>
      <c r="E9" s="6" t="s">
        <v>1625</v>
      </c>
      <c r="H9" s="164" t="n">
        <v>1</v>
      </c>
    </row>
    <row r="10" customFormat="false" ht="14.25" hidden="false" customHeight="true" outlineLevel="0" collapsed="false">
      <c r="A10" s="6" t="s">
        <v>1626</v>
      </c>
      <c r="B10" s="162" t="n">
        <v>1</v>
      </c>
      <c r="E10" s="6" t="s">
        <v>1627</v>
      </c>
      <c r="H10" s="157" t="n">
        <v>2000</v>
      </c>
      <c r="J10" s="155" t="s">
        <v>1628</v>
      </c>
      <c r="K10" s="155"/>
      <c r="L10" s="155"/>
      <c r="M10" s="155"/>
    </row>
    <row r="11" customFormat="false" ht="14.25" hidden="false" customHeight="true" outlineLevel="0" collapsed="false">
      <c r="A11" s="6" t="s">
        <v>1629</v>
      </c>
      <c r="B11" s="162" t="n">
        <v>14</v>
      </c>
      <c r="E11" s="6" t="s">
        <v>1630</v>
      </c>
      <c r="H11" s="162" t="n">
        <v>1</v>
      </c>
      <c r="J11" s="6" t="s">
        <v>1631</v>
      </c>
      <c r="M11" s="162" t="n">
        <v>40</v>
      </c>
    </row>
    <row r="12" customFormat="false" ht="14.25" hidden="false" customHeight="true" outlineLevel="0" collapsed="false">
      <c r="A12" s="6" t="s">
        <v>1632</v>
      </c>
      <c r="B12" s="165" t="n">
        <v>0.6</v>
      </c>
      <c r="E12" s="6" t="s">
        <v>1633</v>
      </c>
      <c r="H12" s="166"/>
      <c r="J12" s="6" t="s">
        <v>1634</v>
      </c>
      <c r="M12" s="162" t="n">
        <v>0</v>
      </c>
    </row>
    <row r="13" customFormat="false" ht="14.25" hidden="false" customHeight="true" outlineLevel="0" collapsed="false">
      <c r="A13" s="78" t="s">
        <v>1635</v>
      </c>
      <c r="J13" s="6" t="s">
        <v>1636</v>
      </c>
      <c r="M13" s="162" t="n">
        <v>0</v>
      </c>
    </row>
    <row r="14" customFormat="false" ht="14.25" hidden="false" customHeight="true" outlineLevel="0" collapsed="false">
      <c r="A14" s="153" t="s">
        <v>1637</v>
      </c>
      <c r="B14" s="154" t="s">
        <v>1638</v>
      </c>
      <c r="C14" s="154"/>
      <c r="E14" s="155" t="s">
        <v>1639</v>
      </c>
      <c r="F14" s="155"/>
      <c r="G14" s="155"/>
      <c r="H14" s="155"/>
      <c r="J14" s="6" t="s">
        <v>1640</v>
      </c>
      <c r="M14" s="167" t="s">
        <v>1641</v>
      </c>
    </row>
    <row r="15" customFormat="false" ht="14.25" hidden="false" customHeight="true" outlineLevel="0" collapsed="false">
      <c r="A15" s="6" t="s">
        <v>1642</v>
      </c>
      <c r="B15" s="168" t="n">
        <f aca="false">ROUND(AVERAGE(DeploySum!O54:Q54),0)</f>
        <v>7</v>
      </c>
      <c r="E15" s="6" t="s">
        <v>1643</v>
      </c>
      <c r="H15" s="157" t="n">
        <v>76515</v>
      </c>
    </row>
    <row r="16" customFormat="false" ht="14.25" hidden="false" customHeight="true" outlineLevel="0" collapsed="false">
      <c r="A16" s="6" t="s">
        <v>1644</v>
      </c>
      <c r="B16" s="168" t="n">
        <f aca="false">ROUND(AVERAGE(DeploySum!O57:Q57),0)</f>
        <v>2</v>
      </c>
      <c r="E16" s="6" t="s">
        <v>1645</v>
      </c>
      <c r="H16" s="157" t="n">
        <v>120000</v>
      </c>
    </row>
    <row r="17" customFormat="false" ht="14.25" hidden="false" customHeight="true" outlineLevel="0" collapsed="false"/>
    <row r="18" customFormat="false" ht="14.25" hidden="false" customHeight="true" outlineLevel="0" collapsed="false"/>
    <row r="19" customFormat="false" ht="14.25" hidden="false" customHeight="true" outlineLevel="0" collapsed="false">
      <c r="A19" s="169" t="s">
        <v>1646</v>
      </c>
      <c r="B19" s="81" t="n">
        <f aca="false">DeploySum!B53</f>
        <v>46295</v>
      </c>
      <c r="C19" s="81" t="n">
        <f aca="false">DeploySum!C53</f>
        <v>46326</v>
      </c>
      <c r="D19" s="81" t="n">
        <f aca="false">DeploySum!D53</f>
        <v>46356</v>
      </c>
      <c r="E19" s="81" t="n">
        <f aca="false">DeploySum!E53</f>
        <v>46387</v>
      </c>
      <c r="F19" s="81" t="n">
        <f aca="false">DeploySum!F53</f>
        <v>46418</v>
      </c>
      <c r="G19" s="81" t="n">
        <f aca="false">DeploySum!G53</f>
        <v>46446</v>
      </c>
      <c r="H19" s="81" t="n">
        <f aca="false">DeploySum!H53</f>
        <v>46477</v>
      </c>
      <c r="I19" s="81" t="n">
        <f aca="false">DeploySum!I53</f>
        <v>46507</v>
      </c>
      <c r="J19" s="81" t="n">
        <f aca="false">DeploySum!J53</f>
        <v>46538</v>
      </c>
      <c r="K19" s="81" t="n">
        <f aca="false">DeploySum!K53</f>
        <v>46568</v>
      </c>
      <c r="L19" s="81" t="n">
        <f aca="false">DeploySum!L53</f>
        <v>46599</v>
      </c>
      <c r="M19" s="81" t="n">
        <f aca="false">DeploySum!M53</f>
        <v>46630</v>
      </c>
      <c r="N19" s="81" t="n">
        <f aca="false">DeploySum!N53</f>
        <v>46660</v>
      </c>
      <c r="O19" s="81" t="n">
        <f aca="false">DeploySum!O53</f>
        <v>46691</v>
      </c>
      <c r="P19" s="81" t="n">
        <f aca="false">DeploySum!P53</f>
        <v>46721</v>
      </c>
      <c r="Q19" s="81" t="n">
        <f aca="false">DeploySum!Q53</f>
        <v>46752</v>
      </c>
      <c r="R19" s="80" t="s">
        <v>1647</v>
      </c>
      <c r="S19" s="80" t="s">
        <v>1421</v>
      </c>
    </row>
    <row r="20" customFormat="false" ht="14.25" hidden="false" customHeight="true" outlineLevel="0" collapsed="false">
      <c r="A20" s="6" t="s">
        <v>1648</v>
      </c>
      <c r="B20" s="170" t="n">
        <f aca="false">$B$11</f>
        <v>14</v>
      </c>
      <c r="C20" s="170" t="n">
        <f aca="false">$B$11</f>
        <v>14</v>
      </c>
      <c r="D20" s="170" t="n">
        <f aca="false">$B$11</f>
        <v>14</v>
      </c>
      <c r="E20" s="170" t="n">
        <f aca="false">$B$11</f>
        <v>14</v>
      </c>
      <c r="F20" s="170" t="n">
        <f aca="false">$B$11</f>
        <v>14</v>
      </c>
      <c r="G20" s="170" t="n">
        <f aca="false">$B$11</f>
        <v>14</v>
      </c>
      <c r="H20" s="170" t="n">
        <f aca="false">$B$11</f>
        <v>14</v>
      </c>
      <c r="I20" s="170" t="n">
        <f aca="false">$B$11</f>
        <v>14</v>
      </c>
      <c r="J20" s="170" t="n">
        <f aca="false">$B$11</f>
        <v>14</v>
      </c>
      <c r="K20" s="170" t="n">
        <f aca="false">$B$11</f>
        <v>14</v>
      </c>
      <c r="L20" s="170" t="n">
        <f aca="false">$B$11</f>
        <v>14</v>
      </c>
      <c r="M20" s="170" t="n">
        <f aca="false">$B$11</f>
        <v>14</v>
      </c>
      <c r="N20" s="170" t="n">
        <f aca="false">$B$11</f>
        <v>14</v>
      </c>
      <c r="O20" s="170" t="n">
        <f aca="false">$B$11</f>
        <v>14</v>
      </c>
      <c r="P20" s="170" t="n">
        <f aca="false">$B$11</f>
        <v>14</v>
      </c>
      <c r="Q20" s="170" t="n">
        <f aca="false">$B$11</f>
        <v>14</v>
      </c>
      <c r="R20" s="171" t="n">
        <f aca="false">AVERAGE(B20:E20)</f>
        <v>14</v>
      </c>
      <c r="S20" s="171" t="n">
        <f aca="false">AVERAGE(F20:Q20)</f>
        <v>14</v>
      </c>
      <c r="T20" s="78"/>
    </row>
    <row r="21" customFormat="false" ht="14.25" hidden="false" customHeight="true" outlineLevel="0" collapsed="false">
      <c r="A21" s="6" t="s">
        <v>1649</v>
      </c>
      <c r="B21" s="172" t="n">
        <f aca="false">B20*$B$6/12+IF(B$19&gt;=$M$6,MIN(B20,INDEX($B20:$Q20,IFERROR(MATCH(EOMONTH($M$6,-$M$7-1),$B$19:$Q$19,0),1)))*$B$6/12*$M$5,0)</f>
        <v>73500</v>
      </c>
      <c r="C21" s="172" t="n">
        <f aca="false">C20*$B$6/12+IF(C$19&gt;=$M$6,MIN(C20,INDEX($B20:$Q20,IFERROR(MATCH(EOMONTH($M$6,-$M$7-1),$B$19:$Q$19,0),1)))*$B$6/12*$M$5,0)</f>
        <v>73500</v>
      </c>
      <c r="D21" s="172" t="n">
        <f aca="false">D20*$B$6/12+IF(D$19&gt;=$M$6,MIN(D20,INDEX($B20:$Q20,IFERROR(MATCH(EOMONTH($M$6,-$M$7-1),$B$19:$Q$19,0),1)))*$B$6/12*$M$5,0)</f>
        <v>73500</v>
      </c>
      <c r="E21" s="172" t="n">
        <f aca="false">E20*$B$6/12+IF(E$19&gt;=$M$6,MIN(E20,INDEX($B20:$Q20,IFERROR(MATCH(EOMONTH($M$6,-$M$7-1),$B$19:$Q$19,0),1)))*$B$6/12*$M$5,0)</f>
        <v>73500</v>
      </c>
      <c r="F21" s="172" t="n">
        <f aca="false">F20*$B$6/12+IF(F$19&gt;=$M$6,MIN(F20,INDEX($B20:$Q20,IFERROR(MATCH(EOMONTH($M$6,-$M$7-1),$B$19:$Q$19,0),1)))*$B$6/12*$M$5,0)</f>
        <v>73500</v>
      </c>
      <c r="G21" s="172" t="n">
        <f aca="false">G20*$B$6/12+IF(G$19&gt;=$M$6,MIN(G20,INDEX($B20:$Q20,IFERROR(MATCH(EOMONTH($M$6,-$M$7-1),$B$19:$Q$19,0),1)))*$B$6/12*$M$5,0)</f>
        <v>73500</v>
      </c>
      <c r="H21" s="172" t="n">
        <f aca="false">H20*$B$6/12+IF(H$19&gt;=$M$6,MIN(H20,INDEX($B20:$Q20,IFERROR(MATCH(EOMONTH($M$6,-$M$7-1),$B$19:$Q$19,0),1)))*$B$6/12*$M$5,0)</f>
        <v>73500</v>
      </c>
      <c r="I21" s="172" t="n">
        <f aca="false">I20*$B$6/12+IF(I$19&gt;=$M$6,MIN(I20,INDEX($B20:$Q20,IFERROR(MATCH(EOMONTH($M$6,-$M$7-1),$B$19:$Q$19,0),1)))*$B$6/12*$M$5,0)</f>
        <v>73500</v>
      </c>
      <c r="J21" s="172" t="n">
        <f aca="false">J20*$B$6/12+IF(J$19&gt;=$M$6,MIN(J20,INDEX($B20:$Q20,IFERROR(MATCH(EOMONTH($M$6,-$M$7-1),$B$19:$Q$19,0),1)))*$B$6/12*$M$5,0)</f>
        <v>73500</v>
      </c>
      <c r="K21" s="172" t="n">
        <f aca="false">K20*$B$6/12+IF(K$19&gt;=$M$6,MIN(K20,INDEX($B20:$Q20,IFERROR(MATCH(EOMONTH($M$6,-$M$7-1),$B$19:$Q$19,0),1)))*$B$6/12*$M$5,0)</f>
        <v>73500</v>
      </c>
      <c r="L21" s="172" t="n">
        <f aca="false">L20*$B$6/12+IF(L$19&gt;=$M$6,MIN(L20,INDEX($B20:$Q20,IFERROR(MATCH(EOMONTH($M$6,-$M$7-1),$B$19:$Q$19,0),1)))*$B$6/12*$M$5,0)</f>
        <v>73500</v>
      </c>
      <c r="M21" s="172" t="n">
        <f aca="false">M20*$B$6/12+IF(M$19&gt;=$M$6,MIN(M20,INDEX($B20:$Q20,IFERROR(MATCH(EOMONTH($M$6,-$M$7-1),$B$19:$Q$19,0),1)))*$B$6/12*$M$5,0)</f>
        <v>73500</v>
      </c>
      <c r="N21" s="172" t="n">
        <f aca="false">N20*$B$6/12+IF(N$19&gt;=$M$6,MIN(N20,INDEX($B20:$Q20,IFERROR(MATCH(EOMONTH($M$6,-$M$7-1),$B$19:$Q$19,0),1)))*$B$6/12*$M$5,0)</f>
        <v>73500</v>
      </c>
      <c r="O21" s="172" t="n">
        <f aca="false">O20*$B$6/12+IF(O$19&gt;=$M$6,MIN(O20,INDEX($B20:$Q20,IFERROR(MATCH(EOMONTH($M$6,-$M$7-1),$B$19:$Q$19,0),1)))*$B$6/12*$M$5,0)</f>
        <v>75705</v>
      </c>
      <c r="P21" s="172" t="n">
        <f aca="false">P20*$B$6/12+IF(P$19&gt;=$M$6,MIN(P20,INDEX($B20:$Q20,IFERROR(MATCH(EOMONTH($M$6,-$M$7-1),$B$19:$Q$19,0),1)))*$B$6/12*$M$5,0)</f>
        <v>75705</v>
      </c>
      <c r="Q21" s="172" t="n">
        <f aca="false">Q20*$B$6/12+IF(Q$19&gt;=$M$6,MIN(Q20,INDEX($B20:$Q20,IFERROR(MATCH(EOMONTH($M$6,-$M$7-1),$B$19:$Q$19,0),1)))*$B$6/12*$M$5,0)</f>
        <v>75705</v>
      </c>
      <c r="R21" s="173" t="n">
        <f aca="false">SUM(B21:E21)</f>
        <v>294000</v>
      </c>
      <c r="S21" s="173" t="n">
        <f aca="false">SUM(F21:Q21)</f>
        <v>888615</v>
      </c>
    </row>
    <row r="22" customFormat="false" ht="14.25" hidden="false" customHeight="true" outlineLevel="0" collapsed="false">
      <c r="A22" s="6" t="s">
        <v>1650</v>
      </c>
      <c r="B22" s="172" t="n">
        <f aca="false">B21*$B$7</f>
        <v>4998</v>
      </c>
      <c r="C22" s="172" t="n">
        <f aca="false">C21*$B$7</f>
        <v>4998</v>
      </c>
      <c r="D22" s="172" t="n">
        <f aca="false">D21*$B$7</f>
        <v>4998</v>
      </c>
      <c r="E22" s="172" t="n">
        <f aca="false">E21*$B$7</f>
        <v>4998</v>
      </c>
      <c r="F22" s="172" t="n">
        <f aca="false">F21*$B$7</f>
        <v>4998</v>
      </c>
      <c r="G22" s="172" t="n">
        <f aca="false">G21*$B$7</f>
        <v>4998</v>
      </c>
      <c r="H22" s="172" t="n">
        <f aca="false">H21*$B$7</f>
        <v>4998</v>
      </c>
      <c r="I22" s="172" t="n">
        <f aca="false">I21*$B$7</f>
        <v>4998</v>
      </c>
      <c r="J22" s="172" t="n">
        <f aca="false">J21*$B$7</f>
        <v>4998</v>
      </c>
      <c r="K22" s="172" t="n">
        <f aca="false">K21*$B$7</f>
        <v>4998</v>
      </c>
      <c r="L22" s="172" t="n">
        <f aca="false">L21*$B$7</f>
        <v>4998</v>
      </c>
      <c r="M22" s="172" t="n">
        <f aca="false">M21*$B$7</f>
        <v>4998</v>
      </c>
      <c r="N22" s="172" t="n">
        <f aca="false">N21*$B$7</f>
        <v>4998</v>
      </c>
      <c r="O22" s="172" t="n">
        <f aca="false">O21*$B$7</f>
        <v>5147.94</v>
      </c>
      <c r="P22" s="172" t="n">
        <f aca="false">P21*$B$7</f>
        <v>5147.94</v>
      </c>
      <c r="Q22" s="172" t="n">
        <f aca="false">Q21*$B$7</f>
        <v>5147.94</v>
      </c>
      <c r="R22" s="173" t="n">
        <f aca="false">SUM(B22:E22)</f>
        <v>19992</v>
      </c>
      <c r="S22" s="173" t="n">
        <f aca="false">SUM(F22:Q22)</f>
        <v>60425.82</v>
      </c>
    </row>
    <row r="23" customFormat="false" ht="14.25" hidden="false" customHeight="true" outlineLevel="0" collapsed="false">
      <c r="A23" s="6" t="s">
        <v>1390</v>
      </c>
      <c r="B23" s="172" t="n">
        <f aca="false">B21*$B$8</f>
        <v>12054</v>
      </c>
      <c r="C23" s="172" t="n">
        <f aca="false">C21*$B$8</f>
        <v>12054</v>
      </c>
      <c r="D23" s="172" t="n">
        <f aca="false">D21*$B$8</f>
        <v>12054</v>
      </c>
      <c r="E23" s="172" t="n">
        <f aca="false">E21*$B$8</f>
        <v>12054</v>
      </c>
      <c r="F23" s="172" t="n">
        <f aca="false">F21*$B$8</f>
        <v>12054</v>
      </c>
      <c r="G23" s="172" t="n">
        <f aca="false">G21*$B$8</f>
        <v>12054</v>
      </c>
      <c r="H23" s="172" t="n">
        <f aca="false">H21*$B$8</f>
        <v>12054</v>
      </c>
      <c r="I23" s="172" t="n">
        <f aca="false">I21*$B$8</f>
        <v>12054</v>
      </c>
      <c r="J23" s="172" t="n">
        <f aca="false">J21*$B$8</f>
        <v>12054</v>
      </c>
      <c r="K23" s="172" t="n">
        <f aca="false">K21*$B$8</f>
        <v>12054</v>
      </c>
      <c r="L23" s="172" t="n">
        <f aca="false">L21*$B$8</f>
        <v>12054</v>
      </c>
      <c r="M23" s="172" t="n">
        <f aca="false">M21*$B$8</f>
        <v>12054</v>
      </c>
      <c r="N23" s="172" t="n">
        <f aca="false">N21*$B$8</f>
        <v>12054</v>
      </c>
      <c r="O23" s="172" t="n">
        <f aca="false">O21*$B$8</f>
        <v>12415.62</v>
      </c>
      <c r="P23" s="172" t="n">
        <f aca="false">P21*$B$8</f>
        <v>12415.62</v>
      </c>
      <c r="Q23" s="172" t="n">
        <f aca="false">Q21*$B$8</f>
        <v>12415.62</v>
      </c>
      <c r="R23" s="173" t="n">
        <f aca="false">SUM(B23:E23)</f>
        <v>48216</v>
      </c>
      <c r="S23" s="173" t="n">
        <f aca="false">SUM(F23:Q23)</f>
        <v>145732.86</v>
      </c>
    </row>
    <row r="24" customFormat="false" ht="14.25" hidden="false" customHeight="true" outlineLevel="0" collapsed="false">
      <c r="A24" s="174" t="s">
        <v>1651</v>
      </c>
      <c r="B24" s="175" t="n">
        <f aca="false">SUM(B21:B23)</f>
        <v>90552</v>
      </c>
      <c r="C24" s="175" t="n">
        <f aca="false">SUM(C21:C23)</f>
        <v>90552</v>
      </c>
      <c r="D24" s="175" t="n">
        <f aca="false">SUM(D21:D23)</f>
        <v>90552</v>
      </c>
      <c r="E24" s="175" t="n">
        <f aca="false">SUM(E21:E23)</f>
        <v>90552</v>
      </c>
      <c r="F24" s="175" t="n">
        <f aca="false">SUM(F21:F23)</f>
        <v>90552</v>
      </c>
      <c r="G24" s="175" t="n">
        <f aca="false">SUM(G21:G23)</f>
        <v>90552</v>
      </c>
      <c r="H24" s="175" t="n">
        <f aca="false">SUM(H21:H23)</f>
        <v>90552</v>
      </c>
      <c r="I24" s="175" t="n">
        <f aca="false">SUM(I21:I23)</f>
        <v>90552</v>
      </c>
      <c r="J24" s="175" t="n">
        <f aca="false">SUM(J21:J23)</f>
        <v>90552</v>
      </c>
      <c r="K24" s="175" t="n">
        <f aca="false">SUM(K21:K23)</f>
        <v>90552</v>
      </c>
      <c r="L24" s="175" t="n">
        <f aca="false">SUM(L21:L23)</f>
        <v>90552</v>
      </c>
      <c r="M24" s="175" t="n">
        <f aca="false">SUM(M21:M23)</f>
        <v>90552</v>
      </c>
      <c r="N24" s="175" t="n">
        <f aca="false">SUM(N21:N23)</f>
        <v>90552</v>
      </c>
      <c r="O24" s="175" t="n">
        <f aca="false">SUM(O21:O23)</f>
        <v>93268.56</v>
      </c>
      <c r="P24" s="175" t="n">
        <f aca="false">SUM(P21:P23)</f>
        <v>93268.56</v>
      </c>
      <c r="Q24" s="175" t="n">
        <f aca="false">SUM(Q21:Q23)</f>
        <v>93268.56</v>
      </c>
      <c r="R24" s="176" t="n">
        <f aca="false">SUM(B24:E24)</f>
        <v>362208</v>
      </c>
      <c r="S24" s="176" t="n">
        <f aca="false">SUM(F24:Q24)</f>
        <v>1094773.68</v>
      </c>
    </row>
    <row r="25" customFormat="false" ht="14.25" hidden="false" customHeight="true" outlineLevel="0" collapsed="false"/>
    <row r="26" customFormat="false" ht="14.25" hidden="false" customHeight="true" outlineLevel="0" collapsed="false">
      <c r="A26" s="169" t="s">
        <v>1652</v>
      </c>
      <c r="B26" s="81" t="n">
        <f aca="false">DeploySum!B53</f>
        <v>46295</v>
      </c>
      <c r="C26" s="81" t="n">
        <f aca="false">DeploySum!C53</f>
        <v>46326</v>
      </c>
      <c r="D26" s="81" t="n">
        <f aca="false">DeploySum!D53</f>
        <v>46356</v>
      </c>
      <c r="E26" s="81" t="n">
        <f aca="false">DeploySum!E53</f>
        <v>46387</v>
      </c>
      <c r="F26" s="81" t="n">
        <f aca="false">DeploySum!F53</f>
        <v>46418</v>
      </c>
      <c r="G26" s="81" t="n">
        <f aca="false">DeploySum!G53</f>
        <v>46446</v>
      </c>
      <c r="H26" s="81" t="n">
        <f aca="false">DeploySum!H53</f>
        <v>46477</v>
      </c>
      <c r="I26" s="81" t="n">
        <f aca="false">DeploySum!I53</f>
        <v>46507</v>
      </c>
      <c r="J26" s="81" t="n">
        <f aca="false">DeploySum!J53</f>
        <v>46538</v>
      </c>
      <c r="K26" s="81" t="n">
        <f aca="false">DeploySum!K53</f>
        <v>46568</v>
      </c>
      <c r="L26" s="81" t="n">
        <f aca="false">DeploySum!L53</f>
        <v>46599</v>
      </c>
      <c r="M26" s="81" t="n">
        <f aca="false">DeploySum!M53</f>
        <v>46630</v>
      </c>
      <c r="N26" s="81" t="n">
        <f aca="false">DeploySum!N53</f>
        <v>46660</v>
      </c>
      <c r="O26" s="81" t="n">
        <f aca="false">DeploySum!O53</f>
        <v>46691</v>
      </c>
      <c r="P26" s="81" t="n">
        <f aca="false">DeploySum!P53</f>
        <v>46721</v>
      </c>
      <c r="Q26" s="81" t="n">
        <f aca="false">DeploySum!Q53</f>
        <v>46752</v>
      </c>
      <c r="R26" s="80" t="s">
        <v>1647</v>
      </c>
      <c r="S26" s="80" t="s">
        <v>1421</v>
      </c>
    </row>
    <row r="27" customFormat="false" ht="14.25" hidden="false" customHeight="true" outlineLevel="0" collapsed="false">
      <c r="A27" s="177" t="s">
        <v>1653</v>
      </c>
      <c r="B27" s="178" t="n">
        <f aca="false">COLUMNS($B27:B27)</f>
        <v>1</v>
      </c>
      <c r="C27" s="178" t="n">
        <f aca="false">COLUMNS($B27:C27)</f>
        <v>2</v>
      </c>
      <c r="D27" s="178" t="n">
        <f aca="false">COLUMNS($B27:D27)</f>
        <v>3</v>
      </c>
      <c r="E27" s="178" t="n">
        <f aca="false">COLUMNS($B27:E27)</f>
        <v>4</v>
      </c>
      <c r="F27" s="178" t="n">
        <f aca="false">COLUMNS($B27:F27)</f>
        <v>5</v>
      </c>
      <c r="G27" s="178" t="n">
        <f aca="false">COLUMNS($B27:G27)</f>
        <v>6</v>
      </c>
      <c r="H27" s="178" t="n">
        <f aca="false">COLUMNS($B27:H27)</f>
        <v>7</v>
      </c>
      <c r="I27" s="178" t="n">
        <f aca="false">COLUMNS($B27:I27)</f>
        <v>8</v>
      </c>
      <c r="J27" s="178" t="n">
        <f aca="false">COLUMNS($B27:J27)</f>
        <v>9</v>
      </c>
      <c r="K27" s="178" t="n">
        <f aca="false">COLUMNS($B27:K27)</f>
        <v>10</v>
      </c>
      <c r="L27" s="178" t="n">
        <f aca="false">COLUMNS($B27:L27)</f>
        <v>11</v>
      </c>
      <c r="M27" s="178" t="n">
        <f aca="false">COLUMNS($B27:M27)</f>
        <v>12</v>
      </c>
      <c r="N27" s="178" t="n">
        <f aca="false">COLUMNS($B27:N27)</f>
        <v>13</v>
      </c>
      <c r="O27" s="178" t="n">
        <f aca="false">COLUMNS($B27:O27)</f>
        <v>14</v>
      </c>
      <c r="P27" s="178" t="n">
        <f aca="false">COLUMNS($B27:P27)</f>
        <v>15</v>
      </c>
      <c r="Q27" s="178" t="n">
        <f aca="false">COLUMNS($B27:Q27)</f>
        <v>16</v>
      </c>
      <c r="R27" s="179"/>
      <c r="S27" s="179"/>
      <c r="T27" s="78"/>
    </row>
    <row r="28" customFormat="false" ht="14.25" hidden="false" customHeight="true" outlineLevel="0" collapsed="false">
      <c r="A28" s="6" t="s">
        <v>1654</v>
      </c>
      <c r="B28" s="180" t="n">
        <f aca="false">DeploySum!B54</f>
        <v>0</v>
      </c>
      <c r="C28" s="180" t="n">
        <f aca="false">DeploySum!C54</f>
        <v>0</v>
      </c>
      <c r="D28" s="180" t="n">
        <f aca="false">DeploySum!D54</f>
        <v>0</v>
      </c>
      <c r="E28" s="180" t="n">
        <f aca="false">DeploySum!E54</f>
        <v>0</v>
      </c>
      <c r="F28" s="180" t="n">
        <f aca="false">DeploySum!F54</f>
        <v>3</v>
      </c>
      <c r="G28" s="180" t="n">
        <f aca="false">DeploySum!G54</f>
        <v>2</v>
      </c>
      <c r="H28" s="180" t="n">
        <f aca="false">DeploySum!H54</f>
        <v>0</v>
      </c>
      <c r="I28" s="180" t="n">
        <f aca="false">DeploySum!I54</f>
        <v>3</v>
      </c>
      <c r="J28" s="180" t="n">
        <f aca="false">DeploySum!J54</f>
        <v>3</v>
      </c>
      <c r="K28" s="180" t="n">
        <f aca="false">DeploySum!K54</f>
        <v>4</v>
      </c>
      <c r="L28" s="180" t="n">
        <f aca="false">DeploySum!L54</f>
        <v>4</v>
      </c>
      <c r="M28" s="180" t="n">
        <f aca="false">DeploySum!M54</f>
        <v>5</v>
      </c>
      <c r="N28" s="180" t="n">
        <f aca="false">DeploySum!N54</f>
        <v>6</v>
      </c>
      <c r="O28" s="180" t="n">
        <f aca="false">DeploySum!O54</f>
        <v>6</v>
      </c>
      <c r="P28" s="180" t="n">
        <f aca="false">DeploySum!P54</f>
        <v>7</v>
      </c>
      <c r="Q28" s="180" t="n">
        <f aca="false">DeploySum!Q54</f>
        <v>8</v>
      </c>
      <c r="R28" s="181" t="n">
        <f aca="false">SUM(B28:E28)</f>
        <v>0</v>
      </c>
      <c r="S28" s="181" t="n">
        <f aca="false">SUM(F28:Q28)</f>
        <v>51</v>
      </c>
      <c r="T28" s="78"/>
    </row>
    <row r="29" customFormat="false" ht="14.25" hidden="false" customHeight="true" outlineLevel="0" collapsed="false">
      <c r="A29" s="6" t="s">
        <v>1655</v>
      </c>
      <c r="B29" s="170" t="n">
        <f aca="false" t="array" ref="B29:B29">IF(B$27+$B$10&gt;COLUMNS(DeploySum!$B$54:$Q$54),$B$15,IFERROR(INDEX(DeploySum!$B$54:$Q$54,B$27+$B$10),0))*$B$5</f>
        <v>0</v>
      </c>
      <c r="C29" s="170" t="n">
        <f aca="false" t="array" ref="C29:C29">IF(C$27+$B$10&gt;COLUMNS(DeploySum!$B$54:$Q$54),$B$15,IFERROR(INDEX(DeploySum!$B$54:$Q$54,C$27+$B$10),0))*$B$5</f>
        <v>0</v>
      </c>
      <c r="D29" s="170" t="n">
        <f aca="false" t="array" ref="D29:D29">IF(D$27+$B$10&gt;COLUMNS(DeploySum!$B$54:$Q$54),$B$15,IFERROR(INDEX(DeploySum!$B$54:$Q$54,D$27+$B$10),0))*$B$5</f>
        <v>0</v>
      </c>
      <c r="E29" s="170" t="n">
        <f aca="false" t="array" ref="E29:E29">IF(E$27+$B$10&gt;COLUMNS(DeploySum!$B$54:$Q$54),$B$15,IFERROR(INDEX(DeploySum!$B$54:$Q$54,E$27+$B$10),0))*$B$5</f>
        <v>3</v>
      </c>
      <c r="F29" s="170" t="n">
        <f aca="false" t="array" ref="F29:F29">IF(F$27+$B$10&gt;COLUMNS(DeploySum!$B$54:$Q$54),$B$15,IFERROR(INDEX(DeploySum!$B$54:$Q$54,F$27+$B$10),0))*$B$5</f>
        <v>2</v>
      </c>
      <c r="G29" s="170" t="n">
        <f aca="false" t="array" ref="G29:G29">IF(G$27+$B$10&gt;COLUMNS(DeploySum!$B$54:$Q$54),$B$15,IFERROR(INDEX(DeploySum!$B$54:$Q$54,G$27+$B$10),0))*$B$5</f>
        <v>0</v>
      </c>
      <c r="H29" s="170" t="n">
        <f aca="false" t="array" ref="H29:H29">IF(H$27+$B$10&gt;COLUMNS(DeploySum!$B$54:$Q$54),$B$15,IFERROR(INDEX(DeploySum!$B$54:$Q$54,H$27+$B$10),0))*$B$5</f>
        <v>3</v>
      </c>
      <c r="I29" s="170" t="n">
        <f aca="false" t="array" ref="I29:I29">IF(I$27+$B$10&gt;COLUMNS(DeploySum!$B$54:$Q$54),$B$15,IFERROR(INDEX(DeploySum!$B$54:$Q$54,I$27+$B$10),0))*$B$5</f>
        <v>3</v>
      </c>
      <c r="J29" s="170" t="n">
        <f aca="false" t="array" ref="J29:J29">IF(J$27+$B$10&gt;COLUMNS(DeploySum!$B$54:$Q$54),$B$15,IFERROR(INDEX(DeploySum!$B$54:$Q$54,J$27+$B$10),0))*$B$5</f>
        <v>4</v>
      </c>
      <c r="K29" s="170" t="n">
        <f aca="false" t="array" ref="K29:K29">IF(K$27+$B$10&gt;COLUMNS(DeploySum!$B$54:$Q$54),$B$15,IFERROR(INDEX(DeploySum!$B$54:$Q$54,K$27+$B$10),0))*$B$5</f>
        <v>4</v>
      </c>
      <c r="L29" s="170" t="n">
        <f aca="false" t="array" ref="L29:L29">IF(L$27+$B$10&gt;COLUMNS(DeploySum!$B$54:$Q$54),$B$15,IFERROR(INDEX(DeploySum!$B$54:$Q$54,L$27+$B$10),0))*$B$5</f>
        <v>5</v>
      </c>
      <c r="M29" s="170" t="n">
        <f aca="false" t="array" ref="M29:M29">IF(M$27+$B$10&gt;COLUMNS(DeploySum!$B$54:$Q$54),$B$15,IFERROR(INDEX(DeploySum!$B$54:$Q$54,M$27+$B$10),0))*$B$5</f>
        <v>6</v>
      </c>
      <c r="N29" s="170" t="n">
        <f aca="false" t="array" ref="N29:N29">IF(N$27+$B$10&gt;COLUMNS(DeploySum!$B$54:$Q$54),$B$15,IFERROR(INDEX(DeploySum!$B$54:$Q$54,N$27+$B$10),0))*$B$5</f>
        <v>6</v>
      </c>
      <c r="O29" s="170" t="n">
        <f aca="false" t="array" ref="O29:O29">IF(O$27+$B$10&gt;COLUMNS(DeploySum!$B$54:$Q$54),$B$15,IFERROR(INDEX(DeploySum!$B$54:$Q$54,O$27+$B$10),0))*$B$5</f>
        <v>7</v>
      </c>
      <c r="P29" s="170" t="n">
        <f aca="false" t="array" ref="P29:P29">IF(P$27+$B$10&gt;COLUMNS(DeploySum!$B$54:$Q$54),$B$15,IFERROR(INDEX(DeploySum!$B$54:$Q$54,P$27+$B$10),0))*$B$5</f>
        <v>8</v>
      </c>
      <c r="Q29" s="170" t="n">
        <f aca="false" t="array" ref="Q29:Q29">IF(Q$27+$B$10&gt;COLUMNS(DeploySum!$B$54:$Q$54),$B$15,IFERROR(INDEX(DeploySum!$B$54:$Q$54,Q$27+$B$10),0))*$B$5</f>
        <v>7</v>
      </c>
      <c r="R29" s="181" t="n">
        <f aca="false">SUM(B29:E29)</f>
        <v>3</v>
      </c>
      <c r="S29" s="181" t="n">
        <f aca="false">SUM(F29:Q29)</f>
        <v>55</v>
      </c>
      <c r="T29" s="78"/>
    </row>
    <row r="30" customFormat="false" ht="14.25" hidden="false" customHeight="true" outlineLevel="0" collapsed="false">
      <c r="A30" s="6" t="s">
        <v>1656</v>
      </c>
      <c r="B30" s="170" t="n">
        <f aca="false">B29</f>
        <v>0</v>
      </c>
      <c r="C30" s="170" t="n">
        <f aca="false">B30+C29</f>
        <v>0</v>
      </c>
      <c r="D30" s="170" t="n">
        <f aca="false">C30+D29</f>
        <v>0</v>
      </c>
      <c r="E30" s="170" t="n">
        <f aca="false">D30+E29</f>
        <v>3</v>
      </c>
      <c r="F30" s="170" t="n">
        <f aca="false">E30+F29</f>
        <v>5</v>
      </c>
      <c r="G30" s="170" t="n">
        <f aca="false">F30+G29</f>
        <v>5</v>
      </c>
      <c r="H30" s="170" t="n">
        <f aca="false">G30+H29</f>
        <v>8</v>
      </c>
      <c r="I30" s="170" t="n">
        <f aca="false">H30+I29</f>
        <v>11</v>
      </c>
      <c r="J30" s="170" t="n">
        <f aca="false">I30+J29</f>
        <v>15</v>
      </c>
      <c r="K30" s="170" t="n">
        <f aca="false">J30+K29</f>
        <v>19</v>
      </c>
      <c r="L30" s="170" t="n">
        <f aca="false">K30+L29</f>
        <v>24</v>
      </c>
      <c r="M30" s="170" t="n">
        <f aca="false">L30+M29</f>
        <v>30</v>
      </c>
      <c r="N30" s="170" t="n">
        <f aca="false">M30+N29</f>
        <v>36</v>
      </c>
      <c r="O30" s="170" t="n">
        <f aca="false">N30+O29</f>
        <v>43</v>
      </c>
      <c r="P30" s="170" t="n">
        <f aca="false">O30+P29</f>
        <v>51</v>
      </c>
      <c r="Q30" s="170" t="n">
        <f aca="false">P30+Q29</f>
        <v>58</v>
      </c>
      <c r="R30" s="171" t="n">
        <f aca="false">AVERAGE(B30:E30)</f>
        <v>0.75</v>
      </c>
      <c r="S30" s="171" t="n">
        <f aca="false">AVERAGE(F30:Q30)</f>
        <v>25.4166666666667</v>
      </c>
      <c r="T30" s="78"/>
    </row>
    <row r="31" customFormat="false" ht="14.25" hidden="false" customHeight="true" outlineLevel="0" collapsed="false">
      <c r="A31" s="6" t="s">
        <v>1649</v>
      </c>
      <c r="B31" s="172" t="n">
        <f aca="false">B30*$B$6/12+IF(B$26&gt;=$M$6,MIN(B30,INDEX($B30:$Q30,IFERROR(MATCH(EOMONTH($M$6,-$M$7-1),$B$26:$Q$26,0),1)))*$B$6/12*$M$5,0)</f>
        <v>0</v>
      </c>
      <c r="C31" s="172" t="n">
        <f aca="false">C30*$B$6/12+IF(C$26&gt;=$M$6,MIN(C30,INDEX($B30:$Q30,IFERROR(MATCH(EOMONTH($M$6,-$M$7-1),$B$26:$Q$26,0),1)))*$B$6/12*$M$5,0)</f>
        <v>0</v>
      </c>
      <c r="D31" s="172" t="n">
        <f aca="false">D30*$B$6/12+IF(D$26&gt;=$M$6,MIN(D30,INDEX($B30:$Q30,IFERROR(MATCH(EOMONTH($M$6,-$M$7-1),$B$26:$Q$26,0),1)))*$B$6/12*$M$5,0)</f>
        <v>0</v>
      </c>
      <c r="E31" s="172" t="n">
        <f aca="false">E30*$B$6/12+IF(E$26&gt;=$M$6,MIN(E30,INDEX($B30:$Q30,IFERROR(MATCH(EOMONTH($M$6,-$M$7-1),$B$26:$Q$26,0),1)))*$B$6/12*$M$5,0)</f>
        <v>15750</v>
      </c>
      <c r="F31" s="172" t="n">
        <f aca="false">F30*$B$6/12+IF(F$26&gt;=$M$6,MIN(F30,INDEX($B30:$Q30,IFERROR(MATCH(EOMONTH($M$6,-$M$7-1),$B$26:$Q$26,0),1)))*$B$6/12*$M$5,0)</f>
        <v>26250</v>
      </c>
      <c r="G31" s="172" t="n">
        <f aca="false">G30*$B$6/12+IF(G$26&gt;=$M$6,MIN(G30,INDEX($B30:$Q30,IFERROR(MATCH(EOMONTH($M$6,-$M$7-1),$B$26:$Q$26,0),1)))*$B$6/12*$M$5,0)</f>
        <v>26250</v>
      </c>
      <c r="H31" s="172" t="n">
        <f aca="false">H30*$B$6/12+IF(H$26&gt;=$M$6,MIN(H30,INDEX($B30:$Q30,IFERROR(MATCH(EOMONTH($M$6,-$M$7-1),$B$26:$Q$26,0),1)))*$B$6/12*$M$5,0)</f>
        <v>42000</v>
      </c>
      <c r="I31" s="172" t="n">
        <f aca="false">I30*$B$6/12+IF(I$26&gt;=$M$6,MIN(I30,INDEX($B30:$Q30,IFERROR(MATCH(EOMONTH($M$6,-$M$7-1),$B$26:$Q$26,0),1)))*$B$6/12*$M$5,0)</f>
        <v>57750</v>
      </c>
      <c r="J31" s="172" t="n">
        <f aca="false">J30*$B$6/12+IF(J$26&gt;=$M$6,MIN(J30,INDEX($B30:$Q30,IFERROR(MATCH(EOMONTH($M$6,-$M$7-1),$B$26:$Q$26,0),1)))*$B$6/12*$M$5,0)</f>
        <v>78750</v>
      </c>
      <c r="K31" s="172" t="n">
        <f aca="false">K30*$B$6/12+IF(K$26&gt;=$M$6,MIN(K30,INDEX($B30:$Q30,IFERROR(MATCH(EOMONTH($M$6,-$M$7-1),$B$26:$Q$26,0),1)))*$B$6/12*$M$5,0)</f>
        <v>99750</v>
      </c>
      <c r="L31" s="172" t="n">
        <f aca="false">L30*$B$6/12+IF(L$26&gt;=$M$6,MIN(L30,INDEX($B30:$Q30,IFERROR(MATCH(EOMONTH($M$6,-$M$7-1),$B$26:$Q$26,0),1)))*$B$6/12*$M$5,0)</f>
        <v>126000</v>
      </c>
      <c r="M31" s="172" t="n">
        <f aca="false">M30*$B$6/12+IF(M$26&gt;=$M$6,MIN(M30,INDEX($B30:$Q30,IFERROR(MATCH(EOMONTH($M$6,-$M$7-1),$B$26:$Q$26,0),1)))*$B$6/12*$M$5,0)</f>
        <v>157500</v>
      </c>
      <c r="N31" s="172" t="n">
        <f aca="false">N30*$B$6/12+IF(N$26&gt;=$M$6,MIN(N30,INDEX($B30:$Q30,IFERROR(MATCH(EOMONTH($M$6,-$M$7-1),$B$26:$Q$26,0),1)))*$B$6/12*$M$5,0)</f>
        <v>189000</v>
      </c>
      <c r="O31" s="172" t="n">
        <f aca="false">O30*$B$6/12+IF(O$26&gt;=$M$6,MIN(O30,INDEX($B30:$Q30,IFERROR(MATCH(EOMONTH($M$6,-$M$7-1),$B$26:$Q$26,0),1)))*$B$6/12*$M$5,0)</f>
        <v>227010</v>
      </c>
      <c r="P31" s="172" t="n">
        <f aca="false">P30*$B$6/12+IF(P$26&gt;=$M$6,MIN(P30,INDEX($B30:$Q30,IFERROR(MATCH(EOMONTH($M$6,-$M$7-1),$B$26:$Q$26,0),1)))*$B$6/12*$M$5,0)</f>
        <v>269010</v>
      </c>
      <c r="Q31" s="172" t="n">
        <f aca="false">Q30*$B$6/12+IF(Q$26&gt;=$M$6,MIN(Q30,INDEX($B30:$Q30,IFERROR(MATCH(EOMONTH($M$6,-$M$7-1),$B$26:$Q$26,0),1)))*$B$6/12*$M$5,0)</f>
        <v>305760</v>
      </c>
      <c r="R31" s="173" t="n">
        <f aca="false">SUM(B31:E31)</f>
        <v>15750</v>
      </c>
      <c r="S31" s="173" t="n">
        <f aca="false">SUM(F31:Q31)</f>
        <v>1605030</v>
      </c>
    </row>
    <row r="32" customFormat="false" ht="14.25" hidden="false" customHeight="true" outlineLevel="0" collapsed="false">
      <c r="A32" s="6" t="s">
        <v>1650</v>
      </c>
      <c r="B32" s="172" t="n">
        <f aca="false">B31*$B$7</f>
        <v>0</v>
      </c>
      <c r="C32" s="172" t="n">
        <f aca="false">C31*$B$7</f>
        <v>0</v>
      </c>
      <c r="D32" s="172" t="n">
        <f aca="false">D31*$B$7</f>
        <v>0</v>
      </c>
      <c r="E32" s="172" t="n">
        <f aca="false">E31*$B$7</f>
        <v>1071</v>
      </c>
      <c r="F32" s="172" t="n">
        <f aca="false">F31*$B$7</f>
        <v>1785</v>
      </c>
      <c r="G32" s="172" t="n">
        <f aca="false">G31*$B$7</f>
        <v>1785</v>
      </c>
      <c r="H32" s="172" t="n">
        <f aca="false">H31*$B$7</f>
        <v>2856</v>
      </c>
      <c r="I32" s="172" t="n">
        <f aca="false">I31*$B$7</f>
        <v>3927</v>
      </c>
      <c r="J32" s="172" t="n">
        <f aca="false">J31*$B$7</f>
        <v>5355</v>
      </c>
      <c r="K32" s="172" t="n">
        <f aca="false">K31*$B$7</f>
        <v>6783</v>
      </c>
      <c r="L32" s="172" t="n">
        <f aca="false">L31*$B$7</f>
        <v>8568</v>
      </c>
      <c r="M32" s="172" t="n">
        <f aca="false">M31*$B$7</f>
        <v>10710</v>
      </c>
      <c r="N32" s="172" t="n">
        <f aca="false">N31*$B$7</f>
        <v>12852</v>
      </c>
      <c r="O32" s="172" t="n">
        <f aca="false">O31*$B$7</f>
        <v>15436.68</v>
      </c>
      <c r="P32" s="172" t="n">
        <f aca="false">P31*$B$7</f>
        <v>18292.68</v>
      </c>
      <c r="Q32" s="172" t="n">
        <f aca="false">Q31*$B$7</f>
        <v>20791.68</v>
      </c>
      <c r="R32" s="173" t="n">
        <f aca="false">SUM(B32:E32)</f>
        <v>1071</v>
      </c>
      <c r="S32" s="173" t="n">
        <f aca="false">SUM(F32:Q32)</f>
        <v>109142.04</v>
      </c>
    </row>
    <row r="33" customFormat="false" ht="14.25" hidden="false" customHeight="true" outlineLevel="0" collapsed="false">
      <c r="A33" s="6" t="s">
        <v>1390</v>
      </c>
      <c r="B33" s="172" t="n">
        <f aca="false">B31*$B$8</f>
        <v>0</v>
      </c>
      <c r="C33" s="172" t="n">
        <f aca="false">C31*$B$8</f>
        <v>0</v>
      </c>
      <c r="D33" s="172" t="n">
        <f aca="false">D31*$B$8</f>
        <v>0</v>
      </c>
      <c r="E33" s="172" t="n">
        <f aca="false">E31*$B$8</f>
        <v>2583</v>
      </c>
      <c r="F33" s="172" t="n">
        <f aca="false">F31*$B$8</f>
        <v>4305</v>
      </c>
      <c r="G33" s="172" t="n">
        <f aca="false">G31*$B$8</f>
        <v>4305</v>
      </c>
      <c r="H33" s="172" t="n">
        <f aca="false">H31*$B$8</f>
        <v>6888</v>
      </c>
      <c r="I33" s="172" t="n">
        <f aca="false">I31*$B$8</f>
        <v>9471</v>
      </c>
      <c r="J33" s="172" t="n">
        <f aca="false">J31*$B$8</f>
        <v>12915</v>
      </c>
      <c r="K33" s="172" t="n">
        <f aca="false">K31*$B$8</f>
        <v>16359</v>
      </c>
      <c r="L33" s="172" t="n">
        <f aca="false">L31*$B$8</f>
        <v>20664</v>
      </c>
      <c r="M33" s="172" t="n">
        <f aca="false">M31*$B$8</f>
        <v>25830</v>
      </c>
      <c r="N33" s="172" t="n">
        <f aca="false">N31*$B$8</f>
        <v>30996</v>
      </c>
      <c r="O33" s="172" t="n">
        <f aca="false">O31*$B$8</f>
        <v>37229.64</v>
      </c>
      <c r="P33" s="172" t="n">
        <f aca="false">P31*$B$8</f>
        <v>44117.64</v>
      </c>
      <c r="Q33" s="172" t="n">
        <f aca="false">Q31*$B$8</f>
        <v>50144.64</v>
      </c>
      <c r="R33" s="173" t="n">
        <f aca="false">SUM(B33:E33)</f>
        <v>2583</v>
      </c>
      <c r="S33" s="173" t="n">
        <f aca="false">SUM(F33:Q33)</f>
        <v>263224.92</v>
      </c>
    </row>
    <row r="34" customFormat="false" ht="14.25" hidden="false" customHeight="true" outlineLevel="0" collapsed="false">
      <c r="A34" s="6" t="s">
        <v>1657</v>
      </c>
      <c r="B34" s="172" t="n">
        <f aca="false">B29*$B$9</f>
        <v>0</v>
      </c>
      <c r="C34" s="172" t="n">
        <f aca="false">C29*$B$9</f>
        <v>0</v>
      </c>
      <c r="D34" s="172" t="n">
        <f aca="false">D29*$B$9</f>
        <v>0</v>
      </c>
      <c r="E34" s="172" t="n">
        <f aca="false">E29*$B$9</f>
        <v>6000</v>
      </c>
      <c r="F34" s="172" t="n">
        <f aca="false">F29*$B$9</f>
        <v>4000</v>
      </c>
      <c r="G34" s="172" t="n">
        <f aca="false">G29*$B$9</f>
        <v>0</v>
      </c>
      <c r="H34" s="172" t="n">
        <f aca="false">H29*$B$9</f>
        <v>6000</v>
      </c>
      <c r="I34" s="172" t="n">
        <f aca="false">I29*$B$9</f>
        <v>6000</v>
      </c>
      <c r="J34" s="172" t="n">
        <f aca="false">J29*$B$9</f>
        <v>8000</v>
      </c>
      <c r="K34" s="172" t="n">
        <f aca="false">K29*$B$9</f>
        <v>8000</v>
      </c>
      <c r="L34" s="172" t="n">
        <f aca="false">L29*$B$9</f>
        <v>10000</v>
      </c>
      <c r="M34" s="172" t="n">
        <f aca="false">M29*$B$9</f>
        <v>12000</v>
      </c>
      <c r="N34" s="172" t="n">
        <f aca="false">N29*$B$9</f>
        <v>12000</v>
      </c>
      <c r="O34" s="172" t="n">
        <f aca="false">O29*$B$9</f>
        <v>14000</v>
      </c>
      <c r="P34" s="172" t="n">
        <f aca="false">P29*$B$9</f>
        <v>16000</v>
      </c>
      <c r="Q34" s="172" t="n">
        <f aca="false">Q29*$B$9</f>
        <v>14000</v>
      </c>
      <c r="R34" s="173" t="n">
        <f aca="false">SUM(B34:E34)</f>
        <v>6000</v>
      </c>
      <c r="S34" s="173" t="n">
        <f aca="false">SUM(F34:Q34)</f>
        <v>110000</v>
      </c>
    </row>
    <row r="35" customFormat="false" ht="14.25" hidden="false" customHeight="true" outlineLevel="0" collapsed="false">
      <c r="A35" s="174" t="s">
        <v>1658</v>
      </c>
      <c r="B35" s="175" t="n">
        <f aca="false">SUM(B31:B34)</f>
        <v>0</v>
      </c>
      <c r="C35" s="175" t="n">
        <f aca="false">SUM(C31:C34)</f>
        <v>0</v>
      </c>
      <c r="D35" s="175" t="n">
        <f aca="false">SUM(D31:D34)</f>
        <v>0</v>
      </c>
      <c r="E35" s="175" t="n">
        <f aca="false">SUM(E31:E34)</f>
        <v>25404</v>
      </c>
      <c r="F35" s="175" t="n">
        <f aca="false">SUM(F31:F34)</f>
        <v>36340</v>
      </c>
      <c r="G35" s="175" t="n">
        <f aca="false">SUM(G31:G34)</f>
        <v>32340</v>
      </c>
      <c r="H35" s="175" t="n">
        <f aca="false">SUM(H31:H34)</f>
        <v>57744</v>
      </c>
      <c r="I35" s="175" t="n">
        <f aca="false">SUM(I31:I34)</f>
        <v>77148</v>
      </c>
      <c r="J35" s="175" t="n">
        <f aca="false">SUM(J31:J34)</f>
        <v>105020</v>
      </c>
      <c r="K35" s="175" t="n">
        <f aca="false">SUM(K31:K34)</f>
        <v>130892</v>
      </c>
      <c r="L35" s="175" t="n">
        <f aca="false">SUM(L31:L34)</f>
        <v>165232</v>
      </c>
      <c r="M35" s="175" t="n">
        <f aca="false">SUM(M31:M34)</f>
        <v>206040</v>
      </c>
      <c r="N35" s="175" t="n">
        <f aca="false">SUM(N31:N34)</f>
        <v>244848</v>
      </c>
      <c r="O35" s="175" t="n">
        <f aca="false">SUM(O31:O34)</f>
        <v>293676.32</v>
      </c>
      <c r="P35" s="175" t="n">
        <f aca="false">SUM(P31:P34)</f>
        <v>347420.32</v>
      </c>
      <c r="Q35" s="175" t="n">
        <f aca="false">SUM(Q31:Q34)</f>
        <v>390696.32</v>
      </c>
      <c r="R35" s="176" t="n">
        <f aca="false">SUM(B35:E35)</f>
        <v>25404</v>
      </c>
      <c r="S35" s="176" t="n">
        <f aca="false">SUM(F35:Q35)</f>
        <v>2087396.96</v>
      </c>
    </row>
    <row r="36" customFormat="false" ht="14.25" hidden="false" customHeight="true" outlineLevel="0" collapsed="false"/>
    <row r="37" customFormat="false" ht="14.25" hidden="false" customHeight="true" outlineLevel="0" collapsed="false">
      <c r="A37" s="169" t="s">
        <v>1659</v>
      </c>
      <c r="B37" s="81" t="n">
        <f aca="false">B$26</f>
        <v>46295</v>
      </c>
      <c r="C37" s="81" t="n">
        <f aca="false">C$26</f>
        <v>46326</v>
      </c>
      <c r="D37" s="81" t="n">
        <f aca="false">D$26</f>
        <v>46356</v>
      </c>
      <c r="E37" s="81" t="n">
        <f aca="false">E$26</f>
        <v>46387</v>
      </c>
      <c r="F37" s="81" t="n">
        <f aca="false">F$26</f>
        <v>46418</v>
      </c>
      <c r="G37" s="81" t="n">
        <f aca="false">G$26</f>
        <v>46446</v>
      </c>
      <c r="H37" s="81" t="n">
        <f aca="false">H$26</f>
        <v>46477</v>
      </c>
      <c r="I37" s="81" t="n">
        <f aca="false">I$26</f>
        <v>46507</v>
      </c>
      <c r="J37" s="81" t="n">
        <f aca="false">J$26</f>
        <v>46538</v>
      </c>
      <c r="K37" s="81" t="n">
        <f aca="false">K$26</f>
        <v>46568</v>
      </c>
      <c r="L37" s="81" t="n">
        <f aca="false">L$26</f>
        <v>46599</v>
      </c>
      <c r="M37" s="81" t="n">
        <f aca="false">M$26</f>
        <v>46630</v>
      </c>
      <c r="N37" s="81" t="n">
        <f aca="false">N$26</f>
        <v>46660</v>
      </c>
      <c r="O37" s="81" t="n">
        <f aca="false">O$26</f>
        <v>46691</v>
      </c>
      <c r="P37" s="81" t="n">
        <f aca="false">P$26</f>
        <v>46721</v>
      </c>
      <c r="Q37" s="81" t="n">
        <f aca="false">Q$26</f>
        <v>46752</v>
      </c>
      <c r="R37" s="80" t="s">
        <v>1647</v>
      </c>
      <c r="S37" s="80" t="s">
        <v>1421</v>
      </c>
    </row>
    <row r="38" customFormat="false" ht="14.25" hidden="false" customHeight="true" outlineLevel="0" collapsed="false">
      <c r="A38" s="6" t="s">
        <v>1660</v>
      </c>
      <c r="B38" s="180" t="n">
        <f aca="false">DeploySum!B57</f>
        <v>0</v>
      </c>
      <c r="C38" s="180" t="n">
        <f aca="false">DeploySum!C57</f>
        <v>0</v>
      </c>
      <c r="D38" s="180" t="n">
        <f aca="false">DeploySum!D57</f>
        <v>0</v>
      </c>
      <c r="E38" s="180" t="n">
        <f aca="false">DeploySum!E57</f>
        <v>0</v>
      </c>
      <c r="F38" s="180" t="n">
        <f aca="false">DeploySum!F57</f>
        <v>0</v>
      </c>
      <c r="G38" s="180" t="n">
        <f aca="false">DeploySum!G57</f>
        <v>0</v>
      </c>
      <c r="H38" s="180" t="n">
        <f aca="false">DeploySum!H57</f>
        <v>0</v>
      </c>
      <c r="I38" s="180" t="n">
        <f aca="false">DeploySum!I57</f>
        <v>1</v>
      </c>
      <c r="J38" s="180" t="n">
        <f aca="false">DeploySum!J57</f>
        <v>1</v>
      </c>
      <c r="K38" s="180" t="n">
        <f aca="false">DeploySum!K57</f>
        <v>2</v>
      </c>
      <c r="L38" s="180" t="n">
        <f aca="false">DeploySum!L57</f>
        <v>1</v>
      </c>
      <c r="M38" s="180" t="n">
        <f aca="false">DeploySum!M57</f>
        <v>1</v>
      </c>
      <c r="N38" s="180" t="n">
        <f aca="false">DeploySum!N57</f>
        <v>2</v>
      </c>
      <c r="O38" s="180" t="n">
        <f aca="false">DeploySum!O57</f>
        <v>2</v>
      </c>
      <c r="P38" s="180" t="n">
        <f aca="false">DeploySum!P57</f>
        <v>3</v>
      </c>
      <c r="Q38" s="180" t="n">
        <f aca="false">DeploySum!Q57</f>
        <v>2</v>
      </c>
      <c r="R38" s="181" t="n">
        <f aca="false">SUM(B38:E38)</f>
        <v>0</v>
      </c>
      <c r="S38" s="181" t="n">
        <f aca="false">SUM(F38:Q38)</f>
        <v>15</v>
      </c>
      <c r="T38" s="78"/>
    </row>
    <row r="39" customFormat="false" ht="14.25" hidden="false" customHeight="true" outlineLevel="0" collapsed="false">
      <c r="A39" s="6" t="s">
        <v>1661</v>
      </c>
      <c r="B39" s="170" t="n">
        <f aca="false" t="array" ref="B39:B39">IF(B$27+$B$10&gt;COLUMNS(DeploySum!$B$57:$Q$57),$B$16,IFERROR(INDEX(DeploySum!$B$57:$Q$57,B$27+$B$10),0))</f>
        <v>0</v>
      </c>
      <c r="C39" s="170" t="n">
        <f aca="false" t="array" ref="C39:C39">IF(C$27+$B$10&gt;COLUMNS(DeploySum!$B$57:$Q$57),$B$16,IFERROR(INDEX(DeploySum!$B$57:$Q$57,C$27+$B$10),0))</f>
        <v>0</v>
      </c>
      <c r="D39" s="170" t="n">
        <f aca="false" t="array" ref="D39:D39">IF(D$27+$B$10&gt;COLUMNS(DeploySum!$B$57:$Q$57),$B$16,IFERROR(INDEX(DeploySum!$B$57:$Q$57,D$27+$B$10),0))</f>
        <v>0</v>
      </c>
      <c r="E39" s="170" t="n">
        <f aca="false" t="array" ref="E39:E39">IF(E$27+$B$10&gt;COLUMNS(DeploySum!$B$57:$Q$57),$B$16,IFERROR(INDEX(DeploySum!$B$57:$Q$57,E$27+$B$10),0))</f>
        <v>0</v>
      </c>
      <c r="F39" s="170" t="n">
        <f aca="false" t="array" ref="F39:F39">IF(F$27+$B$10&gt;COLUMNS(DeploySum!$B$57:$Q$57),$B$16,IFERROR(INDEX(DeploySum!$B$57:$Q$57,F$27+$B$10),0))</f>
        <v>0</v>
      </c>
      <c r="G39" s="170" t="n">
        <f aca="false" t="array" ref="G39:G39">IF(G$27+$B$10&gt;COLUMNS(DeploySum!$B$57:$Q$57),$B$16,IFERROR(INDEX(DeploySum!$B$57:$Q$57,G$27+$B$10),0))</f>
        <v>0</v>
      </c>
      <c r="H39" s="170" t="n">
        <f aca="false" t="array" ref="H39:H39">IF(H$27+$B$10&gt;COLUMNS(DeploySum!$B$57:$Q$57),$B$16,IFERROR(INDEX(DeploySum!$B$57:$Q$57,H$27+$B$10),0))</f>
        <v>1</v>
      </c>
      <c r="I39" s="170" t="n">
        <f aca="false" t="array" ref="I39:I39">IF(I$27+$B$10&gt;COLUMNS(DeploySum!$B$57:$Q$57),$B$16,IFERROR(INDEX(DeploySum!$B$57:$Q$57,I$27+$B$10),0))</f>
        <v>1</v>
      </c>
      <c r="J39" s="170" t="n">
        <f aca="false" t="array" ref="J39:J39">IF(J$27+$B$10&gt;COLUMNS(DeploySum!$B$57:$Q$57),$B$16,IFERROR(INDEX(DeploySum!$B$57:$Q$57,J$27+$B$10),0))</f>
        <v>2</v>
      </c>
      <c r="K39" s="170" t="n">
        <f aca="false" t="array" ref="K39:K39">IF(K$27+$B$10&gt;COLUMNS(DeploySum!$B$57:$Q$57),$B$16,IFERROR(INDEX(DeploySum!$B$57:$Q$57,K$27+$B$10),0))</f>
        <v>1</v>
      </c>
      <c r="L39" s="170" t="n">
        <f aca="false" t="array" ref="L39:L39">IF(L$27+$B$10&gt;COLUMNS(DeploySum!$B$57:$Q$57),$B$16,IFERROR(INDEX(DeploySum!$B$57:$Q$57,L$27+$B$10),0))</f>
        <v>1</v>
      </c>
      <c r="M39" s="170" t="n">
        <f aca="false" t="array" ref="M39:M39">IF(M$27+$B$10&gt;COLUMNS(DeploySum!$B$57:$Q$57),$B$16,IFERROR(INDEX(DeploySum!$B$57:$Q$57,M$27+$B$10),0))</f>
        <v>2</v>
      </c>
      <c r="N39" s="170" t="n">
        <f aca="false" t="array" ref="N39:N39">IF(N$27+$B$10&gt;COLUMNS(DeploySum!$B$57:$Q$57),$B$16,IFERROR(INDEX(DeploySum!$B$57:$Q$57,N$27+$B$10),0))</f>
        <v>2</v>
      </c>
      <c r="O39" s="170" t="n">
        <f aca="false" t="array" ref="O39:O39">IF(O$27+$B$10&gt;COLUMNS(DeploySum!$B$57:$Q$57),$B$16,IFERROR(INDEX(DeploySum!$B$57:$Q$57,O$27+$B$10),0))</f>
        <v>3</v>
      </c>
      <c r="P39" s="170" t="n">
        <f aca="false" t="array" ref="P39:P39">IF(P$27+$B$10&gt;COLUMNS(DeploySum!$B$57:$Q$57),$B$16,IFERROR(INDEX(DeploySum!$B$57:$Q$57,P$27+$B$10),0))</f>
        <v>2</v>
      </c>
      <c r="Q39" s="170" t="n">
        <f aca="false" t="array" ref="Q39:Q39">IF(Q$27+$B$10&gt;COLUMNS(DeploySum!$B$57:$Q$57),$B$16,IFERROR(INDEX(DeploySum!$B$57:$Q$57,Q$27+$B$10),0))</f>
        <v>2</v>
      </c>
      <c r="R39" s="181" t="n">
        <f aca="false">SUM(B39:E39)</f>
        <v>0</v>
      </c>
      <c r="S39" s="181" t="n">
        <f aca="false">SUM(F39:Q39)</f>
        <v>17</v>
      </c>
      <c r="T39" s="78"/>
    </row>
    <row r="40" customFormat="false" ht="14.25" hidden="false" customHeight="true" outlineLevel="0" collapsed="false">
      <c r="A40" s="6" t="s">
        <v>1662</v>
      </c>
      <c r="B40" s="170" t="n">
        <f aca="false">ROUND(SUM($B39:B39)*$B$12,0)</f>
        <v>0</v>
      </c>
      <c r="C40" s="170" t="n">
        <f aca="false">ROUND(SUM($B39:C39)*$B$12,0)</f>
        <v>0</v>
      </c>
      <c r="D40" s="170" t="n">
        <f aca="false">ROUND(SUM($B39:D39)*$B$12,0)</f>
        <v>0</v>
      </c>
      <c r="E40" s="170" t="n">
        <f aca="false">ROUND(SUM($B39:E39)*$B$12,0)</f>
        <v>0</v>
      </c>
      <c r="F40" s="170" t="n">
        <f aca="false">ROUND(SUM($B39:F39)*$B$12,0)</f>
        <v>0</v>
      </c>
      <c r="G40" s="170" t="n">
        <f aca="false">ROUND(SUM($B39:G39)*$B$12,0)</f>
        <v>0</v>
      </c>
      <c r="H40" s="170" t="n">
        <f aca="false">ROUND(SUM($B39:H39)*$B$12,0)</f>
        <v>1</v>
      </c>
      <c r="I40" s="170" t="n">
        <f aca="false">ROUND(SUM($B39:I39)*$B$12,0)</f>
        <v>1</v>
      </c>
      <c r="J40" s="170" t="n">
        <f aca="false">ROUND(SUM($B39:J39)*$B$12,0)</f>
        <v>2</v>
      </c>
      <c r="K40" s="170" t="n">
        <f aca="false">ROUND(SUM($B39:K39)*$B$12,0)</f>
        <v>3</v>
      </c>
      <c r="L40" s="170" t="n">
        <f aca="false">ROUND(SUM($B39:L39)*$B$12,0)</f>
        <v>4</v>
      </c>
      <c r="M40" s="170" t="n">
        <f aca="false">ROUND(SUM($B39:M39)*$B$12,0)</f>
        <v>5</v>
      </c>
      <c r="N40" s="170" t="n">
        <f aca="false">ROUND(SUM($B39:N39)*$B$12,0)</f>
        <v>6</v>
      </c>
      <c r="O40" s="170" t="n">
        <f aca="false">ROUND(SUM($B39:O39)*$B$12,0)</f>
        <v>8</v>
      </c>
      <c r="P40" s="170" t="n">
        <f aca="false">ROUND(SUM($B39:P39)*$B$12,0)</f>
        <v>9</v>
      </c>
      <c r="Q40" s="170" t="n">
        <f aca="false">ROUND(SUM($B39:Q39)*$B$12,0)</f>
        <v>10</v>
      </c>
      <c r="R40" s="181" t="n">
        <f aca="false">E40</f>
        <v>0</v>
      </c>
      <c r="S40" s="181" t="n">
        <f aca="false">Q40</f>
        <v>10</v>
      </c>
      <c r="T40" s="78"/>
    </row>
    <row r="41" customFormat="false" ht="14.25" hidden="false" customHeight="true" outlineLevel="0" collapsed="false">
      <c r="A41" s="6" t="s">
        <v>1663</v>
      </c>
      <c r="B41" s="170" t="n">
        <f aca="false">B40*$B$5</f>
        <v>0</v>
      </c>
      <c r="C41" s="170" t="n">
        <f aca="false">C40*$B$5</f>
        <v>0</v>
      </c>
      <c r="D41" s="170" t="n">
        <f aca="false">D40*$B$5</f>
        <v>0</v>
      </c>
      <c r="E41" s="170" t="n">
        <f aca="false">E40*$B$5</f>
        <v>0</v>
      </c>
      <c r="F41" s="170" t="n">
        <f aca="false">F40*$B$5</f>
        <v>0</v>
      </c>
      <c r="G41" s="170" t="n">
        <f aca="false">G40*$B$5</f>
        <v>0</v>
      </c>
      <c r="H41" s="170" t="n">
        <f aca="false">H40*$B$5</f>
        <v>1</v>
      </c>
      <c r="I41" s="170" t="n">
        <f aca="false">I40*$B$5</f>
        <v>1</v>
      </c>
      <c r="J41" s="170" t="n">
        <f aca="false">J40*$B$5</f>
        <v>2</v>
      </c>
      <c r="K41" s="170" t="n">
        <f aca="false">K40*$B$5</f>
        <v>3</v>
      </c>
      <c r="L41" s="170" t="n">
        <f aca="false">L40*$B$5</f>
        <v>4</v>
      </c>
      <c r="M41" s="170" t="n">
        <f aca="false">M40*$B$5</f>
        <v>5</v>
      </c>
      <c r="N41" s="170" t="n">
        <f aca="false">N40*$B$5</f>
        <v>6</v>
      </c>
      <c r="O41" s="170" t="n">
        <f aca="false">O40*$B$5</f>
        <v>8</v>
      </c>
      <c r="P41" s="170" t="n">
        <f aca="false">P40*$B$5</f>
        <v>9</v>
      </c>
      <c r="Q41" s="170" t="n">
        <f aca="false">Q40*$B$5</f>
        <v>10</v>
      </c>
      <c r="R41" s="171" t="n">
        <f aca="false">AVERAGE(B41:E41)</f>
        <v>0</v>
      </c>
      <c r="S41" s="171" t="n">
        <f aca="false">AVERAGE(F41:Q41)</f>
        <v>4.08333333333333</v>
      </c>
      <c r="T41" s="78"/>
    </row>
    <row r="42" customFormat="false" ht="14.25" hidden="false" customHeight="true" outlineLevel="0" collapsed="false">
      <c r="A42" s="6" t="s">
        <v>1664</v>
      </c>
      <c r="B42" s="170" t="n">
        <f aca="false">B41</f>
        <v>0</v>
      </c>
      <c r="C42" s="170" t="n">
        <f aca="false">MAX(0,C41-B41)</f>
        <v>0</v>
      </c>
      <c r="D42" s="170" t="n">
        <f aca="false">MAX(0,D41-C41)</f>
        <v>0</v>
      </c>
      <c r="E42" s="170" t="n">
        <f aca="false">MAX(0,E41-D41)</f>
        <v>0</v>
      </c>
      <c r="F42" s="170" t="n">
        <f aca="false">MAX(0,F41-E41)</f>
        <v>0</v>
      </c>
      <c r="G42" s="170" t="n">
        <f aca="false">MAX(0,G41-F41)</f>
        <v>0</v>
      </c>
      <c r="H42" s="170" t="n">
        <f aca="false">MAX(0,H41-G41)</f>
        <v>1</v>
      </c>
      <c r="I42" s="170" t="n">
        <f aca="false">MAX(0,I41-H41)</f>
        <v>0</v>
      </c>
      <c r="J42" s="170" t="n">
        <f aca="false">MAX(0,J41-I41)</f>
        <v>1</v>
      </c>
      <c r="K42" s="170" t="n">
        <f aca="false">MAX(0,K41-J41)</f>
        <v>1</v>
      </c>
      <c r="L42" s="170" t="n">
        <f aca="false">MAX(0,L41-K41)</f>
        <v>1</v>
      </c>
      <c r="M42" s="170" t="n">
        <f aca="false">MAX(0,M41-L41)</f>
        <v>1</v>
      </c>
      <c r="N42" s="170" t="n">
        <f aca="false">MAX(0,N41-M41)</f>
        <v>1</v>
      </c>
      <c r="O42" s="170" t="n">
        <f aca="false">MAX(0,O41-N41)</f>
        <v>2</v>
      </c>
      <c r="P42" s="170" t="n">
        <f aca="false">MAX(0,P41-O41)</f>
        <v>1</v>
      </c>
      <c r="Q42" s="170" t="n">
        <f aca="false">MAX(0,Q41-P41)</f>
        <v>1</v>
      </c>
      <c r="R42" s="181" t="n">
        <f aca="false">SUM(B42:E42)</f>
        <v>0</v>
      </c>
      <c r="S42" s="181" t="n">
        <f aca="false">SUM(F42:Q42)</f>
        <v>10</v>
      </c>
      <c r="T42" s="78"/>
    </row>
    <row r="43" customFormat="false" ht="14.25" hidden="false" customHeight="true" outlineLevel="0" collapsed="false">
      <c r="A43" s="6" t="s">
        <v>1649</v>
      </c>
      <c r="B43" s="172" t="n">
        <f aca="false">B41*$B$6/12+IF(B$26&gt;=$M$6,MIN(B41,INDEX($B41:$Q41,IFERROR(MATCH(EOMONTH($M$6,-$M$7-1),$B$26:$Q$26,0),1)))*$B$6/12*$M$5,0)</f>
        <v>0</v>
      </c>
      <c r="C43" s="172" t="n">
        <f aca="false">C41*$B$6/12+IF(C$26&gt;=$M$6,MIN(C41,INDEX($B41:$Q41,IFERROR(MATCH(EOMONTH($M$6,-$M$7-1),$B$26:$Q$26,0),1)))*$B$6/12*$M$5,0)</f>
        <v>0</v>
      </c>
      <c r="D43" s="172" t="n">
        <f aca="false">D41*$B$6/12+IF(D$26&gt;=$M$6,MIN(D41,INDEX($B41:$Q41,IFERROR(MATCH(EOMONTH($M$6,-$M$7-1),$B$26:$Q$26,0),1)))*$B$6/12*$M$5,0)</f>
        <v>0</v>
      </c>
      <c r="E43" s="172" t="n">
        <f aca="false">E41*$B$6/12+IF(E$26&gt;=$M$6,MIN(E41,INDEX($B41:$Q41,IFERROR(MATCH(EOMONTH($M$6,-$M$7-1),$B$26:$Q$26,0),1)))*$B$6/12*$M$5,0)</f>
        <v>0</v>
      </c>
      <c r="F43" s="172" t="n">
        <f aca="false">F41*$B$6/12+IF(F$26&gt;=$M$6,MIN(F41,INDEX($B41:$Q41,IFERROR(MATCH(EOMONTH($M$6,-$M$7-1),$B$26:$Q$26,0),1)))*$B$6/12*$M$5,0)</f>
        <v>0</v>
      </c>
      <c r="G43" s="172" t="n">
        <f aca="false">G41*$B$6/12+IF(G$26&gt;=$M$6,MIN(G41,INDEX($B41:$Q41,IFERROR(MATCH(EOMONTH($M$6,-$M$7-1),$B$26:$Q$26,0),1)))*$B$6/12*$M$5,0)</f>
        <v>0</v>
      </c>
      <c r="H43" s="172" t="n">
        <f aca="false">H41*$B$6/12+IF(H$26&gt;=$M$6,MIN(H41,INDEX($B41:$Q41,IFERROR(MATCH(EOMONTH($M$6,-$M$7-1),$B$26:$Q$26,0),1)))*$B$6/12*$M$5,0)</f>
        <v>5250</v>
      </c>
      <c r="I43" s="172" t="n">
        <f aca="false">I41*$B$6/12+IF(I$26&gt;=$M$6,MIN(I41,INDEX($B41:$Q41,IFERROR(MATCH(EOMONTH($M$6,-$M$7-1),$B$26:$Q$26,0),1)))*$B$6/12*$M$5,0)</f>
        <v>5250</v>
      </c>
      <c r="J43" s="172" t="n">
        <f aca="false">J41*$B$6/12+IF(J$26&gt;=$M$6,MIN(J41,INDEX($B41:$Q41,IFERROR(MATCH(EOMONTH($M$6,-$M$7-1),$B$26:$Q$26,0),1)))*$B$6/12*$M$5,0)</f>
        <v>10500</v>
      </c>
      <c r="K43" s="172" t="n">
        <f aca="false">K41*$B$6/12+IF(K$26&gt;=$M$6,MIN(K41,INDEX($B41:$Q41,IFERROR(MATCH(EOMONTH($M$6,-$M$7-1),$B$26:$Q$26,0),1)))*$B$6/12*$M$5,0)</f>
        <v>15750</v>
      </c>
      <c r="L43" s="172" t="n">
        <f aca="false">L41*$B$6/12+IF(L$26&gt;=$M$6,MIN(L41,INDEX($B41:$Q41,IFERROR(MATCH(EOMONTH($M$6,-$M$7-1),$B$26:$Q$26,0),1)))*$B$6/12*$M$5,0)</f>
        <v>21000</v>
      </c>
      <c r="M43" s="172" t="n">
        <f aca="false">M41*$B$6/12+IF(M$26&gt;=$M$6,MIN(M41,INDEX($B41:$Q41,IFERROR(MATCH(EOMONTH($M$6,-$M$7-1),$B$26:$Q$26,0),1)))*$B$6/12*$M$5,0)</f>
        <v>26250</v>
      </c>
      <c r="N43" s="172" t="n">
        <f aca="false">N41*$B$6/12+IF(N$26&gt;=$M$6,MIN(N41,INDEX($B41:$Q41,IFERROR(MATCH(EOMONTH($M$6,-$M$7-1),$B$26:$Q$26,0),1)))*$B$6/12*$M$5,0)</f>
        <v>31500</v>
      </c>
      <c r="O43" s="172" t="n">
        <f aca="false">O41*$B$6/12+IF(O$26&gt;=$M$6,MIN(O41,INDEX($B41:$Q41,IFERROR(MATCH(EOMONTH($M$6,-$M$7-1),$B$26:$Q$26,0),1)))*$B$6/12*$M$5,0)</f>
        <v>42157.5</v>
      </c>
      <c r="P43" s="172" t="n">
        <f aca="false">P41*$B$6/12+IF(P$26&gt;=$M$6,MIN(P41,INDEX($B41:$Q41,IFERROR(MATCH(EOMONTH($M$6,-$M$7-1),$B$26:$Q$26,0),1)))*$B$6/12*$M$5,0)</f>
        <v>47407.5</v>
      </c>
      <c r="Q43" s="172" t="n">
        <f aca="false">Q41*$B$6/12+IF(Q$26&gt;=$M$6,MIN(Q41,INDEX($B41:$Q41,IFERROR(MATCH(EOMONTH($M$6,-$M$7-1),$B$26:$Q$26,0),1)))*$B$6/12*$M$5,0)</f>
        <v>52657.5</v>
      </c>
      <c r="R43" s="173" t="n">
        <f aca="false">SUM(B43:E43)</f>
        <v>0</v>
      </c>
      <c r="S43" s="173" t="n">
        <f aca="false">SUM(F43:Q43)</f>
        <v>257722.5</v>
      </c>
    </row>
    <row r="44" customFormat="false" ht="14.25" hidden="false" customHeight="true" outlineLevel="0" collapsed="false">
      <c r="A44" s="6" t="s">
        <v>1650</v>
      </c>
      <c r="B44" s="172" t="n">
        <f aca="false">B43*$B$7</f>
        <v>0</v>
      </c>
      <c r="C44" s="172" t="n">
        <f aca="false">C43*$B$7</f>
        <v>0</v>
      </c>
      <c r="D44" s="172" t="n">
        <f aca="false">D43*$B$7</f>
        <v>0</v>
      </c>
      <c r="E44" s="172" t="n">
        <f aca="false">E43*$B$7</f>
        <v>0</v>
      </c>
      <c r="F44" s="172" t="n">
        <f aca="false">F43*$B$7</f>
        <v>0</v>
      </c>
      <c r="G44" s="172" t="n">
        <f aca="false">G43*$B$7</f>
        <v>0</v>
      </c>
      <c r="H44" s="172" t="n">
        <f aca="false">H43*$B$7</f>
        <v>357</v>
      </c>
      <c r="I44" s="172" t="n">
        <f aca="false">I43*$B$7</f>
        <v>357</v>
      </c>
      <c r="J44" s="172" t="n">
        <f aca="false">J43*$B$7</f>
        <v>714</v>
      </c>
      <c r="K44" s="172" t="n">
        <f aca="false">K43*$B$7</f>
        <v>1071</v>
      </c>
      <c r="L44" s="172" t="n">
        <f aca="false">L43*$B$7</f>
        <v>1428</v>
      </c>
      <c r="M44" s="172" t="n">
        <f aca="false">M43*$B$7</f>
        <v>1785</v>
      </c>
      <c r="N44" s="172" t="n">
        <f aca="false">N43*$B$7</f>
        <v>2142</v>
      </c>
      <c r="O44" s="172" t="n">
        <f aca="false">O43*$B$7</f>
        <v>2866.71</v>
      </c>
      <c r="P44" s="172" t="n">
        <f aca="false">P43*$B$7</f>
        <v>3223.71</v>
      </c>
      <c r="Q44" s="172" t="n">
        <f aca="false">Q43*$B$7</f>
        <v>3580.71</v>
      </c>
      <c r="R44" s="173" t="n">
        <f aca="false">SUM(B44:E44)</f>
        <v>0</v>
      </c>
      <c r="S44" s="173" t="n">
        <f aca="false">SUM(F44:Q44)</f>
        <v>17525.13</v>
      </c>
    </row>
    <row r="45" customFormat="false" ht="14.25" hidden="false" customHeight="true" outlineLevel="0" collapsed="false">
      <c r="A45" s="6" t="s">
        <v>1390</v>
      </c>
      <c r="B45" s="172" t="n">
        <f aca="false">B43*$B$8</f>
        <v>0</v>
      </c>
      <c r="C45" s="172" t="n">
        <f aca="false">C43*$B$8</f>
        <v>0</v>
      </c>
      <c r="D45" s="172" t="n">
        <f aca="false">D43*$B$8</f>
        <v>0</v>
      </c>
      <c r="E45" s="172" t="n">
        <f aca="false">E43*$B$8</f>
        <v>0</v>
      </c>
      <c r="F45" s="172" t="n">
        <f aca="false">F43*$B$8</f>
        <v>0</v>
      </c>
      <c r="G45" s="172" t="n">
        <f aca="false">G43*$B$8</f>
        <v>0</v>
      </c>
      <c r="H45" s="172" t="n">
        <f aca="false">H43*$B$8</f>
        <v>861</v>
      </c>
      <c r="I45" s="172" t="n">
        <f aca="false">I43*$B$8</f>
        <v>861</v>
      </c>
      <c r="J45" s="172" t="n">
        <f aca="false">J43*$B$8</f>
        <v>1722</v>
      </c>
      <c r="K45" s="172" t="n">
        <f aca="false">K43*$B$8</f>
        <v>2583</v>
      </c>
      <c r="L45" s="172" t="n">
        <f aca="false">L43*$B$8</f>
        <v>3444</v>
      </c>
      <c r="M45" s="172" t="n">
        <f aca="false">M43*$B$8</f>
        <v>4305</v>
      </c>
      <c r="N45" s="172" t="n">
        <f aca="false">N43*$B$8</f>
        <v>5166</v>
      </c>
      <c r="O45" s="172" t="n">
        <f aca="false">O43*$B$8</f>
        <v>6913.83</v>
      </c>
      <c r="P45" s="172" t="n">
        <f aca="false">P43*$B$8</f>
        <v>7774.83</v>
      </c>
      <c r="Q45" s="172" t="n">
        <f aca="false">Q43*$B$8</f>
        <v>8635.83</v>
      </c>
      <c r="R45" s="173" t="n">
        <f aca="false">SUM(B45:E45)</f>
        <v>0</v>
      </c>
      <c r="S45" s="173" t="n">
        <f aca="false">SUM(F45:Q45)</f>
        <v>42266.49</v>
      </c>
    </row>
    <row r="46" customFormat="false" ht="14.25" hidden="false" customHeight="true" outlineLevel="0" collapsed="false">
      <c r="A46" s="6" t="s">
        <v>1657</v>
      </c>
      <c r="B46" s="172" t="n">
        <f aca="false">B42*$B$9</f>
        <v>0</v>
      </c>
      <c r="C46" s="172" t="n">
        <f aca="false">C42*$B$9</f>
        <v>0</v>
      </c>
      <c r="D46" s="172" t="n">
        <f aca="false">D42*$B$9</f>
        <v>0</v>
      </c>
      <c r="E46" s="172" t="n">
        <f aca="false">E42*$B$9</f>
        <v>0</v>
      </c>
      <c r="F46" s="172" t="n">
        <f aca="false">F42*$B$9</f>
        <v>0</v>
      </c>
      <c r="G46" s="172" t="n">
        <f aca="false">G42*$B$9</f>
        <v>0</v>
      </c>
      <c r="H46" s="172" t="n">
        <f aca="false">H42*$B$9</f>
        <v>2000</v>
      </c>
      <c r="I46" s="172" t="n">
        <f aca="false">I42*$B$9</f>
        <v>0</v>
      </c>
      <c r="J46" s="172" t="n">
        <f aca="false">J42*$B$9</f>
        <v>2000</v>
      </c>
      <c r="K46" s="172" t="n">
        <f aca="false">K42*$B$9</f>
        <v>2000</v>
      </c>
      <c r="L46" s="172" t="n">
        <f aca="false">L42*$B$9</f>
        <v>2000</v>
      </c>
      <c r="M46" s="172" t="n">
        <f aca="false">M42*$B$9</f>
        <v>2000</v>
      </c>
      <c r="N46" s="172" t="n">
        <f aca="false">N42*$B$9</f>
        <v>2000</v>
      </c>
      <c r="O46" s="172" t="n">
        <f aca="false">O42*$B$9</f>
        <v>4000</v>
      </c>
      <c r="P46" s="172" t="n">
        <f aca="false">P42*$B$9</f>
        <v>2000</v>
      </c>
      <c r="Q46" s="172" t="n">
        <f aca="false">Q42*$B$9</f>
        <v>2000</v>
      </c>
      <c r="R46" s="173" t="n">
        <f aca="false">SUM(B46:E46)</f>
        <v>0</v>
      </c>
      <c r="S46" s="173" t="n">
        <f aca="false">SUM(F46:Q46)</f>
        <v>20000</v>
      </c>
    </row>
    <row r="47" customFormat="false" ht="14.25" hidden="false" customHeight="true" outlineLevel="0" collapsed="false">
      <c r="A47" s="174" t="s">
        <v>1665</v>
      </c>
      <c r="B47" s="175" t="n">
        <f aca="false">SUM(B43:B46)</f>
        <v>0</v>
      </c>
      <c r="C47" s="175" t="n">
        <f aca="false">SUM(C43:C46)</f>
        <v>0</v>
      </c>
      <c r="D47" s="175" t="n">
        <f aca="false">SUM(D43:D46)</f>
        <v>0</v>
      </c>
      <c r="E47" s="175" t="n">
        <f aca="false">SUM(E43:E46)</f>
        <v>0</v>
      </c>
      <c r="F47" s="175" t="n">
        <f aca="false">SUM(F43:F46)</f>
        <v>0</v>
      </c>
      <c r="G47" s="175" t="n">
        <f aca="false">SUM(G43:G46)</f>
        <v>0</v>
      </c>
      <c r="H47" s="175" t="n">
        <f aca="false">SUM(H43:H46)</f>
        <v>8468</v>
      </c>
      <c r="I47" s="175" t="n">
        <f aca="false">SUM(I43:I46)</f>
        <v>6468</v>
      </c>
      <c r="J47" s="175" t="n">
        <f aca="false">SUM(J43:J46)</f>
        <v>14936</v>
      </c>
      <c r="K47" s="175" t="n">
        <f aca="false">SUM(K43:K46)</f>
        <v>21404</v>
      </c>
      <c r="L47" s="175" t="n">
        <f aca="false">SUM(L43:L46)</f>
        <v>27872</v>
      </c>
      <c r="M47" s="175" t="n">
        <f aca="false">SUM(M43:M46)</f>
        <v>34340</v>
      </c>
      <c r="N47" s="175" t="n">
        <f aca="false">SUM(N43:N46)</f>
        <v>40808</v>
      </c>
      <c r="O47" s="175" t="n">
        <f aca="false">SUM(O43:O46)</f>
        <v>55938.04</v>
      </c>
      <c r="P47" s="175" t="n">
        <f aca="false">SUM(P43:P46)</f>
        <v>60406.04</v>
      </c>
      <c r="Q47" s="175" t="n">
        <f aca="false">SUM(Q43:Q46)</f>
        <v>66874.04</v>
      </c>
      <c r="R47" s="176" t="n">
        <f aca="false">SUM(B47:E47)</f>
        <v>0</v>
      </c>
      <c r="S47" s="176" t="n">
        <f aca="false">SUM(F47:Q47)</f>
        <v>337514.12</v>
      </c>
    </row>
    <row r="48" customFormat="false" ht="14.25" hidden="false" customHeight="true" outlineLevel="0" collapsed="false"/>
    <row r="49" customFormat="false" ht="14.25" hidden="false" customHeight="true" outlineLevel="0" collapsed="false">
      <c r="A49" s="169" t="s">
        <v>1666</v>
      </c>
      <c r="B49" s="81" t="n">
        <f aca="false">B$26</f>
        <v>46295</v>
      </c>
      <c r="C49" s="81" t="n">
        <f aca="false">C$26</f>
        <v>46326</v>
      </c>
      <c r="D49" s="81" t="n">
        <f aca="false">D$26</f>
        <v>46356</v>
      </c>
      <c r="E49" s="81" t="n">
        <f aca="false">E$26</f>
        <v>46387</v>
      </c>
      <c r="F49" s="81" t="n">
        <f aca="false">F$26</f>
        <v>46418</v>
      </c>
      <c r="G49" s="81" t="n">
        <f aca="false">G$26</f>
        <v>46446</v>
      </c>
      <c r="H49" s="81" t="n">
        <f aca="false">H$26</f>
        <v>46477</v>
      </c>
      <c r="I49" s="81" t="n">
        <f aca="false">I$26</f>
        <v>46507</v>
      </c>
      <c r="J49" s="81" t="n">
        <f aca="false">J$26</f>
        <v>46538</v>
      </c>
      <c r="K49" s="81" t="n">
        <f aca="false">K$26</f>
        <v>46568</v>
      </c>
      <c r="L49" s="81" t="n">
        <f aca="false">L$26</f>
        <v>46599</v>
      </c>
      <c r="M49" s="81" t="n">
        <f aca="false">M$26</f>
        <v>46630</v>
      </c>
      <c r="N49" s="81" t="n">
        <f aca="false">N$26</f>
        <v>46660</v>
      </c>
      <c r="O49" s="81" t="n">
        <f aca="false">O$26</f>
        <v>46691</v>
      </c>
      <c r="P49" s="81" t="n">
        <f aca="false">P$26</f>
        <v>46721</v>
      </c>
      <c r="Q49" s="81" t="n">
        <f aca="false">Q$26</f>
        <v>46752</v>
      </c>
      <c r="R49" s="80" t="s">
        <v>1647</v>
      </c>
      <c r="S49" s="80" t="s">
        <v>1421</v>
      </c>
    </row>
    <row r="50" customFormat="false" ht="14.25" hidden="false" customHeight="true" outlineLevel="0" collapsed="false">
      <c r="A50" s="6" t="s">
        <v>1667</v>
      </c>
      <c r="B50" s="170" t="n">
        <f aca="false">B20+B30+B41</f>
        <v>14</v>
      </c>
      <c r="C50" s="170" t="n">
        <f aca="false">C20+C30+C41</f>
        <v>14</v>
      </c>
      <c r="D50" s="170" t="n">
        <f aca="false">D20+D30+D41</f>
        <v>14</v>
      </c>
      <c r="E50" s="170" t="n">
        <f aca="false">E20+E30+E41</f>
        <v>17</v>
      </c>
      <c r="F50" s="170" t="n">
        <f aca="false">F20+F30+F41</f>
        <v>19</v>
      </c>
      <c r="G50" s="170" t="n">
        <f aca="false">G20+G30+G41</f>
        <v>19</v>
      </c>
      <c r="H50" s="170" t="n">
        <f aca="false">H20+H30+H41</f>
        <v>23</v>
      </c>
      <c r="I50" s="170" t="n">
        <f aca="false">I20+I30+I41</f>
        <v>26</v>
      </c>
      <c r="J50" s="170" t="n">
        <f aca="false">J20+J30+J41</f>
        <v>31</v>
      </c>
      <c r="K50" s="170" t="n">
        <f aca="false">K20+K30+K41</f>
        <v>36</v>
      </c>
      <c r="L50" s="170" t="n">
        <f aca="false">L20+L30+L41</f>
        <v>42</v>
      </c>
      <c r="M50" s="170" t="n">
        <f aca="false">M20+M30+M41</f>
        <v>49</v>
      </c>
      <c r="N50" s="170" t="n">
        <f aca="false">N20+N30+N41</f>
        <v>56</v>
      </c>
      <c r="O50" s="170" t="n">
        <f aca="false">O20+O30+O41</f>
        <v>65</v>
      </c>
      <c r="P50" s="170" t="n">
        <f aca="false">P20+P30+P41</f>
        <v>74</v>
      </c>
      <c r="Q50" s="170" t="n">
        <f aca="false">Q20+Q30+Q41</f>
        <v>82</v>
      </c>
      <c r="R50" s="171" t="n">
        <f aca="false">AVERAGE(B50:E50)</f>
        <v>14.75</v>
      </c>
      <c r="S50" s="171" t="n">
        <f aca="false">AVERAGE(F50:Q50)</f>
        <v>43.5</v>
      </c>
      <c r="T50" s="78"/>
    </row>
    <row r="51" customFormat="false" ht="14.25" hidden="false" customHeight="true" outlineLevel="0" collapsed="false">
      <c r="A51" s="6" t="s">
        <v>1668</v>
      </c>
      <c r="B51" s="170" t="n">
        <f aca="false" t="array" ref="B51:B51">IF($M$14="No",0,MAX($M$12,INT(INDEX($B$50:$Q$50,MIN(B$27+$B$10,COLUMNS($B$50:$Q$50)))/$M$11)))</f>
        <v>0</v>
      </c>
      <c r="C51" s="170" t="n">
        <f aca="false">IF($M$14="No",0,MAX(B51,$M$12,INT(INDEX($B$50:$Q$50,MIN(C$27+$B$10,COLUMNS($B$50:$Q$50)))/$M$11)))</f>
        <v>0</v>
      </c>
      <c r="D51" s="170" t="n">
        <f aca="false">IF($M$14="No",0,MAX(C51,$M$12,INT(INDEX($B$50:$Q$50,MIN(D$27+$B$10,COLUMNS($B$50:$Q$50)))/$M$11)))</f>
        <v>0</v>
      </c>
      <c r="E51" s="170" t="n">
        <f aca="false">IF($M$14="No",0,MAX(D51,$M$12,INT(INDEX($B$50:$Q$50,MIN(E$27+$B$10,COLUMNS($B$50:$Q$50)))/$M$11)))</f>
        <v>0</v>
      </c>
      <c r="F51" s="170" t="n">
        <f aca="false">IF($M$14="No",0,MAX(E51,$M$12,INT(INDEX($B$50:$Q$50,MIN(F$27+$B$10,COLUMNS($B$50:$Q$50)))/$M$11)))</f>
        <v>0</v>
      </c>
      <c r="G51" s="170" t="n">
        <f aca="false">IF($M$14="No",0,MAX(F51,$M$12,INT(INDEX($B$50:$Q$50,MIN(G$27+$B$10,COLUMNS($B$50:$Q$50)))/$M$11)))</f>
        <v>0</v>
      </c>
      <c r="H51" s="170" t="n">
        <f aca="false">IF($M$14="No",0,MAX(G51,$M$12,INT(INDEX($B$50:$Q$50,MIN(H$27+$B$10,COLUMNS($B$50:$Q$50)))/$M$11)))</f>
        <v>0</v>
      </c>
      <c r="I51" s="170" t="n">
        <f aca="false">IF($M$14="No",0,MAX(H51,$M$12,INT(INDEX($B$50:$Q$50,MIN(I$27+$B$10,COLUMNS($B$50:$Q$50)))/$M$11)))</f>
        <v>0</v>
      </c>
      <c r="J51" s="170" t="n">
        <f aca="false">IF($M$14="No",0,MAX(I51,$M$12,INT(INDEX($B$50:$Q$50,MIN(J$27+$B$10,COLUMNS($B$50:$Q$50)))/$M$11)))</f>
        <v>0</v>
      </c>
      <c r="K51" s="170" t="n">
        <f aca="false">IF($M$14="No",0,MAX(J51,$M$12,INT(INDEX($B$50:$Q$50,MIN(K$27+$B$10,COLUMNS($B$50:$Q$50)))/$M$11)))</f>
        <v>0</v>
      </c>
      <c r="L51" s="170" t="n">
        <f aca="false">IF($M$14="No",0,MAX(K51,$M$12,INT(INDEX($B$50:$Q$50,MIN(L$27+$B$10,COLUMNS($B$50:$Q$50)))/$M$11)))</f>
        <v>0</v>
      </c>
      <c r="M51" s="170" t="n">
        <f aca="false">IF($M$14="No",0,MAX(L51,$M$12,INT(INDEX($B$50:$Q$50,MIN(M$27+$B$10,COLUMNS($B$50:$Q$50)))/$M$11)))</f>
        <v>0</v>
      </c>
      <c r="N51" s="170" t="n">
        <f aca="false">IF($M$14="No",0,MAX(M51,$M$12,INT(INDEX($B$50:$Q$50,MIN(N$27+$B$10,COLUMNS($B$50:$Q$50)))/$M$11)))</f>
        <v>0</v>
      </c>
      <c r="O51" s="170" t="n">
        <f aca="false">IF($M$14="No",0,MAX(N51,$M$12,INT(INDEX($B$50:$Q$50,MIN(O$27+$B$10,COLUMNS($B$50:$Q$50)))/$M$11)))</f>
        <v>0</v>
      </c>
      <c r="P51" s="170" t="n">
        <f aca="false">IF($M$14="No",0,MAX(O51,$M$12,INT(INDEX($B$50:$Q$50,MIN(P$27+$B$10,COLUMNS($B$50:$Q$50)))/$M$11)))</f>
        <v>0</v>
      </c>
      <c r="Q51" s="170" t="n">
        <f aca="false">IF($M$14="No",0,MAX(P51,$M$12,INT(INDEX($B$50:$Q$50,MIN(Q$27+$B$10,COLUMNS($B$50:$Q$50)))/$M$11)))</f>
        <v>0</v>
      </c>
      <c r="R51" s="171" t="n">
        <f aca="false">AVERAGE(B51:E51)</f>
        <v>0</v>
      </c>
      <c r="S51" s="171" t="n">
        <f aca="false">AVERAGE(F51:Q51)</f>
        <v>0</v>
      </c>
      <c r="T51" s="78"/>
    </row>
    <row r="52" customFormat="false" ht="14.25" hidden="false" customHeight="true" outlineLevel="0" collapsed="false">
      <c r="A52" s="6" t="s">
        <v>1669</v>
      </c>
      <c r="B52" s="170" t="n">
        <f aca="false">IF($M$14="No",0,$M$13)</f>
        <v>0</v>
      </c>
      <c r="C52" s="170" t="n">
        <f aca="false">IF($M$14="No",0,$M$13)</f>
        <v>0</v>
      </c>
      <c r="D52" s="170" t="n">
        <f aca="false">IF($M$14="No",0,$M$13)</f>
        <v>0</v>
      </c>
      <c r="E52" s="170" t="n">
        <f aca="false">IF($M$14="No",0,$M$13)</f>
        <v>0</v>
      </c>
      <c r="F52" s="170" t="n">
        <f aca="false">IF($M$14="No",0,$M$13)</f>
        <v>0</v>
      </c>
      <c r="G52" s="170" t="n">
        <f aca="false">IF($M$14="No",0,$M$13)</f>
        <v>0</v>
      </c>
      <c r="H52" s="170" t="n">
        <f aca="false">IF($M$14="No",0,$M$13)</f>
        <v>0</v>
      </c>
      <c r="I52" s="170" t="n">
        <f aca="false">IF($M$14="No",0,$M$13)</f>
        <v>0</v>
      </c>
      <c r="J52" s="170" t="n">
        <f aca="false">IF($M$14="No",0,$M$13)</f>
        <v>0</v>
      </c>
      <c r="K52" s="170" t="n">
        <f aca="false">IF($M$14="No",0,$M$13)</f>
        <v>0</v>
      </c>
      <c r="L52" s="170" t="n">
        <f aca="false">IF($M$14="No",0,$M$13)</f>
        <v>0</v>
      </c>
      <c r="M52" s="170" t="n">
        <f aca="false">IF($M$14="No",0,$M$13)</f>
        <v>0</v>
      </c>
      <c r="N52" s="170" t="n">
        <f aca="false">IF($M$14="No",0,$M$13)</f>
        <v>0</v>
      </c>
      <c r="O52" s="170" t="n">
        <f aca="false">IF($M$14="No",0,$M$13)</f>
        <v>0</v>
      </c>
      <c r="P52" s="170" t="n">
        <f aca="false">IF($M$14="No",0,$M$13)</f>
        <v>0</v>
      </c>
      <c r="Q52" s="170" t="n">
        <f aca="false">IF($M$14="No",0,$M$13)</f>
        <v>0</v>
      </c>
      <c r="R52" s="171" t="n">
        <f aca="false">AVERAGE(B52:E52)</f>
        <v>0</v>
      </c>
      <c r="S52" s="171" t="n">
        <f aca="false">AVERAGE(F52:Q52)</f>
        <v>0</v>
      </c>
      <c r="T52" s="78"/>
    </row>
    <row r="53" customFormat="false" ht="14.25" hidden="false" customHeight="true" outlineLevel="0" collapsed="false">
      <c r="A53" s="6" t="s">
        <v>1670</v>
      </c>
      <c r="B53" s="170" t="n">
        <f aca="false">MAX(0,B51-B52)</f>
        <v>0</v>
      </c>
      <c r="C53" s="170" t="n">
        <f aca="false">MAX(0,C51-C52)</f>
        <v>0</v>
      </c>
      <c r="D53" s="170" t="n">
        <f aca="false">MAX(0,D51-D52)</f>
        <v>0</v>
      </c>
      <c r="E53" s="170" t="n">
        <f aca="false">MAX(0,E51-E52)</f>
        <v>0</v>
      </c>
      <c r="F53" s="170" t="n">
        <f aca="false">MAX(0,F51-F52)</f>
        <v>0</v>
      </c>
      <c r="G53" s="170" t="n">
        <f aca="false">MAX(0,G51-G52)</f>
        <v>0</v>
      </c>
      <c r="H53" s="170" t="n">
        <f aca="false">MAX(0,H51-H52)</f>
        <v>0</v>
      </c>
      <c r="I53" s="170" t="n">
        <f aca="false">MAX(0,I51-I52)</f>
        <v>0</v>
      </c>
      <c r="J53" s="170" t="n">
        <f aca="false">MAX(0,J51-J52)</f>
        <v>0</v>
      </c>
      <c r="K53" s="170" t="n">
        <f aca="false">MAX(0,K51-K52)</f>
        <v>0</v>
      </c>
      <c r="L53" s="170" t="n">
        <f aca="false">MAX(0,L51-L52)</f>
        <v>0</v>
      </c>
      <c r="M53" s="170" t="n">
        <f aca="false">MAX(0,M51-M52)</f>
        <v>0</v>
      </c>
      <c r="N53" s="170" t="n">
        <f aca="false">MAX(0,N51-N52)</f>
        <v>0</v>
      </c>
      <c r="O53" s="170" t="n">
        <f aca="false">MAX(0,O51-O52)</f>
        <v>0</v>
      </c>
      <c r="P53" s="170" t="n">
        <f aca="false">MAX(0,P51-P52)</f>
        <v>0</v>
      </c>
      <c r="Q53" s="170" t="n">
        <f aca="false">MAX(0,Q51-Q52)</f>
        <v>0</v>
      </c>
      <c r="R53" s="171" t="n">
        <f aca="false">AVERAGE(B53:E53)</f>
        <v>0</v>
      </c>
      <c r="S53" s="171" t="n">
        <f aca="false">AVERAGE(F53:Q53)</f>
        <v>0</v>
      </c>
      <c r="T53" s="78"/>
    </row>
    <row r="54" customFormat="false" ht="14.25" hidden="false" customHeight="true" outlineLevel="0" collapsed="false">
      <c r="A54" s="6" t="s">
        <v>1671</v>
      </c>
      <c r="B54" s="170" t="n">
        <f aca="false">B52+B53</f>
        <v>0</v>
      </c>
      <c r="C54" s="170" t="n">
        <f aca="false">C52+C53</f>
        <v>0</v>
      </c>
      <c r="D54" s="170" t="n">
        <f aca="false">D52+D53</f>
        <v>0</v>
      </c>
      <c r="E54" s="170" t="n">
        <f aca="false">E52+E53</f>
        <v>0</v>
      </c>
      <c r="F54" s="170" t="n">
        <f aca="false">F52+F53</f>
        <v>0</v>
      </c>
      <c r="G54" s="170" t="n">
        <f aca="false">G52+G53</f>
        <v>0</v>
      </c>
      <c r="H54" s="170" t="n">
        <f aca="false">H52+H53</f>
        <v>0</v>
      </c>
      <c r="I54" s="170" t="n">
        <f aca="false">I52+I53</f>
        <v>0</v>
      </c>
      <c r="J54" s="170" t="n">
        <f aca="false">J52+J53</f>
        <v>0</v>
      </c>
      <c r="K54" s="170" t="n">
        <f aca="false">K52+K53</f>
        <v>0</v>
      </c>
      <c r="L54" s="170" t="n">
        <f aca="false">L52+L53</f>
        <v>0</v>
      </c>
      <c r="M54" s="170" t="n">
        <f aca="false">M52+M53</f>
        <v>0</v>
      </c>
      <c r="N54" s="170" t="n">
        <f aca="false">N52+N53</f>
        <v>0</v>
      </c>
      <c r="O54" s="170" t="n">
        <f aca="false">O52+O53</f>
        <v>0</v>
      </c>
      <c r="P54" s="170" t="n">
        <f aca="false">P52+P53</f>
        <v>0</v>
      </c>
      <c r="Q54" s="170" t="n">
        <f aca="false">Q52+Q53</f>
        <v>0</v>
      </c>
      <c r="R54" s="171" t="n">
        <f aca="false">AVERAGE(B54:E54)</f>
        <v>0</v>
      </c>
      <c r="S54" s="171" t="n">
        <f aca="false">AVERAGE(F54:Q54)</f>
        <v>0</v>
      </c>
      <c r="T54" s="78"/>
    </row>
    <row r="55" customFormat="false" ht="14.25" hidden="false" customHeight="true" outlineLevel="0" collapsed="false">
      <c r="A55" s="6" t="s">
        <v>1672</v>
      </c>
      <c r="B55" s="170" t="n">
        <f aca="false">B53</f>
        <v>0</v>
      </c>
      <c r="C55" s="170" t="n">
        <f aca="false">MAX(0,C53-B53)</f>
        <v>0</v>
      </c>
      <c r="D55" s="170" t="n">
        <f aca="false">MAX(0,D53-C53)</f>
        <v>0</v>
      </c>
      <c r="E55" s="170" t="n">
        <f aca="false">MAX(0,E53-D53)</f>
        <v>0</v>
      </c>
      <c r="F55" s="170" t="n">
        <f aca="false">MAX(0,F53-E53)</f>
        <v>0</v>
      </c>
      <c r="G55" s="170" t="n">
        <f aca="false">MAX(0,G53-F53)</f>
        <v>0</v>
      </c>
      <c r="H55" s="170" t="n">
        <f aca="false">MAX(0,H53-G53)</f>
        <v>0</v>
      </c>
      <c r="I55" s="170" t="n">
        <f aca="false">MAX(0,I53-H53)</f>
        <v>0</v>
      </c>
      <c r="J55" s="170" t="n">
        <f aca="false">MAX(0,J53-I53)</f>
        <v>0</v>
      </c>
      <c r="K55" s="170" t="n">
        <f aca="false">MAX(0,K53-J53)</f>
        <v>0</v>
      </c>
      <c r="L55" s="170" t="n">
        <f aca="false">MAX(0,L53-K53)</f>
        <v>0</v>
      </c>
      <c r="M55" s="170" t="n">
        <f aca="false">MAX(0,M53-L53)</f>
        <v>0</v>
      </c>
      <c r="N55" s="170" t="n">
        <f aca="false">MAX(0,N53-M53)</f>
        <v>0</v>
      </c>
      <c r="O55" s="170" t="n">
        <f aca="false">MAX(0,O53-N53)</f>
        <v>0</v>
      </c>
      <c r="P55" s="170" t="n">
        <f aca="false">MAX(0,P53-O53)</f>
        <v>0</v>
      </c>
      <c r="Q55" s="170" t="n">
        <f aca="false">MAX(0,Q53-P53)</f>
        <v>0</v>
      </c>
      <c r="R55" s="181" t="n">
        <f aca="false">SUM(B55:E55)</f>
        <v>0</v>
      </c>
      <c r="S55" s="181" t="n">
        <f aca="false">SUM(F55:Q55)</f>
        <v>0</v>
      </c>
      <c r="T55" s="78"/>
    </row>
    <row r="56" customFormat="false" ht="14.25" hidden="false" customHeight="true" outlineLevel="0" collapsed="false">
      <c r="A56" s="6" t="s">
        <v>1649</v>
      </c>
      <c r="B56" s="172" t="n">
        <f aca="false">B54*$B$6/12+IF(B$26&gt;=$M$6,MIN(B54,INDEX($B54:$Q54,IFERROR(MATCH(EOMONTH($M$6,-$M$7-1),$B$26:$Q$26,0),1)))*$B$6/12*$M$5,0)</f>
        <v>0</v>
      </c>
      <c r="C56" s="172" t="n">
        <f aca="false">C54*$B$6/12+IF(C$26&gt;=$M$6,MIN(C54,INDEX($B54:$Q54,IFERROR(MATCH(EOMONTH($M$6,-$M$7-1),$B$26:$Q$26,0),1)))*$B$6/12*$M$5,0)</f>
        <v>0</v>
      </c>
      <c r="D56" s="172" t="n">
        <f aca="false">D54*$B$6/12+IF(D$26&gt;=$M$6,MIN(D54,INDEX($B54:$Q54,IFERROR(MATCH(EOMONTH($M$6,-$M$7-1),$B$26:$Q$26,0),1)))*$B$6/12*$M$5,0)</f>
        <v>0</v>
      </c>
      <c r="E56" s="172" t="n">
        <f aca="false">E54*$B$6/12+IF(E$26&gt;=$M$6,MIN(E54,INDEX($B54:$Q54,IFERROR(MATCH(EOMONTH($M$6,-$M$7-1),$B$26:$Q$26,0),1)))*$B$6/12*$M$5,0)</f>
        <v>0</v>
      </c>
      <c r="F56" s="172" t="n">
        <f aca="false">F54*$B$6/12+IF(F$26&gt;=$M$6,MIN(F54,INDEX($B54:$Q54,IFERROR(MATCH(EOMONTH($M$6,-$M$7-1),$B$26:$Q$26,0),1)))*$B$6/12*$M$5,0)</f>
        <v>0</v>
      </c>
      <c r="G56" s="172" t="n">
        <f aca="false">G54*$B$6/12+IF(G$26&gt;=$M$6,MIN(G54,INDEX($B54:$Q54,IFERROR(MATCH(EOMONTH($M$6,-$M$7-1),$B$26:$Q$26,0),1)))*$B$6/12*$M$5,0)</f>
        <v>0</v>
      </c>
      <c r="H56" s="172" t="n">
        <f aca="false">H54*$B$6/12+IF(H$26&gt;=$M$6,MIN(H54,INDEX($B54:$Q54,IFERROR(MATCH(EOMONTH($M$6,-$M$7-1),$B$26:$Q$26,0),1)))*$B$6/12*$M$5,0)</f>
        <v>0</v>
      </c>
      <c r="I56" s="172" t="n">
        <f aca="false">I54*$B$6/12+IF(I$26&gt;=$M$6,MIN(I54,INDEX($B54:$Q54,IFERROR(MATCH(EOMONTH($M$6,-$M$7-1),$B$26:$Q$26,0),1)))*$B$6/12*$M$5,0)</f>
        <v>0</v>
      </c>
      <c r="J56" s="172" t="n">
        <f aca="false">J54*$B$6/12+IF(J$26&gt;=$M$6,MIN(J54,INDEX($B54:$Q54,IFERROR(MATCH(EOMONTH($M$6,-$M$7-1),$B$26:$Q$26,0),1)))*$B$6/12*$M$5,0)</f>
        <v>0</v>
      </c>
      <c r="K56" s="172" t="n">
        <f aca="false">K54*$B$6/12+IF(K$26&gt;=$M$6,MIN(K54,INDEX($B54:$Q54,IFERROR(MATCH(EOMONTH($M$6,-$M$7-1),$B$26:$Q$26,0),1)))*$B$6/12*$M$5,0)</f>
        <v>0</v>
      </c>
      <c r="L56" s="172" t="n">
        <f aca="false">L54*$B$6/12+IF(L$26&gt;=$M$6,MIN(L54,INDEX($B54:$Q54,IFERROR(MATCH(EOMONTH($M$6,-$M$7-1),$B$26:$Q$26,0),1)))*$B$6/12*$M$5,0)</f>
        <v>0</v>
      </c>
      <c r="M56" s="172" t="n">
        <f aca="false">M54*$B$6/12+IF(M$26&gt;=$M$6,MIN(M54,INDEX($B54:$Q54,IFERROR(MATCH(EOMONTH($M$6,-$M$7-1),$B$26:$Q$26,0),1)))*$B$6/12*$M$5,0)</f>
        <v>0</v>
      </c>
      <c r="N56" s="172" t="n">
        <f aca="false">N54*$B$6/12+IF(N$26&gt;=$M$6,MIN(N54,INDEX($B54:$Q54,IFERROR(MATCH(EOMONTH($M$6,-$M$7-1),$B$26:$Q$26,0),1)))*$B$6/12*$M$5,0)</f>
        <v>0</v>
      </c>
      <c r="O56" s="172" t="n">
        <f aca="false">O54*$B$6/12+IF(O$26&gt;=$M$6,MIN(O54,INDEX($B54:$Q54,IFERROR(MATCH(EOMONTH($M$6,-$M$7-1),$B$26:$Q$26,0),1)))*$B$6/12*$M$5,0)</f>
        <v>0</v>
      </c>
      <c r="P56" s="172" t="n">
        <f aca="false">P54*$B$6/12+IF(P$26&gt;=$M$6,MIN(P54,INDEX($B54:$Q54,IFERROR(MATCH(EOMONTH($M$6,-$M$7-1),$B$26:$Q$26,0),1)))*$B$6/12*$M$5,0)</f>
        <v>0</v>
      </c>
      <c r="Q56" s="172" t="n">
        <f aca="false">Q54*$B$6/12+IF(Q$26&gt;=$M$6,MIN(Q54,INDEX($B54:$Q54,IFERROR(MATCH(EOMONTH($M$6,-$M$7-1),$B$26:$Q$26,0),1)))*$B$6/12*$M$5,0)</f>
        <v>0</v>
      </c>
      <c r="R56" s="173" t="n">
        <f aca="false">SUM(B56:E56)</f>
        <v>0</v>
      </c>
      <c r="S56" s="173" t="n">
        <f aca="false">SUM(F56:Q56)</f>
        <v>0</v>
      </c>
    </row>
    <row r="57" customFormat="false" ht="14.25" hidden="false" customHeight="true" outlineLevel="0" collapsed="false">
      <c r="A57" s="6" t="s">
        <v>1650</v>
      </c>
      <c r="B57" s="172" t="n">
        <f aca="false">B56*$B$7</f>
        <v>0</v>
      </c>
      <c r="C57" s="172" t="n">
        <f aca="false">C56*$B$7</f>
        <v>0</v>
      </c>
      <c r="D57" s="172" t="n">
        <f aca="false">D56*$B$7</f>
        <v>0</v>
      </c>
      <c r="E57" s="172" t="n">
        <f aca="false">E56*$B$7</f>
        <v>0</v>
      </c>
      <c r="F57" s="172" t="n">
        <f aca="false">F56*$B$7</f>
        <v>0</v>
      </c>
      <c r="G57" s="172" t="n">
        <f aca="false">G56*$B$7</f>
        <v>0</v>
      </c>
      <c r="H57" s="172" t="n">
        <f aca="false">H56*$B$7</f>
        <v>0</v>
      </c>
      <c r="I57" s="172" t="n">
        <f aca="false">I56*$B$7</f>
        <v>0</v>
      </c>
      <c r="J57" s="172" t="n">
        <f aca="false">J56*$B$7</f>
        <v>0</v>
      </c>
      <c r="K57" s="172" t="n">
        <f aca="false">K56*$B$7</f>
        <v>0</v>
      </c>
      <c r="L57" s="172" t="n">
        <f aca="false">L56*$B$7</f>
        <v>0</v>
      </c>
      <c r="M57" s="172" t="n">
        <f aca="false">M56*$B$7</f>
        <v>0</v>
      </c>
      <c r="N57" s="172" t="n">
        <f aca="false">N56*$B$7</f>
        <v>0</v>
      </c>
      <c r="O57" s="172" t="n">
        <f aca="false">O56*$B$7</f>
        <v>0</v>
      </c>
      <c r="P57" s="172" t="n">
        <f aca="false">P56*$B$7</f>
        <v>0</v>
      </c>
      <c r="Q57" s="172" t="n">
        <f aca="false">Q56*$B$7</f>
        <v>0</v>
      </c>
      <c r="R57" s="173" t="n">
        <f aca="false">SUM(B57:E57)</f>
        <v>0</v>
      </c>
      <c r="S57" s="173" t="n">
        <f aca="false">SUM(F57:Q57)</f>
        <v>0</v>
      </c>
    </row>
    <row r="58" customFormat="false" ht="14.25" hidden="false" customHeight="true" outlineLevel="0" collapsed="false">
      <c r="A58" s="6" t="s">
        <v>1390</v>
      </c>
      <c r="B58" s="172" t="n">
        <f aca="false">B56*$B$8</f>
        <v>0</v>
      </c>
      <c r="C58" s="172" t="n">
        <f aca="false">C56*$B$8</f>
        <v>0</v>
      </c>
      <c r="D58" s="172" t="n">
        <f aca="false">D56*$B$8</f>
        <v>0</v>
      </c>
      <c r="E58" s="172" t="n">
        <f aca="false">E56*$B$8</f>
        <v>0</v>
      </c>
      <c r="F58" s="172" t="n">
        <f aca="false">F56*$B$8</f>
        <v>0</v>
      </c>
      <c r="G58" s="172" t="n">
        <f aca="false">G56*$B$8</f>
        <v>0</v>
      </c>
      <c r="H58" s="172" t="n">
        <f aca="false">H56*$B$8</f>
        <v>0</v>
      </c>
      <c r="I58" s="172" t="n">
        <f aca="false">I56*$B$8</f>
        <v>0</v>
      </c>
      <c r="J58" s="172" t="n">
        <f aca="false">J56*$B$8</f>
        <v>0</v>
      </c>
      <c r="K58" s="172" t="n">
        <f aca="false">K56*$B$8</f>
        <v>0</v>
      </c>
      <c r="L58" s="172" t="n">
        <f aca="false">L56*$B$8</f>
        <v>0</v>
      </c>
      <c r="M58" s="172" t="n">
        <f aca="false">M56*$B$8</f>
        <v>0</v>
      </c>
      <c r="N58" s="172" t="n">
        <f aca="false">N56*$B$8</f>
        <v>0</v>
      </c>
      <c r="O58" s="172" t="n">
        <f aca="false">O56*$B$8</f>
        <v>0</v>
      </c>
      <c r="P58" s="172" t="n">
        <f aca="false">P56*$B$8</f>
        <v>0</v>
      </c>
      <c r="Q58" s="172" t="n">
        <f aca="false">Q56*$B$8</f>
        <v>0</v>
      </c>
      <c r="R58" s="173" t="n">
        <f aca="false">SUM(B58:E58)</f>
        <v>0</v>
      </c>
      <c r="S58" s="173" t="n">
        <f aca="false">SUM(F58:Q58)</f>
        <v>0</v>
      </c>
    </row>
    <row r="59" customFormat="false" ht="14.25" hidden="false" customHeight="true" outlineLevel="0" collapsed="false">
      <c r="A59" s="6" t="s">
        <v>1657</v>
      </c>
      <c r="B59" s="172" t="n">
        <f aca="false">B55*$B$9</f>
        <v>0</v>
      </c>
      <c r="C59" s="172" t="n">
        <f aca="false">C55*$B$9</f>
        <v>0</v>
      </c>
      <c r="D59" s="172" t="n">
        <f aca="false">D55*$B$9</f>
        <v>0</v>
      </c>
      <c r="E59" s="172" t="n">
        <f aca="false">E55*$B$9</f>
        <v>0</v>
      </c>
      <c r="F59" s="172" t="n">
        <f aca="false">F55*$B$9</f>
        <v>0</v>
      </c>
      <c r="G59" s="172" t="n">
        <f aca="false">G55*$B$9</f>
        <v>0</v>
      </c>
      <c r="H59" s="172" t="n">
        <f aca="false">H55*$B$9</f>
        <v>0</v>
      </c>
      <c r="I59" s="172" t="n">
        <f aca="false">I55*$B$9</f>
        <v>0</v>
      </c>
      <c r="J59" s="172" t="n">
        <f aca="false">J55*$B$9</f>
        <v>0</v>
      </c>
      <c r="K59" s="172" t="n">
        <f aca="false">K55*$B$9</f>
        <v>0</v>
      </c>
      <c r="L59" s="172" t="n">
        <f aca="false">L55*$B$9</f>
        <v>0</v>
      </c>
      <c r="M59" s="172" t="n">
        <f aca="false">M55*$B$9</f>
        <v>0</v>
      </c>
      <c r="N59" s="172" t="n">
        <f aca="false">N55*$B$9</f>
        <v>0</v>
      </c>
      <c r="O59" s="172" t="n">
        <f aca="false">O55*$B$9</f>
        <v>0</v>
      </c>
      <c r="P59" s="172" t="n">
        <f aca="false">P55*$B$9</f>
        <v>0</v>
      </c>
      <c r="Q59" s="172" t="n">
        <f aca="false">Q55*$B$9</f>
        <v>0</v>
      </c>
      <c r="R59" s="173" t="n">
        <f aca="false">SUM(B59:E59)</f>
        <v>0</v>
      </c>
      <c r="S59" s="173" t="n">
        <f aca="false">SUM(F59:Q59)</f>
        <v>0</v>
      </c>
    </row>
    <row r="60" customFormat="false" ht="14.25" hidden="false" customHeight="true" outlineLevel="0" collapsed="false">
      <c r="A60" s="174" t="s">
        <v>1673</v>
      </c>
      <c r="B60" s="175" t="n">
        <f aca="false">SUM(B56:B59)</f>
        <v>0</v>
      </c>
      <c r="C60" s="175" t="n">
        <f aca="false">SUM(C56:C59)</f>
        <v>0</v>
      </c>
      <c r="D60" s="175" t="n">
        <f aca="false">SUM(D56:D59)</f>
        <v>0</v>
      </c>
      <c r="E60" s="175" t="n">
        <f aca="false">SUM(E56:E59)</f>
        <v>0</v>
      </c>
      <c r="F60" s="175" t="n">
        <f aca="false">SUM(F56:F59)</f>
        <v>0</v>
      </c>
      <c r="G60" s="175" t="n">
        <f aca="false">SUM(G56:G59)</f>
        <v>0</v>
      </c>
      <c r="H60" s="175" t="n">
        <f aca="false">SUM(H56:H59)</f>
        <v>0</v>
      </c>
      <c r="I60" s="175" t="n">
        <f aca="false">SUM(I56:I59)</f>
        <v>0</v>
      </c>
      <c r="J60" s="175" t="n">
        <f aca="false">SUM(J56:J59)</f>
        <v>0</v>
      </c>
      <c r="K60" s="175" t="n">
        <f aca="false">SUM(K56:K59)</f>
        <v>0</v>
      </c>
      <c r="L60" s="175" t="n">
        <f aca="false">SUM(L56:L59)</f>
        <v>0</v>
      </c>
      <c r="M60" s="175" t="n">
        <f aca="false">SUM(M56:M59)</f>
        <v>0</v>
      </c>
      <c r="N60" s="175" t="n">
        <f aca="false">SUM(N56:N59)</f>
        <v>0</v>
      </c>
      <c r="O60" s="175" t="n">
        <f aca="false">SUM(O56:O59)</f>
        <v>0</v>
      </c>
      <c r="P60" s="175" t="n">
        <f aca="false">SUM(P56:P59)</f>
        <v>0</v>
      </c>
      <c r="Q60" s="175" t="n">
        <f aca="false">SUM(Q56:Q59)</f>
        <v>0</v>
      </c>
      <c r="R60" s="176" t="n">
        <f aca="false">SUM(B60:E60)</f>
        <v>0</v>
      </c>
      <c r="S60" s="176" t="n">
        <f aca="false">SUM(F60:Q60)</f>
        <v>0</v>
      </c>
    </row>
    <row r="61" customFormat="false" ht="14.25" hidden="false" customHeight="true" outlineLevel="0" collapsed="false"/>
    <row r="62" customFormat="false" ht="14.25" hidden="false" customHeight="true" outlineLevel="0" collapsed="false">
      <c r="A62" s="169" t="s">
        <v>1674</v>
      </c>
      <c r="B62" s="81" t="n">
        <f aca="false">B$26</f>
        <v>46295</v>
      </c>
      <c r="C62" s="81" t="n">
        <f aca="false">C$26</f>
        <v>46326</v>
      </c>
      <c r="D62" s="81" t="n">
        <f aca="false">D$26</f>
        <v>46356</v>
      </c>
      <c r="E62" s="81" t="n">
        <f aca="false">E$26</f>
        <v>46387</v>
      </c>
      <c r="F62" s="81" t="n">
        <f aca="false">F$26</f>
        <v>46418</v>
      </c>
      <c r="G62" s="81" t="n">
        <f aca="false">G$26</f>
        <v>46446</v>
      </c>
      <c r="H62" s="81" t="n">
        <f aca="false">H$26</f>
        <v>46477</v>
      </c>
      <c r="I62" s="81" t="n">
        <f aca="false">I$26</f>
        <v>46507</v>
      </c>
      <c r="J62" s="81" t="n">
        <f aca="false">J$26</f>
        <v>46538</v>
      </c>
      <c r="K62" s="81" t="n">
        <f aca="false">K$26</f>
        <v>46568</v>
      </c>
      <c r="L62" s="81" t="n">
        <f aca="false">L$26</f>
        <v>46599</v>
      </c>
      <c r="M62" s="81" t="n">
        <f aca="false">M$26</f>
        <v>46630</v>
      </c>
      <c r="N62" s="81" t="n">
        <f aca="false">N$26</f>
        <v>46660</v>
      </c>
      <c r="O62" s="81" t="n">
        <f aca="false">O$26</f>
        <v>46691</v>
      </c>
      <c r="P62" s="81" t="n">
        <f aca="false">P$26</f>
        <v>46721</v>
      </c>
      <c r="Q62" s="81" t="n">
        <f aca="false">Q$26</f>
        <v>46752</v>
      </c>
      <c r="R62" s="80" t="s">
        <v>1647</v>
      </c>
      <c r="S62" s="80" t="s">
        <v>1421</v>
      </c>
    </row>
    <row r="63" customFormat="false" ht="14.25" hidden="false" customHeight="true" outlineLevel="0" collapsed="false">
      <c r="A63" s="6" t="s">
        <v>1675</v>
      </c>
      <c r="B63" s="170" t="n">
        <f aca="false">B50+B54</f>
        <v>14</v>
      </c>
      <c r="C63" s="170" t="n">
        <f aca="false">C50+C54</f>
        <v>14</v>
      </c>
      <c r="D63" s="170" t="n">
        <f aca="false">D50+D54</f>
        <v>14</v>
      </c>
      <c r="E63" s="170" t="n">
        <f aca="false">E50+E54</f>
        <v>17</v>
      </c>
      <c r="F63" s="170" t="n">
        <f aca="false">F50+F54</f>
        <v>19</v>
      </c>
      <c r="G63" s="170" t="n">
        <f aca="false">G50+G54</f>
        <v>19</v>
      </c>
      <c r="H63" s="170" t="n">
        <f aca="false">H50+H54</f>
        <v>23</v>
      </c>
      <c r="I63" s="170" t="n">
        <f aca="false">I50+I54</f>
        <v>26</v>
      </c>
      <c r="J63" s="170" t="n">
        <f aca="false">J50+J54</f>
        <v>31</v>
      </c>
      <c r="K63" s="170" t="n">
        <f aca="false">K50+K54</f>
        <v>36</v>
      </c>
      <c r="L63" s="170" t="n">
        <f aca="false">L50+L54</f>
        <v>42</v>
      </c>
      <c r="M63" s="170" t="n">
        <f aca="false">M50+M54</f>
        <v>49</v>
      </c>
      <c r="N63" s="170" t="n">
        <f aca="false">N50+N54</f>
        <v>56</v>
      </c>
      <c r="O63" s="170" t="n">
        <f aca="false">O50+O54</f>
        <v>65</v>
      </c>
      <c r="P63" s="170" t="n">
        <f aca="false">P50+P54</f>
        <v>74</v>
      </c>
      <c r="Q63" s="170" t="n">
        <f aca="false">Q50+Q54</f>
        <v>82</v>
      </c>
      <c r="R63" s="171" t="n">
        <f aca="false">AVERAGE(B63:E63)</f>
        <v>14.75</v>
      </c>
      <c r="S63" s="171" t="n">
        <f aca="false">AVERAGE(F63:Q63)</f>
        <v>43.5</v>
      </c>
      <c r="T63" s="78"/>
    </row>
    <row r="64" customFormat="false" ht="14.25" hidden="false" customHeight="true" outlineLevel="0" collapsed="false">
      <c r="A64" s="6" t="s">
        <v>1676</v>
      </c>
      <c r="B64" s="170" t="n">
        <f aca="false">MAX($H$9,ROUNDUP(B63/$H$8,0))</f>
        <v>1</v>
      </c>
      <c r="C64" s="170" t="n">
        <f aca="false">MAX(B64,$H$9,ROUNDUP(C63/$H$8,0))</f>
        <v>1</v>
      </c>
      <c r="D64" s="170" t="n">
        <f aca="false">MAX(C64,$H$9,ROUNDUP(D63/$H$8,0))</f>
        <v>1</v>
      </c>
      <c r="E64" s="170" t="n">
        <f aca="false">MAX(D64,$H$9,ROUNDUP(E63/$H$8,0))</f>
        <v>1</v>
      </c>
      <c r="F64" s="170" t="n">
        <f aca="false">MAX(E64,$H$9,ROUNDUP(F63/$H$8,0))</f>
        <v>1</v>
      </c>
      <c r="G64" s="170" t="n">
        <f aca="false">MAX(F64,$H$9,ROUNDUP(G63/$H$8,0))</f>
        <v>1</v>
      </c>
      <c r="H64" s="170" t="n">
        <f aca="false">MAX(G64,$H$9,ROUNDUP(H63/$H$8,0))</f>
        <v>2</v>
      </c>
      <c r="I64" s="170" t="n">
        <f aca="false">MAX(H64,$H$9,ROUNDUP(I63/$H$8,0))</f>
        <v>2</v>
      </c>
      <c r="J64" s="170" t="n">
        <f aca="false">MAX(I64,$H$9,ROUNDUP(J63/$H$8,0))</f>
        <v>2</v>
      </c>
      <c r="K64" s="170" t="n">
        <f aca="false">MAX(J64,$H$9,ROUNDUP(K63/$H$8,0))</f>
        <v>2</v>
      </c>
      <c r="L64" s="170" t="n">
        <f aca="false">MAX(K64,$H$9,ROUNDUP(L63/$H$8,0))</f>
        <v>3</v>
      </c>
      <c r="M64" s="170" t="n">
        <f aca="false">MAX(L64,$H$9,ROUNDUP(M63/$H$8,0))</f>
        <v>3</v>
      </c>
      <c r="N64" s="170" t="n">
        <f aca="false">MAX(M64,$H$9,ROUNDUP(N63/$H$8,0))</f>
        <v>3</v>
      </c>
      <c r="O64" s="170" t="n">
        <f aca="false">MAX(N64,$H$9,ROUNDUP(O63/$H$8,0))</f>
        <v>4</v>
      </c>
      <c r="P64" s="170" t="n">
        <f aca="false">MAX(O64,$H$9,ROUNDUP(P63/$H$8,0))</f>
        <v>4</v>
      </c>
      <c r="Q64" s="170" t="n">
        <f aca="false">MAX(P64,$H$9,ROUNDUP(Q63/$H$8,0))</f>
        <v>5</v>
      </c>
      <c r="R64" s="171" t="n">
        <f aca="false">AVERAGE(B64:E64)</f>
        <v>1</v>
      </c>
      <c r="S64" s="171" t="n">
        <f aca="false">AVERAGE(F64:Q64)</f>
        <v>2.66666666666667</v>
      </c>
      <c r="T64" s="78"/>
    </row>
    <row r="65" customFormat="false" ht="14.25" hidden="false" customHeight="true" outlineLevel="0" collapsed="false">
      <c r="A65" s="6" t="s">
        <v>1677</v>
      </c>
      <c r="B65" s="170" t="n">
        <f aca="false">$H$11</f>
        <v>1</v>
      </c>
      <c r="C65" s="170" t="n">
        <f aca="false">$H$11</f>
        <v>1</v>
      </c>
      <c r="D65" s="170" t="n">
        <f aca="false">$H$11</f>
        <v>1</v>
      </c>
      <c r="E65" s="170" t="n">
        <f aca="false">$H$11</f>
        <v>1</v>
      </c>
      <c r="F65" s="170" t="n">
        <f aca="false">$H$11</f>
        <v>1</v>
      </c>
      <c r="G65" s="170" t="n">
        <f aca="false">$H$11</f>
        <v>1</v>
      </c>
      <c r="H65" s="170" t="n">
        <f aca="false">$H$11</f>
        <v>1</v>
      </c>
      <c r="I65" s="170" t="n">
        <f aca="false">$H$11</f>
        <v>1</v>
      </c>
      <c r="J65" s="170" t="n">
        <f aca="false">$H$11</f>
        <v>1</v>
      </c>
      <c r="K65" s="170" t="n">
        <f aca="false">$H$11</f>
        <v>1</v>
      </c>
      <c r="L65" s="170" t="n">
        <f aca="false">$H$11</f>
        <v>1</v>
      </c>
      <c r="M65" s="170" t="n">
        <f aca="false">$H$11</f>
        <v>1</v>
      </c>
      <c r="N65" s="170" t="n">
        <f aca="false">$H$11</f>
        <v>1</v>
      </c>
      <c r="O65" s="170" t="n">
        <f aca="false">$H$11</f>
        <v>1</v>
      </c>
      <c r="P65" s="170" t="n">
        <f aca="false">$H$11</f>
        <v>1</v>
      </c>
      <c r="Q65" s="170" t="n">
        <f aca="false">$H$11</f>
        <v>1</v>
      </c>
      <c r="R65" s="171" t="n">
        <f aca="false">AVERAGE(B65:E65)</f>
        <v>1</v>
      </c>
      <c r="S65" s="171" t="n">
        <f aca="false">AVERAGE(F65:Q65)</f>
        <v>1</v>
      </c>
      <c r="T65" s="78"/>
    </row>
    <row r="66" customFormat="false" ht="14.25" hidden="false" customHeight="true" outlineLevel="0" collapsed="false">
      <c r="A66" s="6" t="s">
        <v>1678</v>
      </c>
      <c r="B66" s="170" t="n">
        <f aca="false">MAX(0,B64-B65)</f>
        <v>0</v>
      </c>
      <c r="C66" s="170" t="n">
        <f aca="false">MAX(0,C64-C65)</f>
        <v>0</v>
      </c>
      <c r="D66" s="170" t="n">
        <f aca="false">MAX(0,D64-D65)</f>
        <v>0</v>
      </c>
      <c r="E66" s="170" t="n">
        <f aca="false">MAX(0,E64-E65)</f>
        <v>0</v>
      </c>
      <c r="F66" s="170" t="n">
        <f aca="false">MAX(0,F64-F65)</f>
        <v>0</v>
      </c>
      <c r="G66" s="170" t="n">
        <f aca="false">MAX(0,G64-G65)</f>
        <v>0</v>
      </c>
      <c r="H66" s="170" t="n">
        <f aca="false">MAX(0,H64-H65)</f>
        <v>1</v>
      </c>
      <c r="I66" s="170" t="n">
        <f aca="false">MAX(0,I64-I65)</f>
        <v>1</v>
      </c>
      <c r="J66" s="170" t="n">
        <f aca="false">MAX(0,J64-J65)</f>
        <v>1</v>
      </c>
      <c r="K66" s="170" t="n">
        <f aca="false">MAX(0,K64-K65)</f>
        <v>1</v>
      </c>
      <c r="L66" s="170" t="n">
        <f aca="false">MAX(0,L64-L65)</f>
        <v>2</v>
      </c>
      <c r="M66" s="170" t="n">
        <f aca="false">MAX(0,M64-M65)</f>
        <v>2</v>
      </c>
      <c r="N66" s="170" t="n">
        <f aca="false">MAX(0,N64-N65)</f>
        <v>2</v>
      </c>
      <c r="O66" s="170" t="n">
        <f aca="false">MAX(0,O64-O65)</f>
        <v>3</v>
      </c>
      <c r="P66" s="170" t="n">
        <f aca="false">MAX(0,P64-P65)</f>
        <v>3</v>
      </c>
      <c r="Q66" s="170" t="n">
        <f aca="false">MAX(0,Q64-Q65)</f>
        <v>4</v>
      </c>
      <c r="R66" s="171" t="n">
        <f aca="false">AVERAGE(B66:E66)</f>
        <v>0</v>
      </c>
      <c r="S66" s="171" t="n">
        <f aca="false">AVERAGE(F66:Q66)</f>
        <v>1.66666666666667</v>
      </c>
      <c r="T66" s="78"/>
    </row>
    <row r="67" customFormat="false" ht="14.25" hidden="false" customHeight="true" outlineLevel="0" collapsed="false">
      <c r="A67" s="6" t="s">
        <v>1679</v>
      </c>
      <c r="B67" s="170" t="n">
        <f aca="false">B65+B66</f>
        <v>1</v>
      </c>
      <c r="C67" s="170" t="n">
        <f aca="false">C65+C66</f>
        <v>1</v>
      </c>
      <c r="D67" s="170" t="n">
        <f aca="false">D65+D66</f>
        <v>1</v>
      </c>
      <c r="E67" s="170" t="n">
        <f aca="false">E65+E66</f>
        <v>1</v>
      </c>
      <c r="F67" s="170" t="n">
        <f aca="false">F65+F66</f>
        <v>1</v>
      </c>
      <c r="G67" s="170" t="n">
        <f aca="false">G65+G66</f>
        <v>1</v>
      </c>
      <c r="H67" s="170" t="n">
        <f aca="false">H65+H66</f>
        <v>2</v>
      </c>
      <c r="I67" s="170" t="n">
        <f aca="false">I65+I66</f>
        <v>2</v>
      </c>
      <c r="J67" s="170" t="n">
        <f aca="false">J65+J66</f>
        <v>2</v>
      </c>
      <c r="K67" s="170" t="n">
        <f aca="false">K65+K66</f>
        <v>2</v>
      </c>
      <c r="L67" s="170" t="n">
        <f aca="false">L65+L66</f>
        <v>3</v>
      </c>
      <c r="M67" s="170" t="n">
        <f aca="false">M65+M66</f>
        <v>3</v>
      </c>
      <c r="N67" s="170" t="n">
        <f aca="false">N65+N66</f>
        <v>3</v>
      </c>
      <c r="O67" s="170" t="n">
        <f aca="false">O65+O66</f>
        <v>4</v>
      </c>
      <c r="P67" s="170" t="n">
        <f aca="false">P65+P66</f>
        <v>4</v>
      </c>
      <c r="Q67" s="170" t="n">
        <f aca="false">Q65+Q66</f>
        <v>5</v>
      </c>
      <c r="R67" s="171" t="n">
        <f aca="false">AVERAGE(B67:E67)</f>
        <v>1</v>
      </c>
      <c r="S67" s="171" t="n">
        <f aca="false">AVERAGE(F67:Q67)</f>
        <v>2.66666666666667</v>
      </c>
      <c r="T67" s="78"/>
    </row>
    <row r="68" customFormat="false" ht="14.25" hidden="false" customHeight="true" outlineLevel="0" collapsed="false">
      <c r="A68" s="6" t="s">
        <v>1680</v>
      </c>
      <c r="B68" s="170" t="n">
        <f aca="false">B66</f>
        <v>0</v>
      </c>
      <c r="C68" s="170" t="n">
        <f aca="false">MAX(0,C66-B66)</f>
        <v>0</v>
      </c>
      <c r="D68" s="170" t="n">
        <f aca="false">MAX(0,D66-C66)</f>
        <v>0</v>
      </c>
      <c r="E68" s="170" t="n">
        <f aca="false">MAX(0,E66-D66)</f>
        <v>0</v>
      </c>
      <c r="F68" s="170" t="n">
        <f aca="false">MAX(0,F66-E66)</f>
        <v>0</v>
      </c>
      <c r="G68" s="170" t="n">
        <f aca="false">MAX(0,G66-F66)</f>
        <v>0</v>
      </c>
      <c r="H68" s="170" t="n">
        <f aca="false">MAX(0,H66-G66)</f>
        <v>1</v>
      </c>
      <c r="I68" s="170" t="n">
        <f aca="false">MAX(0,I66-H66)</f>
        <v>0</v>
      </c>
      <c r="J68" s="170" t="n">
        <f aca="false">MAX(0,J66-I66)</f>
        <v>0</v>
      </c>
      <c r="K68" s="170" t="n">
        <f aca="false">MAX(0,K66-J66)</f>
        <v>0</v>
      </c>
      <c r="L68" s="170" t="n">
        <f aca="false">MAX(0,L66-K66)</f>
        <v>1</v>
      </c>
      <c r="M68" s="170" t="n">
        <f aca="false">MAX(0,M66-L66)</f>
        <v>0</v>
      </c>
      <c r="N68" s="170" t="n">
        <f aca="false">MAX(0,N66-M66)</f>
        <v>0</v>
      </c>
      <c r="O68" s="170" t="n">
        <f aca="false">MAX(0,O66-N66)</f>
        <v>1</v>
      </c>
      <c r="P68" s="170" t="n">
        <f aca="false">MAX(0,P66-O66)</f>
        <v>0</v>
      </c>
      <c r="Q68" s="170" t="n">
        <f aca="false">MAX(0,Q66-P66)</f>
        <v>1</v>
      </c>
      <c r="R68" s="181" t="n">
        <f aca="false">SUM(B68:E68)</f>
        <v>0</v>
      </c>
      <c r="S68" s="181" t="n">
        <f aca="false">SUM(F68:Q68)</f>
        <v>4</v>
      </c>
      <c r="T68" s="78"/>
    </row>
    <row r="69" customFormat="false" ht="14.25" hidden="false" customHeight="true" outlineLevel="0" collapsed="false">
      <c r="A69" s="6" t="s">
        <v>1649</v>
      </c>
      <c r="B69" s="172" t="n">
        <f aca="false">B66*$H$5/12+IF(B$26&gt;=$M$6,MIN(B66,INDEX($B66:$Q66,IFERROR(MATCH(EOMONTH($M$6,-$M$7-1),$B$26:$Q$26,0),1)))*$H$5/12*$M$5,0)</f>
        <v>0</v>
      </c>
      <c r="C69" s="172" t="n">
        <f aca="false">C66*$H$5/12+IF(C$26&gt;=$M$6,MIN(C66,INDEX($B66:$Q66,IFERROR(MATCH(EOMONTH($M$6,-$M$7-1),$B$26:$Q$26,0),1)))*$H$5/12*$M$5,0)</f>
        <v>0</v>
      </c>
      <c r="D69" s="172" t="n">
        <f aca="false">D66*$H$5/12+IF(D$26&gt;=$M$6,MIN(D66,INDEX($B66:$Q66,IFERROR(MATCH(EOMONTH($M$6,-$M$7-1),$B$26:$Q$26,0),1)))*$H$5/12*$M$5,0)</f>
        <v>0</v>
      </c>
      <c r="E69" s="172" t="n">
        <f aca="false">E66*$H$5/12+IF(E$26&gt;=$M$6,MIN(E66,INDEX($B66:$Q66,IFERROR(MATCH(EOMONTH($M$6,-$M$7-1),$B$26:$Q$26,0),1)))*$H$5/12*$M$5,0)</f>
        <v>0</v>
      </c>
      <c r="F69" s="172" t="n">
        <f aca="false">F66*$H$5/12+IF(F$26&gt;=$M$6,MIN(F66,INDEX($B66:$Q66,IFERROR(MATCH(EOMONTH($M$6,-$M$7-1),$B$26:$Q$26,0),1)))*$H$5/12*$M$5,0)</f>
        <v>0</v>
      </c>
      <c r="G69" s="172" t="n">
        <f aca="false">G66*$H$5/12+IF(G$26&gt;=$M$6,MIN(G66,INDEX($B66:$Q66,IFERROR(MATCH(EOMONTH($M$6,-$M$7-1),$B$26:$Q$26,0),1)))*$H$5/12*$M$5,0)</f>
        <v>0</v>
      </c>
      <c r="H69" s="172" t="n">
        <f aca="false">H66*$H$5/12+IF(H$26&gt;=$M$6,MIN(H66,INDEX($B66:$Q66,IFERROR(MATCH(EOMONTH($M$6,-$M$7-1),$B$26:$Q$26,0),1)))*$H$5/12*$M$5,0)</f>
        <v>7500</v>
      </c>
      <c r="I69" s="172" t="n">
        <f aca="false">I66*$H$5/12+IF(I$26&gt;=$M$6,MIN(I66,INDEX($B66:$Q66,IFERROR(MATCH(EOMONTH($M$6,-$M$7-1),$B$26:$Q$26,0),1)))*$H$5/12*$M$5,0)</f>
        <v>7500</v>
      </c>
      <c r="J69" s="172" t="n">
        <f aca="false">J66*$H$5/12+IF(J$26&gt;=$M$6,MIN(J66,INDEX($B66:$Q66,IFERROR(MATCH(EOMONTH($M$6,-$M$7-1),$B$26:$Q$26,0),1)))*$H$5/12*$M$5,0)</f>
        <v>7500</v>
      </c>
      <c r="K69" s="172" t="n">
        <f aca="false">K66*$H$5/12+IF(K$26&gt;=$M$6,MIN(K66,INDEX($B66:$Q66,IFERROR(MATCH(EOMONTH($M$6,-$M$7-1),$B$26:$Q$26,0),1)))*$H$5/12*$M$5,0)</f>
        <v>7500</v>
      </c>
      <c r="L69" s="172" t="n">
        <f aca="false">L66*$H$5/12+IF(L$26&gt;=$M$6,MIN(L66,INDEX($B66:$Q66,IFERROR(MATCH(EOMONTH($M$6,-$M$7-1),$B$26:$Q$26,0),1)))*$H$5/12*$M$5,0)</f>
        <v>15000</v>
      </c>
      <c r="M69" s="172" t="n">
        <f aca="false">M66*$H$5/12+IF(M$26&gt;=$M$6,MIN(M66,INDEX($B66:$Q66,IFERROR(MATCH(EOMONTH($M$6,-$M$7-1),$B$26:$Q$26,0),1)))*$H$5/12*$M$5,0)</f>
        <v>15000</v>
      </c>
      <c r="N69" s="172" t="n">
        <f aca="false">N66*$H$5/12+IF(N$26&gt;=$M$6,MIN(N66,INDEX($B66:$Q66,IFERROR(MATCH(EOMONTH($M$6,-$M$7-1),$B$26:$Q$26,0),1)))*$H$5/12*$M$5,0)</f>
        <v>15000</v>
      </c>
      <c r="O69" s="172" t="n">
        <f aca="false">O66*$H$5/12+IF(O$26&gt;=$M$6,MIN(O66,INDEX($B66:$Q66,IFERROR(MATCH(EOMONTH($M$6,-$M$7-1),$B$26:$Q$26,0),1)))*$H$5/12*$M$5,0)</f>
        <v>22725</v>
      </c>
      <c r="P69" s="172" t="n">
        <f aca="false">P66*$H$5/12+IF(P$26&gt;=$M$6,MIN(P66,INDEX($B66:$Q66,IFERROR(MATCH(EOMONTH($M$6,-$M$7-1),$B$26:$Q$26,0),1)))*$H$5/12*$M$5,0)</f>
        <v>22725</v>
      </c>
      <c r="Q69" s="172" t="n">
        <f aca="false">Q66*$H$5/12+IF(Q$26&gt;=$M$6,MIN(Q66,INDEX($B66:$Q66,IFERROR(MATCH(EOMONTH($M$6,-$M$7-1),$B$26:$Q$26,0),1)))*$H$5/12*$M$5,0)</f>
        <v>30225</v>
      </c>
      <c r="R69" s="173" t="n">
        <f aca="false">SUM(B69:E69)</f>
        <v>0</v>
      </c>
      <c r="S69" s="173" t="n">
        <f aca="false">SUM(F69:Q69)</f>
        <v>150675</v>
      </c>
    </row>
    <row r="70" customFormat="false" ht="14.25" hidden="false" customHeight="true" outlineLevel="0" collapsed="false">
      <c r="A70" s="6" t="s">
        <v>1650</v>
      </c>
      <c r="B70" s="172" t="n">
        <f aca="false">B69*$H$6</f>
        <v>0</v>
      </c>
      <c r="C70" s="172" t="n">
        <f aca="false">C69*$H$6</f>
        <v>0</v>
      </c>
      <c r="D70" s="172" t="n">
        <f aca="false">D69*$H$6</f>
        <v>0</v>
      </c>
      <c r="E70" s="172" t="n">
        <f aca="false">E69*$H$6</f>
        <v>0</v>
      </c>
      <c r="F70" s="172" t="n">
        <f aca="false">F69*$H$6</f>
        <v>0</v>
      </c>
      <c r="G70" s="172" t="n">
        <f aca="false">G69*$H$6</f>
        <v>0</v>
      </c>
      <c r="H70" s="172" t="n">
        <f aca="false">H69*$H$6</f>
        <v>510</v>
      </c>
      <c r="I70" s="172" t="n">
        <f aca="false">I69*$H$6</f>
        <v>510</v>
      </c>
      <c r="J70" s="172" t="n">
        <f aca="false">J69*$H$6</f>
        <v>510</v>
      </c>
      <c r="K70" s="172" t="n">
        <f aca="false">K69*$H$6</f>
        <v>510</v>
      </c>
      <c r="L70" s="172" t="n">
        <f aca="false">L69*$H$6</f>
        <v>1020</v>
      </c>
      <c r="M70" s="172" t="n">
        <f aca="false">M69*$H$6</f>
        <v>1020</v>
      </c>
      <c r="N70" s="172" t="n">
        <f aca="false">N69*$H$6</f>
        <v>1020</v>
      </c>
      <c r="O70" s="172" t="n">
        <f aca="false">O69*$H$6</f>
        <v>1545.3</v>
      </c>
      <c r="P70" s="172" t="n">
        <f aca="false">P69*$H$6</f>
        <v>1545.3</v>
      </c>
      <c r="Q70" s="172" t="n">
        <f aca="false">Q69*$H$6</f>
        <v>2055.3</v>
      </c>
      <c r="R70" s="173" t="n">
        <f aca="false">SUM(B70:E70)</f>
        <v>0</v>
      </c>
      <c r="S70" s="173" t="n">
        <f aca="false">SUM(F70:Q70)</f>
        <v>10245.9</v>
      </c>
    </row>
    <row r="71" customFormat="false" ht="14.25" hidden="false" customHeight="true" outlineLevel="0" collapsed="false">
      <c r="A71" s="6" t="s">
        <v>1390</v>
      </c>
      <c r="B71" s="172" t="n">
        <f aca="false">B69*$H$7</f>
        <v>0</v>
      </c>
      <c r="C71" s="172" t="n">
        <f aca="false">C69*$H$7</f>
        <v>0</v>
      </c>
      <c r="D71" s="172" t="n">
        <f aca="false">D69*$H$7</f>
        <v>0</v>
      </c>
      <c r="E71" s="172" t="n">
        <f aca="false">E69*$H$7</f>
        <v>0</v>
      </c>
      <c r="F71" s="172" t="n">
        <f aca="false">F69*$H$7</f>
        <v>0</v>
      </c>
      <c r="G71" s="172" t="n">
        <f aca="false">G69*$H$7</f>
        <v>0</v>
      </c>
      <c r="H71" s="172" t="n">
        <f aca="false">H69*$H$7</f>
        <v>1230</v>
      </c>
      <c r="I71" s="172" t="n">
        <f aca="false">I69*$H$7</f>
        <v>1230</v>
      </c>
      <c r="J71" s="172" t="n">
        <f aca="false">J69*$H$7</f>
        <v>1230</v>
      </c>
      <c r="K71" s="172" t="n">
        <f aca="false">K69*$H$7</f>
        <v>1230</v>
      </c>
      <c r="L71" s="172" t="n">
        <f aca="false">L69*$H$7</f>
        <v>2460</v>
      </c>
      <c r="M71" s="172" t="n">
        <f aca="false">M69*$H$7</f>
        <v>2460</v>
      </c>
      <c r="N71" s="172" t="n">
        <f aca="false">N69*$H$7</f>
        <v>2460</v>
      </c>
      <c r="O71" s="172" t="n">
        <f aca="false">O69*$H$7</f>
        <v>3726.9</v>
      </c>
      <c r="P71" s="172" t="n">
        <f aca="false">P69*$H$7</f>
        <v>3726.9</v>
      </c>
      <c r="Q71" s="172" t="n">
        <f aca="false">Q69*$H$7</f>
        <v>4956.9</v>
      </c>
      <c r="R71" s="173" t="n">
        <f aca="false">SUM(B71:E71)</f>
        <v>0</v>
      </c>
      <c r="S71" s="173" t="n">
        <f aca="false">SUM(F71:Q71)</f>
        <v>24710.7</v>
      </c>
    </row>
    <row r="72" customFormat="false" ht="14.25" hidden="false" customHeight="true" outlineLevel="0" collapsed="false">
      <c r="A72" s="6" t="s">
        <v>1657</v>
      </c>
      <c r="B72" s="172" t="n">
        <f aca="false">B68*$H$10</f>
        <v>0</v>
      </c>
      <c r="C72" s="172" t="n">
        <f aca="false">C68*$H$10</f>
        <v>0</v>
      </c>
      <c r="D72" s="172" t="n">
        <f aca="false">D68*$H$10</f>
        <v>0</v>
      </c>
      <c r="E72" s="172" t="n">
        <f aca="false">E68*$H$10</f>
        <v>0</v>
      </c>
      <c r="F72" s="172" t="n">
        <f aca="false">F68*$H$10</f>
        <v>0</v>
      </c>
      <c r="G72" s="172" t="n">
        <f aca="false">G68*$H$10</f>
        <v>0</v>
      </c>
      <c r="H72" s="172" t="n">
        <f aca="false">H68*$H$10</f>
        <v>2000</v>
      </c>
      <c r="I72" s="172" t="n">
        <f aca="false">I68*$H$10</f>
        <v>0</v>
      </c>
      <c r="J72" s="172" t="n">
        <f aca="false">J68*$H$10</f>
        <v>0</v>
      </c>
      <c r="K72" s="172" t="n">
        <f aca="false">K68*$H$10</f>
        <v>0</v>
      </c>
      <c r="L72" s="172" t="n">
        <f aca="false">L68*$H$10</f>
        <v>2000</v>
      </c>
      <c r="M72" s="172" t="n">
        <f aca="false">M68*$H$10</f>
        <v>0</v>
      </c>
      <c r="N72" s="172" t="n">
        <f aca="false">N68*$H$10</f>
        <v>0</v>
      </c>
      <c r="O72" s="172" t="n">
        <f aca="false">O68*$H$10</f>
        <v>2000</v>
      </c>
      <c r="P72" s="172" t="n">
        <f aca="false">P68*$H$10</f>
        <v>0</v>
      </c>
      <c r="Q72" s="172" t="n">
        <f aca="false">Q68*$H$10</f>
        <v>2000</v>
      </c>
      <c r="R72" s="173" t="n">
        <f aca="false">SUM(B72:E72)</f>
        <v>0</v>
      </c>
      <c r="S72" s="173" t="n">
        <f aca="false">SUM(F72:Q72)</f>
        <v>8000</v>
      </c>
    </row>
    <row r="73" customFormat="false" ht="14.25" hidden="false" customHeight="true" outlineLevel="0" collapsed="false">
      <c r="A73" s="174" t="s">
        <v>1681</v>
      </c>
      <c r="B73" s="175" t="n">
        <f aca="false">SUM(B69:B72)</f>
        <v>0</v>
      </c>
      <c r="C73" s="175" t="n">
        <f aca="false">SUM(C69:C72)</f>
        <v>0</v>
      </c>
      <c r="D73" s="175" t="n">
        <f aca="false">SUM(D69:D72)</f>
        <v>0</v>
      </c>
      <c r="E73" s="175" t="n">
        <f aca="false">SUM(E69:E72)</f>
        <v>0</v>
      </c>
      <c r="F73" s="175" t="n">
        <f aca="false">SUM(F69:F72)</f>
        <v>0</v>
      </c>
      <c r="G73" s="175" t="n">
        <f aca="false">SUM(G69:G72)</f>
        <v>0</v>
      </c>
      <c r="H73" s="175" t="n">
        <f aca="false">SUM(H69:H72)</f>
        <v>11240</v>
      </c>
      <c r="I73" s="175" t="n">
        <f aca="false">SUM(I69:I72)</f>
        <v>9240</v>
      </c>
      <c r="J73" s="175" t="n">
        <f aca="false">SUM(J69:J72)</f>
        <v>9240</v>
      </c>
      <c r="K73" s="175" t="n">
        <f aca="false">SUM(K69:K72)</f>
        <v>9240</v>
      </c>
      <c r="L73" s="175" t="n">
        <f aca="false">SUM(L69:L72)</f>
        <v>20480</v>
      </c>
      <c r="M73" s="175" t="n">
        <f aca="false">SUM(M69:M72)</f>
        <v>18480</v>
      </c>
      <c r="N73" s="175" t="n">
        <f aca="false">SUM(N69:N72)</f>
        <v>18480</v>
      </c>
      <c r="O73" s="175" t="n">
        <f aca="false">SUM(O69:O72)</f>
        <v>29997.2</v>
      </c>
      <c r="P73" s="175" t="n">
        <f aca="false">SUM(P69:P72)</f>
        <v>27997.2</v>
      </c>
      <c r="Q73" s="175" t="n">
        <f aca="false">SUM(Q69:Q72)</f>
        <v>39237.2</v>
      </c>
      <c r="R73" s="176" t="n">
        <f aca="false">SUM(B73:E73)</f>
        <v>0</v>
      </c>
      <c r="S73" s="176" t="n">
        <f aca="false">SUM(F73:Q73)</f>
        <v>193631.6</v>
      </c>
    </row>
    <row r="74" customFormat="false" ht="14.25" hidden="false" customHeight="true" outlineLevel="0" collapsed="false"/>
    <row r="75" customFormat="false" ht="14.25" hidden="false" customHeight="true" outlineLevel="0" collapsed="false">
      <c r="A75" s="169" t="s">
        <v>1682</v>
      </c>
      <c r="B75" s="81" t="n">
        <f aca="false">B$26</f>
        <v>46295</v>
      </c>
      <c r="C75" s="81" t="n">
        <f aca="false">C$26</f>
        <v>46326</v>
      </c>
      <c r="D75" s="81" t="n">
        <f aca="false">D$26</f>
        <v>46356</v>
      </c>
      <c r="E75" s="81" t="n">
        <f aca="false">E$26</f>
        <v>46387</v>
      </c>
      <c r="F75" s="81" t="n">
        <f aca="false">F$26</f>
        <v>46418</v>
      </c>
      <c r="G75" s="81" t="n">
        <f aca="false">G$26</f>
        <v>46446</v>
      </c>
      <c r="H75" s="81" t="n">
        <f aca="false">H$26</f>
        <v>46477</v>
      </c>
      <c r="I75" s="81" t="n">
        <f aca="false">I$26</f>
        <v>46507</v>
      </c>
      <c r="J75" s="81" t="n">
        <f aca="false">J$26</f>
        <v>46538</v>
      </c>
      <c r="K75" s="81" t="n">
        <f aca="false">K$26</f>
        <v>46568</v>
      </c>
      <c r="L75" s="81" t="n">
        <f aca="false">L$26</f>
        <v>46599</v>
      </c>
      <c r="M75" s="81" t="n">
        <f aca="false">M$26</f>
        <v>46630</v>
      </c>
      <c r="N75" s="81" t="n">
        <f aca="false">N$26</f>
        <v>46660</v>
      </c>
      <c r="O75" s="81" t="n">
        <f aca="false">O$26</f>
        <v>46691</v>
      </c>
      <c r="P75" s="81" t="n">
        <f aca="false">P$26</f>
        <v>46721</v>
      </c>
      <c r="Q75" s="81" t="n">
        <f aca="false">Q$26</f>
        <v>46752</v>
      </c>
      <c r="R75" s="80" t="s">
        <v>1647</v>
      </c>
      <c r="S75" s="80" t="s">
        <v>1421</v>
      </c>
    </row>
    <row r="76" customFormat="false" ht="14.25" hidden="false" customHeight="true" outlineLevel="0" collapsed="false">
      <c r="A76" s="6" t="s">
        <v>1683</v>
      </c>
      <c r="B76" s="172" t="n">
        <f aca="false">$H$15/12+IF(B$75&gt;=$M$6,$H$15/12*$M$5,0)</f>
        <v>6376.25</v>
      </c>
      <c r="C76" s="172" t="n">
        <f aca="false">$H$15/12+IF(C$75&gt;=$M$6,$H$15/12*$M$5,0)</f>
        <v>6376.25</v>
      </c>
      <c r="D76" s="172" t="n">
        <f aca="false">$H$15/12+IF(D$75&gt;=$M$6,$H$15/12*$M$5,0)</f>
        <v>6376.25</v>
      </c>
      <c r="E76" s="172" t="n">
        <f aca="false">$H$15/12+IF(E$75&gt;=$M$6,$H$15/12*$M$5,0)</f>
        <v>6376.25</v>
      </c>
      <c r="F76" s="172" t="n">
        <f aca="false">$H$15/12+IF(F$75&gt;=$M$6,$H$15/12*$M$5,0)</f>
        <v>6376.25</v>
      </c>
      <c r="G76" s="172" t="n">
        <f aca="false">$H$15/12+IF(G$75&gt;=$M$6,$H$15/12*$M$5,0)</f>
        <v>6376.25</v>
      </c>
      <c r="H76" s="172" t="n">
        <f aca="false">$H$15/12+IF(H$75&gt;=$M$6,$H$15/12*$M$5,0)</f>
        <v>6376.25</v>
      </c>
      <c r="I76" s="172" t="n">
        <f aca="false">$H$15/12+IF(I$75&gt;=$M$6,$H$15/12*$M$5,0)</f>
        <v>6376.25</v>
      </c>
      <c r="J76" s="172" t="n">
        <f aca="false">$H$15/12+IF(J$75&gt;=$M$6,$H$15/12*$M$5,0)</f>
        <v>6376.25</v>
      </c>
      <c r="K76" s="172" t="n">
        <f aca="false">$H$15/12+IF(K$75&gt;=$M$6,$H$15/12*$M$5,0)</f>
        <v>6376.25</v>
      </c>
      <c r="L76" s="172" t="n">
        <f aca="false">$H$15/12+IF(L$75&gt;=$M$6,$H$15/12*$M$5,0)</f>
        <v>6376.25</v>
      </c>
      <c r="M76" s="172" t="n">
        <f aca="false">$H$15/12+IF(M$75&gt;=$M$6,$H$15/12*$M$5,0)</f>
        <v>6376.25</v>
      </c>
      <c r="N76" s="172" t="n">
        <f aca="false">$H$15/12+IF(N$75&gt;=$M$6,$H$15/12*$M$5,0)</f>
        <v>6376.25</v>
      </c>
      <c r="O76" s="172" t="n">
        <f aca="false">$H$15/12+IF(O$75&gt;=$M$6,$H$15/12*$M$5,0)</f>
        <v>6567.5375</v>
      </c>
      <c r="P76" s="172" t="n">
        <f aca="false">$H$15/12+IF(P$75&gt;=$M$6,$H$15/12*$M$5,0)</f>
        <v>6567.5375</v>
      </c>
      <c r="Q76" s="172" t="n">
        <f aca="false">$H$15/12+IF(Q$75&gt;=$M$6,$H$15/12*$M$5,0)</f>
        <v>6567.5375</v>
      </c>
      <c r="R76" s="173" t="n">
        <f aca="false">SUM(B76:E76)</f>
        <v>25505</v>
      </c>
      <c r="S76" s="173" t="n">
        <f aca="false">SUM(F76:Q76)</f>
        <v>77088.8625</v>
      </c>
    </row>
    <row r="77" customFormat="false" ht="14.25" hidden="false" customHeight="true" outlineLevel="0" collapsed="false">
      <c r="A77" s="6" t="s">
        <v>1684</v>
      </c>
      <c r="B77" s="172" t="n">
        <f aca="false">$H$16/12+IF(B$75&gt;=$M$6,$H$16/12*$M$5,0)</f>
        <v>10000</v>
      </c>
      <c r="C77" s="172" t="n">
        <f aca="false">$H$16/12+IF(C$75&gt;=$M$6,$H$16/12*$M$5,0)</f>
        <v>10000</v>
      </c>
      <c r="D77" s="172" t="n">
        <f aca="false">$H$16/12+IF(D$75&gt;=$M$6,$H$16/12*$M$5,0)</f>
        <v>10000</v>
      </c>
      <c r="E77" s="172" t="n">
        <f aca="false">$H$16/12+IF(E$75&gt;=$M$6,$H$16/12*$M$5,0)</f>
        <v>10000</v>
      </c>
      <c r="F77" s="172" t="n">
        <f aca="false">$H$16/12+IF(F$75&gt;=$M$6,$H$16/12*$M$5,0)</f>
        <v>10000</v>
      </c>
      <c r="G77" s="172" t="n">
        <f aca="false">$H$16/12+IF(G$75&gt;=$M$6,$H$16/12*$M$5,0)</f>
        <v>10000</v>
      </c>
      <c r="H77" s="172" t="n">
        <f aca="false">$H$16/12+IF(H$75&gt;=$M$6,$H$16/12*$M$5,0)</f>
        <v>10000</v>
      </c>
      <c r="I77" s="172" t="n">
        <f aca="false">$H$16/12+IF(I$75&gt;=$M$6,$H$16/12*$M$5,0)</f>
        <v>10000</v>
      </c>
      <c r="J77" s="172" t="n">
        <f aca="false">$H$16/12+IF(J$75&gt;=$M$6,$H$16/12*$M$5,0)</f>
        <v>10000</v>
      </c>
      <c r="K77" s="172" t="n">
        <f aca="false">$H$16/12+IF(K$75&gt;=$M$6,$H$16/12*$M$5,0)</f>
        <v>10000</v>
      </c>
      <c r="L77" s="172" t="n">
        <f aca="false">$H$16/12+IF(L$75&gt;=$M$6,$H$16/12*$M$5,0)</f>
        <v>10000</v>
      </c>
      <c r="M77" s="172" t="n">
        <f aca="false">$H$16/12+IF(M$75&gt;=$M$6,$H$16/12*$M$5,0)</f>
        <v>10000</v>
      </c>
      <c r="N77" s="172" t="n">
        <f aca="false">$H$16/12+IF(N$75&gt;=$M$6,$H$16/12*$M$5,0)</f>
        <v>10000</v>
      </c>
      <c r="O77" s="172" t="n">
        <f aca="false">$H$16/12+IF(O$75&gt;=$M$6,$H$16/12*$M$5,0)</f>
        <v>10300</v>
      </c>
      <c r="P77" s="172" t="n">
        <f aca="false">$H$16/12+IF(P$75&gt;=$M$6,$H$16/12*$M$5,0)</f>
        <v>10300</v>
      </c>
      <c r="Q77" s="172" t="n">
        <f aca="false">$H$16/12+IF(Q$75&gt;=$M$6,$H$16/12*$M$5,0)</f>
        <v>10300</v>
      </c>
      <c r="R77" s="173" t="n">
        <f aca="false">SUM(B77:E77)</f>
        <v>40000</v>
      </c>
      <c r="S77" s="173" t="n">
        <f aca="false">SUM(F77:Q77)</f>
        <v>120900</v>
      </c>
    </row>
    <row r="78" customFormat="false" ht="14.25" hidden="false" customHeight="true" outlineLevel="0" collapsed="false">
      <c r="A78" s="6" t="s">
        <v>1650</v>
      </c>
      <c r="B78" s="172" t="n">
        <f aca="false">(B76+B77)*$H$6</f>
        <v>1113.585</v>
      </c>
      <c r="C78" s="172" t="n">
        <f aca="false">(C76+C77)*$H$6</f>
        <v>1113.585</v>
      </c>
      <c r="D78" s="172" t="n">
        <f aca="false">(D76+D77)*$H$6</f>
        <v>1113.585</v>
      </c>
      <c r="E78" s="172" t="n">
        <f aca="false">(E76+E77)*$H$6</f>
        <v>1113.585</v>
      </c>
      <c r="F78" s="172" t="n">
        <f aca="false">(F76+F77)*$H$6</f>
        <v>1113.585</v>
      </c>
      <c r="G78" s="172" t="n">
        <f aca="false">(G76+G77)*$H$6</f>
        <v>1113.585</v>
      </c>
      <c r="H78" s="172" t="n">
        <f aca="false">(H76+H77)*$H$6</f>
        <v>1113.585</v>
      </c>
      <c r="I78" s="172" t="n">
        <f aca="false">(I76+I77)*$H$6</f>
        <v>1113.585</v>
      </c>
      <c r="J78" s="172" t="n">
        <f aca="false">(J76+J77)*$H$6</f>
        <v>1113.585</v>
      </c>
      <c r="K78" s="172" t="n">
        <f aca="false">(K76+K77)*$H$6</f>
        <v>1113.585</v>
      </c>
      <c r="L78" s="172" t="n">
        <f aca="false">(L76+L77)*$H$6</f>
        <v>1113.585</v>
      </c>
      <c r="M78" s="172" t="n">
        <f aca="false">(M76+M77)*$H$6</f>
        <v>1113.585</v>
      </c>
      <c r="N78" s="172" t="n">
        <f aca="false">(N76+N77)*$H$6</f>
        <v>1113.585</v>
      </c>
      <c r="O78" s="172" t="n">
        <f aca="false">(O76+O77)*$H$6</f>
        <v>1146.99255</v>
      </c>
      <c r="P78" s="172" t="n">
        <f aca="false">(P76+P77)*$H$6</f>
        <v>1146.99255</v>
      </c>
      <c r="Q78" s="172" t="n">
        <f aca="false">(Q76+Q77)*$H$6</f>
        <v>1146.99255</v>
      </c>
      <c r="R78" s="173" t="n">
        <f aca="false">SUM(B78:E78)</f>
        <v>4454.34</v>
      </c>
      <c r="S78" s="173" t="n">
        <f aca="false">SUM(F78:Q78)</f>
        <v>13463.24265</v>
      </c>
    </row>
    <row r="79" customFormat="false" ht="14.25" hidden="false" customHeight="true" outlineLevel="0" collapsed="false">
      <c r="A79" s="6" t="s">
        <v>1390</v>
      </c>
      <c r="B79" s="172" t="n">
        <f aca="false">(B76+B77)*$H$7</f>
        <v>2685.705</v>
      </c>
      <c r="C79" s="172" t="n">
        <f aca="false">(C76+C77)*$H$7</f>
        <v>2685.705</v>
      </c>
      <c r="D79" s="172" t="n">
        <f aca="false">(D76+D77)*$H$7</f>
        <v>2685.705</v>
      </c>
      <c r="E79" s="172" t="n">
        <f aca="false">(E76+E77)*$H$7</f>
        <v>2685.705</v>
      </c>
      <c r="F79" s="172" t="n">
        <f aca="false">(F76+F77)*$H$7</f>
        <v>2685.705</v>
      </c>
      <c r="G79" s="172" t="n">
        <f aca="false">(G76+G77)*$H$7</f>
        <v>2685.705</v>
      </c>
      <c r="H79" s="172" t="n">
        <f aca="false">(H76+H77)*$H$7</f>
        <v>2685.705</v>
      </c>
      <c r="I79" s="172" t="n">
        <f aca="false">(I76+I77)*$H$7</f>
        <v>2685.705</v>
      </c>
      <c r="J79" s="172" t="n">
        <f aca="false">(J76+J77)*$H$7</f>
        <v>2685.705</v>
      </c>
      <c r="K79" s="172" t="n">
        <f aca="false">(K76+K77)*$H$7</f>
        <v>2685.705</v>
      </c>
      <c r="L79" s="172" t="n">
        <f aca="false">(L76+L77)*$H$7</f>
        <v>2685.705</v>
      </c>
      <c r="M79" s="172" t="n">
        <f aca="false">(M76+M77)*$H$7</f>
        <v>2685.705</v>
      </c>
      <c r="N79" s="172" t="n">
        <f aca="false">(N76+N77)*$H$7</f>
        <v>2685.705</v>
      </c>
      <c r="O79" s="172" t="n">
        <f aca="false">(O76+O77)*$H$7</f>
        <v>2766.27615</v>
      </c>
      <c r="P79" s="172" t="n">
        <f aca="false">(P76+P77)*$H$7</f>
        <v>2766.27615</v>
      </c>
      <c r="Q79" s="172" t="n">
        <f aca="false">(Q76+Q77)*$H$7</f>
        <v>2766.27615</v>
      </c>
      <c r="R79" s="173" t="n">
        <f aca="false">SUM(B79:E79)</f>
        <v>10742.82</v>
      </c>
      <c r="S79" s="173" t="n">
        <f aca="false">SUM(F79:Q79)</f>
        <v>32470.17345</v>
      </c>
    </row>
    <row r="80" customFormat="false" ht="14.25" hidden="false" customHeight="true" outlineLevel="0" collapsed="false">
      <c r="A80" s="174" t="s">
        <v>1685</v>
      </c>
      <c r="B80" s="175" t="n">
        <f aca="false">SUM(B76:B79)</f>
        <v>20175.54</v>
      </c>
      <c r="C80" s="175" t="n">
        <f aca="false">SUM(C76:C79)</f>
        <v>20175.54</v>
      </c>
      <c r="D80" s="175" t="n">
        <f aca="false">SUM(D76:D79)</f>
        <v>20175.54</v>
      </c>
      <c r="E80" s="175" t="n">
        <f aca="false">SUM(E76:E79)</f>
        <v>20175.54</v>
      </c>
      <c r="F80" s="175" t="n">
        <f aca="false">SUM(F76:F79)</f>
        <v>20175.54</v>
      </c>
      <c r="G80" s="175" t="n">
        <f aca="false">SUM(G76:G79)</f>
        <v>20175.54</v>
      </c>
      <c r="H80" s="175" t="n">
        <f aca="false">SUM(H76:H79)</f>
        <v>20175.54</v>
      </c>
      <c r="I80" s="175" t="n">
        <f aca="false">SUM(I76:I79)</f>
        <v>20175.54</v>
      </c>
      <c r="J80" s="175" t="n">
        <f aca="false">SUM(J76:J79)</f>
        <v>20175.54</v>
      </c>
      <c r="K80" s="175" t="n">
        <f aca="false">SUM(K76:K79)</f>
        <v>20175.54</v>
      </c>
      <c r="L80" s="175" t="n">
        <f aca="false">SUM(L76:L79)</f>
        <v>20175.54</v>
      </c>
      <c r="M80" s="175" t="n">
        <f aca="false">SUM(M76:M79)</f>
        <v>20175.54</v>
      </c>
      <c r="N80" s="175" t="n">
        <f aca="false">SUM(N76:N79)</f>
        <v>20175.54</v>
      </c>
      <c r="O80" s="175" t="n">
        <f aca="false">SUM(O76:O79)</f>
        <v>20780.8062</v>
      </c>
      <c r="P80" s="175" t="n">
        <f aca="false">SUM(P76:P79)</f>
        <v>20780.8062</v>
      </c>
      <c r="Q80" s="175" t="n">
        <f aca="false">SUM(Q76:Q79)</f>
        <v>20780.8062</v>
      </c>
      <c r="R80" s="176" t="n">
        <f aca="false">SUM(B80:E80)</f>
        <v>80702.16</v>
      </c>
      <c r="S80" s="176" t="n">
        <f aca="false">SUM(F80:Q80)</f>
        <v>243922.2786</v>
      </c>
    </row>
    <row r="81" customFormat="false" ht="14.25" hidden="false" customHeight="true" outlineLevel="0" collapsed="false"/>
    <row r="82" customFormat="false" ht="14.25" hidden="false" customHeight="true" outlineLevel="0" collapsed="false">
      <c r="A82" s="182" t="s">
        <v>1686</v>
      </c>
      <c r="B82" s="183" t="n">
        <f aca="false">B24+B35+B47+B60+B73+B80</f>
        <v>110727.54</v>
      </c>
      <c r="C82" s="183" t="n">
        <f aca="false">C24+C35+C47+C60+C73+C80</f>
        <v>110727.54</v>
      </c>
      <c r="D82" s="183" t="n">
        <f aca="false">D24+D35+D47+D60+D73+D80</f>
        <v>110727.54</v>
      </c>
      <c r="E82" s="183" t="n">
        <f aca="false">E24+E35+E47+E60+E73+E80</f>
        <v>136131.54</v>
      </c>
      <c r="F82" s="183" t="n">
        <f aca="false">F24+F35+F47+F60+F73+F80</f>
        <v>147067.54</v>
      </c>
      <c r="G82" s="183" t="n">
        <f aca="false">G24+G35+G47+G60+G73+G80</f>
        <v>143067.54</v>
      </c>
      <c r="H82" s="183" t="n">
        <f aca="false">H24+H35+H47+H60+H73+H80</f>
        <v>188179.54</v>
      </c>
      <c r="I82" s="183" t="n">
        <f aca="false">I24+I35+I47+I60+I73+I80</f>
        <v>203583.54</v>
      </c>
      <c r="J82" s="183" t="n">
        <f aca="false">J24+J35+J47+J60+J73+J80</f>
        <v>239923.54</v>
      </c>
      <c r="K82" s="183" t="n">
        <f aca="false">K24+K35+K47+K60+K73+K80</f>
        <v>272263.54</v>
      </c>
      <c r="L82" s="183" t="n">
        <f aca="false">L24+L35+L47+L60+L73+L80</f>
        <v>324311.54</v>
      </c>
      <c r="M82" s="183" t="n">
        <f aca="false">M24+M35+M47+M60+M73+M80</f>
        <v>369587.54</v>
      </c>
      <c r="N82" s="183" t="n">
        <f aca="false">N24+N35+N47+N60+N73+N80</f>
        <v>414863.54</v>
      </c>
      <c r="O82" s="183" t="n">
        <f aca="false">O24+O35+O47+O60+O73+O80</f>
        <v>493660.9262</v>
      </c>
      <c r="P82" s="183" t="n">
        <f aca="false">P24+P35+P47+P60+P73+P80</f>
        <v>549872.9262</v>
      </c>
      <c r="Q82" s="183" t="n">
        <f aca="false">Q24+Q35+Q47+Q60+Q73+Q80</f>
        <v>610856.9262</v>
      </c>
      <c r="R82" s="183" t="n">
        <f aca="false">SUM(B82:E82)</f>
        <v>468314.16</v>
      </c>
      <c r="S82" s="183" t="n">
        <f aca="false">SUM(F82:Q82)</f>
        <v>3957238.6386</v>
      </c>
    </row>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row r="1001" customFormat="false" ht="14.25" hidden="false" customHeight="true" outlineLevel="0" collapsed="false"/>
    <row r="1002" customFormat="false" ht="14.25" hidden="false" customHeight="true" outlineLevel="0" collapsed="false"/>
    <row r="1003" customFormat="false" ht="14.25" hidden="false" customHeight="true" outlineLevel="0" collapsed="false"/>
    <row r="1004" customFormat="false" ht="14.25" hidden="false" customHeight="true" outlineLevel="0" collapsed="false"/>
    <row r="1005" customFormat="false" ht="14.25" hidden="false" customHeight="true" outlineLevel="0" collapsed="false"/>
    <row r="1006" customFormat="false" ht="14.25" hidden="false" customHeight="true" outlineLevel="0" collapsed="false"/>
    <row r="1007" customFormat="false" ht="14.25" hidden="false" customHeight="true" outlineLevel="0" collapsed="false"/>
  </sheetData>
  <dataValidations count="7">
    <dataValidation allowBlank="true" errorStyle="stop" operator="greaterThanOrEqual" prompt="Invalid input - Must be 0 or more." showDropDown="false" showErrorMessage="true" showInputMessage="true" sqref="B5" type="decimal">
      <formula1>0</formula1>
      <formula2>0</formula2>
    </dataValidation>
    <dataValidation allowBlank="true" errorStyle="stop" operator="greaterThanOrEqual" prompt="Invalid input - Must be a whole number, 0 or more." showDropDown="false" showErrorMessage="true" showInputMessage="true" sqref="H9 B11 H11 M12:M13" type="decimal">
      <formula1>0</formula1>
      <formula2>0</formula2>
    </dataValidation>
    <dataValidation allowBlank="true" errorStyle="stop" operator="between" prompt="Invalid input - Enter a percentage between 0% and 100%." showDropDown="false" showErrorMessage="true" showInputMessage="true" sqref="H6:H7 B7:B8 B12"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greaterThanOrEqual" prompt="Invalid input - Must be a whole number of at least 1. To turn floaters off, set L14 to No." showDropDown="false" showErrorMessage="true" showInputMessage="true" sqref="M11" type="decimal">
      <formula1>1</formula1>
      <formula2>0</formula2>
    </dataValidation>
    <dataValidation allowBlank="true" errorStyle="stop" operator="between" prompt="Invalid input - Lead time must be 0–12 months." showDropDown="false" showErrorMessage="true" showInputMessage="true" sqref="B10" type="decimal">
      <formula1>0</formula1>
      <formula2>12</formula2>
    </dataValidation>
    <dataValidation allowBlank="true" errorStyle="stop" operator="between" showDropDown="false" showErrorMessage="true" showInputMessage="false" sqref="M1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4" topLeftCell="B25" activePane="bottomRight" state="frozen"/>
      <selection pane="topLeft" activeCell="A1" activeCellId="0" sqref="A1"/>
      <selection pane="topRight" activeCell="B1" activeCellId="0" sqref="B1"/>
      <selection pane="bottomLeft" activeCell="A25" activeCellId="0" sqref="A25"/>
      <selection pane="bottomRight" activeCell="A1" activeCellId="0" sqref="A1"/>
    </sheetView>
  </sheetViews>
  <sheetFormatPr defaultColWidth="12.6328125" defaultRowHeight="15" zeroHeight="false" outlineLevelRow="0" outlineLevelCol="0"/>
  <cols>
    <col collapsed="false" customWidth="true" hidden="false" outlineLevel="0" max="1" min="1" style="6" width="51"/>
    <col collapsed="false" customWidth="true" hidden="false" outlineLevel="0" max="9" min="2" style="6" width="12.5"/>
    <col collapsed="false" customWidth="true" hidden="false" outlineLevel="0" max="10" min="10" style="6" width="14.13"/>
    <col collapsed="false" customWidth="true" hidden="false" outlineLevel="0" max="12" min="11" style="6" width="12.88"/>
    <col collapsed="false" customWidth="true" hidden="false" outlineLevel="0" max="19" min="13" style="6" width="12.5"/>
    <col collapsed="false" customWidth="true" hidden="false" outlineLevel="0" max="20" min="20" style="6" width="22"/>
    <col collapsed="false" customWidth="true" hidden="false" outlineLevel="0" max="26" min="21" style="6" width="8.63"/>
  </cols>
  <sheetData>
    <row r="1" customFormat="false" ht="14.25" hidden="false" customHeight="true" outlineLevel="0" collapsed="false">
      <c r="A1" s="184" t="s">
        <v>1687</v>
      </c>
      <c r="J1" s="185" t="s">
        <v>1688</v>
      </c>
    </row>
    <row r="2" customFormat="false" ht="14.25" hidden="false" customHeight="true" outlineLevel="0" collapsed="false">
      <c r="A2" s="186" t="s">
        <v>1689</v>
      </c>
    </row>
    <row r="3" customFormat="false" ht="14.25" hidden="false" customHeight="true" outlineLevel="0" collapsed="false"/>
    <row r="4" customFormat="false" ht="15" hidden="false" customHeight="true" outlineLevel="0" collapsed="false">
      <c r="A4" s="187" t="s">
        <v>1690</v>
      </c>
      <c r="B4" s="188" t="s">
        <v>1691</v>
      </c>
      <c r="C4" s="188" t="s">
        <v>1692</v>
      </c>
      <c r="E4" s="189" t="s">
        <v>1693</v>
      </c>
      <c r="F4" s="189"/>
      <c r="G4" s="189"/>
      <c r="H4" s="189"/>
      <c r="J4" s="189" t="s">
        <v>1694</v>
      </c>
      <c r="K4" s="189"/>
      <c r="L4" s="189"/>
      <c r="M4" s="189"/>
      <c r="O4" s="190" t="s">
        <v>1695</v>
      </c>
      <c r="Q4" s="191" t="s">
        <v>1696</v>
      </c>
      <c r="R4" s="191" t="s">
        <v>1697</v>
      </c>
      <c r="S4" s="191" t="s">
        <v>1698</v>
      </c>
    </row>
    <row r="5" customFormat="false" ht="14.25" hidden="false" customHeight="true" outlineLevel="0" collapsed="false">
      <c r="A5" s="185" t="s">
        <v>1699</v>
      </c>
      <c r="B5" s="192" t="n">
        <f aca="false">$S$9</f>
        <v>57200.052</v>
      </c>
      <c r="C5" s="192" t="n">
        <f aca="false">$S$9</f>
        <v>57200.052</v>
      </c>
      <c r="E5" s="185" t="s">
        <v>1615</v>
      </c>
      <c r="H5" s="193" t="n">
        <v>75000</v>
      </c>
      <c r="J5" s="185" t="s">
        <v>1616</v>
      </c>
      <c r="M5" s="194" t="n">
        <v>0.03</v>
      </c>
      <c r="O5" s="185" t="s">
        <v>1700</v>
      </c>
      <c r="Q5" s="195" t="n">
        <v>0.33333</v>
      </c>
      <c r="R5" s="196" t="n">
        <v>25</v>
      </c>
      <c r="S5" s="197" t="n">
        <f aca="false">R5*2080</f>
        <v>52000</v>
      </c>
    </row>
    <row r="6" customFormat="false" ht="14.25" hidden="false" customHeight="true" outlineLevel="0" collapsed="false">
      <c r="A6" s="185" t="s">
        <v>1618</v>
      </c>
      <c r="B6" s="194" t="n">
        <v>0.075</v>
      </c>
      <c r="C6" s="194" t="n">
        <v>0.075</v>
      </c>
      <c r="E6" s="185" t="s">
        <v>1618</v>
      </c>
      <c r="H6" s="194" t="n">
        <v>0.075</v>
      </c>
      <c r="J6" s="185" t="s">
        <v>1619</v>
      </c>
      <c r="M6" s="198" t="n">
        <v>46661</v>
      </c>
      <c r="O6" s="185" t="s">
        <v>1701</v>
      </c>
      <c r="Q6" s="195" t="n">
        <v>0.33333</v>
      </c>
      <c r="R6" s="196" t="n">
        <v>27.5</v>
      </c>
      <c r="S6" s="197" t="n">
        <f aca="false">R6*2080</f>
        <v>57200</v>
      </c>
    </row>
    <row r="7" customFormat="false" ht="14.25" hidden="false" customHeight="true" outlineLevel="0" collapsed="false">
      <c r="A7" s="185" t="s">
        <v>1620</v>
      </c>
      <c r="B7" s="194" t="n">
        <v>0.075</v>
      </c>
      <c r="C7" s="194" t="n">
        <v>0.08</v>
      </c>
      <c r="E7" s="185" t="s">
        <v>1620</v>
      </c>
      <c r="H7" s="194" t="n">
        <v>0.075</v>
      </c>
      <c r="J7" s="185" t="s">
        <v>1702</v>
      </c>
      <c r="M7" s="193" t="n">
        <v>1000</v>
      </c>
      <c r="O7" s="185" t="s">
        <v>1703</v>
      </c>
      <c r="Q7" s="199" t="n">
        <f aca="false">1-(SUM(Q5:Q6))</f>
        <v>0.33334</v>
      </c>
      <c r="R7" s="196" t="n">
        <v>30</v>
      </c>
      <c r="S7" s="197" t="n">
        <f aca="false">R7*2080</f>
        <v>62400</v>
      </c>
    </row>
    <row r="8" customFormat="false" ht="14.25" hidden="false" customHeight="true" outlineLevel="0" collapsed="false">
      <c r="A8" s="185" t="s">
        <v>1704</v>
      </c>
      <c r="B8" s="200" t="n">
        <v>2</v>
      </c>
      <c r="C8" s="200" t="n">
        <v>10</v>
      </c>
      <c r="E8" s="185" t="s">
        <v>1705</v>
      </c>
      <c r="H8" s="200" t="n">
        <v>15</v>
      </c>
      <c r="J8" s="185" t="s">
        <v>1706</v>
      </c>
      <c r="M8" s="193" t="n">
        <v>5000</v>
      </c>
      <c r="R8" s="201"/>
    </row>
    <row r="9" customFormat="false" ht="14.25" hidden="false" customHeight="true" outlineLevel="0" collapsed="false">
      <c r="A9" s="185" t="s">
        <v>1707</v>
      </c>
      <c r="B9" s="200" t="n">
        <v>7</v>
      </c>
      <c r="C9" s="200" t="n">
        <v>2</v>
      </c>
      <c r="E9" s="185" t="s">
        <v>1625</v>
      </c>
      <c r="H9" s="200" t="n">
        <v>1</v>
      </c>
      <c r="J9" s="185" t="s">
        <v>1708</v>
      </c>
      <c r="M9" s="200" t="n">
        <v>6</v>
      </c>
      <c r="O9" s="190" t="s">
        <v>1709</v>
      </c>
      <c r="P9" s="190"/>
      <c r="Q9" s="202" t="n">
        <f aca="false">SUM(Q5:Q8)</f>
        <v>1</v>
      </c>
      <c r="R9" s="203" t="n">
        <f aca="false">S9/2080</f>
        <v>27.500025</v>
      </c>
      <c r="S9" s="204" t="n">
        <f aca="false">(S5*Q5)+(S6*Q6)+(S7*Q7)</f>
        <v>57200.052</v>
      </c>
    </row>
    <row r="10" customFormat="false" ht="14.25" hidden="false" customHeight="true" outlineLevel="0" collapsed="false">
      <c r="A10" s="186" t="s">
        <v>1710</v>
      </c>
      <c r="E10" s="205" t="s">
        <v>1711</v>
      </c>
      <c r="H10" s="200" t="n">
        <v>0</v>
      </c>
      <c r="J10" s="185" t="s">
        <v>1712</v>
      </c>
      <c r="M10" s="206" t="n">
        <v>1.5</v>
      </c>
    </row>
    <row r="11" customFormat="false" ht="14.25" hidden="false" customHeight="true" outlineLevel="0" collapsed="false">
      <c r="E11" s="186" t="s">
        <v>1713</v>
      </c>
    </row>
    <row r="12" customFormat="false" ht="14.25" hidden="false" customHeight="true" outlineLevel="0" collapsed="false"/>
    <row r="13" customFormat="false" ht="14.25" hidden="false" customHeight="true" outlineLevel="0" collapsed="false">
      <c r="E13" s="186"/>
    </row>
    <row r="14" customFormat="false" ht="15" hidden="false" customHeight="true" outlineLevel="0" collapsed="false">
      <c r="A14" s="189" t="s">
        <v>1714</v>
      </c>
      <c r="B14" s="189"/>
      <c r="C14" s="189"/>
      <c r="D14" s="189"/>
      <c r="E14" s="189"/>
      <c r="F14" s="189"/>
      <c r="G14" s="189"/>
      <c r="H14" s="189"/>
      <c r="I14" s="189"/>
      <c r="J14" s="189"/>
      <c r="K14" s="189"/>
      <c r="L14" s="189"/>
      <c r="M14" s="189"/>
      <c r="N14" s="189"/>
      <c r="O14" s="189"/>
    </row>
    <row r="15" customFormat="false" ht="14.25" hidden="false" customHeight="true" outlineLevel="0" collapsed="false">
      <c r="A15" s="207" t="s">
        <v>1715</v>
      </c>
      <c r="B15" s="208" t="n">
        <v>2</v>
      </c>
      <c r="C15" s="208" t="n">
        <v>3</v>
      </c>
      <c r="D15" s="208" t="n">
        <v>4</v>
      </c>
      <c r="E15" s="208" t="n">
        <v>5</v>
      </c>
      <c r="F15" s="208" t="n">
        <v>6</v>
      </c>
      <c r="G15" s="208" t="n">
        <v>7</v>
      </c>
      <c r="H15" s="208" t="n">
        <v>8</v>
      </c>
      <c r="I15" s="208" t="n">
        <v>9</v>
      </c>
      <c r="J15" s="208" t="n">
        <v>10</v>
      </c>
      <c r="K15" s="208" t="n">
        <v>11</v>
      </c>
      <c r="L15" s="208" t="n">
        <v>12</v>
      </c>
      <c r="M15" s="208" t="n">
        <v>13</v>
      </c>
      <c r="N15" s="208" t="n">
        <v>14</v>
      </c>
      <c r="O15" s="208" t="n">
        <v>15</v>
      </c>
    </row>
    <row r="16" customFormat="false" ht="14.25" hidden="false" customHeight="true" outlineLevel="0" collapsed="false">
      <c r="A16" s="209" t="s">
        <v>1716</v>
      </c>
      <c r="B16" s="210" t="n">
        <v>7</v>
      </c>
      <c r="C16" s="210" t="n">
        <v>3</v>
      </c>
      <c r="D16" s="210" t="n">
        <v>3</v>
      </c>
      <c r="E16" s="210" t="n">
        <v>3</v>
      </c>
      <c r="F16" s="210" t="n">
        <v>3</v>
      </c>
      <c r="G16" s="210" t="n">
        <v>3</v>
      </c>
      <c r="H16" s="210" t="n">
        <v>3</v>
      </c>
      <c r="I16" s="210" t="n">
        <v>3</v>
      </c>
      <c r="J16" s="210" t="n">
        <v>4</v>
      </c>
      <c r="K16" s="210" t="n">
        <v>3</v>
      </c>
      <c r="L16" s="210" t="n">
        <v>3</v>
      </c>
      <c r="M16" s="210" t="n">
        <v>3</v>
      </c>
      <c r="N16" s="210" t="n">
        <v>3</v>
      </c>
      <c r="O16" s="210" t="n">
        <v>3</v>
      </c>
      <c r="P16" s="186" t="s">
        <v>1717</v>
      </c>
    </row>
    <row r="17" customFormat="false" ht="14.25" hidden="false" customHeight="true" outlineLevel="0" collapsed="false">
      <c r="A17" s="211" t="s">
        <v>1718</v>
      </c>
      <c r="B17" s="212" t="n">
        <f aca="false">B16</f>
        <v>7</v>
      </c>
      <c r="C17" s="212" t="n">
        <f aca="false">B17+C16</f>
        <v>10</v>
      </c>
      <c r="D17" s="212" t="n">
        <f aca="false">C17+D16</f>
        <v>13</v>
      </c>
      <c r="E17" s="212" t="n">
        <f aca="false">D17+E16</f>
        <v>16</v>
      </c>
      <c r="F17" s="212" t="n">
        <f aca="false">E17+F16</f>
        <v>19</v>
      </c>
      <c r="G17" s="212" t="n">
        <f aca="false">F17+G16</f>
        <v>22</v>
      </c>
      <c r="H17" s="212" t="n">
        <f aca="false">G17+H16</f>
        <v>25</v>
      </c>
      <c r="I17" s="212" t="n">
        <f aca="false">H17+I16</f>
        <v>28</v>
      </c>
      <c r="J17" s="212" t="n">
        <f aca="false">I17+J16</f>
        <v>32</v>
      </c>
      <c r="K17" s="212" t="n">
        <f aca="false">J17+K16</f>
        <v>35</v>
      </c>
      <c r="L17" s="212" t="n">
        <f aca="false">K17+L16</f>
        <v>38</v>
      </c>
      <c r="M17" s="212" t="n">
        <f aca="false">L17+M16</f>
        <v>41</v>
      </c>
      <c r="N17" s="212" t="n">
        <f aca="false">M17+N16</f>
        <v>44</v>
      </c>
      <c r="O17" s="212" t="n">
        <f aca="false">N17+O16</f>
        <v>47</v>
      </c>
    </row>
    <row r="18" customFormat="false" ht="14.25" hidden="false" customHeight="true" outlineLevel="0" collapsed="false"/>
    <row r="19" customFormat="false" ht="14.25" hidden="false" customHeight="true" outlineLevel="0" collapsed="false">
      <c r="A19" s="189" t="s">
        <v>1719</v>
      </c>
      <c r="B19" s="189"/>
      <c r="C19" s="189"/>
      <c r="D19" s="189"/>
      <c r="E19" s="189"/>
      <c r="F19" s="189"/>
      <c r="G19" s="189"/>
      <c r="H19" s="189"/>
      <c r="I19" s="189"/>
      <c r="J19" s="189"/>
      <c r="K19" s="189"/>
      <c r="L19" s="189"/>
      <c r="M19" s="189"/>
      <c r="N19" s="189"/>
      <c r="O19" s="189"/>
    </row>
    <row r="20" customFormat="false" ht="14.25" hidden="false" customHeight="true" outlineLevel="0" collapsed="false">
      <c r="A20" s="207" t="s">
        <v>1720</v>
      </c>
      <c r="B20" s="213" t="n">
        <v>10</v>
      </c>
      <c r="C20" s="213" t="n">
        <v>20</v>
      </c>
      <c r="D20" s="213" t="n">
        <v>30</v>
      </c>
      <c r="E20" s="213" t="n">
        <v>40</v>
      </c>
      <c r="F20" s="213" t="n">
        <v>50</v>
      </c>
      <c r="G20" s="213" t="n">
        <v>60</v>
      </c>
      <c r="H20" s="213" t="n">
        <v>70</v>
      </c>
      <c r="I20" s="213" t="n">
        <v>80</v>
      </c>
      <c r="J20" s="213" t="n">
        <v>90</v>
      </c>
      <c r="K20" s="213" t="n">
        <v>100</v>
      </c>
      <c r="L20" s="213" t="n">
        <v>110</v>
      </c>
      <c r="M20" s="213" t="n">
        <v>120</v>
      </c>
      <c r="N20" s="213" t="n">
        <v>130</v>
      </c>
      <c r="O20" s="213" t="n">
        <v>140</v>
      </c>
    </row>
    <row r="21" customFormat="false" ht="14.25" hidden="false" customHeight="true" outlineLevel="0" collapsed="false">
      <c r="A21" s="209" t="s">
        <v>1716</v>
      </c>
      <c r="B21" s="210" t="n">
        <v>3</v>
      </c>
      <c r="C21" s="210" t="n">
        <v>3</v>
      </c>
      <c r="D21" s="210" t="n">
        <v>3</v>
      </c>
      <c r="E21" s="210" t="n">
        <v>3</v>
      </c>
      <c r="F21" s="210" t="n">
        <v>3</v>
      </c>
      <c r="G21" s="210" t="n">
        <v>3</v>
      </c>
      <c r="H21" s="210" t="n">
        <v>3</v>
      </c>
      <c r="I21" s="210" t="n">
        <v>3</v>
      </c>
      <c r="J21" s="210" t="n">
        <v>3</v>
      </c>
      <c r="K21" s="210" t="n">
        <v>3</v>
      </c>
      <c r="L21" s="210" t="n">
        <v>3</v>
      </c>
      <c r="M21" s="210" t="n">
        <v>3</v>
      </c>
      <c r="N21" s="210" t="n">
        <v>3</v>
      </c>
      <c r="O21" s="210" t="n">
        <v>3</v>
      </c>
      <c r="P21" s="186" t="s">
        <v>1721</v>
      </c>
    </row>
    <row r="22" customFormat="false" ht="14.25" hidden="false" customHeight="true" outlineLevel="0" collapsed="false">
      <c r="A22" s="211" t="s">
        <v>1718</v>
      </c>
      <c r="B22" s="212" t="n">
        <f aca="false">B21</f>
        <v>3</v>
      </c>
      <c r="C22" s="212" t="n">
        <f aca="false">B22+C21</f>
        <v>6</v>
      </c>
      <c r="D22" s="212" t="n">
        <f aca="false">C22+D21</f>
        <v>9</v>
      </c>
      <c r="E22" s="212" t="n">
        <f aca="false">D22+E21</f>
        <v>12</v>
      </c>
      <c r="F22" s="212" t="n">
        <f aca="false">E22+F21</f>
        <v>15</v>
      </c>
      <c r="G22" s="212" t="n">
        <f aca="false">F22+G21</f>
        <v>18</v>
      </c>
      <c r="H22" s="212" t="n">
        <f aca="false">G22+H21</f>
        <v>21</v>
      </c>
      <c r="I22" s="212" t="n">
        <f aca="false">H22+I21</f>
        <v>24</v>
      </c>
      <c r="J22" s="212" t="n">
        <f aca="false">I22+J21</f>
        <v>27</v>
      </c>
      <c r="K22" s="212" t="n">
        <f aca="false">J22+K21</f>
        <v>30</v>
      </c>
      <c r="L22" s="212" t="n">
        <f aca="false">K22+L21</f>
        <v>33</v>
      </c>
      <c r="M22" s="212" t="n">
        <f aca="false">L22+M21</f>
        <v>36</v>
      </c>
      <c r="N22" s="212" t="n">
        <f aca="false">M22+N21</f>
        <v>39</v>
      </c>
      <c r="O22" s="212" t="n">
        <f aca="false">N22+O21</f>
        <v>42</v>
      </c>
    </row>
    <row r="23" customFormat="false" ht="14.25" hidden="false" customHeight="true" outlineLevel="0" collapsed="false"/>
    <row r="24" customFormat="false" ht="14.25" hidden="false" customHeight="true" outlineLevel="0" collapsed="false">
      <c r="A24" s="214" t="s">
        <v>1722</v>
      </c>
      <c r="B24" s="215" t="n">
        <f aca="false">DeploySum!B4</f>
        <v>46295</v>
      </c>
      <c r="C24" s="215" t="n">
        <f aca="false">DeploySum!C4</f>
        <v>46326</v>
      </c>
      <c r="D24" s="215" t="n">
        <f aca="false">DeploySum!D4</f>
        <v>46356</v>
      </c>
      <c r="E24" s="215" t="n">
        <f aca="false">DeploySum!E4</f>
        <v>46387</v>
      </c>
      <c r="F24" s="215" t="n">
        <f aca="false">DeploySum!F4</f>
        <v>46418</v>
      </c>
      <c r="G24" s="215" t="n">
        <f aca="false">DeploySum!G4</f>
        <v>46446</v>
      </c>
      <c r="H24" s="215" t="n">
        <f aca="false">DeploySum!H4</f>
        <v>46477</v>
      </c>
      <c r="I24" s="215" t="n">
        <f aca="false">DeploySum!I4</f>
        <v>46507</v>
      </c>
      <c r="J24" s="215" t="n">
        <f aca="false">DeploySum!J4</f>
        <v>46538</v>
      </c>
      <c r="K24" s="215" t="n">
        <f aca="false">DeploySum!K4</f>
        <v>46568</v>
      </c>
      <c r="L24" s="215" t="n">
        <f aca="false">DeploySum!L4</f>
        <v>46599</v>
      </c>
      <c r="M24" s="215" t="n">
        <f aca="false">DeploySum!M4</f>
        <v>46630</v>
      </c>
      <c r="N24" s="215" t="n">
        <f aca="false">DeploySum!N4</f>
        <v>46660</v>
      </c>
      <c r="O24" s="215" t="n">
        <f aca="false">DeploySum!O4</f>
        <v>46691</v>
      </c>
      <c r="P24" s="215" t="n">
        <f aca="false">DeploySum!P4</f>
        <v>46721</v>
      </c>
      <c r="Q24" s="215" t="n">
        <f aca="false">DeploySum!Q4</f>
        <v>46752</v>
      </c>
      <c r="R24" s="216" t="s">
        <v>1647</v>
      </c>
      <c r="S24" s="216" t="s">
        <v>1421</v>
      </c>
    </row>
    <row r="25" customFormat="false" ht="14.25" hidden="false" customHeight="true" outlineLevel="0" collapsed="false">
      <c r="A25" s="185" t="s">
        <v>1723</v>
      </c>
      <c r="B25" s="217" t="n">
        <f aca="false">DeploySum!B24</f>
        <v>9</v>
      </c>
      <c r="C25" s="217" t="n">
        <f aca="false">DeploySum!C24</f>
        <v>0</v>
      </c>
      <c r="D25" s="217" t="n">
        <f aca="false">DeploySum!D24</f>
        <v>20</v>
      </c>
      <c r="E25" s="217" t="n">
        <f aca="false">DeploySum!E24</f>
        <v>8</v>
      </c>
      <c r="F25" s="217" t="n">
        <f aca="false">DeploySum!F24</f>
        <v>0</v>
      </c>
      <c r="G25" s="217" t="n">
        <f aca="false">DeploySum!G24</f>
        <v>22</v>
      </c>
      <c r="H25" s="217" t="n">
        <f aca="false">DeploySum!H24</f>
        <v>14</v>
      </c>
      <c r="I25" s="217" t="n">
        <f aca="false">DeploySum!I24</f>
        <v>20</v>
      </c>
      <c r="J25" s="217" t="n">
        <f aca="false">DeploySum!J24</f>
        <v>18</v>
      </c>
      <c r="K25" s="217" t="n">
        <f aca="false">DeploySum!K24</f>
        <v>22</v>
      </c>
      <c r="L25" s="217" t="n">
        <f aca="false">DeploySum!L24</f>
        <v>28</v>
      </c>
      <c r="M25" s="217" t="n">
        <f aca="false">DeploySum!M24</f>
        <v>28</v>
      </c>
      <c r="N25" s="217" t="n">
        <f aca="false">DeploySum!N24</f>
        <v>34</v>
      </c>
      <c r="O25" s="217" t="n">
        <f aca="false">DeploySum!O24</f>
        <v>36</v>
      </c>
      <c r="P25" s="217" t="n">
        <f aca="false">DeploySum!P24</f>
        <v>42</v>
      </c>
      <c r="Q25" s="217" t="n">
        <f aca="false">DeploySum!Q24</f>
        <v>48</v>
      </c>
      <c r="R25" s="218" t="n">
        <f aca="false">SUM(B25:E25)</f>
        <v>37</v>
      </c>
      <c r="S25" s="218" t="n">
        <f aca="false">SUM(F25:Q25)</f>
        <v>312</v>
      </c>
    </row>
    <row r="26" customFormat="false" ht="14.25" hidden="false" customHeight="true" outlineLevel="0" collapsed="false">
      <c r="A26" s="185" t="s">
        <v>1724</v>
      </c>
      <c r="B26" s="219" t="n">
        <f aca="false">DeploySum!B27</f>
        <v>2.1</v>
      </c>
      <c r="C26" s="219" t="n">
        <f aca="false">DeploySum!C27</f>
        <v>0</v>
      </c>
      <c r="D26" s="219" t="n">
        <f aca="false">DeploySum!D27</f>
        <v>4.66666666666667</v>
      </c>
      <c r="E26" s="219" t="n">
        <f aca="false">DeploySum!E27</f>
        <v>1.80645161290323</v>
      </c>
      <c r="F26" s="219" t="n">
        <f aca="false">DeploySum!F27</f>
        <v>0</v>
      </c>
      <c r="G26" s="219" t="n">
        <f aca="false">DeploySum!G27</f>
        <v>5.5</v>
      </c>
      <c r="H26" s="219" t="n">
        <f aca="false">DeploySum!H27</f>
        <v>3.16129032258065</v>
      </c>
      <c r="I26" s="219" t="n">
        <f aca="false">DeploySum!I27</f>
        <v>4.66666666666667</v>
      </c>
      <c r="J26" s="219" t="n">
        <f aca="false">DeploySum!J27</f>
        <v>4.06451612903226</v>
      </c>
      <c r="K26" s="219" t="n">
        <f aca="false">DeploySum!K27</f>
        <v>5.13333333333333</v>
      </c>
      <c r="L26" s="219" t="n">
        <f aca="false">DeploySum!L27</f>
        <v>6.32258064516129</v>
      </c>
      <c r="M26" s="219" t="n">
        <f aca="false">DeploySum!M27</f>
        <v>6.32258064516129</v>
      </c>
      <c r="N26" s="219" t="n">
        <f aca="false">DeploySum!N27</f>
        <v>7.93333333333333</v>
      </c>
      <c r="O26" s="219" t="n">
        <f aca="false">DeploySum!O27</f>
        <v>8.12903225806452</v>
      </c>
      <c r="P26" s="219" t="n">
        <f aca="false">DeploySum!P27</f>
        <v>9.8</v>
      </c>
      <c r="Q26" s="219" t="n">
        <f aca="false">DeploySum!Q27</f>
        <v>10.8387096774194</v>
      </c>
      <c r="R26" s="220" t="n">
        <f aca="false">AVERAGE(B26:E26)</f>
        <v>2.14327956989247</v>
      </c>
      <c r="S26" s="220" t="n">
        <f aca="false">AVERAGE(F26:Q26)</f>
        <v>5.98933691756272</v>
      </c>
      <c r="T26" s="186" t="s">
        <v>1725</v>
      </c>
    </row>
    <row r="27" customFormat="false" ht="14.25" hidden="false" customHeight="true" outlineLevel="0" collapsed="false">
      <c r="A27" s="185" t="s">
        <v>1726</v>
      </c>
      <c r="B27" s="221" t="n">
        <f aca="false">MIN(MAX($B$8,ROUNDUP(B26,0)),MAX($B$15:$O$15))</f>
        <v>3</v>
      </c>
      <c r="C27" s="221" t="n">
        <f aca="false">MIN(MAX($B$8,ROUNDUP(C26,0)),MAX($B$15:$O$15))</f>
        <v>2</v>
      </c>
      <c r="D27" s="221" t="n">
        <f aca="false">MIN(MAX($B$8,ROUNDUP(D26,0)),MAX($B$15:$O$15))</f>
        <v>5</v>
      </c>
      <c r="E27" s="221" t="n">
        <f aca="false">MIN(MAX($B$8,ROUNDUP(E26,0)),MAX($B$15:$O$15))</f>
        <v>2</v>
      </c>
      <c r="F27" s="221" t="n">
        <f aca="false">MIN(MAX($B$8,ROUNDUP(F26,0)),MAX($B$15:$O$15))</f>
        <v>2</v>
      </c>
      <c r="G27" s="221" t="n">
        <f aca="false">MIN(MAX($B$8,ROUNDUP(G26,0)),MAX($B$15:$O$15))</f>
        <v>6</v>
      </c>
      <c r="H27" s="221" t="n">
        <f aca="false">MIN(MAX($B$8,ROUNDUP(H26,0)),MAX($B$15:$O$15))</f>
        <v>4</v>
      </c>
      <c r="I27" s="221" t="n">
        <f aca="false">MIN(MAX($B$8,ROUNDUP(I26,0)),MAX($B$15:$O$15))</f>
        <v>5</v>
      </c>
      <c r="J27" s="221" t="n">
        <f aca="false">MIN(MAX($B$8,ROUNDUP(J26,0)),MAX($B$15:$O$15))</f>
        <v>5</v>
      </c>
      <c r="K27" s="221" t="n">
        <f aca="false">MIN(MAX($B$8,ROUNDUP(K26,0)),MAX($B$15:$O$15))</f>
        <v>6</v>
      </c>
      <c r="L27" s="221" t="n">
        <f aca="false">MIN(MAX($B$8,ROUNDUP(L26,0)),MAX($B$15:$O$15))</f>
        <v>7</v>
      </c>
      <c r="M27" s="221" t="n">
        <f aca="false">MIN(MAX($B$8,ROUNDUP(M26,0)),MAX($B$15:$O$15))</f>
        <v>7</v>
      </c>
      <c r="N27" s="221" t="n">
        <f aca="false">MIN(MAX($B$8,ROUNDUP(N26,0)),MAX($B$15:$O$15))</f>
        <v>8</v>
      </c>
      <c r="O27" s="221" t="n">
        <f aca="false">MIN(MAX($B$8,ROUNDUP(O26,0)),MAX($B$15:$O$15))</f>
        <v>9</v>
      </c>
      <c r="P27" s="221" t="n">
        <f aca="false">MIN(MAX($B$8,ROUNDUP(P26,0)),MAX($B$15:$O$15))</f>
        <v>10</v>
      </c>
      <c r="Q27" s="221" t="n">
        <f aca="false">MIN(MAX($B$8,ROUNDUP(Q26,0)),MAX($B$15:$O$15))</f>
        <v>11</v>
      </c>
      <c r="R27" s="222"/>
      <c r="S27" s="222"/>
      <c r="T27" s="186"/>
    </row>
    <row r="28" customFormat="false" ht="14.25" hidden="false" customHeight="true" outlineLevel="0" collapsed="false">
      <c r="A28" s="185" t="s">
        <v>1727</v>
      </c>
      <c r="B28" s="223" t="n">
        <f aca="false" t="array" ref="B28:B28">INDEX($B$17:$O$17,MATCH(B27,$B$15:$O$15,0))</f>
        <v>10</v>
      </c>
      <c r="C28" s="223" t="n">
        <f aca="false">MAX(B28,INDEX($B$17:$O$17,MATCH(C27,$B$15:$O$15,0)))</f>
        <v>10</v>
      </c>
      <c r="D28" s="223" t="n">
        <f aca="false">MAX(C28,INDEX($B$17:$O$17,MATCH(D27,$B$15:$O$15,0)))</f>
        <v>16</v>
      </c>
      <c r="E28" s="223" t="n">
        <f aca="false">MAX(D28,INDEX($B$17:$O$17,MATCH(E27,$B$15:$O$15,0)))</f>
        <v>16</v>
      </c>
      <c r="F28" s="223" t="n">
        <f aca="false">MAX(E28,INDEX($B$17:$O$17,MATCH(F27,$B$15:$O$15,0)))</f>
        <v>16</v>
      </c>
      <c r="G28" s="223" t="n">
        <f aca="false">MAX(F28,INDEX($B$17:$O$17,MATCH(G27,$B$15:$O$15,0)))</f>
        <v>19</v>
      </c>
      <c r="H28" s="223" t="n">
        <f aca="false">MAX(G28,INDEX($B$17:$O$17,MATCH(H27,$B$15:$O$15,0)))</f>
        <v>19</v>
      </c>
      <c r="I28" s="223" t="n">
        <f aca="false">MAX(H28,INDEX($B$17:$O$17,MATCH(I27,$B$15:$O$15,0)))</f>
        <v>19</v>
      </c>
      <c r="J28" s="223" t="n">
        <f aca="false">MAX(I28,INDEX($B$17:$O$17,MATCH(J27,$B$15:$O$15,0)))</f>
        <v>19</v>
      </c>
      <c r="K28" s="223" t="n">
        <f aca="false">MAX(J28,INDEX($B$17:$O$17,MATCH(K27,$B$15:$O$15,0)))</f>
        <v>19</v>
      </c>
      <c r="L28" s="223" t="n">
        <f aca="false">MAX(K28,INDEX($B$17:$O$17,MATCH(L27,$B$15:$O$15,0)))</f>
        <v>22</v>
      </c>
      <c r="M28" s="223" t="n">
        <f aca="false">MAX(L28,INDEX($B$17:$O$17,MATCH(M27,$B$15:$O$15,0)))</f>
        <v>22</v>
      </c>
      <c r="N28" s="223" t="n">
        <f aca="false">MAX(M28,INDEX($B$17:$O$17,MATCH(N27,$B$15:$O$15,0)))</f>
        <v>25</v>
      </c>
      <c r="O28" s="223" t="n">
        <f aca="false">MAX(N28,INDEX($B$17:$O$17,MATCH(O27,$B$15:$O$15,0)))</f>
        <v>28</v>
      </c>
      <c r="P28" s="223" t="n">
        <f aca="false">MAX(O28,INDEX($B$17:$O$17,MATCH(P27,$B$15:$O$15,0)))</f>
        <v>32</v>
      </c>
      <c r="Q28" s="223" t="n">
        <f aca="false">MAX(P28,INDEX($B$17:$O$17,MATCH(Q27,$B$15:$O$15,0)))</f>
        <v>35</v>
      </c>
      <c r="R28" s="224" t="n">
        <f aca="false">AVERAGE(B28:E28)</f>
        <v>13</v>
      </c>
      <c r="S28" s="224" t="n">
        <f aca="false">AVERAGE(F28:Q28)</f>
        <v>22.9166666666667</v>
      </c>
      <c r="T28" s="186"/>
    </row>
    <row r="29" customFormat="false" ht="14.25" hidden="false" customHeight="true" outlineLevel="0" collapsed="false">
      <c r="A29" s="185" t="s">
        <v>1707</v>
      </c>
      <c r="B29" s="223" t="n">
        <f aca="false">$B$9</f>
        <v>7</v>
      </c>
      <c r="C29" s="223" t="n">
        <f aca="false">$B$9</f>
        <v>7</v>
      </c>
      <c r="D29" s="223" t="n">
        <f aca="false">$B$9</f>
        <v>7</v>
      </c>
      <c r="E29" s="223" t="n">
        <f aca="false">$B$9</f>
        <v>7</v>
      </c>
      <c r="F29" s="223" t="n">
        <f aca="false">$B$9</f>
        <v>7</v>
      </c>
      <c r="G29" s="223" t="n">
        <f aca="false">$B$9</f>
        <v>7</v>
      </c>
      <c r="H29" s="223" t="n">
        <f aca="false">$B$9</f>
        <v>7</v>
      </c>
      <c r="I29" s="223" t="n">
        <f aca="false">$B$9</f>
        <v>7</v>
      </c>
      <c r="J29" s="223" t="n">
        <f aca="false">$B$9</f>
        <v>7</v>
      </c>
      <c r="K29" s="223" t="n">
        <f aca="false">$B$9</f>
        <v>7</v>
      </c>
      <c r="L29" s="223" t="n">
        <f aca="false">$B$9</f>
        <v>7</v>
      </c>
      <c r="M29" s="223" t="n">
        <f aca="false">$B$9</f>
        <v>7</v>
      </c>
      <c r="N29" s="223" t="n">
        <f aca="false">$B$9</f>
        <v>7</v>
      </c>
      <c r="O29" s="223" t="n">
        <f aca="false">$B$9</f>
        <v>7</v>
      </c>
      <c r="P29" s="223" t="n">
        <f aca="false">$B$9</f>
        <v>7</v>
      </c>
      <c r="Q29" s="223" t="n">
        <f aca="false">$B$9</f>
        <v>7</v>
      </c>
      <c r="R29" s="224" t="n">
        <f aca="false">AVERAGE(B29:E29)</f>
        <v>7</v>
      </c>
      <c r="S29" s="224" t="n">
        <f aca="false">AVERAGE(F29:Q29)</f>
        <v>7</v>
      </c>
      <c r="T29" s="186"/>
    </row>
    <row r="30" customFormat="false" ht="14.25" hidden="false" customHeight="true" outlineLevel="0" collapsed="false">
      <c r="A30" s="185" t="s">
        <v>1728</v>
      </c>
      <c r="B30" s="223" t="n">
        <f aca="false">MAX(0,B28-B29)</f>
        <v>3</v>
      </c>
      <c r="C30" s="223" t="n">
        <f aca="false">MAX(0,C28-C29)</f>
        <v>3</v>
      </c>
      <c r="D30" s="223" t="n">
        <f aca="false">MAX(0,D28-D29)</f>
        <v>9</v>
      </c>
      <c r="E30" s="223" t="n">
        <f aca="false">MAX(0,E28-E29)</f>
        <v>9</v>
      </c>
      <c r="F30" s="223" t="n">
        <f aca="false">MAX(0,F28-F29)</f>
        <v>9</v>
      </c>
      <c r="G30" s="223" t="n">
        <f aca="false">MAX(0,G28-G29)</f>
        <v>12</v>
      </c>
      <c r="H30" s="223" t="n">
        <f aca="false">MAX(0,H28-H29)</f>
        <v>12</v>
      </c>
      <c r="I30" s="223" t="n">
        <f aca="false">MAX(0,I28-I29)</f>
        <v>12</v>
      </c>
      <c r="J30" s="223" t="n">
        <f aca="false">MAX(0,J28-J29)</f>
        <v>12</v>
      </c>
      <c r="K30" s="223" t="n">
        <f aca="false">MAX(0,K28-K29)</f>
        <v>12</v>
      </c>
      <c r="L30" s="223" t="n">
        <f aca="false">MAX(0,L28-L29)</f>
        <v>15</v>
      </c>
      <c r="M30" s="223" t="n">
        <f aca="false">MAX(0,M28-M29)</f>
        <v>15</v>
      </c>
      <c r="N30" s="223" t="n">
        <f aca="false">MAX(0,N28-N29)</f>
        <v>18</v>
      </c>
      <c r="O30" s="223" t="n">
        <f aca="false">MAX(0,O28-O29)</f>
        <v>21</v>
      </c>
      <c r="P30" s="223" t="n">
        <f aca="false">MAX(0,P28-P29)</f>
        <v>25</v>
      </c>
      <c r="Q30" s="223" t="n">
        <f aca="false">MAX(0,Q28-Q29)</f>
        <v>28</v>
      </c>
      <c r="R30" s="224" t="n">
        <f aca="false">AVERAGE(B30:E30)</f>
        <v>6</v>
      </c>
      <c r="S30" s="224" t="n">
        <f aca="false">AVERAGE(F30:Q30)</f>
        <v>15.9166666666667</v>
      </c>
      <c r="T30" s="186"/>
    </row>
    <row r="31" customFormat="false" ht="14.25" hidden="false" customHeight="true" outlineLevel="0" collapsed="false">
      <c r="A31" s="185" t="s">
        <v>1729</v>
      </c>
      <c r="B31" s="223" t="n">
        <f aca="false">B29+B30</f>
        <v>10</v>
      </c>
      <c r="C31" s="223" t="n">
        <f aca="false">C29+C30</f>
        <v>10</v>
      </c>
      <c r="D31" s="223" t="n">
        <f aca="false">D29+D30</f>
        <v>16</v>
      </c>
      <c r="E31" s="223" t="n">
        <f aca="false">E29+E30</f>
        <v>16</v>
      </c>
      <c r="F31" s="223" t="n">
        <f aca="false">F29+F30</f>
        <v>16</v>
      </c>
      <c r="G31" s="223" t="n">
        <f aca="false">G29+G30</f>
        <v>19</v>
      </c>
      <c r="H31" s="223" t="n">
        <f aca="false">H29+H30</f>
        <v>19</v>
      </c>
      <c r="I31" s="223" t="n">
        <f aca="false">I29+I30</f>
        <v>19</v>
      </c>
      <c r="J31" s="223" t="n">
        <f aca="false">J29+J30</f>
        <v>19</v>
      </c>
      <c r="K31" s="223" t="n">
        <f aca="false">K29+K30</f>
        <v>19</v>
      </c>
      <c r="L31" s="223" t="n">
        <f aca="false">L29+L30</f>
        <v>22</v>
      </c>
      <c r="M31" s="223" t="n">
        <f aca="false">M29+M30</f>
        <v>22</v>
      </c>
      <c r="N31" s="223" t="n">
        <f aca="false">N29+N30</f>
        <v>25</v>
      </c>
      <c r="O31" s="223" t="n">
        <f aca="false">O29+O30</f>
        <v>28</v>
      </c>
      <c r="P31" s="223" t="n">
        <f aca="false">P29+P30</f>
        <v>32</v>
      </c>
      <c r="Q31" s="223" t="n">
        <f aca="false">Q29+Q30</f>
        <v>35</v>
      </c>
      <c r="R31" s="224" t="n">
        <f aca="false">AVERAGE(B31:E31)</f>
        <v>13</v>
      </c>
      <c r="S31" s="224" t="n">
        <f aca="false">AVERAGE(F31:Q31)</f>
        <v>22.9166666666667</v>
      </c>
      <c r="T31" s="186" t="s">
        <v>1730</v>
      </c>
    </row>
    <row r="32" customFormat="false" ht="14.25" hidden="false" customHeight="true" outlineLevel="0" collapsed="false">
      <c r="A32" s="185" t="s">
        <v>1649</v>
      </c>
      <c r="B32" s="225" t="n">
        <f aca="false">B31*$B$5/12+IF(B$24&gt;=$M$6,MIN(B31,INDEX($B31:$Q31,IFERROR(MATCH(EOMONTH($M$6,-$M$9-1),$B$24:$Q$24,0),1)))*$B$5/12*$M$5,0)</f>
        <v>47666.71</v>
      </c>
      <c r="C32" s="225" t="n">
        <f aca="false">C31*$B$5/12+IF(C$24&gt;=$M$6,MIN(C31,INDEX($B31:$Q31,IFERROR(MATCH(EOMONTH($M$6,-$M$9-1),$B$24:$Q$24,0),1)))*$B$5/12*$M$5,0)</f>
        <v>47666.71</v>
      </c>
      <c r="D32" s="225" t="n">
        <f aca="false">D31*$B$5/12+IF(D$24&gt;=$M$6,MIN(D31,INDEX($B31:$Q31,IFERROR(MATCH(EOMONTH($M$6,-$M$9-1),$B$24:$Q$24,0),1)))*$B$5/12*$M$5,0)</f>
        <v>76266.736</v>
      </c>
      <c r="E32" s="225" t="n">
        <f aca="false">E31*$B$5/12+IF(E$24&gt;=$M$6,MIN(E31,INDEX($B31:$Q31,IFERROR(MATCH(EOMONTH($M$6,-$M$9-1),$B$24:$Q$24,0),1)))*$B$5/12*$M$5,0)</f>
        <v>76266.736</v>
      </c>
      <c r="F32" s="225" t="n">
        <f aca="false">F31*$B$5/12+IF(F$24&gt;=$M$6,MIN(F31,INDEX($B31:$Q31,IFERROR(MATCH(EOMONTH($M$6,-$M$9-1),$B$24:$Q$24,0),1)))*$B$5/12*$M$5,0)</f>
        <v>76266.736</v>
      </c>
      <c r="G32" s="225" t="n">
        <f aca="false">G31*$B$5/12+IF(G$24&gt;=$M$6,MIN(G31,INDEX($B31:$Q31,IFERROR(MATCH(EOMONTH($M$6,-$M$9-1),$B$24:$Q$24,0),1)))*$B$5/12*$M$5,0)</f>
        <v>90566.749</v>
      </c>
      <c r="H32" s="225" t="n">
        <f aca="false">H31*$B$5/12+IF(H$24&gt;=$M$6,MIN(H31,INDEX($B31:$Q31,IFERROR(MATCH(EOMONTH($M$6,-$M$9-1),$B$24:$Q$24,0),1)))*$B$5/12*$M$5,0)</f>
        <v>90566.749</v>
      </c>
      <c r="I32" s="225" t="n">
        <f aca="false">I31*$B$5/12+IF(I$24&gt;=$M$6,MIN(I31,INDEX($B31:$Q31,IFERROR(MATCH(EOMONTH($M$6,-$M$9-1),$B$24:$Q$24,0),1)))*$B$5/12*$M$5,0)</f>
        <v>90566.749</v>
      </c>
      <c r="J32" s="225" t="n">
        <f aca="false">J31*$B$5/12+IF(J$24&gt;=$M$6,MIN(J31,INDEX($B31:$Q31,IFERROR(MATCH(EOMONTH($M$6,-$M$9-1),$B$24:$Q$24,0),1)))*$B$5/12*$M$5,0)</f>
        <v>90566.749</v>
      </c>
      <c r="K32" s="225" t="n">
        <f aca="false">K31*$B$5/12+IF(K$24&gt;=$M$6,MIN(K31,INDEX($B31:$Q31,IFERROR(MATCH(EOMONTH($M$6,-$M$9-1),$B$24:$Q$24,0),1)))*$B$5/12*$M$5,0)</f>
        <v>90566.749</v>
      </c>
      <c r="L32" s="225" t="n">
        <f aca="false">L31*$B$5/12+IF(L$24&gt;=$M$6,MIN(L31,INDEX($B31:$Q31,IFERROR(MATCH(EOMONTH($M$6,-$M$9-1),$B$24:$Q$24,0),1)))*$B$5/12*$M$5,0)</f>
        <v>104866.762</v>
      </c>
      <c r="M32" s="225" t="n">
        <f aca="false">M31*$B$5/12+IF(M$24&gt;=$M$6,MIN(M31,INDEX($B31:$Q31,IFERROR(MATCH(EOMONTH($M$6,-$M$9-1),$B$24:$Q$24,0),1)))*$B$5/12*$M$5,0)</f>
        <v>104866.762</v>
      </c>
      <c r="N32" s="225" t="n">
        <f aca="false">N31*$B$5/12+IF(N$24&gt;=$M$6,MIN(N31,INDEX($B31:$Q31,IFERROR(MATCH(EOMONTH($M$6,-$M$9-1),$B$24:$Q$24,0),1)))*$B$5/12*$M$5,0)</f>
        <v>119166.775</v>
      </c>
      <c r="O32" s="225" t="n">
        <f aca="false">O31*$B$5/12+IF(O$24&gt;=$M$6,MIN(O31,INDEX($B31:$Q31,IFERROR(MATCH(EOMONTH($M$6,-$M$9-1),$B$24:$Q$24,0),1)))*$B$5/12*$M$5,0)</f>
        <v>136183.79047</v>
      </c>
      <c r="P32" s="225" t="n">
        <f aca="false">P31*$B$5/12+IF(P$24&gt;=$M$6,MIN(P31,INDEX($B31:$Q31,IFERROR(MATCH(EOMONTH($M$6,-$M$9-1),$B$24:$Q$24,0),1)))*$B$5/12*$M$5,0)</f>
        <v>155250.47447</v>
      </c>
      <c r="Q32" s="225" t="n">
        <f aca="false">Q31*$B$5/12+IF(Q$24&gt;=$M$6,MIN(Q31,INDEX($B31:$Q31,IFERROR(MATCH(EOMONTH($M$6,-$M$9-1),$B$24:$Q$24,0),1)))*$B$5/12*$M$5,0)</f>
        <v>169550.48747</v>
      </c>
      <c r="R32" s="226" t="n">
        <f aca="false">SUM(B32:E32)</f>
        <v>247866.892</v>
      </c>
      <c r="S32" s="226" t="n">
        <f aca="false">SUM(F32:Q32)</f>
        <v>1318985.53241</v>
      </c>
    </row>
    <row r="33" customFormat="false" ht="14.25" hidden="false" customHeight="true" outlineLevel="0" collapsed="false">
      <c r="A33" s="185" t="s">
        <v>1731</v>
      </c>
      <c r="B33" s="227" t="n">
        <v>0.05</v>
      </c>
      <c r="C33" s="227" t="n">
        <v>0.05</v>
      </c>
      <c r="D33" s="227" t="n">
        <v>0.06</v>
      </c>
      <c r="E33" s="227" t="n">
        <v>0.08</v>
      </c>
      <c r="F33" s="227" t="n">
        <v>0.05</v>
      </c>
      <c r="G33" s="227" t="n">
        <v>0.05</v>
      </c>
      <c r="H33" s="227" t="n">
        <v>0.05</v>
      </c>
      <c r="I33" s="227" t="n">
        <v>0.05</v>
      </c>
      <c r="J33" s="227" t="n">
        <v>0.06</v>
      </c>
      <c r="K33" s="227" t="n">
        <v>0.07</v>
      </c>
      <c r="L33" s="227" t="n">
        <v>0.08</v>
      </c>
      <c r="M33" s="227" t="n">
        <v>0.07</v>
      </c>
      <c r="N33" s="227" t="n">
        <v>0.05</v>
      </c>
      <c r="O33" s="227" t="n">
        <v>0.05</v>
      </c>
      <c r="P33" s="227" t="n">
        <v>0.06</v>
      </c>
      <c r="Q33" s="227" t="n">
        <v>0.08</v>
      </c>
      <c r="R33" s="228" t="n">
        <f aca="false">IFERROR(R34/R32,0)</f>
        <v>0.0623076923076923</v>
      </c>
      <c r="S33" s="228" t="n">
        <f aca="false">IFERROR(S34/S32,0)</f>
        <v>0.0610686278052835</v>
      </c>
      <c r="T33" s="186" t="s">
        <v>1732</v>
      </c>
    </row>
    <row r="34" customFormat="false" ht="14.25" hidden="false" customHeight="true" outlineLevel="0" collapsed="false">
      <c r="A34" s="185" t="s">
        <v>1733</v>
      </c>
      <c r="B34" s="225" t="n">
        <f aca="false">B32*B33</f>
        <v>2383.3355</v>
      </c>
      <c r="C34" s="225" t="n">
        <f aca="false">C32*C33</f>
        <v>2383.3355</v>
      </c>
      <c r="D34" s="225" t="n">
        <f aca="false">D32*D33</f>
        <v>4576.00416</v>
      </c>
      <c r="E34" s="225" t="n">
        <f aca="false">E32*E33</f>
        <v>6101.33888</v>
      </c>
      <c r="F34" s="225" t="n">
        <f aca="false">F32*F33</f>
        <v>3813.3368</v>
      </c>
      <c r="G34" s="225" t="n">
        <f aca="false">G32*G33</f>
        <v>4528.33745</v>
      </c>
      <c r="H34" s="225" t="n">
        <f aca="false">H32*H33</f>
        <v>4528.33745</v>
      </c>
      <c r="I34" s="225" t="n">
        <f aca="false">I32*I33</f>
        <v>4528.33745</v>
      </c>
      <c r="J34" s="225" t="n">
        <f aca="false">J32*J33</f>
        <v>5434.00494</v>
      </c>
      <c r="K34" s="225" t="n">
        <f aca="false">K32*K33</f>
        <v>6339.67243</v>
      </c>
      <c r="L34" s="225" t="n">
        <f aca="false">L32*L33</f>
        <v>8389.34096</v>
      </c>
      <c r="M34" s="225" t="n">
        <f aca="false">M32*M33</f>
        <v>7340.67334</v>
      </c>
      <c r="N34" s="225" t="n">
        <f aca="false">N32*N33</f>
        <v>5958.33875</v>
      </c>
      <c r="O34" s="225" t="n">
        <f aca="false">O32*O33</f>
        <v>6809.1895235</v>
      </c>
      <c r="P34" s="225" t="n">
        <f aca="false">P32*P33</f>
        <v>9315.0284682</v>
      </c>
      <c r="Q34" s="225" t="n">
        <f aca="false">Q32*Q33</f>
        <v>13564.0389976</v>
      </c>
      <c r="R34" s="226" t="n">
        <f aca="false">SUM(B34:E34)</f>
        <v>15444.01404</v>
      </c>
      <c r="S34" s="226" t="n">
        <f aca="false">SUM(F34:Q34)</f>
        <v>80548.6365593</v>
      </c>
    </row>
    <row r="35" customFormat="false" ht="14.25" hidden="false" customHeight="true" outlineLevel="0" collapsed="false">
      <c r="A35" s="185" t="s">
        <v>1734</v>
      </c>
      <c r="B35" s="227" t="n">
        <v>0</v>
      </c>
      <c r="C35" s="227" t="n">
        <v>0</v>
      </c>
      <c r="D35" s="227" t="n">
        <v>0</v>
      </c>
      <c r="E35" s="227" t="n">
        <v>0</v>
      </c>
      <c r="F35" s="227" t="n">
        <v>0</v>
      </c>
      <c r="G35" s="227" t="n">
        <v>0</v>
      </c>
      <c r="H35" s="227" t="n">
        <v>0</v>
      </c>
      <c r="I35" s="227" t="n">
        <v>0</v>
      </c>
      <c r="J35" s="227" t="n">
        <v>0</v>
      </c>
      <c r="K35" s="227" t="n">
        <v>0</v>
      </c>
      <c r="L35" s="227" t="n">
        <v>0</v>
      </c>
      <c r="M35" s="227" t="n">
        <v>0</v>
      </c>
      <c r="N35" s="227" t="n">
        <v>0</v>
      </c>
      <c r="O35" s="227" t="n">
        <v>0</v>
      </c>
      <c r="P35" s="227" t="n">
        <v>0</v>
      </c>
      <c r="Q35" s="227" t="n">
        <v>0</v>
      </c>
      <c r="R35" s="228" t="n">
        <f aca="false">IFERROR(R36/R32/$M$10,0)</f>
        <v>0</v>
      </c>
      <c r="S35" s="228" t="n">
        <f aca="false">IFERROR(S36/S32/$M$10,0)</f>
        <v>0</v>
      </c>
      <c r="T35" s="186" t="s">
        <v>1732</v>
      </c>
    </row>
    <row r="36" customFormat="false" ht="14.25" hidden="false" customHeight="true" outlineLevel="0" collapsed="false">
      <c r="A36" s="185" t="s">
        <v>1735</v>
      </c>
      <c r="B36" s="225" t="n">
        <f aca="false">B32*B35*$M$10</f>
        <v>0</v>
      </c>
      <c r="C36" s="225" t="n">
        <f aca="false">C32*C35*$M$10</f>
        <v>0</v>
      </c>
      <c r="D36" s="225" t="n">
        <f aca="false">D32*D35*$M$10</f>
        <v>0</v>
      </c>
      <c r="E36" s="225" t="n">
        <f aca="false">E32*E35*$M$10</f>
        <v>0</v>
      </c>
      <c r="F36" s="225" t="n">
        <f aca="false">F32*F35*$M$10</f>
        <v>0</v>
      </c>
      <c r="G36" s="225" t="n">
        <f aca="false">G32*G35*$M$10</f>
        <v>0</v>
      </c>
      <c r="H36" s="225" t="n">
        <f aca="false">H32*H35*$M$10</f>
        <v>0</v>
      </c>
      <c r="I36" s="225" t="n">
        <f aca="false">I32*I35*$M$10</f>
        <v>0</v>
      </c>
      <c r="J36" s="225" t="n">
        <f aca="false">J32*J35*$M$10</f>
        <v>0</v>
      </c>
      <c r="K36" s="225" t="n">
        <f aca="false">K32*K35*$M$10</f>
        <v>0</v>
      </c>
      <c r="L36" s="225" t="n">
        <f aca="false">L32*L35*$M$10</f>
        <v>0</v>
      </c>
      <c r="M36" s="225" t="n">
        <f aca="false">M32*M35*$M$10</f>
        <v>0</v>
      </c>
      <c r="N36" s="225" t="n">
        <f aca="false">N32*N35*$M$10</f>
        <v>0</v>
      </c>
      <c r="O36" s="225" t="n">
        <f aca="false">O32*O35*$M$10</f>
        <v>0</v>
      </c>
      <c r="P36" s="225" t="n">
        <f aca="false">P32*P35*$M$10</f>
        <v>0</v>
      </c>
      <c r="Q36" s="225" t="n">
        <f aca="false">Q32*Q35*$M$10</f>
        <v>0</v>
      </c>
      <c r="R36" s="226" t="n">
        <f aca="false">SUM(B36:E36)</f>
        <v>0</v>
      </c>
      <c r="S36" s="226" t="n">
        <f aca="false">SUM(F36:Q36)</f>
        <v>0</v>
      </c>
    </row>
    <row r="37" customFormat="false" ht="14.25" hidden="false" customHeight="true" outlineLevel="0" collapsed="false">
      <c r="A37" s="185" t="s">
        <v>1650</v>
      </c>
      <c r="B37" s="225" t="n">
        <f aca="false">(B32+B34+B36)*$B$6</f>
        <v>3753.7534125</v>
      </c>
      <c r="C37" s="225" t="n">
        <f aca="false">(C32+C34+C36)*$B$6</f>
        <v>3753.7534125</v>
      </c>
      <c r="D37" s="225" t="n">
        <f aca="false">(D32+D34+D36)*$B$6</f>
        <v>6063.205512</v>
      </c>
      <c r="E37" s="225" t="n">
        <f aca="false">(E32+E34+E36)*$B$6</f>
        <v>6177.605616</v>
      </c>
      <c r="F37" s="225" t="n">
        <f aca="false">(F32+F34+F36)*$B$6</f>
        <v>6006.00546</v>
      </c>
      <c r="G37" s="225" t="n">
        <f aca="false">(G32+G34+G36)*$B$6</f>
        <v>7132.13148375</v>
      </c>
      <c r="H37" s="225" t="n">
        <f aca="false">(H32+H34+H36)*$B$6</f>
        <v>7132.13148375</v>
      </c>
      <c r="I37" s="225" t="n">
        <f aca="false">(I32+I34+I36)*$B$6</f>
        <v>7132.13148375</v>
      </c>
      <c r="J37" s="225" t="n">
        <f aca="false">(J32+J34+J36)*$B$6</f>
        <v>7200.0565455</v>
      </c>
      <c r="K37" s="225" t="n">
        <f aca="false">(K32+K34+K36)*$B$6</f>
        <v>7267.98160725</v>
      </c>
      <c r="L37" s="225" t="n">
        <f aca="false">(L32+L34+L36)*$B$6</f>
        <v>8494.207722</v>
      </c>
      <c r="M37" s="225" t="n">
        <f aca="false">(M32+M34+M36)*$B$6</f>
        <v>8415.5576505</v>
      </c>
      <c r="N37" s="225" t="n">
        <f aca="false">(N32+N34+N36)*$B$6</f>
        <v>9384.38353125</v>
      </c>
      <c r="O37" s="225" t="n">
        <f aca="false">(O32+O34+O36)*$B$6</f>
        <v>10724.4734995125</v>
      </c>
      <c r="P37" s="225" t="n">
        <f aca="false">(P32+P34+P36)*$B$6</f>
        <v>12342.412720365</v>
      </c>
      <c r="Q37" s="225" t="n">
        <f aca="false">(Q32+Q34+Q36)*$B$6</f>
        <v>13733.58948507</v>
      </c>
      <c r="R37" s="226" t="n">
        <f aca="false">SUM(B37:E37)</f>
        <v>19748.317953</v>
      </c>
      <c r="S37" s="226" t="n">
        <f aca="false">SUM(F37:Q37)</f>
        <v>104965.062672697</v>
      </c>
    </row>
    <row r="38" customFormat="false" ht="14.25" hidden="false" customHeight="true" outlineLevel="0" collapsed="false">
      <c r="A38" s="185" t="s">
        <v>1390</v>
      </c>
      <c r="B38" s="225" t="n">
        <f aca="false">B32*$B$7</f>
        <v>3575.00325</v>
      </c>
      <c r="C38" s="225" t="n">
        <f aca="false">C32*$B$7</f>
        <v>3575.00325</v>
      </c>
      <c r="D38" s="225" t="n">
        <f aca="false">D32*$B$7</f>
        <v>5720.0052</v>
      </c>
      <c r="E38" s="225" t="n">
        <f aca="false">E32*$B$7</f>
        <v>5720.0052</v>
      </c>
      <c r="F38" s="225" t="n">
        <f aca="false">F32*$B$7</f>
        <v>5720.0052</v>
      </c>
      <c r="G38" s="225" t="n">
        <f aca="false">G32*$B$7</f>
        <v>6792.506175</v>
      </c>
      <c r="H38" s="225" t="n">
        <f aca="false">H32*$B$7</f>
        <v>6792.506175</v>
      </c>
      <c r="I38" s="225" t="n">
        <f aca="false">I32*$B$7</f>
        <v>6792.506175</v>
      </c>
      <c r="J38" s="225" t="n">
        <f aca="false">J32*$B$7</f>
        <v>6792.506175</v>
      </c>
      <c r="K38" s="225" t="n">
        <f aca="false">K32*$B$7</f>
        <v>6792.506175</v>
      </c>
      <c r="L38" s="225" t="n">
        <f aca="false">L32*$B$7</f>
        <v>7865.00715</v>
      </c>
      <c r="M38" s="225" t="n">
        <f aca="false">M32*$B$7</f>
        <v>7865.00715</v>
      </c>
      <c r="N38" s="225" t="n">
        <f aca="false">N32*$B$7</f>
        <v>8937.508125</v>
      </c>
      <c r="O38" s="225" t="n">
        <f aca="false">O32*$B$7</f>
        <v>10213.78428525</v>
      </c>
      <c r="P38" s="225" t="n">
        <f aca="false">P32*$B$7</f>
        <v>11643.78558525</v>
      </c>
      <c r="Q38" s="225" t="n">
        <f aca="false">Q32*$B$7</f>
        <v>12716.28656025</v>
      </c>
      <c r="R38" s="226" t="n">
        <f aca="false">SUM(B38:E38)</f>
        <v>18590.0169</v>
      </c>
      <c r="S38" s="226" t="n">
        <f aca="false">SUM(F38:Q38)</f>
        <v>98923.91493075</v>
      </c>
    </row>
    <row r="39" customFormat="false" ht="14.25" hidden="false" customHeight="true" outlineLevel="0" collapsed="false">
      <c r="A39" s="185" t="s">
        <v>1736</v>
      </c>
      <c r="B39" s="223" t="n">
        <f aca="false">B30</f>
        <v>3</v>
      </c>
      <c r="C39" s="223" t="n">
        <f aca="false">MAX(0,C30-B30)</f>
        <v>0</v>
      </c>
      <c r="D39" s="223" t="n">
        <f aca="false">MAX(0,D30-C30)</f>
        <v>6</v>
      </c>
      <c r="E39" s="223" t="n">
        <f aca="false">MAX(0,E30-D30)</f>
        <v>0</v>
      </c>
      <c r="F39" s="223" t="n">
        <f aca="false">MAX(0,F30-E30)</f>
        <v>0</v>
      </c>
      <c r="G39" s="223" t="n">
        <f aca="false">MAX(0,G30-F30)</f>
        <v>3</v>
      </c>
      <c r="H39" s="223" t="n">
        <f aca="false">MAX(0,H30-G30)</f>
        <v>0</v>
      </c>
      <c r="I39" s="223" t="n">
        <f aca="false">MAX(0,I30-H30)</f>
        <v>0</v>
      </c>
      <c r="J39" s="223" t="n">
        <f aca="false">MAX(0,J30-I30)</f>
        <v>0</v>
      </c>
      <c r="K39" s="223" t="n">
        <f aca="false">MAX(0,K30-J30)</f>
        <v>0</v>
      </c>
      <c r="L39" s="223" t="n">
        <f aca="false">MAX(0,L30-K30)</f>
        <v>3</v>
      </c>
      <c r="M39" s="223" t="n">
        <f aca="false">MAX(0,M30-L30)</f>
        <v>0</v>
      </c>
      <c r="N39" s="223" t="n">
        <f aca="false">MAX(0,N30-M30)</f>
        <v>3</v>
      </c>
      <c r="O39" s="223" t="n">
        <f aca="false">MAX(0,O30-N30)</f>
        <v>3</v>
      </c>
      <c r="P39" s="223" t="n">
        <f aca="false">MAX(0,P30-O30)</f>
        <v>4</v>
      </c>
      <c r="Q39" s="223" t="n">
        <f aca="false">MAX(0,Q30-P30)</f>
        <v>3</v>
      </c>
      <c r="R39" s="224" t="n">
        <f aca="false">SUM(B39:E39)</f>
        <v>9</v>
      </c>
      <c r="S39" s="224" t="n">
        <f aca="false">SUM(F39:Q39)</f>
        <v>19</v>
      </c>
      <c r="T39" s="186"/>
    </row>
    <row r="40" customFormat="false" ht="14.25" hidden="false" customHeight="true" outlineLevel="0" collapsed="false">
      <c r="A40" s="185" t="s">
        <v>1657</v>
      </c>
      <c r="B40" s="225" t="n">
        <f aca="false">B39*$M$7</f>
        <v>3000</v>
      </c>
      <c r="C40" s="225" t="n">
        <f aca="false">C39*$M$7</f>
        <v>0</v>
      </c>
      <c r="D40" s="225" t="n">
        <f aca="false">D39*$M$7</f>
        <v>6000</v>
      </c>
      <c r="E40" s="225" t="n">
        <f aca="false">E39*$M$7</f>
        <v>0</v>
      </c>
      <c r="F40" s="225" t="n">
        <f aca="false">F39*$M$7</f>
        <v>0</v>
      </c>
      <c r="G40" s="225" t="n">
        <f aca="false">G39*$M$7</f>
        <v>3000</v>
      </c>
      <c r="H40" s="225" t="n">
        <f aca="false">H39*$M$7</f>
        <v>0</v>
      </c>
      <c r="I40" s="225" t="n">
        <f aca="false">I39*$M$7</f>
        <v>0</v>
      </c>
      <c r="J40" s="225" t="n">
        <f aca="false">J39*$M$7</f>
        <v>0</v>
      </c>
      <c r="K40" s="225" t="n">
        <f aca="false">K39*$M$7</f>
        <v>0</v>
      </c>
      <c r="L40" s="225" t="n">
        <f aca="false">L39*$M$7</f>
        <v>3000</v>
      </c>
      <c r="M40" s="225" t="n">
        <f aca="false">M39*$M$7</f>
        <v>0</v>
      </c>
      <c r="N40" s="225" t="n">
        <f aca="false">N39*$M$7</f>
        <v>3000</v>
      </c>
      <c r="O40" s="225" t="n">
        <f aca="false">O39*$M$7</f>
        <v>3000</v>
      </c>
      <c r="P40" s="225" t="n">
        <f aca="false">P39*$M$7</f>
        <v>4000</v>
      </c>
      <c r="Q40" s="225" t="n">
        <f aca="false">Q39*$M$7</f>
        <v>3000</v>
      </c>
      <c r="R40" s="226" t="n">
        <f aca="false">SUM(B40:E40)</f>
        <v>9000</v>
      </c>
      <c r="S40" s="226" t="n">
        <f aca="false">SUM(F40:Q40)</f>
        <v>19000</v>
      </c>
    </row>
    <row r="41" customFormat="false" ht="14.25" hidden="false" customHeight="true" outlineLevel="0" collapsed="false">
      <c r="A41" s="229" t="s">
        <v>1737</v>
      </c>
      <c r="B41" s="230" t="n">
        <f aca="false">B32+B34+B36+B37+B38+B40</f>
        <v>60378.8021625</v>
      </c>
      <c r="C41" s="230" t="n">
        <f aca="false">C32+C34+C36+C37+C38+C40</f>
        <v>57378.8021625</v>
      </c>
      <c r="D41" s="230" t="n">
        <f aca="false">D32+D34+D36+D37+D38+D40</f>
        <v>98625.950872</v>
      </c>
      <c r="E41" s="230" t="n">
        <f aca="false">E32+E34+E36+E37+E38+E40</f>
        <v>94265.685696</v>
      </c>
      <c r="F41" s="230" t="n">
        <f aca="false">F32+F34+F36+F37+F38+F40</f>
        <v>91806.08346</v>
      </c>
      <c r="G41" s="230" t="n">
        <f aca="false">G32+G34+G36+G37+G38+G40</f>
        <v>112019.72410875</v>
      </c>
      <c r="H41" s="230" t="n">
        <f aca="false">H32+H34+H36+H37+H38+H40</f>
        <v>109019.72410875</v>
      </c>
      <c r="I41" s="230" t="n">
        <f aca="false">I32+I34+I36+I37+I38+I40</f>
        <v>109019.72410875</v>
      </c>
      <c r="J41" s="230" t="n">
        <f aca="false">J32+J34+J36+J37+J38+J40</f>
        <v>109993.3166605</v>
      </c>
      <c r="K41" s="230" t="n">
        <f aca="false">K32+K34+K36+K37+K38+K40</f>
        <v>110966.90921225</v>
      </c>
      <c r="L41" s="230" t="n">
        <f aca="false">L32+L34+L36+L37+L38+L40</f>
        <v>132615.317832</v>
      </c>
      <c r="M41" s="230" t="n">
        <f aca="false">M32+M34+M36+M37+M38+M40</f>
        <v>128488.0001405</v>
      </c>
      <c r="N41" s="230" t="n">
        <f aca="false">N32+N34+N36+N37+N38+N40</f>
        <v>146447.00540625</v>
      </c>
      <c r="O41" s="230" t="n">
        <f aca="false">O32+O34+O36+O37+O38+O40</f>
        <v>166931.237778263</v>
      </c>
      <c r="P41" s="230" t="n">
        <f aca="false">P32+P34+P36+P37+P38+P40</f>
        <v>192551.701243815</v>
      </c>
      <c r="Q41" s="230" t="n">
        <f aca="false">Q32+Q34+Q36+Q37+Q38+Q40</f>
        <v>212564.40251292</v>
      </c>
      <c r="R41" s="231" t="n">
        <f aca="false">SUM(B41:E41)</f>
        <v>310649.240893</v>
      </c>
      <c r="S41" s="231" t="n">
        <f aca="false">SUM(F41:Q41)</f>
        <v>1622423.14657275</v>
      </c>
    </row>
    <row r="42" customFormat="false" ht="14.25" hidden="false" customHeight="true" outlineLevel="0" collapsed="false">
      <c r="B42" s="232"/>
      <c r="C42" s="232"/>
      <c r="D42" s="232"/>
      <c r="E42" s="232"/>
      <c r="F42" s="232"/>
      <c r="G42" s="232"/>
      <c r="H42" s="232"/>
      <c r="I42" s="232"/>
      <c r="J42" s="232"/>
      <c r="K42" s="232"/>
      <c r="L42" s="232"/>
      <c r="M42" s="232"/>
      <c r="N42" s="232"/>
      <c r="O42" s="232"/>
      <c r="P42" s="232"/>
      <c r="Q42" s="232"/>
      <c r="R42" s="232"/>
      <c r="S42" s="232"/>
    </row>
    <row r="43" customFormat="false" ht="14.25" hidden="false" customHeight="true" outlineLevel="0" collapsed="false">
      <c r="A43" s="233" t="s">
        <v>1738</v>
      </c>
      <c r="B43" s="201" t="str">
        <f aca="false">IF(B26&gt;MAX($B$15:$O$15),"OVER","OK")</f>
        <v>OK</v>
      </c>
      <c r="C43" s="201" t="str">
        <f aca="false">IF(C26&gt;MAX($B$15:$O$15),"OVER","OK")</f>
        <v>OK</v>
      </c>
      <c r="D43" s="201" t="str">
        <f aca="false">IF(D26&gt;MAX($B$15:$O$15),"OVER","OK")</f>
        <v>OK</v>
      </c>
      <c r="E43" s="201" t="str">
        <f aca="false">IF(E26&gt;MAX($B$15:$O$15),"OVER","OK")</f>
        <v>OK</v>
      </c>
      <c r="F43" s="201" t="str">
        <f aca="false">IF(F26&gt;MAX($B$15:$O$15),"OVER","OK")</f>
        <v>OK</v>
      </c>
      <c r="G43" s="201" t="str">
        <f aca="false">IF(G26&gt;MAX($B$15:$O$15),"OVER","OK")</f>
        <v>OK</v>
      </c>
      <c r="H43" s="201" t="str">
        <f aca="false">IF(H26&gt;MAX($B$15:$O$15),"OVER","OK")</f>
        <v>OK</v>
      </c>
      <c r="I43" s="201" t="str">
        <f aca="false">IF(I26&gt;MAX($B$15:$O$15),"OVER","OK")</f>
        <v>OK</v>
      </c>
      <c r="J43" s="201" t="str">
        <f aca="false">IF(J26&gt;MAX($B$15:$O$15),"OVER","OK")</f>
        <v>OK</v>
      </c>
      <c r="K43" s="201" t="str">
        <f aca="false">IF(K26&gt;MAX($B$15:$O$15),"OVER","OK")</f>
        <v>OK</v>
      </c>
      <c r="L43" s="201" t="str">
        <f aca="false">IF(L26&gt;MAX($B$15:$O$15),"OVER","OK")</f>
        <v>OK</v>
      </c>
      <c r="M43" s="201" t="str">
        <f aca="false">IF(M26&gt;MAX($B$15:$O$15),"OVER","OK")</f>
        <v>OK</v>
      </c>
      <c r="N43" s="201" t="str">
        <f aca="false">IF(N26&gt;MAX($B$15:$O$15),"OVER","OK")</f>
        <v>OK</v>
      </c>
      <c r="O43" s="201" t="str">
        <f aca="false">IF(O26&gt;MAX($B$15:$O$15),"OVER","OK")</f>
        <v>OK</v>
      </c>
      <c r="P43" s="201" t="str">
        <f aca="false">IF(P26&gt;MAX($B$15:$O$15),"OVER","OK")</f>
        <v>OK</v>
      </c>
      <c r="Q43" s="201" t="str">
        <f aca="false">IF(Q26&gt;MAX($B$15:$O$15),"OVER","OK")</f>
        <v>OK</v>
      </c>
      <c r="R43" s="232"/>
      <c r="S43" s="232"/>
    </row>
    <row r="44" customFormat="false" ht="14.25" hidden="false" customHeight="true" outlineLevel="0" collapsed="false"/>
    <row r="45" customFormat="false" ht="14.25" hidden="false" customHeight="true" outlineLevel="0" collapsed="false">
      <c r="A45" s="214" t="s">
        <v>1739</v>
      </c>
      <c r="B45" s="215" t="n">
        <f aca="false">B$24</f>
        <v>46295</v>
      </c>
      <c r="C45" s="215" t="n">
        <f aca="false">C$24</f>
        <v>46326</v>
      </c>
      <c r="D45" s="215" t="n">
        <f aca="false">D$24</f>
        <v>46356</v>
      </c>
      <c r="E45" s="215" t="n">
        <f aca="false">E$24</f>
        <v>46387</v>
      </c>
      <c r="F45" s="215" t="n">
        <f aca="false">F$24</f>
        <v>46418</v>
      </c>
      <c r="G45" s="215" t="n">
        <f aca="false">G$24</f>
        <v>46446</v>
      </c>
      <c r="H45" s="215" t="n">
        <f aca="false">H$24</f>
        <v>46477</v>
      </c>
      <c r="I45" s="215" t="n">
        <f aca="false">I$24</f>
        <v>46507</v>
      </c>
      <c r="J45" s="215" t="n">
        <f aca="false">J$24</f>
        <v>46538</v>
      </c>
      <c r="K45" s="215" t="n">
        <f aca="false">K$24</f>
        <v>46568</v>
      </c>
      <c r="L45" s="215" t="n">
        <f aca="false">L$24</f>
        <v>46599</v>
      </c>
      <c r="M45" s="215" t="n">
        <f aca="false">M$24</f>
        <v>46630</v>
      </c>
      <c r="N45" s="215" t="n">
        <f aca="false">N$24</f>
        <v>46660</v>
      </c>
      <c r="O45" s="215" t="n">
        <f aca="false">O$24</f>
        <v>46691</v>
      </c>
      <c r="P45" s="215" t="n">
        <f aca="false">P$24</f>
        <v>46721</v>
      </c>
      <c r="Q45" s="215" t="n">
        <f aca="false">Q$24</f>
        <v>46752</v>
      </c>
      <c r="R45" s="216" t="str">
        <f aca="false">R24</f>
        <v>Sep–Dec 2026</v>
      </c>
      <c r="S45" s="216" t="str">
        <f aca="false">S24</f>
        <v>FY2027</v>
      </c>
    </row>
    <row r="46" customFormat="false" ht="14.25" hidden="false" customHeight="true" outlineLevel="0" collapsed="false">
      <c r="A46" s="185" t="s">
        <v>1740</v>
      </c>
      <c r="B46" s="217" t="n">
        <f aca="false">DeploySum!B25</f>
        <v>32</v>
      </c>
      <c r="C46" s="217" t="n">
        <f aca="false">DeploySum!C25</f>
        <v>0</v>
      </c>
      <c r="D46" s="217" t="n">
        <f aca="false">DeploySum!D25</f>
        <v>60</v>
      </c>
      <c r="E46" s="217" t="n">
        <f aca="false">DeploySum!E25</f>
        <v>24</v>
      </c>
      <c r="F46" s="217" t="n">
        <f aca="false">DeploySum!F25</f>
        <v>0</v>
      </c>
      <c r="G46" s="217" t="n">
        <f aca="false">DeploySum!G25</f>
        <v>86</v>
      </c>
      <c r="H46" s="217" t="n">
        <f aca="false">DeploySum!H25</f>
        <v>61</v>
      </c>
      <c r="I46" s="217" t="n">
        <f aca="false">DeploySum!I25</f>
        <v>98</v>
      </c>
      <c r="J46" s="217" t="n">
        <f aca="false">DeploySum!J25</f>
        <v>73</v>
      </c>
      <c r="K46" s="217" t="n">
        <f aca="false">DeploySum!K25</f>
        <v>85</v>
      </c>
      <c r="L46" s="217" t="n">
        <f aca="false">DeploySum!L25</f>
        <v>122</v>
      </c>
      <c r="M46" s="217" t="n">
        <f aca="false">DeploySum!M25</f>
        <v>122</v>
      </c>
      <c r="N46" s="217" t="n">
        <f aca="false">DeploySum!N25</f>
        <v>159</v>
      </c>
      <c r="O46" s="217" t="n">
        <f aca="false">DeploySum!O25</f>
        <v>146</v>
      </c>
      <c r="P46" s="217" t="n">
        <f aca="false">DeploySum!P25</f>
        <v>183</v>
      </c>
      <c r="Q46" s="217" t="n">
        <f aca="false">DeploySum!Q25</f>
        <v>220</v>
      </c>
      <c r="R46" s="218" t="n">
        <f aca="false">SUM(B46:E46)</f>
        <v>116</v>
      </c>
      <c r="S46" s="218" t="n">
        <f aca="false">SUM(F46:Q46)</f>
        <v>1355</v>
      </c>
    </row>
    <row r="47" customFormat="false" ht="14.25" hidden="false" customHeight="true" outlineLevel="0" collapsed="false">
      <c r="A47" s="185" t="s">
        <v>1741</v>
      </c>
      <c r="B47" s="219" t="n">
        <f aca="false">DeploySum!B28</f>
        <v>7.46666666666667</v>
      </c>
      <c r="C47" s="219" t="n">
        <f aca="false">DeploySum!C28</f>
        <v>0</v>
      </c>
      <c r="D47" s="219" t="n">
        <f aca="false">DeploySum!D28</f>
        <v>14</v>
      </c>
      <c r="E47" s="219" t="n">
        <f aca="false">DeploySum!E28</f>
        <v>5.41935483870968</v>
      </c>
      <c r="F47" s="219" t="n">
        <f aca="false">DeploySum!F28</f>
        <v>0</v>
      </c>
      <c r="G47" s="219" t="n">
        <f aca="false">DeploySum!G28</f>
        <v>21.5</v>
      </c>
      <c r="H47" s="219" t="n">
        <f aca="false">DeploySum!H28</f>
        <v>13.7741935483871</v>
      </c>
      <c r="I47" s="219" t="n">
        <f aca="false">DeploySum!I28</f>
        <v>22.8666666666667</v>
      </c>
      <c r="J47" s="219" t="n">
        <f aca="false">DeploySum!J28</f>
        <v>16.4838709677419</v>
      </c>
      <c r="K47" s="219" t="n">
        <f aca="false">DeploySum!K28</f>
        <v>19.8333333333333</v>
      </c>
      <c r="L47" s="219" t="n">
        <f aca="false">DeploySum!L28</f>
        <v>27.5483870967742</v>
      </c>
      <c r="M47" s="219" t="n">
        <f aca="false">DeploySum!M28</f>
        <v>27.5483870967742</v>
      </c>
      <c r="N47" s="219" t="n">
        <f aca="false">DeploySum!N28</f>
        <v>37.1</v>
      </c>
      <c r="O47" s="219" t="n">
        <f aca="false">DeploySum!O28</f>
        <v>32.9677419354839</v>
      </c>
      <c r="P47" s="219" t="n">
        <f aca="false">DeploySum!P28</f>
        <v>42.7</v>
      </c>
      <c r="Q47" s="219" t="n">
        <f aca="false">DeploySum!Q28</f>
        <v>49.6774193548387</v>
      </c>
      <c r="R47" s="220" t="n">
        <f aca="false">AVERAGE(B47:E47)</f>
        <v>6.72150537634409</v>
      </c>
      <c r="S47" s="220" t="n">
        <f aca="false">AVERAGE(F47:Q47)</f>
        <v>26</v>
      </c>
      <c r="T47" s="186" t="s">
        <v>1725</v>
      </c>
    </row>
    <row r="48" customFormat="false" ht="14.25" hidden="false" customHeight="true" outlineLevel="0" collapsed="false">
      <c r="A48" s="185" t="s">
        <v>1742</v>
      </c>
      <c r="B48" s="221" t="e">
        <f aca="false">_xlfn.xlookup(MAX($C$8,B47),$B$20:$O$20,$B$20:$O$20,MAX($B$20:$O$20),1)</f>
        <v>#NAME?</v>
      </c>
      <c r="C48" s="221" t="e">
        <f aca="false">_xlfn.xlookup(MAX($C$8,C47),$B$20:$O$20,$B$20:$O$20,MAX($B$20:$O$20),1)</f>
        <v>#NAME?</v>
      </c>
      <c r="D48" s="221" t="e">
        <f aca="false">_xlfn.xlookup(MAX($C$8,D47),$B$20:$O$20,$B$20:$O$20,MAX($B$20:$O$20),1)</f>
        <v>#NAME?</v>
      </c>
      <c r="E48" s="221" t="e">
        <f aca="false">_xlfn.xlookup(MAX($C$8,E47),$B$20:$O$20,$B$20:$O$20,MAX($B$20:$O$20),1)</f>
        <v>#NAME?</v>
      </c>
      <c r="F48" s="221" t="e">
        <f aca="false">_xlfn.xlookup(MAX($C$8,F47),$B$20:$O$20,$B$20:$O$20,MAX($B$20:$O$20),1)</f>
        <v>#NAME?</v>
      </c>
      <c r="G48" s="221" t="e">
        <f aca="false">_xlfn.xlookup(MAX($C$8,G47),$B$20:$O$20,$B$20:$O$20,MAX($B$20:$O$20),1)</f>
        <v>#NAME?</v>
      </c>
      <c r="H48" s="221" t="e">
        <f aca="false">_xlfn.xlookup(MAX($C$8,H47),$B$20:$O$20,$B$20:$O$20,MAX($B$20:$O$20),1)</f>
        <v>#NAME?</v>
      </c>
      <c r="I48" s="221" t="e">
        <f aca="false">_xlfn.xlookup(MAX($C$8,I47),$B$20:$O$20,$B$20:$O$20,MAX($B$20:$O$20),1)</f>
        <v>#NAME?</v>
      </c>
      <c r="J48" s="221" t="e">
        <f aca="false">_xlfn.xlookup(MAX($C$8,J47),$B$20:$O$20,$B$20:$O$20,MAX($B$20:$O$20),1)</f>
        <v>#NAME?</v>
      </c>
      <c r="K48" s="221" t="e">
        <f aca="false">_xlfn.xlookup(MAX($C$8,K47),$B$20:$O$20,$B$20:$O$20,MAX($B$20:$O$20),1)</f>
        <v>#NAME?</v>
      </c>
      <c r="L48" s="221" t="e">
        <f aca="false">_xlfn.xlookup(MAX($C$8,L47),$B$20:$O$20,$B$20:$O$20,MAX($B$20:$O$20),1)</f>
        <v>#NAME?</v>
      </c>
      <c r="M48" s="221" t="e">
        <f aca="false">_xlfn.xlookup(MAX($C$8,M47),$B$20:$O$20,$B$20:$O$20,MAX($B$20:$O$20),1)</f>
        <v>#NAME?</v>
      </c>
      <c r="N48" s="221" t="e">
        <f aca="false">_xlfn.xlookup(MAX($C$8,N47),$B$20:$O$20,$B$20:$O$20,MAX($B$20:$O$20),1)</f>
        <v>#NAME?</v>
      </c>
      <c r="O48" s="221" t="e">
        <f aca="false">_xlfn.xlookup(MAX($C$8,O47),$B$20:$O$20,$B$20:$O$20,MAX($B$20:$O$20),1)</f>
        <v>#NAME?</v>
      </c>
      <c r="P48" s="221" t="e">
        <f aca="false">_xlfn.xlookup(MAX($C$8,P47),$B$20:$O$20,$B$20:$O$20,MAX($B$20:$O$20),1)</f>
        <v>#NAME?</v>
      </c>
      <c r="Q48" s="221" t="e">
        <f aca="false">_xlfn.xlookup(MAX($C$8,Q47),$B$20:$O$20,$B$20:$O$20,MAX($B$20:$O$20),1)</f>
        <v>#NAME?</v>
      </c>
      <c r="R48" s="222"/>
      <c r="S48" s="222"/>
      <c r="T48" s="186"/>
    </row>
    <row r="49" customFormat="false" ht="14.25" hidden="false" customHeight="true" outlineLevel="0" collapsed="false">
      <c r="A49" s="185" t="s">
        <v>1743</v>
      </c>
      <c r="B49" s="223" t="e">
        <f aca="false" t="array" ref="B49:B49">INDEX($B$22:$O$22,MATCH(B48,$B$20:$O$20,0))</f>
        <v>#NAME?</v>
      </c>
      <c r="C49" s="223" t="e">
        <f aca="false">MAX(B49,INDEX($B$22:$O$22,MATCH(C48,$B$20:$O$20,0)))</f>
        <v>#NAME?</v>
      </c>
      <c r="D49" s="223" t="e">
        <f aca="false">MAX(C49,INDEX($B$22:$O$22,MATCH(D48,$B$20:$O$20,0)))</f>
        <v>#NAME?</v>
      </c>
      <c r="E49" s="223" t="e">
        <f aca="false">MAX(D49,INDEX($B$22:$O$22,MATCH(E48,$B$20:$O$20,0)))</f>
        <v>#NAME?</v>
      </c>
      <c r="F49" s="223" t="e">
        <f aca="false">MAX(E49,INDEX($B$22:$O$22,MATCH(F48,$B$20:$O$20,0)))</f>
        <v>#NAME?</v>
      </c>
      <c r="G49" s="223" t="e">
        <f aca="false">MAX(F49,INDEX($B$22:$O$22,MATCH(G48,$B$20:$O$20,0)))</f>
        <v>#NAME?</v>
      </c>
      <c r="H49" s="223" t="e">
        <f aca="false">MAX(G49,INDEX($B$22:$O$22,MATCH(H48,$B$20:$O$20,0)))</f>
        <v>#NAME?</v>
      </c>
      <c r="I49" s="223" t="e">
        <f aca="false">MAX(H49,INDEX($B$22:$O$22,MATCH(I48,$B$20:$O$20,0)))</f>
        <v>#NAME?</v>
      </c>
      <c r="J49" s="223" t="e">
        <f aca="false">MAX(I49,INDEX($B$22:$O$22,MATCH(J48,$B$20:$O$20,0)))</f>
        <v>#NAME?</v>
      </c>
      <c r="K49" s="223" t="e">
        <f aca="false">MAX(J49,INDEX($B$22:$O$22,MATCH(K48,$B$20:$O$20,0)))</f>
        <v>#NAME?</v>
      </c>
      <c r="L49" s="223" t="e">
        <f aca="false">MAX(K49,INDEX($B$22:$O$22,MATCH(L48,$B$20:$O$20,0)))</f>
        <v>#NAME?</v>
      </c>
      <c r="M49" s="223" t="e">
        <f aca="false">MAX(L49,INDEX($B$22:$O$22,MATCH(M48,$B$20:$O$20,0)))</f>
        <v>#NAME?</v>
      </c>
      <c r="N49" s="223" t="e">
        <f aca="false">MAX(M49,INDEX($B$22:$O$22,MATCH(N48,$B$20:$O$20,0)))</f>
        <v>#NAME?</v>
      </c>
      <c r="O49" s="223" t="e">
        <f aca="false">MAX(N49,INDEX($B$22:$O$22,MATCH(O48,$B$20:$O$20,0)))</f>
        <v>#NAME?</v>
      </c>
      <c r="P49" s="223" t="e">
        <f aca="false">MAX(O49,INDEX($B$22:$O$22,MATCH(P48,$B$20:$O$20,0)))</f>
        <v>#NAME?</v>
      </c>
      <c r="Q49" s="223" t="e">
        <f aca="false">MAX(P49,INDEX($B$22:$O$22,MATCH(Q48,$B$20:$O$20,0)))</f>
        <v>#NAME?</v>
      </c>
      <c r="R49" s="224" t="e">
        <f aca="false">AVERAGE(B49:E49)</f>
        <v>#NAME?</v>
      </c>
      <c r="S49" s="224" t="e">
        <f aca="false">AVERAGE(F49:Q49)</f>
        <v>#NAME?</v>
      </c>
      <c r="T49" s="186"/>
    </row>
    <row r="50" customFormat="false" ht="14.25" hidden="false" customHeight="true" outlineLevel="0" collapsed="false">
      <c r="A50" s="185" t="s">
        <v>1707</v>
      </c>
      <c r="B50" s="223" t="n">
        <f aca="false">$C$9</f>
        <v>2</v>
      </c>
      <c r="C50" s="223" t="n">
        <f aca="false">$C$9</f>
        <v>2</v>
      </c>
      <c r="D50" s="223" t="n">
        <f aca="false">$C$9</f>
        <v>2</v>
      </c>
      <c r="E50" s="223" t="n">
        <f aca="false">$C$9</f>
        <v>2</v>
      </c>
      <c r="F50" s="223" t="n">
        <f aca="false">$C$9</f>
        <v>2</v>
      </c>
      <c r="G50" s="223" t="n">
        <f aca="false">$C$9</f>
        <v>2</v>
      </c>
      <c r="H50" s="223" t="n">
        <f aca="false">$C$9</f>
        <v>2</v>
      </c>
      <c r="I50" s="223" t="n">
        <f aca="false">$C$9</f>
        <v>2</v>
      </c>
      <c r="J50" s="223" t="n">
        <f aca="false">$C$9</f>
        <v>2</v>
      </c>
      <c r="K50" s="223" t="n">
        <f aca="false">$C$9</f>
        <v>2</v>
      </c>
      <c r="L50" s="223" t="n">
        <f aca="false">$C$9</f>
        <v>2</v>
      </c>
      <c r="M50" s="223" t="n">
        <f aca="false">$C$9</f>
        <v>2</v>
      </c>
      <c r="N50" s="223" t="n">
        <f aca="false">$C$9</f>
        <v>2</v>
      </c>
      <c r="O50" s="223" t="n">
        <f aca="false">$C$9</f>
        <v>2</v>
      </c>
      <c r="P50" s="223" t="n">
        <f aca="false">$C$9</f>
        <v>2</v>
      </c>
      <c r="Q50" s="223" t="n">
        <f aca="false">$C$9</f>
        <v>2</v>
      </c>
      <c r="R50" s="224" t="n">
        <f aca="false">AVERAGE(B50:E50)</f>
        <v>2</v>
      </c>
      <c r="S50" s="224" t="n">
        <f aca="false">AVERAGE(F50:Q50)</f>
        <v>2</v>
      </c>
      <c r="T50" s="186"/>
    </row>
    <row r="51" customFormat="false" ht="14.25" hidden="false" customHeight="true" outlineLevel="0" collapsed="false">
      <c r="A51" s="185" t="s">
        <v>1728</v>
      </c>
      <c r="B51" s="223" t="e">
        <f aca="false">MAX(0,B49-B50)</f>
        <v>#NAME?</v>
      </c>
      <c r="C51" s="223" t="e">
        <f aca="false">MAX(0,C49-C50)</f>
        <v>#NAME?</v>
      </c>
      <c r="D51" s="223" t="e">
        <f aca="false">MAX(0,D49-D50)</f>
        <v>#NAME?</v>
      </c>
      <c r="E51" s="223" t="e">
        <f aca="false">MAX(0,E49-E50)</f>
        <v>#NAME?</v>
      </c>
      <c r="F51" s="223" t="e">
        <f aca="false">MAX(0,F49-F50)</f>
        <v>#NAME?</v>
      </c>
      <c r="G51" s="223" t="e">
        <f aca="false">MAX(0,G49-G50)</f>
        <v>#NAME?</v>
      </c>
      <c r="H51" s="223" t="e">
        <f aca="false">MAX(0,H49-H50)</f>
        <v>#NAME?</v>
      </c>
      <c r="I51" s="223" t="e">
        <f aca="false">MAX(0,I49-I50)</f>
        <v>#NAME?</v>
      </c>
      <c r="J51" s="223" t="e">
        <f aca="false">MAX(0,J49-J50)</f>
        <v>#NAME?</v>
      </c>
      <c r="K51" s="223" t="e">
        <f aca="false">MAX(0,K49-K50)</f>
        <v>#NAME?</v>
      </c>
      <c r="L51" s="223" t="e">
        <f aca="false">MAX(0,L49-L50)</f>
        <v>#NAME?</v>
      </c>
      <c r="M51" s="223" t="e">
        <f aca="false">MAX(0,M49-M50)</f>
        <v>#NAME?</v>
      </c>
      <c r="N51" s="223" t="e">
        <f aca="false">MAX(0,N49-N50)</f>
        <v>#NAME?</v>
      </c>
      <c r="O51" s="223" t="e">
        <f aca="false">MAX(0,O49-O50)</f>
        <v>#NAME?</v>
      </c>
      <c r="P51" s="223" t="e">
        <f aca="false">MAX(0,P49-P50)</f>
        <v>#NAME?</v>
      </c>
      <c r="Q51" s="223" t="e">
        <f aca="false">MAX(0,Q49-Q50)</f>
        <v>#NAME?</v>
      </c>
      <c r="R51" s="224" t="e">
        <f aca="false">AVERAGE(B51:E51)</f>
        <v>#NAME?</v>
      </c>
      <c r="S51" s="224" t="e">
        <f aca="false">AVERAGE(F51:Q51)</f>
        <v>#NAME?</v>
      </c>
      <c r="T51" s="186"/>
    </row>
    <row r="52" customFormat="false" ht="14.25" hidden="false" customHeight="true" outlineLevel="0" collapsed="false">
      <c r="A52" s="185" t="s">
        <v>1744</v>
      </c>
      <c r="B52" s="223" t="e">
        <f aca="false">B50+B51</f>
        <v>#NAME?</v>
      </c>
      <c r="C52" s="223" t="e">
        <f aca="false">C50+C51</f>
        <v>#NAME?</v>
      </c>
      <c r="D52" s="223" t="e">
        <f aca="false">D50+D51</f>
        <v>#NAME?</v>
      </c>
      <c r="E52" s="223" t="e">
        <f aca="false">E50+E51</f>
        <v>#NAME?</v>
      </c>
      <c r="F52" s="223" t="e">
        <f aca="false">F50+F51</f>
        <v>#NAME?</v>
      </c>
      <c r="G52" s="223" t="e">
        <f aca="false">G50+G51</f>
        <v>#NAME?</v>
      </c>
      <c r="H52" s="223" t="e">
        <f aca="false">H50+H51</f>
        <v>#NAME?</v>
      </c>
      <c r="I52" s="223" t="e">
        <f aca="false">I50+I51</f>
        <v>#NAME?</v>
      </c>
      <c r="J52" s="223" t="e">
        <f aca="false">J50+J51</f>
        <v>#NAME?</v>
      </c>
      <c r="K52" s="223" t="e">
        <f aca="false">K50+K51</f>
        <v>#NAME?</v>
      </c>
      <c r="L52" s="223" t="e">
        <f aca="false">L50+L51</f>
        <v>#NAME?</v>
      </c>
      <c r="M52" s="223" t="e">
        <f aca="false">M50+M51</f>
        <v>#NAME?</v>
      </c>
      <c r="N52" s="223" t="e">
        <f aca="false">N50+N51</f>
        <v>#NAME?</v>
      </c>
      <c r="O52" s="223" t="e">
        <f aca="false">O50+O51</f>
        <v>#NAME?</v>
      </c>
      <c r="P52" s="223" t="e">
        <f aca="false">P50+P51</f>
        <v>#NAME?</v>
      </c>
      <c r="Q52" s="223" t="e">
        <f aca="false">Q50+Q51</f>
        <v>#NAME?</v>
      </c>
      <c r="R52" s="224" t="e">
        <f aca="false">AVERAGE(B52:E52)</f>
        <v>#NAME?</v>
      </c>
      <c r="S52" s="224" t="e">
        <f aca="false">AVERAGE(F52:Q52)</f>
        <v>#NAME?</v>
      </c>
      <c r="T52" s="186" t="s">
        <v>1730</v>
      </c>
    </row>
    <row r="53" customFormat="false" ht="14.25" hidden="false" customHeight="true" outlineLevel="0" collapsed="false">
      <c r="A53" s="185" t="s">
        <v>1649</v>
      </c>
      <c r="B53" s="225" t="e">
        <f aca="false">B52*$C$5/12+IF(B$24&gt;=$M$6,MIN(B52,INDEX($B52:$Q52,IFERROR(MATCH(EOMONTH($M$6,-$M$9-1),$B$24:$Q$24,0),1)))*$C$5/12*$M$5,0)</f>
        <v>#NAME?</v>
      </c>
      <c r="C53" s="225" t="e">
        <f aca="false">C52*$C$5/12+IF(C$24&gt;=$M$6,MIN(C52,INDEX($B52:$Q52,IFERROR(MATCH(EOMONTH($M$6,-$M$9-1),$B$24:$Q$24,0),1)))*$C$5/12*$M$5,0)</f>
        <v>#NAME?</v>
      </c>
      <c r="D53" s="225" t="e">
        <f aca="false">D52*$C$5/12+IF(D$24&gt;=$M$6,MIN(D52,INDEX($B52:$Q52,IFERROR(MATCH(EOMONTH($M$6,-$M$9-1),$B$24:$Q$24,0),1)))*$C$5/12*$M$5,0)</f>
        <v>#NAME?</v>
      </c>
      <c r="E53" s="225" t="e">
        <f aca="false">E52*$C$5/12+IF(E$24&gt;=$M$6,MIN(E52,INDEX($B52:$Q52,IFERROR(MATCH(EOMONTH($M$6,-$M$9-1),$B$24:$Q$24,0),1)))*$C$5/12*$M$5,0)</f>
        <v>#NAME?</v>
      </c>
      <c r="F53" s="225" t="e">
        <f aca="false">F52*$C$5/12+IF(F$24&gt;=$M$6,MIN(F52,INDEX($B52:$Q52,IFERROR(MATCH(EOMONTH($M$6,-$M$9-1),$B$24:$Q$24,0),1)))*$C$5/12*$M$5,0)</f>
        <v>#NAME?</v>
      </c>
      <c r="G53" s="225" t="e">
        <f aca="false">G52*$C$5/12+IF(G$24&gt;=$M$6,MIN(G52,INDEX($B52:$Q52,IFERROR(MATCH(EOMONTH($M$6,-$M$9-1),$B$24:$Q$24,0),1)))*$C$5/12*$M$5,0)</f>
        <v>#NAME?</v>
      </c>
      <c r="H53" s="225" t="e">
        <f aca="false">H52*$C$5/12+IF(H$24&gt;=$M$6,MIN(H52,INDEX($B52:$Q52,IFERROR(MATCH(EOMONTH($M$6,-$M$9-1),$B$24:$Q$24,0),1)))*$C$5/12*$M$5,0)</f>
        <v>#NAME?</v>
      </c>
      <c r="I53" s="225" t="e">
        <f aca="false">I52*$C$5/12+IF(I$24&gt;=$M$6,MIN(I52,INDEX($B52:$Q52,IFERROR(MATCH(EOMONTH($M$6,-$M$9-1),$B$24:$Q$24,0),1)))*$C$5/12*$M$5,0)</f>
        <v>#NAME?</v>
      </c>
      <c r="J53" s="225" t="e">
        <f aca="false">J52*$C$5/12+IF(J$24&gt;=$M$6,MIN(J52,INDEX($B52:$Q52,IFERROR(MATCH(EOMONTH($M$6,-$M$9-1),$B$24:$Q$24,0),1)))*$C$5/12*$M$5,0)</f>
        <v>#NAME?</v>
      </c>
      <c r="K53" s="225" t="e">
        <f aca="false">K52*$C$5/12+IF(K$24&gt;=$M$6,MIN(K52,INDEX($B52:$Q52,IFERROR(MATCH(EOMONTH($M$6,-$M$9-1),$B$24:$Q$24,0),1)))*$C$5/12*$M$5,0)</f>
        <v>#NAME?</v>
      </c>
      <c r="L53" s="225" t="e">
        <f aca="false">L52*$C$5/12+IF(L$24&gt;=$M$6,MIN(L52,INDEX($B52:$Q52,IFERROR(MATCH(EOMONTH($M$6,-$M$9-1),$B$24:$Q$24,0),1)))*$C$5/12*$M$5,0)</f>
        <v>#NAME?</v>
      </c>
      <c r="M53" s="225" t="e">
        <f aca="false">M52*$C$5/12+IF(M$24&gt;=$M$6,MIN(M52,INDEX($B52:$Q52,IFERROR(MATCH(EOMONTH($M$6,-$M$9-1),$B$24:$Q$24,0),1)))*$C$5/12*$M$5,0)</f>
        <v>#NAME?</v>
      </c>
      <c r="N53" s="225" t="e">
        <f aca="false">N52*$C$5/12+IF(N$24&gt;=$M$6,MIN(N52,INDEX($B52:$Q52,IFERROR(MATCH(EOMONTH($M$6,-$M$9-1),$B$24:$Q$24,0),1)))*$C$5/12*$M$5,0)</f>
        <v>#NAME?</v>
      </c>
      <c r="O53" s="225" t="e">
        <f aca="false">O52*$C$5/12+IF(O$24&gt;=$M$6,MIN(O52,INDEX($B52:$Q52,IFERROR(MATCH(EOMONTH($M$6,-$M$9-1),$B$24:$Q$24,0),1)))*$C$5/12*$M$5,0)</f>
        <v>#NAME?</v>
      </c>
      <c r="P53" s="225" t="e">
        <f aca="false">P52*$C$5/12+IF(P$24&gt;=$M$6,MIN(P52,INDEX($B52:$Q52,IFERROR(MATCH(EOMONTH($M$6,-$M$9-1),$B$24:$Q$24,0),1)))*$C$5/12*$M$5,0)</f>
        <v>#NAME?</v>
      </c>
      <c r="Q53" s="225" t="e">
        <f aca="false">Q52*$C$5/12+IF(Q$24&gt;=$M$6,MIN(Q52,INDEX($B52:$Q52,IFERROR(MATCH(EOMONTH($M$6,-$M$9-1),$B$24:$Q$24,0),1)))*$C$5/12*$M$5,0)</f>
        <v>#NAME?</v>
      </c>
      <c r="R53" s="226" t="e">
        <f aca="false">SUM(B53:E53)</f>
        <v>#NAME?</v>
      </c>
      <c r="S53" s="226" t="e">
        <f aca="false">SUM(F53:Q53)</f>
        <v>#NAME?</v>
      </c>
    </row>
    <row r="54" customFormat="false" ht="14.25" hidden="false" customHeight="true" outlineLevel="0" collapsed="false">
      <c r="A54" s="185" t="s">
        <v>1731</v>
      </c>
      <c r="B54" s="227" t="n">
        <v>0.05</v>
      </c>
      <c r="C54" s="227" t="n">
        <v>0.05</v>
      </c>
      <c r="D54" s="227" t="n">
        <v>0.06</v>
      </c>
      <c r="E54" s="227" t="n">
        <v>0.08</v>
      </c>
      <c r="F54" s="227" t="n">
        <v>0.05</v>
      </c>
      <c r="G54" s="227" t="n">
        <v>0.05</v>
      </c>
      <c r="H54" s="227" t="n">
        <v>0.05</v>
      </c>
      <c r="I54" s="227" t="n">
        <v>0.05</v>
      </c>
      <c r="J54" s="227" t="n">
        <v>0.06</v>
      </c>
      <c r="K54" s="227" t="n">
        <v>0.07</v>
      </c>
      <c r="L54" s="227" t="n">
        <v>0.08</v>
      </c>
      <c r="M54" s="227" t="n">
        <v>0.07</v>
      </c>
      <c r="N54" s="227" t="n">
        <v>0.05</v>
      </c>
      <c r="O54" s="227" t="n">
        <v>0.05</v>
      </c>
      <c r="P54" s="227" t="n">
        <v>0.06</v>
      </c>
      <c r="Q54" s="227" t="n">
        <v>0.08</v>
      </c>
      <c r="R54" s="228" t="n">
        <f aca="false">IFERROR(R55/R53,0)</f>
        <v>0</v>
      </c>
      <c r="S54" s="228" t="n">
        <f aca="false">IFERROR(S55/S53,0)</f>
        <v>0</v>
      </c>
      <c r="T54" s="186" t="s">
        <v>1732</v>
      </c>
    </row>
    <row r="55" customFormat="false" ht="14.25" hidden="false" customHeight="true" outlineLevel="0" collapsed="false">
      <c r="A55" s="185" t="s">
        <v>1733</v>
      </c>
      <c r="B55" s="225" t="e">
        <f aca="false">B53*B54</f>
        <v>#NAME?</v>
      </c>
      <c r="C55" s="225" t="e">
        <f aca="false">C53*C54</f>
        <v>#NAME?</v>
      </c>
      <c r="D55" s="225" t="e">
        <f aca="false">D53*D54</f>
        <v>#NAME?</v>
      </c>
      <c r="E55" s="225" t="e">
        <f aca="false">E53*E54</f>
        <v>#NAME?</v>
      </c>
      <c r="F55" s="225" t="e">
        <f aca="false">F53*F54</f>
        <v>#NAME?</v>
      </c>
      <c r="G55" s="225" t="e">
        <f aca="false">G53*G54</f>
        <v>#NAME?</v>
      </c>
      <c r="H55" s="225" t="e">
        <f aca="false">H53*H54</f>
        <v>#NAME?</v>
      </c>
      <c r="I55" s="225" t="e">
        <f aca="false">I53*I54</f>
        <v>#NAME?</v>
      </c>
      <c r="J55" s="225" t="e">
        <f aca="false">J53*J54</f>
        <v>#NAME?</v>
      </c>
      <c r="K55" s="225" t="e">
        <f aca="false">K53*K54</f>
        <v>#NAME?</v>
      </c>
      <c r="L55" s="225" t="e">
        <f aca="false">L53*L54</f>
        <v>#NAME?</v>
      </c>
      <c r="M55" s="225" t="e">
        <f aca="false">M53*M54</f>
        <v>#NAME?</v>
      </c>
      <c r="N55" s="225" t="e">
        <f aca="false">N53*N54</f>
        <v>#NAME?</v>
      </c>
      <c r="O55" s="225" t="e">
        <f aca="false">O53*O54</f>
        <v>#NAME?</v>
      </c>
      <c r="P55" s="225" t="e">
        <f aca="false">P53*P54</f>
        <v>#NAME?</v>
      </c>
      <c r="Q55" s="225" t="e">
        <f aca="false">Q53*Q54</f>
        <v>#NAME?</v>
      </c>
      <c r="R55" s="226" t="e">
        <f aca="false">SUM(B55:E55)</f>
        <v>#NAME?</v>
      </c>
      <c r="S55" s="226" t="e">
        <f aca="false">SUM(F55:Q55)</f>
        <v>#NAME?</v>
      </c>
    </row>
    <row r="56" customFormat="false" ht="14.25" hidden="false" customHeight="true" outlineLevel="0" collapsed="false">
      <c r="A56" s="185" t="s">
        <v>1734</v>
      </c>
      <c r="B56" s="227" t="n">
        <v>0</v>
      </c>
      <c r="C56" s="227" t="n">
        <v>0</v>
      </c>
      <c r="D56" s="227" t="n">
        <v>0</v>
      </c>
      <c r="E56" s="227" t="n">
        <v>0</v>
      </c>
      <c r="F56" s="227" t="n">
        <v>0</v>
      </c>
      <c r="G56" s="227" t="n">
        <v>0</v>
      </c>
      <c r="H56" s="227" t="n">
        <v>0</v>
      </c>
      <c r="I56" s="227" t="n">
        <v>0</v>
      </c>
      <c r="J56" s="227" t="n">
        <v>0</v>
      </c>
      <c r="K56" s="227" t="n">
        <v>0</v>
      </c>
      <c r="L56" s="227" t="n">
        <v>0</v>
      </c>
      <c r="M56" s="227" t="n">
        <v>0</v>
      </c>
      <c r="N56" s="227" t="n">
        <v>0</v>
      </c>
      <c r="O56" s="227" t="n">
        <v>0</v>
      </c>
      <c r="P56" s="227" t="n">
        <v>0</v>
      </c>
      <c r="Q56" s="227" t="n">
        <v>0</v>
      </c>
      <c r="R56" s="228" t="n">
        <f aca="false">IFERROR(R57/R53/$M$10,0)</f>
        <v>0</v>
      </c>
      <c r="S56" s="228" t="n">
        <f aca="false">IFERROR(S57/S53/$M$10,0)</f>
        <v>0</v>
      </c>
      <c r="T56" s="186" t="s">
        <v>1732</v>
      </c>
    </row>
    <row r="57" customFormat="false" ht="14.25" hidden="false" customHeight="true" outlineLevel="0" collapsed="false">
      <c r="A57" s="185" t="s">
        <v>1735</v>
      </c>
      <c r="B57" s="225" t="e">
        <f aca="false">B53*B56*$M$10</f>
        <v>#NAME?</v>
      </c>
      <c r="C57" s="225" t="e">
        <f aca="false">C53*C56*$M$10</f>
        <v>#NAME?</v>
      </c>
      <c r="D57" s="225" t="e">
        <f aca="false">D53*D56*$M$10</f>
        <v>#NAME?</v>
      </c>
      <c r="E57" s="225" t="e">
        <f aca="false">E53*E56*$M$10</f>
        <v>#NAME?</v>
      </c>
      <c r="F57" s="225" t="e">
        <f aca="false">F53*F56*$M$10</f>
        <v>#NAME?</v>
      </c>
      <c r="G57" s="225" t="e">
        <f aca="false">G53*G56*$M$10</f>
        <v>#NAME?</v>
      </c>
      <c r="H57" s="225" t="e">
        <f aca="false">H53*H56*$M$10</f>
        <v>#NAME?</v>
      </c>
      <c r="I57" s="225" t="e">
        <f aca="false">I53*I56*$M$10</f>
        <v>#NAME?</v>
      </c>
      <c r="J57" s="225" t="e">
        <f aca="false">J53*J56*$M$10</f>
        <v>#NAME?</v>
      </c>
      <c r="K57" s="225" t="e">
        <f aca="false">K53*K56*$M$10</f>
        <v>#NAME?</v>
      </c>
      <c r="L57" s="225" t="e">
        <f aca="false">L53*L56*$M$10</f>
        <v>#NAME?</v>
      </c>
      <c r="M57" s="225" t="e">
        <f aca="false">M53*M56*$M$10</f>
        <v>#NAME?</v>
      </c>
      <c r="N57" s="225" t="e">
        <f aca="false">N53*N56*$M$10</f>
        <v>#NAME?</v>
      </c>
      <c r="O57" s="225" t="e">
        <f aca="false">O53*O56*$M$10</f>
        <v>#NAME?</v>
      </c>
      <c r="P57" s="225" t="e">
        <f aca="false">P53*P56*$M$10</f>
        <v>#NAME?</v>
      </c>
      <c r="Q57" s="225" t="e">
        <f aca="false">Q53*Q56*$M$10</f>
        <v>#NAME?</v>
      </c>
      <c r="R57" s="226" t="e">
        <f aca="false">SUM(B57:E57)</f>
        <v>#NAME?</v>
      </c>
      <c r="S57" s="226" t="e">
        <f aca="false">SUM(F57:Q57)</f>
        <v>#NAME?</v>
      </c>
    </row>
    <row r="58" customFormat="false" ht="14.25" hidden="false" customHeight="true" outlineLevel="0" collapsed="false">
      <c r="A58" s="185" t="s">
        <v>1650</v>
      </c>
      <c r="B58" s="225" t="e">
        <f aca="false">(B53+B55+B57)*$C$6</f>
        <v>#NAME?</v>
      </c>
      <c r="C58" s="225" t="e">
        <f aca="false">(C53+C55+C57)*$C$6</f>
        <v>#NAME?</v>
      </c>
      <c r="D58" s="225" t="e">
        <f aca="false">(D53+D55+D57)*$C$6</f>
        <v>#NAME?</v>
      </c>
      <c r="E58" s="225" t="e">
        <f aca="false">(E53+E55+E57)*$C$6</f>
        <v>#NAME?</v>
      </c>
      <c r="F58" s="225" t="e">
        <f aca="false">(F53+F55+F57)*$C$6</f>
        <v>#NAME?</v>
      </c>
      <c r="G58" s="225" t="e">
        <f aca="false">(G53+G55+G57)*$C$6</f>
        <v>#NAME?</v>
      </c>
      <c r="H58" s="225" t="e">
        <f aca="false">(H53+H55+H57)*$C$6</f>
        <v>#NAME?</v>
      </c>
      <c r="I58" s="225" t="e">
        <f aca="false">(I53+I55+I57)*$C$6</f>
        <v>#NAME?</v>
      </c>
      <c r="J58" s="225" t="e">
        <f aca="false">(J53+J55+J57)*$C$6</f>
        <v>#NAME?</v>
      </c>
      <c r="K58" s="225" t="e">
        <f aca="false">(K53+K55+K57)*$C$6</f>
        <v>#NAME?</v>
      </c>
      <c r="L58" s="225" t="e">
        <f aca="false">(L53+L55+L57)*$C$6</f>
        <v>#NAME?</v>
      </c>
      <c r="M58" s="225" t="e">
        <f aca="false">(M53+M55+M57)*$C$6</f>
        <v>#NAME?</v>
      </c>
      <c r="N58" s="225" t="e">
        <f aca="false">(N53+N55+N57)*$C$6</f>
        <v>#NAME?</v>
      </c>
      <c r="O58" s="225" t="e">
        <f aca="false">(O53+O55+O57)*$C$6</f>
        <v>#NAME?</v>
      </c>
      <c r="P58" s="225" t="e">
        <f aca="false">(P53+P55+P57)*$C$6</f>
        <v>#NAME?</v>
      </c>
      <c r="Q58" s="225" t="e">
        <f aca="false">(Q53+Q55+Q57)*$C$6</f>
        <v>#NAME?</v>
      </c>
      <c r="R58" s="226" t="e">
        <f aca="false">SUM(B58:E58)</f>
        <v>#NAME?</v>
      </c>
      <c r="S58" s="226" t="e">
        <f aca="false">SUM(F58:Q58)</f>
        <v>#NAME?</v>
      </c>
    </row>
    <row r="59" customFormat="false" ht="14.25" hidden="false" customHeight="true" outlineLevel="0" collapsed="false">
      <c r="A59" s="185" t="s">
        <v>1390</v>
      </c>
      <c r="B59" s="225" t="e">
        <f aca="false">B53*$C$7</f>
        <v>#NAME?</v>
      </c>
      <c r="C59" s="225" t="e">
        <f aca="false">C53*$C$7</f>
        <v>#NAME?</v>
      </c>
      <c r="D59" s="225" t="e">
        <f aca="false">D53*$C$7</f>
        <v>#NAME?</v>
      </c>
      <c r="E59" s="225" t="e">
        <f aca="false">E53*$C$7</f>
        <v>#NAME?</v>
      </c>
      <c r="F59" s="225" t="e">
        <f aca="false">F53*$C$7</f>
        <v>#NAME?</v>
      </c>
      <c r="G59" s="225" t="e">
        <f aca="false">G53*$C$7</f>
        <v>#NAME?</v>
      </c>
      <c r="H59" s="225" t="e">
        <f aca="false">H53*$C$7</f>
        <v>#NAME?</v>
      </c>
      <c r="I59" s="225" t="e">
        <f aca="false">I53*$C$7</f>
        <v>#NAME?</v>
      </c>
      <c r="J59" s="225" t="e">
        <f aca="false">J53*$C$7</f>
        <v>#NAME?</v>
      </c>
      <c r="K59" s="225" t="e">
        <f aca="false">K53*$C$7</f>
        <v>#NAME?</v>
      </c>
      <c r="L59" s="225" t="e">
        <f aca="false">L53*$C$7</f>
        <v>#NAME?</v>
      </c>
      <c r="M59" s="225" t="e">
        <f aca="false">M53*$C$7</f>
        <v>#NAME?</v>
      </c>
      <c r="N59" s="225" t="e">
        <f aca="false">N53*$C$7</f>
        <v>#NAME?</v>
      </c>
      <c r="O59" s="225" t="e">
        <f aca="false">O53*$C$7</f>
        <v>#NAME?</v>
      </c>
      <c r="P59" s="225" t="e">
        <f aca="false">P53*$C$7</f>
        <v>#NAME?</v>
      </c>
      <c r="Q59" s="225" t="e">
        <f aca="false">Q53*$C$7</f>
        <v>#NAME?</v>
      </c>
      <c r="R59" s="226" t="e">
        <f aca="false">SUM(B59:E59)</f>
        <v>#NAME?</v>
      </c>
      <c r="S59" s="226" t="e">
        <f aca="false">SUM(F59:Q59)</f>
        <v>#NAME?</v>
      </c>
    </row>
    <row r="60" customFormat="false" ht="14.25" hidden="false" customHeight="true" outlineLevel="0" collapsed="false">
      <c r="A60" s="185" t="s">
        <v>1745</v>
      </c>
      <c r="B60" s="223" t="e">
        <f aca="false">B51</f>
        <v>#NAME?</v>
      </c>
      <c r="C60" s="223" t="e">
        <f aca="false">MAX(0,C51-B51)</f>
        <v>#NAME?</v>
      </c>
      <c r="D60" s="223" t="e">
        <f aca="false">MAX(0,D51-C51)</f>
        <v>#NAME?</v>
      </c>
      <c r="E60" s="223" t="e">
        <f aca="false">MAX(0,E51-D51)</f>
        <v>#NAME?</v>
      </c>
      <c r="F60" s="223" t="e">
        <f aca="false">MAX(0,F51-E51)</f>
        <v>#NAME?</v>
      </c>
      <c r="G60" s="223" t="e">
        <f aca="false">MAX(0,G51-F51)</f>
        <v>#NAME?</v>
      </c>
      <c r="H60" s="223" t="e">
        <f aca="false">MAX(0,H51-G51)</f>
        <v>#NAME?</v>
      </c>
      <c r="I60" s="223" t="e">
        <f aca="false">MAX(0,I51-H51)</f>
        <v>#NAME?</v>
      </c>
      <c r="J60" s="223" t="e">
        <f aca="false">MAX(0,J51-I51)</f>
        <v>#NAME?</v>
      </c>
      <c r="K60" s="223" t="e">
        <f aca="false">MAX(0,K51-J51)</f>
        <v>#NAME?</v>
      </c>
      <c r="L60" s="223" t="e">
        <f aca="false">MAX(0,L51-K51)</f>
        <v>#NAME?</v>
      </c>
      <c r="M60" s="223" t="e">
        <f aca="false">MAX(0,M51-L51)</f>
        <v>#NAME?</v>
      </c>
      <c r="N60" s="223" t="e">
        <f aca="false">MAX(0,N51-M51)</f>
        <v>#NAME?</v>
      </c>
      <c r="O60" s="223" t="e">
        <f aca="false">MAX(0,O51-N51)</f>
        <v>#NAME?</v>
      </c>
      <c r="P60" s="223" t="e">
        <f aca="false">MAX(0,P51-O51)</f>
        <v>#NAME?</v>
      </c>
      <c r="Q60" s="223" t="e">
        <f aca="false">MAX(0,Q51-P51)</f>
        <v>#NAME?</v>
      </c>
      <c r="R60" s="224" t="e">
        <f aca="false">SUM(B60:E60)</f>
        <v>#NAME?</v>
      </c>
      <c r="S60" s="224" t="e">
        <f aca="false">SUM(F60:Q60)</f>
        <v>#NAME?</v>
      </c>
      <c r="T60" s="186"/>
    </row>
    <row r="61" customFormat="false" ht="14.25" hidden="false" customHeight="true" outlineLevel="0" collapsed="false">
      <c r="A61" s="185" t="s">
        <v>1657</v>
      </c>
      <c r="B61" s="225" t="e">
        <f aca="false">B60*$M$7</f>
        <v>#NAME?</v>
      </c>
      <c r="C61" s="225" t="e">
        <f aca="false">C60*$M$7</f>
        <v>#NAME?</v>
      </c>
      <c r="D61" s="225" t="e">
        <f aca="false">D60*$M$7</f>
        <v>#NAME?</v>
      </c>
      <c r="E61" s="225" t="e">
        <f aca="false">E60*$M$7</f>
        <v>#NAME?</v>
      </c>
      <c r="F61" s="225" t="e">
        <f aca="false">F60*$M$7</f>
        <v>#NAME?</v>
      </c>
      <c r="G61" s="225" t="e">
        <f aca="false">G60*$M$7</f>
        <v>#NAME?</v>
      </c>
      <c r="H61" s="225" t="e">
        <f aca="false">H60*$M$7</f>
        <v>#NAME?</v>
      </c>
      <c r="I61" s="225" t="e">
        <f aca="false">I60*$M$7</f>
        <v>#NAME?</v>
      </c>
      <c r="J61" s="225" t="e">
        <f aca="false">J60*$M$7</f>
        <v>#NAME?</v>
      </c>
      <c r="K61" s="225" t="e">
        <f aca="false">K60*$M$7</f>
        <v>#NAME?</v>
      </c>
      <c r="L61" s="225" t="e">
        <f aca="false">L60*$M$7</f>
        <v>#NAME?</v>
      </c>
      <c r="M61" s="225" t="e">
        <f aca="false">M60*$M$7</f>
        <v>#NAME?</v>
      </c>
      <c r="N61" s="225" t="e">
        <f aca="false">N60*$M$7</f>
        <v>#NAME?</v>
      </c>
      <c r="O61" s="225" t="e">
        <f aca="false">O60*$M$7</f>
        <v>#NAME?</v>
      </c>
      <c r="P61" s="225" t="e">
        <f aca="false">P60*$M$7</f>
        <v>#NAME?</v>
      </c>
      <c r="Q61" s="225" t="e">
        <f aca="false">Q60*$M$7</f>
        <v>#NAME?</v>
      </c>
      <c r="R61" s="226" t="e">
        <f aca="false">SUM(B61:E61)</f>
        <v>#NAME?</v>
      </c>
      <c r="S61" s="226" t="e">
        <f aca="false">SUM(F61:Q61)</f>
        <v>#NAME?</v>
      </c>
    </row>
    <row r="62" customFormat="false" ht="14.25" hidden="false" customHeight="true" outlineLevel="0" collapsed="false">
      <c r="A62" s="229" t="s">
        <v>1746</v>
      </c>
      <c r="B62" s="230" t="e">
        <f aca="false">B53+B55+B57+B58+B59+B61</f>
        <v>#NAME?</v>
      </c>
      <c r="C62" s="230" t="e">
        <f aca="false">C53+C55+C57+C58+C59+C61</f>
        <v>#NAME?</v>
      </c>
      <c r="D62" s="230" t="e">
        <f aca="false">D53+D55+D57+D58+D59+D61</f>
        <v>#NAME?</v>
      </c>
      <c r="E62" s="230" t="e">
        <f aca="false">E53+E55+E57+E58+E59+E61</f>
        <v>#NAME?</v>
      </c>
      <c r="F62" s="230" t="e">
        <f aca="false">F53+F55+F57+F58+F59+F61</f>
        <v>#NAME?</v>
      </c>
      <c r="G62" s="230" t="e">
        <f aca="false">G53+G55+G57+G58+G59+G61</f>
        <v>#NAME?</v>
      </c>
      <c r="H62" s="230" t="e">
        <f aca="false">H53+H55+H57+H58+H59+H61</f>
        <v>#NAME?</v>
      </c>
      <c r="I62" s="230" t="e">
        <f aca="false">I53+I55+I57+I58+I59+I61</f>
        <v>#NAME?</v>
      </c>
      <c r="J62" s="230" t="e">
        <f aca="false">J53+J55+J57+J58+J59+J61</f>
        <v>#NAME?</v>
      </c>
      <c r="K62" s="230" t="e">
        <f aca="false">K53+K55+K57+K58+K59+K61</f>
        <v>#NAME?</v>
      </c>
      <c r="L62" s="230" t="e">
        <f aca="false">L53+L55+L57+L58+L59+L61</f>
        <v>#NAME?</v>
      </c>
      <c r="M62" s="230" t="e">
        <f aca="false">M53+M55+M57+M58+M59+M61</f>
        <v>#NAME?</v>
      </c>
      <c r="N62" s="230" t="e">
        <f aca="false">N53+N55+N57+N58+N59+N61</f>
        <v>#NAME?</v>
      </c>
      <c r="O62" s="230" t="e">
        <f aca="false">O53+O55+O57+O58+O59+O61</f>
        <v>#NAME?</v>
      </c>
      <c r="P62" s="230" t="e">
        <f aca="false">P53+P55+P57+P58+P59+P61</f>
        <v>#NAME?</v>
      </c>
      <c r="Q62" s="230" t="e">
        <f aca="false">Q53+Q55+Q57+Q58+Q59+Q61</f>
        <v>#NAME?</v>
      </c>
      <c r="R62" s="231" t="e">
        <f aca="false">SUM(B62:E62)</f>
        <v>#NAME?</v>
      </c>
      <c r="S62" s="231" t="e">
        <f aca="false">SUM(F62:Q62)</f>
        <v>#NAME?</v>
      </c>
    </row>
    <row r="63" customFormat="false" ht="14.25" hidden="false" customHeight="true" outlineLevel="0" collapsed="false">
      <c r="B63" s="232"/>
      <c r="C63" s="232"/>
      <c r="D63" s="232"/>
      <c r="E63" s="232"/>
      <c r="F63" s="232"/>
      <c r="G63" s="232"/>
      <c r="H63" s="232"/>
      <c r="I63" s="232"/>
      <c r="J63" s="232"/>
      <c r="K63" s="232"/>
      <c r="L63" s="232"/>
      <c r="M63" s="232"/>
      <c r="N63" s="232"/>
      <c r="O63" s="232"/>
      <c r="P63" s="232"/>
      <c r="Q63" s="232"/>
      <c r="R63" s="232"/>
      <c r="S63" s="232"/>
    </row>
    <row r="64" customFormat="false" ht="14.25" hidden="false" customHeight="true" outlineLevel="0" collapsed="false">
      <c r="A64" s="233" t="s">
        <v>1738</v>
      </c>
      <c r="B64" s="201" t="str">
        <f aca="false">IF(B47&gt;MAX($B$20:$O$20),"OVER","OK")</f>
        <v>OK</v>
      </c>
      <c r="C64" s="201" t="str">
        <f aca="false">IF(C47&gt;MAX($B$20:$O$20),"OVER","OK")</f>
        <v>OK</v>
      </c>
      <c r="D64" s="201" t="str">
        <f aca="false">IF(D47&gt;MAX($B$20:$O$20),"OVER","OK")</f>
        <v>OK</v>
      </c>
      <c r="E64" s="201" t="str">
        <f aca="false">IF(E47&gt;MAX($B$20:$O$20),"OVER","OK")</f>
        <v>OK</v>
      </c>
      <c r="F64" s="201" t="str">
        <f aca="false">IF(F47&gt;MAX($B$20:$O$20),"OVER","OK")</f>
        <v>OK</v>
      </c>
      <c r="G64" s="201" t="str">
        <f aca="false">IF(G47&gt;MAX($B$20:$O$20),"OVER","OK")</f>
        <v>OK</v>
      </c>
      <c r="H64" s="201" t="str">
        <f aca="false">IF(H47&gt;MAX($B$20:$O$20),"OVER","OK")</f>
        <v>OK</v>
      </c>
      <c r="I64" s="201" t="str">
        <f aca="false">IF(I47&gt;MAX($B$20:$O$20),"OVER","OK")</f>
        <v>OK</v>
      </c>
      <c r="J64" s="201" t="str">
        <f aca="false">IF(J47&gt;MAX($B$20:$O$20),"OVER","OK")</f>
        <v>OK</v>
      </c>
      <c r="K64" s="201" t="str">
        <f aca="false">IF(K47&gt;MAX($B$20:$O$20),"OVER","OK")</f>
        <v>OK</v>
      </c>
      <c r="L64" s="201" t="str">
        <f aca="false">IF(L47&gt;MAX($B$20:$O$20),"OVER","OK")</f>
        <v>OK</v>
      </c>
      <c r="M64" s="201" t="str">
        <f aca="false">IF(M47&gt;MAX($B$20:$O$20),"OVER","OK")</f>
        <v>OK</v>
      </c>
      <c r="N64" s="201" t="str">
        <f aca="false">IF(N47&gt;MAX($B$20:$O$20),"OVER","OK")</f>
        <v>OK</v>
      </c>
      <c r="O64" s="201" t="str">
        <f aca="false">IF(O47&gt;MAX($B$20:$O$20),"OVER","OK")</f>
        <v>OK</v>
      </c>
      <c r="P64" s="201" t="str">
        <f aca="false">IF(P47&gt;MAX($B$20:$O$20),"OVER","OK")</f>
        <v>OK</v>
      </c>
      <c r="Q64" s="201" t="str">
        <f aca="false">IF(Q47&gt;MAX($B$20:$O$20),"OVER","OK")</f>
        <v>OK</v>
      </c>
      <c r="R64" s="232"/>
      <c r="S64" s="232"/>
    </row>
    <row r="65" customFormat="false" ht="14.25" hidden="false" customHeight="true" outlineLevel="0" collapsed="false"/>
    <row r="66" customFormat="false" ht="14.25" hidden="false" customHeight="true" outlineLevel="0" collapsed="false">
      <c r="A66" s="214" t="s">
        <v>1747</v>
      </c>
      <c r="B66" s="215" t="n">
        <f aca="false">B$24</f>
        <v>46295</v>
      </c>
      <c r="C66" s="215" t="n">
        <f aca="false">C$24</f>
        <v>46326</v>
      </c>
      <c r="D66" s="215" t="n">
        <f aca="false">D$24</f>
        <v>46356</v>
      </c>
      <c r="E66" s="215" t="n">
        <f aca="false">E$24</f>
        <v>46387</v>
      </c>
      <c r="F66" s="215" t="n">
        <f aca="false">F$24</f>
        <v>46418</v>
      </c>
      <c r="G66" s="215" t="n">
        <f aca="false">G$24</f>
        <v>46446</v>
      </c>
      <c r="H66" s="215" t="n">
        <f aca="false">H$24</f>
        <v>46477</v>
      </c>
      <c r="I66" s="215" t="n">
        <f aca="false">I$24</f>
        <v>46507</v>
      </c>
      <c r="J66" s="215" t="n">
        <f aca="false">J$24</f>
        <v>46538</v>
      </c>
      <c r="K66" s="215" t="n">
        <f aca="false">K$24</f>
        <v>46568</v>
      </c>
      <c r="L66" s="215" t="n">
        <f aca="false">L$24</f>
        <v>46599</v>
      </c>
      <c r="M66" s="215" t="n">
        <f aca="false">M$24</f>
        <v>46630</v>
      </c>
      <c r="N66" s="215" t="n">
        <f aca="false">N$24</f>
        <v>46660</v>
      </c>
      <c r="O66" s="215" t="n">
        <f aca="false">O$24</f>
        <v>46691</v>
      </c>
      <c r="P66" s="215" t="n">
        <f aca="false">P$24</f>
        <v>46721</v>
      </c>
      <c r="Q66" s="215" t="n">
        <f aca="false">Q$24</f>
        <v>46752</v>
      </c>
      <c r="R66" s="216" t="str">
        <f aca="false">R24</f>
        <v>Sep–Dec 2026</v>
      </c>
      <c r="S66" s="216" t="str">
        <f aca="false">S24</f>
        <v>FY2027</v>
      </c>
    </row>
    <row r="67" customFormat="false" ht="14.25" hidden="false" customHeight="true" outlineLevel="0" collapsed="false">
      <c r="A67" s="185" t="s">
        <v>1748</v>
      </c>
      <c r="B67" s="223" t="e">
        <f aca="false">B31+B52</f>
        <v>#NAME?</v>
      </c>
      <c r="C67" s="223" t="e">
        <f aca="false">C31+C52</f>
        <v>#NAME?</v>
      </c>
      <c r="D67" s="223" t="e">
        <f aca="false">D31+D52</f>
        <v>#NAME?</v>
      </c>
      <c r="E67" s="223" t="e">
        <f aca="false">E31+E52</f>
        <v>#NAME?</v>
      </c>
      <c r="F67" s="223" t="e">
        <f aca="false">F31+F52</f>
        <v>#NAME?</v>
      </c>
      <c r="G67" s="223" t="e">
        <f aca="false">G31+G52</f>
        <v>#NAME?</v>
      </c>
      <c r="H67" s="223" t="e">
        <f aca="false">H31+H52</f>
        <v>#NAME?</v>
      </c>
      <c r="I67" s="223" t="e">
        <f aca="false">I31+I52</f>
        <v>#NAME?</v>
      </c>
      <c r="J67" s="223" t="e">
        <f aca="false">J31+J52</f>
        <v>#NAME?</v>
      </c>
      <c r="K67" s="223" t="e">
        <f aca="false">K31+K52</f>
        <v>#NAME?</v>
      </c>
      <c r="L67" s="223" t="e">
        <f aca="false">L31+L52</f>
        <v>#NAME?</v>
      </c>
      <c r="M67" s="223" t="e">
        <f aca="false">M31+M52</f>
        <v>#NAME?</v>
      </c>
      <c r="N67" s="223" t="e">
        <f aca="false">N31+N52</f>
        <v>#NAME?</v>
      </c>
      <c r="O67" s="223" t="e">
        <f aca="false">O31+O52</f>
        <v>#NAME?</v>
      </c>
      <c r="P67" s="223" t="e">
        <f aca="false">P31+P52</f>
        <v>#NAME?</v>
      </c>
      <c r="Q67" s="223" t="e">
        <f aca="false">Q31+Q52</f>
        <v>#NAME?</v>
      </c>
      <c r="R67" s="224" t="e">
        <f aca="false">AVERAGE(B67:E67)</f>
        <v>#NAME?</v>
      </c>
      <c r="S67" s="224" t="e">
        <f aca="false">AVERAGE(F67:Q67)</f>
        <v>#NAME?</v>
      </c>
      <c r="T67" s="186" t="s">
        <v>1730</v>
      </c>
    </row>
    <row r="68" customFormat="false" ht="14.25" hidden="false" customHeight="true" outlineLevel="0" collapsed="false">
      <c r="A68" s="185" t="s">
        <v>1676</v>
      </c>
      <c r="B68" s="223" t="e">
        <f aca="false">MAX($H$9,ROUNDUP(B67/$H$8,0))</f>
        <v>#NAME?</v>
      </c>
      <c r="C68" s="223" t="e">
        <f aca="false">MAX(B68,$H$9,ROUNDUP(C67/$H$8,0))</f>
        <v>#NAME?</v>
      </c>
      <c r="D68" s="223" t="e">
        <f aca="false">MAX(C68,$H$9,ROUNDUP(D67/$H$8,0))</f>
        <v>#NAME?</v>
      </c>
      <c r="E68" s="223" t="e">
        <f aca="false">MAX(D68,$H$9,ROUNDUP(E67/$H$8,0))</f>
        <v>#NAME?</v>
      </c>
      <c r="F68" s="223" t="e">
        <f aca="false">MAX(E68,$H$9,ROUNDUP(F67/$H$8,0))</f>
        <v>#NAME?</v>
      </c>
      <c r="G68" s="223" t="e">
        <f aca="false">MAX(F68,$H$9,ROUNDUP(G67/$H$8,0))</f>
        <v>#NAME?</v>
      </c>
      <c r="H68" s="223" t="e">
        <f aca="false">MAX(G68,$H$9,ROUNDUP(H67/$H$8,0))</f>
        <v>#NAME?</v>
      </c>
      <c r="I68" s="223" t="e">
        <f aca="false">MAX(H68,$H$9,ROUNDUP(I67/$H$8,0))</f>
        <v>#NAME?</v>
      </c>
      <c r="J68" s="223" t="e">
        <f aca="false">MAX(I68,$H$9,ROUNDUP(J67/$H$8,0))</f>
        <v>#NAME?</v>
      </c>
      <c r="K68" s="223" t="e">
        <f aca="false">MAX(J68,$H$9,ROUNDUP(K67/$H$8,0))</f>
        <v>#NAME?</v>
      </c>
      <c r="L68" s="223" t="e">
        <f aca="false">MAX(K68,$H$9,ROUNDUP(L67/$H$8,0))</f>
        <v>#NAME?</v>
      </c>
      <c r="M68" s="223" t="e">
        <f aca="false">MAX(L68,$H$9,ROUNDUP(M67/$H$8,0))</f>
        <v>#NAME?</v>
      </c>
      <c r="N68" s="223" t="e">
        <f aca="false">MAX(M68,$H$9,ROUNDUP(N67/$H$8,0))</f>
        <v>#NAME?</v>
      </c>
      <c r="O68" s="223" t="e">
        <f aca="false">MAX(N68,$H$9,ROUNDUP(O67/$H$8,0))</f>
        <v>#NAME?</v>
      </c>
      <c r="P68" s="223" t="e">
        <f aca="false">MAX(O68,$H$9,ROUNDUP(P67/$H$8,0))</f>
        <v>#NAME?</v>
      </c>
      <c r="Q68" s="223" t="e">
        <f aca="false">MAX(P68,$H$9,ROUNDUP(Q67/$H$8,0))</f>
        <v>#NAME?</v>
      </c>
      <c r="R68" s="224" t="e">
        <f aca="false">AVERAGE(B68:E68)</f>
        <v>#NAME?</v>
      </c>
      <c r="S68" s="224" t="e">
        <f aca="false">AVERAGE(F68:Q68)</f>
        <v>#NAME?</v>
      </c>
      <c r="T68" s="186"/>
    </row>
    <row r="69" customFormat="false" ht="14.25" hidden="false" customHeight="true" outlineLevel="0" collapsed="false">
      <c r="A69" s="185" t="s">
        <v>1711</v>
      </c>
      <c r="B69" s="223" t="n">
        <f aca="false">$H$10</f>
        <v>0</v>
      </c>
      <c r="C69" s="223" t="n">
        <f aca="false">$H$10</f>
        <v>0</v>
      </c>
      <c r="D69" s="223" t="n">
        <f aca="false">$H$10</f>
        <v>0</v>
      </c>
      <c r="E69" s="223" t="n">
        <f aca="false">$H$10</f>
        <v>0</v>
      </c>
      <c r="F69" s="223" t="n">
        <f aca="false">$H$10</f>
        <v>0</v>
      </c>
      <c r="G69" s="223" t="n">
        <f aca="false">$H$10</f>
        <v>0</v>
      </c>
      <c r="H69" s="223" t="n">
        <f aca="false">$H$10</f>
        <v>0</v>
      </c>
      <c r="I69" s="223" t="n">
        <f aca="false">$H$10</f>
        <v>0</v>
      </c>
      <c r="J69" s="223" t="n">
        <f aca="false">$H$10</f>
        <v>0</v>
      </c>
      <c r="K69" s="223" t="n">
        <f aca="false">$H$10</f>
        <v>0</v>
      </c>
      <c r="L69" s="223" t="n">
        <f aca="false">$H$10</f>
        <v>0</v>
      </c>
      <c r="M69" s="223" t="n">
        <f aca="false">$H$10</f>
        <v>0</v>
      </c>
      <c r="N69" s="223" t="n">
        <f aca="false">$H$10</f>
        <v>0</v>
      </c>
      <c r="O69" s="223" t="n">
        <f aca="false">$H$10</f>
        <v>0</v>
      </c>
      <c r="P69" s="223" t="n">
        <f aca="false">$H$10</f>
        <v>0</v>
      </c>
      <c r="Q69" s="223" t="n">
        <f aca="false">$H$10</f>
        <v>0</v>
      </c>
      <c r="R69" s="224" t="n">
        <f aca="false">AVERAGE(B69:E69)</f>
        <v>0</v>
      </c>
      <c r="S69" s="224" t="n">
        <f aca="false">AVERAGE(F69:Q69)</f>
        <v>0</v>
      </c>
      <c r="T69" s="186"/>
    </row>
    <row r="70" customFormat="false" ht="14.25" hidden="false" customHeight="true" outlineLevel="0" collapsed="false">
      <c r="A70" s="185" t="s">
        <v>1728</v>
      </c>
      <c r="B70" s="223" t="e">
        <f aca="false">MAX(0,B68-B69)</f>
        <v>#NAME?</v>
      </c>
      <c r="C70" s="223" t="e">
        <f aca="false">MAX(0,C68-C69)</f>
        <v>#NAME?</v>
      </c>
      <c r="D70" s="223" t="e">
        <f aca="false">MAX(0,D68-D69)</f>
        <v>#NAME?</v>
      </c>
      <c r="E70" s="223" t="e">
        <f aca="false">MAX(0,E68-E69)</f>
        <v>#NAME?</v>
      </c>
      <c r="F70" s="223" t="e">
        <f aca="false">MAX(0,F68-F69)</f>
        <v>#NAME?</v>
      </c>
      <c r="G70" s="223" t="e">
        <f aca="false">MAX(0,G68-G69)</f>
        <v>#NAME?</v>
      </c>
      <c r="H70" s="223" t="e">
        <f aca="false">MAX(0,H68-H69)</f>
        <v>#NAME?</v>
      </c>
      <c r="I70" s="223" t="e">
        <f aca="false">MAX(0,I68-I69)</f>
        <v>#NAME?</v>
      </c>
      <c r="J70" s="223" t="e">
        <f aca="false">MAX(0,J68-J69)</f>
        <v>#NAME?</v>
      </c>
      <c r="K70" s="223" t="e">
        <f aca="false">MAX(0,K68-K69)</f>
        <v>#NAME?</v>
      </c>
      <c r="L70" s="223" t="e">
        <f aca="false">MAX(0,L68-L69)</f>
        <v>#NAME?</v>
      </c>
      <c r="M70" s="223" t="e">
        <f aca="false">MAX(0,M68-M69)</f>
        <v>#NAME?</v>
      </c>
      <c r="N70" s="223" t="e">
        <f aca="false">MAX(0,N68-N69)</f>
        <v>#NAME?</v>
      </c>
      <c r="O70" s="223" t="e">
        <f aca="false">MAX(0,O68-O69)</f>
        <v>#NAME?</v>
      </c>
      <c r="P70" s="223" t="e">
        <f aca="false">MAX(0,P68-P69)</f>
        <v>#NAME?</v>
      </c>
      <c r="Q70" s="223" t="e">
        <f aca="false">MAX(0,Q68-Q69)</f>
        <v>#NAME?</v>
      </c>
      <c r="R70" s="224" t="e">
        <f aca="false">AVERAGE(B70:E70)</f>
        <v>#NAME?</v>
      </c>
      <c r="S70" s="224" t="e">
        <f aca="false">AVERAGE(F70:Q70)</f>
        <v>#NAME?</v>
      </c>
      <c r="T70" s="186"/>
    </row>
    <row r="71" customFormat="false" ht="14.25" hidden="false" customHeight="true" outlineLevel="0" collapsed="false">
      <c r="A71" s="185" t="s">
        <v>1749</v>
      </c>
      <c r="B71" s="223" t="e">
        <f aca="false">B69+B70</f>
        <v>#NAME?</v>
      </c>
      <c r="C71" s="223" t="e">
        <f aca="false">C69+C70</f>
        <v>#NAME?</v>
      </c>
      <c r="D71" s="223" t="e">
        <f aca="false">D69+D70</f>
        <v>#NAME?</v>
      </c>
      <c r="E71" s="223" t="e">
        <f aca="false">E69+E70</f>
        <v>#NAME?</v>
      </c>
      <c r="F71" s="223" t="e">
        <f aca="false">F69+F70</f>
        <v>#NAME?</v>
      </c>
      <c r="G71" s="223" t="e">
        <f aca="false">G69+G70</f>
        <v>#NAME?</v>
      </c>
      <c r="H71" s="223" t="e">
        <f aca="false">H69+H70</f>
        <v>#NAME?</v>
      </c>
      <c r="I71" s="223" t="e">
        <f aca="false">I69+I70</f>
        <v>#NAME?</v>
      </c>
      <c r="J71" s="223" t="e">
        <f aca="false">J69+J70</f>
        <v>#NAME?</v>
      </c>
      <c r="K71" s="223" t="e">
        <f aca="false">K69+K70</f>
        <v>#NAME?</v>
      </c>
      <c r="L71" s="223" t="e">
        <f aca="false">L69+L70</f>
        <v>#NAME?</v>
      </c>
      <c r="M71" s="223" t="e">
        <f aca="false">M69+M70</f>
        <v>#NAME?</v>
      </c>
      <c r="N71" s="223" t="e">
        <f aca="false">N69+N70</f>
        <v>#NAME?</v>
      </c>
      <c r="O71" s="223" t="e">
        <f aca="false">O69+O70</f>
        <v>#NAME?</v>
      </c>
      <c r="P71" s="223" t="e">
        <f aca="false">P69+P70</f>
        <v>#NAME?</v>
      </c>
      <c r="Q71" s="223" t="e">
        <f aca="false">Q69+Q70</f>
        <v>#NAME?</v>
      </c>
      <c r="R71" s="224" t="e">
        <f aca="false">AVERAGE(B71:E71)</f>
        <v>#NAME?</v>
      </c>
      <c r="S71" s="224" t="e">
        <f aca="false">AVERAGE(F71:Q71)</f>
        <v>#NAME?</v>
      </c>
      <c r="T71" s="186" t="s">
        <v>1750</v>
      </c>
    </row>
    <row r="72" customFormat="false" ht="14.25" hidden="false" customHeight="true" outlineLevel="0" collapsed="false">
      <c r="A72" s="185" t="s">
        <v>1649</v>
      </c>
      <c r="B72" s="225" t="e">
        <f aca="false">B71*$H$5/12+IF(B$24&gt;=$M$6,MIN(B71,INDEX($B71:$Q71,IFERROR(MATCH(EOMONTH($M$6,-$M$9-1),$B$24:$Q$24,0),1)))*$H$5/12*$M$5,0)</f>
        <v>#NAME?</v>
      </c>
      <c r="C72" s="225" t="e">
        <f aca="false">C71*$H$5/12+IF(C$24&gt;=$M$6,MIN(C71,INDEX($B71:$Q71,IFERROR(MATCH(EOMONTH($M$6,-$M$9-1),$B$24:$Q$24,0),1)))*$H$5/12*$M$5,0)</f>
        <v>#NAME?</v>
      </c>
      <c r="D72" s="225" t="e">
        <f aca="false">D71*$H$5/12+IF(D$24&gt;=$M$6,MIN(D71,INDEX($B71:$Q71,IFERROR(MATCH(EOMONTH($M$6,-$M$9-1),$B$24:$Q$24,0),1)))*$H$5/12*$M$5,0)</f>
        <v>#NAME?</v>
      </c>
      <c r="E72" s="225" t="e">
        <f aca="false">E71*$H$5/12+IF(E$24&gt;=$M$6,MIN(E71,INDEX($B71:$Q71,IFERROR(MATCH(EOMONTH($M$6,-$M$9-1),$B$24:$Q$24,0),1)))*$H$5/12*$M$5,0)</f>
        <v>#NAME?</v>
      </c>
      <c r="F72" s="225" t="e">
        <f aca="false">F71*$H$5/12+IF(F$24&gt;=$M$6,MIN(F71,INDEX($B71:$Q71,IFERROR(MATCH(EOMONTH($M$6,-$M$9-1),$B$24:$Q$24,0),1)))*$H$5/12*$M$5,0)</f>
        <v>#NAME?</v>
      </c>
      <c r="G72" s="225" t="e">
        <f aca="false">G71*$H$5/12+IF(G$24&gt;=$M$6,MIN(G71,INDEX($B71:$Q71,IFERROR(MATCH(EOMONTH($M$6,-$M$9-1),$B$24:$Q$24,0),1)))*$H$5/12*$M$5,0)</f>
        <v>#NAME?</v>
      </c>
      <c r="H72" s="225" t="e">
        <f aca="false">H71*$H$5/12+IF(H$24&gt;=$M$6,MIN(H71,INDEX($B71:$Q71,IFERROR(MATCH(EOMONTH($M$6,-$M$9-1),$B$24:$Q$24,0),1)))*$H$5/12*$M$5,0)</f>
        <v>#NAME?</v>
      </c>
      <c r="I72" s="225" t="e">
        <f aca="false">I71*$H$5/12+IF(I$24&gt;=$M$6,MIN(I71,INDEX($B71:$Q71,IFERROR(MATCH(EOMONTH($M$6,-$M$9-1),$B$24:$Q$24,0),1)))*$H$5/12*$M$5,0)</f>
        <v>#NAME?</v>
      </c>
      <c r="J72" s="225" t="e">
        <f aca="false">J71*$H$5/12+IF(J$24&gt;=$M$6,MIN(J71,INDEX($B71:$Q71,IFERROR(MATCH(EOMONTH($M$6,-$M$9-1),$B$24:$Q$24,0),1)))*$H$5/12*$M$5,0)</f>
        <v>#NAME?</v>
      </c>
      <c r="K72" s="225" t="e">
        <f aca="false">K71*$H$5/12+IF(K$24&gt;=$M$6,MIN(K71,INDEX($B71:$Q71,IFERROR(MATCH(EOMONTH($M$6,-$M$9-1),$B$24:$Q$24,0),1)))*$H$5/12*$M$5,0)</f>
        <v>#NAME?</v>
      </c>
      <c r="L72" s="225" t="e">
        <f aca="false">L71*$H$5/12+IF(L$24&gt;=$M$6,MIN(L71,INDEX($B71:$Q71,IFERROR(MATCH(EOMONTH($M$6,-$M$9-1),$B$24:$Q$24,0),1)))*$H$5/12*$M$5,0)</f>
        <v>#NAME?</v>
      </c>
      <c r="M72" s="225" t="e">
        <f aca="false">M71*$H$5/12+IF(M$24&gt;=$M$6,MIN(M71,INDEX($B71:$Q71,IFERROR(MATCH(EOMONTH($M$6,-$M$9-1),$B$24:$Q$24,0),1)))*$H$5/12*$M$5,0)</f>
        <v>#NAME?</v>
      </c>
      <c r="N72" s="225" t="e">
        <f aca="false">N71*$H$5/12+IF(N$24&gt;=$M$6,MIN(N71,INDEX($B71:$Q71,IFERROR(MATCH(EOMONTH($M$6,-$M$9-1),$B$24:$Q$24,0),1)))*$H$5/12*$M$5,0)</f>
        <v>#NAME?</v>
      </c>
      <c r="O72" s="225" t="e">
        <f aca="false">O71*$H$5/12+IF(O$24&gt;=$M$6,MIN(O71,INDEX($B71:$Q71,IFERROR(MATCH(EOMONTH($M$6,-$M$9-1),$B$24:$Q$24,0),1)))*$H$5/12*$M$5,0)</f>
        <v>#NAME?</v>
      </c>
      <c r="P72" s="225" t="e">
        <f aca="false">P71*$H$5/12+IF(P$24&gt;=$M$6,MIN(P71,INDEX($B71:$Q71,IFERROR(MATCH(EOMONTH($M$6,-$M$9-1),$B$24:$Q$24,0),1)))*$H$5/12*$M$5,0)</f>
        <v>#NAME?</v>
      </c>
      <c r="Q72" s="225" t="e">
        <f aca="false">Q71*$H$5/12+IF(Q$24&gt;=$M$6,MIN(Q71,INDEX($B71:$Q71,IFERROR(MATCH(EOMONTH($M$6,-$M$9-1),$B$24:$Q$24,0),1)))*$H$5/12*$M$5,0)</f>
        <v>#NAME?</v>
      </c>
      <c r="R72" s="226" t="e">
        <f aca="false">SUM(B72:E72)</f>
        <v>#NAME?</v>
      </c>
      <c r="S72" s="226" t="e">
        <f aca="false">SUM(F72:Q72)</f>
        <v>#NAME?</v>
      </c>
    </row>
    <row r="73" customFormat="false" ht="14.25" hidden="false" customHeight="true" outlineLevel="0" collapsed="false">
      <c r="A73" s="185" t="s">
        <v>1731</v>
      </c>
      <c r="B73" s="227" t="n">
        <v>0</v>
      </c>
      <c r="C73" s="227" t="n">
        <v>0</v>
      </c>
      <c r="D73" s="227" t="n">
        <v>0</v>
      </c>
      <c r="E73" s="227" t="n">
        <v>0</v>
      </c>
      <c r="F73" s="227" t="n">
        <v>0</v>
      </c>
      <c r="G73" s="227" t="n">
        <v>0</v>
      </c>
      <c r="H73" s="227" t="n">
        <v>0</v>
      </c>
      <c r="I73" s="227" t="n">
        <v>0</v>
      </c>
      <c r="J73" s="227" t="n">
        <v>0</v>
      </c>
      <c r="K73" s="227" t="n">
        <v>0</v>
      </c>
      <c r="L73" s="227" t="n">
        <v>0</v>
      </c>
      <c r="M73" s="227" t="n">
        <v>0</v>
      </c>
      <c r="N73" s="227" t="n">
        <v>0</v>
      </c>
      <c r="O73" s="227" t="n">
        <v>0</v>
      </c>
      <c r="P73" s="227" t="n">
        <v>0</v>
      </c>
      <c r="Q73" s="227" t="n">
        <v>0</v>
      </c>
      <c r="R73" s="228" t="n">
        <f aca="false">IFERROR(R74/R72,0)</f>
        <v>0</v>
      </c>
      <c r="S73" s="228" t="n">
        <f aca="false">IFERROR(S74/S72,0)</f>
        <v>0</v>
      </c>
      <c r="T73" s="186" t="s">
        <v>1732</v>
      </c>
    </row>
    <row r="74" customFormat="false" ht="14.25" hidden="false" customHeight="true" outlineLevel="0" collapsed="false">
      <c r="A74" s="185" t="s">
        <v>1733</v>
      </c>
      <c r="B74" s="225" t="e">
        <f aca="false">B72*B73</f>
        <v>#NAME?</v>
      </c>
      <c r="C74" s="225" t="e">
        <f aca="false">C72*C73</f>
        <v>#NAME?</v>
      </c>
      <c r="D74" s="225" t="e">
        <f aca="false">D72*D73</f>
        <v>#NAME?</v>
      </c>
      <c r="E74" s="225" t="e">
        <f aca="false">E72*E73</f>
        <v>#NAME?</v>
      </c>
      <c r="F74" s="225" t="e">
        <f aca="false">F72*F73</f>
        <v>#NAME?</v>
      </c>
      <c r="G74" s="225" t="e">
        <f aca="false">G72*G73</f>
        <v>#NAME?</v>
      </c>
      <c r="H74" s="225" t="e">
        <f aca="false">H72*H73</f>
        <v>#NAME?</v>
      </c>
      <c r="I74" s="225" t="e">
        <f aca="false">I72*I73</f>
        <v>#NAME?</v>
      </c>
      <c r="J74" s="225" t="e">
        <f aca="false">J72*J73</f>
        <v>#NAME?</v>
      </c>
      <c r="K74" s="225" t="e">
        <f aca="false">K72*K73</f>
        <v>#NAME?</v>
      </c>
      <c r="L74" s="225" t="e">
        <f aca="false">L72*L73</f>
        <v>#NAME?</v>
      </c>
      <c r="M74" s="225" t="e">
        <f aca="false">M72*M73</f>
        <v>#NAME?</v>
      </c>
      <c r="N74" s="225" t="e">
        <f aca="false">N72*N73</f>
        <v>#NAME?</v>
      </c>
      <c r="O74" s="225" t="e">
        <f aca="false">O72*O73</f>
        <v>#NAME?</v>
      </c>
      <c r="P74" s="225" t="e">
        <f aca="false">P72*P73</f>
        <v>#NAME?</v>
      </c>
      <c r="Q74" s="225" t="e">
        <f aca="false">Q72*Q73</f>
        <v>#NAME?</v>
      </c>
      <c r="R74" s="226" t="e">
        <f aca="false">SUM(B74:E74)</f>
        <v>#NAME?</v>
      </c>
      <c r="S74" s="226" t="e">
        <f aca="false">SUM(F74:Q74)</f>
        <v>#NAME?</v>
      </c>
    </row>
    <row r="75" customFormat="false" ht="14.25" hidden="false" customHeight="true" outlineLevel="0" collapsed="false">
      <c r="A75" s="185" t="s">
        <v>1650</v>
      </c>
      <c r="B75" s="225" t="e">
        <f aca="false">(B72+B74)*$H$6</f>
        <v>#NAME?</v>
      </c>
      <c r="C75" s="225" t="e">
        <f aca="false">(C72+C74)*$H$6</f>
        <v>#NAME?</v>
      </c>
      <c r="D75" s="225" t="e">
        <f aca="false">(D72+D74)*$H$6</f>
        <v>#NAME?</v>
      </c>
      <c r="E75" s="225" t="e">
        <f aca="false">(E72+E74)*$H$6</f>
        <v>#NAME?</v>
      </c>
      <c r="F75" s="225" t="e">
        <f aca="false">(F72+F74)*$H$6</f>
        <v>#NAME?</v>
      </c>
      <c r="G75" s="225" t="e">
        <f aca="false">(G72+G74)*$H$6</f>
        <v>#NAME?</v>
      </c>
      <c r="H75" s="225" t="e">
        <f aca="false">(H72+H74)*$H$6</f>
        <v>#NAME?</v>
      </c>
      <c r="I75" s="225" t="e">
        <f aca="false">(I72+I74)*$H$6</f>
        <v>#NAME?</v>
      </c>
      <c r="J75" s="225" t="e">
        <f aca="false">(J72+J74)*$H$6</f>
        <v>#NAME?</v>
      </c>
      <c r="K75" s="225" t="e">
        <f aca="false">(K72+K74)*$H$6</f>
        <v>#NAME?</v>
      </c>
      <c r="L75" s="225" t="e">
        <f aca="false">(L72+L74)*$H$6</f>
        <v>#NAME?</v>
      </c>
      <c r="M75" s="225" t="e">
        <f aca="false">(M72+M74)*$H$6</f>
        <v>#NAME?</v>
      </c>
      <c r="N75" s="225" t="e">
        <f aca="false">(N72+N74)*$H$6</f>
        <v>#NAME?</v>
      </c>
      <c r="O75" s="225" t="e">
        <f aca="false">(O72+O74)*$H$6</f>
        <v>#NAME?</v>
      </c>
      <c r="P75" s="225" t="e">
        <f aca="false">(P72+P74)*$H$6</f>
        <v>#NAME?</v>
      </c>
      <c r="Q75" s="225" t="e">
        <f aca="false">(Q72+Q74)*$H$6</f>
        <v>#NAME?</v>
      </c>
      <c r="R75" s="226" t="e">
        <f aca="false">SUM(B75:E75)</f>
        <v>#NAME?</v>
      </c>
      <c r="S75" s="226" t="e">
        <f aca="false">SUM(F75:Q75)</f>
        <v>#NAME?</v>
      </c>
    </row>
    <row r="76" customFormat="false" ht="14.25" hidden="false" customHeight="true" outlineLevel="0" collapsed="false">
      <c r="A76" s="185" t="s">
        <v>1390</v>
      </c>
      <c r="B76" s="225" t="e">
        <f aca="false">B72*$H$7</f>
        <v>#NAME?</v>
      </c>
      <c r="C76" s="225" t="e">
        <f aca="false">C72*$H$7</f>
        <v>#NAME?</v>
      </c>
      <c r="D76" s="225" t="e">
        <f aca="false">D72*$H$7</f>
        <v>#NAME?</v>
      </c>
      <c r="E76" s="225" t="e">
        <f aca="false">E72*$H$7</f>
        <v>#NAME?</v>
      </c>
      <c r="F76" s="225" t="e">
        <f aca="false">F72*$H$7</f>
        <v>#NAME?</v>
      </c>
      <c r="G76" s="225" t="e">
        <f aca="false">G72*$H$7</f>
        <v>#NAME?</v>
      </c>
      <c r="H76" s="225" t="e">
        <f aca="false">H72*$H$7</f>
        <v>#NAME?</v>
      </c>
      <c r="I76" s="225" t="e">
        <f aca="false">I72*$H$7</f>
        <v>#NAME?</v>
      </c>
      <c r="J76" s="225" t="e">
        <f aca="false">J72*$H$7</f>
        <v>#NAME?</v>
      </c>
      <c r="K76" s="225" t="e">
        <f aca="false">K72*$H$7</f>
        <v>#NAME?</v>
      </c>
      <c r="L76" s="225" t="e">
        <f aca="false">L72*$H$7</f>
        <v>#NAME?</v>
      </c>
      <c r="M76" s="225" t="e">
        <f aca="false">M72*$H$7</f>
        <v>#NAME?</v>
      </c>
      <c r="N76" s="225" t="e">
        <f aca="false">N72*$H$7</f>
        <v>#NAME?</v>
      </c>
      <c r="O76" s="225" t="e">
        <f aca="false">O72*$H$7</f>
        <v>#NAME?</v>
      </c>
      <c r="P76" s="225" t="e">
        <f aca="false">P72*$H$7</f>
        <v>#NAME?</v>
      </c>
      <c r="Q76" s="225" t="e">
        <f aca="false">Q72*$H$7</f>
        <v>#NAME?</v>
      </c>
      <c r="R76" s="226" t="e">
        <f aca="false">SUM(B76:E76)</f>
        <v>#NAME?</v>
      </c>
      <c r="S76" s="226" t="e">
        <f aca="false">SUM(F76:Q76)</f>
        <v>#NAME?</v>
      </c>
    </row>
    <row r="77" customFormat="false" ht="14.25" hidden="false" customHeight="true" outlineLevel="0" collapsed="false">
      <c r="A77" s="185" t="s">
        <v>1751</v>
      </c>
      <c r="B77" s="223" t="e">
        <f aca="false">B70</f>
        <v>#NAME?</v>
      </c>
      <c r="C77" s="223" t="e">
        <f aca="false">MAX(0,C70-B70)</f>
        <v>#NAME?</v>
      </c>
      <c r="D77" s="223" t="e">
        <f aca="false">MAX(0,D70-C70)</f>
        <v>#NAME?</v>
      </c>
      <c r="E77" s="223" t="e">
        <f aca="false">MAX(0,E70-D70)</f>
        <v>#NAME?</v>
      </c>
      <c r="F77" s="223" t="e">
        <f aca="false">MAX(0,F70-E70)</f>
        <v>#NAME?</v>
      </c>
      <c r="G77" s="223" t="e">
        <f aca="false">MAX(0,G70-F70)</f>
        <v>#NAME?</v>
      </c>
      <c r="H77" s="223" t="e">
        <f aca="false">MAX(0,H70-G70)</f>
        <v>#NAME?</v>
      </c>
      <c r="I77" s="223" t="e">
        <f aca="false">MAX(0,I70-H70)</f>
        <v>#NAME?</v>
      </c>
      <c r="J77" s="223" t="e">
        <f aca="false">MAX(0,J70-I70)</f>
        <v>#NAME?</v>
      </c>
      <c r="K77" s="223" t="e">
        <f aca="false">MAX(0,K70-J70)</f>
        <v>#NAME?</v>
      </c>
      <c r="L77" s="223" t="e">
        <f aca="false">MAX(0,L70-K70)</f>
        <v>#NAME?</v>
      </c>
      <c r="M77" s="223" t="e">
        <f aca="false">MAX(0,M70-L70)</f>
        <v>#NAME?</v>
      </c>
      <c r="N77" s="223" t="e">
        <f aca="false">MAX(0,N70-M70)</f>
        <v>#NAME?</v>
      </c>
      <c r="O77" s="223" t="e">
        <f aca="false">MAX(0,O70-N70)</f>
        <v>#NAME?</v>
      </c>
      <c r="P77" s="223" t="e">
        <f aca="false">MAX(0,P70-O70)</f>
        <v>#NAME?</v>
      </c>
      <c r="Q77" s="223" t="e">
        <f aca="false">MAX(0,Q70-P70)</f>
        <v>#NAME?</v>
      </c>
      <c r="R77" s="224" t="e">
        <f aca="false">SUM(B77:E77)</f>
        <v>#NAME?</v>
      </c>
      <c r="S77" s="224" t="e">
        <f aca="false">SUM(F77:Q77)</f>
        <v>#NAME?</v>
      </c>
      <c r="T77" s="186"/>
    </row>
    <row r="78" customFormat="false" ht="14.25" hidden="false" customHeight="true" outlineLevel="0" collapsed="false">
      <c r="A78" s="185" t="s">
        <v>1657</v>
      </c>
      <c r="B78" s="225" t="e">
        <f aca="false">B77*$M$8</f>
        <v>#NAME?</v>
      </c>
      <c r="C78" s="225" t="e">
        <f aca="false">C77*$M$8</f>
        <v>#NAME?</v>
      </c>
      <c r="D78" s="225" t="e">
        <f aca="false">D77*$M$8</f>
        <v>#NAME?</v>
      </c>
      <c r="E78" s="225" t="e">
        <f aca="false">E77*$M$8</f>
        <v>#NAME?</v>
      </c>
      <c r="F78" s="225" t="e">
        <f aca="false">F77*$M$8</f>
        <v>#NAME?</v>
      </c>
      <c r="G78" s="225" t="e">
        <f aca="false">G77*$M$8</f>
        <v>#NAME?</v>
      </c>
      <c r="H78" s="225" t="e">
        <f aca="false">H77*$M$8</f>
        <v>#NAME?</v>
      </c>
      <c r="I78" s="225" t="e">
        <f aca="false">I77*$M$8</f>
        <v>#NAME?</v>
      </c>
      <c r="J78" s="225" t="e">
        <f aca="false">J77*$M$8</f>
        <v>#NAME?</v>
      </c>
      <c r="K78" s="225" t="e">
        <f aca="false">K77*$M$8</f>
        <v>#NAME?</v>
      </c>
      <c r="L78" s="225" t="e">
        <f aca="false">L77*$M$8</f>
        <v>#NAME?</v>
      </c>
      <c r="M78" s="225" t="e">
        <f aca="false">M77*$M$8</f>
        <v>#NAME?</v>
      </c>
      <c r="N78" s="225" t="e">
        <f aca="false">N77*$M$8</f>
        <v>#NAME?</v>
      </c>
      <c r="O78" s="225" t="e">
        <f aca="false">O77*$M$8</f>
        <v>#NAME?</v>
      </c>
      <c r="P78" s="225" t="e">
        <f aca="false">P77*$M$8</f>
        <v>#NAME?</v>
      </c>
      <c r="Q78" s="225" t="e">
        <f aca="false">Q77*$M$8</f>
        <v>#NAME?</v>
      </c>
      <c r="R78" s="226" t="e">
        <f aca="false">SUM(B78:E78)</f>
        <v>#NAME?</v>
      </c>
      <c r="S78" s="226" t="e">
        <f aca="false">SUM(F78:Q78)</f>
        <v>#NAME?</v>
      </c>
    </row>
    <row r="79" customFormat="false" ht="14.25" hidden="false" customHeight="true" outlineLevel="0" collapsed="false">
      <c r="A79" s="229" t="s">
        <v>1752</v>
      </c>
      <c r="B79" s="230" t="e">
        <f aca="false">B72+B74+B75+B76+B78</f>
        <v>#NAME?</v>
      </c>
      <c r="C79" s="230" t="e">
        <f aca="false">C72+C74+C75+C76+C78</f>
        <v>#NAME?</v>
      </c>
      <c r="D79" s="230" t="e">
        <f aca="false">D72+D74+D75+D76+D78</f>
        <v>#NAME?</v>
      </c>
      <c r="E79" s="230" t="e">
        <f aca="false">E72+E74+E75+E76+E78</f>
        <v>#NAME?</v>
      </c>
      <c r="F79" s="230" t="e">
        <f aca="false">F72+F74+F75+F76+F78</f>
        <v>#NAME?</v>
      </c>
      <c r="G79" s="230" t="e">
        <f aca="false">G72+G74+G75+G76+G78</f>
        <v>#NAME?</v>
      </c>
      <c r="H79" s="230" t="e">
        <f aca="false">H72+H74+H75+H76+H78</f>
        <v>#NAME?</v>
      </c>
      <c r="I79" s="230" t="e">
        <f aca="false">I72+I74+I75+I76+I78</f>
        <v>#NAME?</v>
      </c>
      <c r="J79" s="230" t="e">
        <f aca="false">J72+J74+J75+J76+J78</f>
        <v>#NAME?</v>
      </c>
      <c r="K79" s="230" t="e">
        <f aca="false">K72+K74+K75+K76+K78</f>
        <v>#NAME?</v>
      </c>
      <c r="L79" s="230" t="e">
        <f aca="false">L72+L74+L75+L76+L78</f>
        <v>#NAME?</v>
      </c>
      <c r="M79" s="230" t="e">
        <f aca="false">M72+M74+M75+M76+M78</f>
        <v>#NAME?</v>
      </c>
      <c r="N79" s="230" t="e">
        <f aca="false">N72+N74+N75+N76+N78</f>
        <v>#NAME?</v>
      </c>
      <c r="O79" s="230" t="e">
        <f aca="false">O72+O74+O75+O76+O78</f>
        <v>#NAME?</v>
      </c>
      <c r="P79" s="230" t="e">
        <f aca="false">P72+P74+P75+P76+P78</f>
        <v>#NAME?</v>
      </c>
      <c r="Q79" s="230" t="e">
        <f aca="false">Q72+Q74+Q75+Q76+Q78</f>
        <v>#NAME?</v>
      </c>
      <c r="R79" s="231" t="e">
        <f aca="false">SUM(B79:E79)</f>
        <v>#NAME?</v>
      </c>
      <c r="S79" s="231" t="e">
        <f aca="false">SUM(F79:Q79)</f>
        <v>#NAME?</v>
      </c>
    </row>
    <row r="80" customFormat="false" ht="14.25" hidden="false" customHeight="true" outlineLevel="0" collapsed="false"/>
    <row r="81" customFormat="false" ht="14.25" hidden="false" customHeight="true" outlineLevel="0" collapsed="false">
      <c r="A81" s="234" t="s">
        <v>1753</v>
      </c>
      <c r="B81" s="235" t="e">
        <f aca="false">B41+B62+B79</f>
        <v>#NAME?</v>
      </c>
      <c r="C81" s="235" t="e">
        <f aca="false">C41+C62+C79</f>
        <v>#NAME?</v>
      </c>
      <c r="D81" s="235" t="e">
        <f aca="false">D41+D62+D79</f>
        <v>#NAME?</v>
      </c>
      <c r="E81" s="235" t="e">
        <f aca="false">E41+E62+E79</f>
        <v>#NAME?</v>
      </c>
      <c r="F81" s="235" t="e">
        <f aca="false">F41+F62+F79</f>
        <v>#NAME?</v>
      </c>
      <c r="G81" s="235" t="e">
        <f aca="false">G41+G62+G79</f>
        <v>#NAME?</v>
      </c>
      <c r="H81" s="235" t="e">
        <f aca="false">H41+H62+H79</f>
        <v>#NAME?</v>
      </c>
      <c r="I81" s="235" t="e">
        <f aca="false">I41+I62+I79</f>
        <v>#NAME?</v>
      </c>
      <c r="J81" s="235" t="e">
        <f aca="false">J41+J62+J79</f>
        <v>#NAME?</v>
      </c>
      <c r="K81" s="235" t="e">
        <f aca="false">K41+K62+K79</f>
        <v>#NAME?</v>
      </c>
      <c r="L81" s="235" t="e">
        <f aca="false">L41+L62+L79</f>
        <v>#NAME?</v>
      </c>
      <c r="M81" s="235" t="e">
        <f aca="false">M41+M62+M79</f>
        <v>#NAME?</v>
      </c>
      <c r="N81" s="235" t="e">
        <f aca="false">N41+N62+N79</f>
        <v>#NAME?</v>
      </c>
      <c r="O81" s="235" t="e">
        <f aca="false">O41+O62+O79</f>
        <v>#NAME?</v>
      </c>
      <c r="P81" s="235" t="e">
        <f aca="false">P41+P62+P79</f>
        <v>#NAME?</v>
      </c>
      <c r="Q81" s="235" t="e">
        <f aca="false">Q41+Q62+Q79</f>
        <v>#NAME?</v>
      </c>
      <c r="R81" s="235" t="e">
        <f aca="false">SUM(B81:E81)</f>
        <v>#NAME?</v>
      </c>
      <c r="S81" s="235" t="e">
        <f aca="false">SUM(F81:Q81)</f>
        <v>#NAME?</v>
      </c>
    </row>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conditionalFormatting sqref="B43:Q43 B64:Q64">
    <cfRule type="containsText" priority="2" operator="containsText" aboveAverage="0" equalAverage="0" bottom="0" percent="0" rank="0" text="OVER" dxfId="1">
      <formula>NOT(ISERROR(SEARCH("OVER",B43)))</formula>
    </cfRule>
  </conditionalFormatting>
  <dataValidations count="6">
    <dataValidation allowBlank="true" errorStyle="stop" operator="greaterThanOrEqual" prompt="Invalid input - Must be 0 or more." showDropDown="false" showErrorMessage="true" showInputMessage="true" sqref="C8" type="decimal">
      <formula1>0</formula1>
      <formula2>0</formula2>
    </dataValidation>
    <dataValidation allowBlank="true" errorStyle="stop" operator="greaterThanOrEqual" prompt="Invalid input - Must be a whole number, 0 or more." showDropDown="false" showErrorMessage="true" showInputMessage="true" sqref="B9:C9 H9:H10" type="decimal">
      <formula1>0</formula1>
      <formula2>0</formula2>
    </dataValidation>
    <dataValidation allowBlank="true" errorStyle="stop" operator="between" prompt="Invalid input - Enter a percentage between 0% and 100%." showDropDown="false" showErrorMessage="true" showInputMessage="true" sqref="M5 B6:C7 H6:H7" type="decimal">
      <formula1>0</formula1>
      <formula2>1</formula2>
    </dataValidation>
    <dataValidation allowBlank="true" errorStyle="stop" operator="greaterThanOrEqual" prompt="Invalid input - Must be a whole number of at least 1." showDropDown="false" showErrorMessage="true" showInputMessage="true" sqref="H8" type="decimal">
      <formula1>1</formula1>
      <formula2>0</formula2>
    </dataValidation>
    <dataValidation allowBlank="true" errorStyle="stop" operator="between" prompt="Invalid input - Pick a lift/week value from the staffing grid (row 15)." showDropDown="false" showErrorMessage="true" showInputMessage="true" sqref="B8" type="list">
      <formula1>$B$15:$O$15</formula1>
      <formula2>0</formula2>
    </dataValidation>
    <dataValidation allowBlank="true" errorStyle="stop" operator="between" showDropDown="false" showErrorMessage="true" showInputMessage="false" sqref="M9" type="decimal">
      <formula1>0</formula1>
      <formula2>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6" width="41.38"/>
    <col collapsed="false" customWidth="true" hidden="false" outlineLevel="0" max="15" min="15" style="6" width="10.13"/>
  </cols>
  <sheetData>
    <row r="1" customFormat="false" ht="15" hidden="false" customHeight="true" outlineLevel="0" collapsed="false">
      <c r="A1" s="236" t="s">
        <v>1754</v>
      </c>
      <c r="B1" s="237"/>
      <c r="C1" s="237"/>
      <c r="D1" s="237"/>
      <c r="E1" s="237"/>
      <c r="F1" s="237"/>
      <c r="G1" s="237"/>
      <c r="H1" s="237"/>
      <c r="I1" s="237"/>
      <c r="J1" s="237"/>
      <c r="K1" s="237"/>
      <c r="L1" s="237"/>
      <c r="M1" s="237"/>
      <c r="N1" s="237"/>
      <c r="O1" s="237"/>
    </row>
    <row r="2" customFormat="false" ht="48" hidden="false" customHeight="true" outlineLevel="0" collapsed="false">
      <c r="A2" s="238" t="s">
        <v>1755</v>
      </c>
      <c r="B2" s="239" t="s">
        <v>1756</v>
      </c>
      <c r="C2" s="239"/>
      <c r="D2" s="239"/>
      <c r="E2" s="239"/>
      <c r="F2" s="239"/>
      <c r="G2" s="239"/>
      <c r="H2" s="239"/>
      <c r="I2" s="239"/>
      <c r="J2" s="239"/>
      <c r="K2" s="239"/>
      <c r="L2" s="239"/>
      <c r="M2" s="239"/>
      <c r="N2" s="239"/>
      <c r="O2" s="237"/>
    </row>
    <row r="3" customFormat="false" ht="15" hidden="false" customHeight="true" outlineLevel="0" collapsed="false">
      <c r="A3" s="237"/>
      <c r="B3" s="237"/>
      <c r="C3" s="237"/>
      <c r="D3" s="237"/>
      <c r="E3" s="237"/>
      <c r="F3" s="237"/>
      <c r="G3" s="237"/>
      <c r="H3" s="237"/>
      <c r="I3" s="237"/>
      <c r="J3" s="237"/>
      <c r="K3" s="237"/>
      <c r="L3" s="237"/>
      <c r="M3" s="237"/>
      <c r="N3" s="237"/>
      <c r="O3" s="237"/>
    </row>
    <row r="4" customFormat="false" ht="27" hidden="false" customHeight="true" outlineLevel="0" collapsed="false">
      <c r="A4" s="240" t="s">
        <v>1757</v>
      </c>
      <c r="B4" s="240" t="s">
        <v>1468</v>
      </c>
      <c r="C4" s="240" t="s">
        <v>1469</v>
      </c>
      <c r="D4" s="240" t="s">
        <v>1758</v>
      </c>
      <c r="E4" s="240"/>
      <c r="F4" s="240"/>
      <c r="G4" s="240"/>
      <c r="H4" s="240"/>
      <c r="I4" s="240"/>
      <c r="J4" s="240"/>
      <c r="K4" s="240"/>
      <c r="L4" s="240"/>
      <c r="M4" s="240"/>
      <c r="N4" s="240"/>
      <c r="O4" s="240"/>
    </row>
    <row r="5" customFormat="false" ht="15" hidden="false" customHeight="true" outlineLevel="0" collapsed="false">
      <c r="A5" s="237" t="s">
        <v>1759</v>
      </c>
      <c r="B5" s="241" t="n">
        <v>2533</v>
      </c>
      <c r="C5" s="237" t="s">
        <v>1760</v>
      </c>
      <c r="D5" s="237" t="s">
        <v>1761</v>
      </c>
      <c r="E5" s="237"/>
      <c r="F5" s="237"/>
      <c r="G5" s="237"/>
      <c r="H5" s="237"/>
      <c r="I5" s="237"/>
      <c r="J5" s="237"/>
      <c r="K5" s="237"/>
      <c r="L5" s="237"/>
      <c r="M5" s="237"/>
      <c r="N5" s="237"/>
      <c r="O5" s="237"/>
    </row>
    <row r="6" customFormat="false" ht="15" hidden="false" customHeight="true" outlineLevel="0" collapsed="false">
      <c r="A6" s="237" t="s">
        <v>1762</v>
      </c>
      <c r="B6" s="242" t="n">
        <v>0.3</v>
      </c>
      <c r="C6" s="237" t="s">
        <v>1486</v>
      </c>
      <c r="D6" s="237" t="s">
        <v>1763</v>
      </c>
      <c r="E6" s="237"/>
      <c r="F6" s="237"/>
      <c r="G6" s="237"/>
      <c r="H6" s="237"/>
      <c r="I6" s="237"/>
      <c r="J6" s="237"/>
      <c r="K6" s="237"/>
      <c r="L6" s="237"/>
      <c r="M6" s="237"/>
      <c r="N6" s="237"/>
      <c r="O6" s="237"/>
    </row>
    <row r="7" customFormat="false" ht="15" hidden="false" customHeight="true" outlineLevel="0" collapsed="false">
      <c r="A7" s="237" t="s">
        <v>1764</v>
      </c>
      <c r="B7" s="241" t="n">
        <v>3992</v>
      </c>
      <c r="C7" s="237" t="s">
        <v>1765</v>
      </c>
      <c r="D7" s="237" t="s">
        <v>1766</v>
      </c>
      <c r="E7" s="237"/>
      <c r="F7" s="237"/>
      <c r="G7" s="237"/>
      <c r="H7" s="237"/>
      <c r="I7" s="237"/>
      <c r="J7" s="237"/>
      <c r="K7" s="237"/>
      <c r="L7" s="237"/>
      <c r="M7" s="237"/>
      <c r="N7" s="237"/>
      <c r="O7" s="237"/>
    </row>
    <row r="8" customFormat="false" ht="15" hidden="false" customHeight="true" outlineLevel="0" collapsed="false">
      <c r="A8" s="237" t="s">
        <v>1767</v>
      </c>
      <c r="B8" s="241" t="n">
        <v>4500</v>
      </c>
      <c r="C8" s="237" t="s">
        <v>1768</v>
      </c>
      <c r="D8" s="237" t="s">
        <v>1769</v>
      </c>
      <c r="E8" s="237"/>
      <c r="F8" s="237"/>
      <c r="G8" s="237"/>
      <c r="H8" s="237"/>
      <c r="I8" s="237"/>
      <c r="J8" s="237"/>
      <c r="K8" s="237"/>
      <c r="L8" s="237"/>
      <c r="M8" s="237"/>
      <c r="N8" s="237"/>
      <c r="O8" s="237"/>
    </row>
    <row r="9" customFormat="false" ht="15" hidden="false" customHeight="true" outlineLevel="0" collapsed="false">
      <c r="A9" s="237" t="s">
        <v>1770</v>
      </c>
      <c r="B9" s="243" t="n">
        <v>27.58</v>
      </c>
      <c r="C9" s="237" t="s">
        <v>1771</v>
      </c>
      <c r="D9" s="237" t="s">
        <v>1772</v>
      </c>
      <c r="E9" s="237"/>
      <c r="F9" s="237"/>
      <c r="G9" s="237"/>
      <c r="H9" s="237"/>
      <c r="I9" s="237"/>
      <c r="J9" s="237"/>
      <c r="K9" s="237"/>
      <c r="L9" s="237"/>
      <c r="M9" s="237"/>
      <c r="N9" s="237"/>
      <c r="O9" s="237"/>
    </row>
    <row r="10" customFormat="false" ht="15" hidden="false" customHeight="true" outlineLevel="0" collapsed="false">
      <c r="A10" s="237" t="s">
        <v>1773</v>
      </c>
      <c r="B10" s="241" t="n">
        <v>4130</v>
      </c>
      <c r="C10" s="237" t="s">
        <v>1774</v>
      </c>
      <c r="D10" s="237" t="s">
        <v>1775</v>
      </c>
      <c r="E10" s="237"/>
      <c r="F10" s="237"/>
      <c r="G10" s="237"/>
      <c r="H10" s="237"/>
      <c r="I10" s="237"/>
      <c r="J10" s="237"/>
      <c r="K10" s="237"/>
      <c r="L10" s="237"/>
      <c r="M10" s="237"/>
      <c r="N10" s="237"/>
      <c r="O10" s="237"/>
    </row>
    <row r="11" customFormat="false" ht="15" hidden="false" customHeight="true" outlineLevel="0" collapsed="false">
      <c r="A11" s="237" t="s">
        <v>1776</v>
      </c>
      <c r="B11" s="241" t="n">
        <v>8704</v>
      </c>
      <c r="C11" s="237" t="s">
        <v>1765</v>
      </c>
      <c r="D11" s="237" t="s">
        <v>1777</v>
      </c>
      <c r="E11" s="237"/>
      <c r="F11" s="237"/>
      <c r="G11" s="237"/>
      <c r="H11" s="237"/>
      <c r="I11" s="237"/>
      <c r="J11" s="237"/>
      <c r="K11" s="237"/>
      <c r="L11" s="237"/>
      <c r="M11" s="237"/>
      <c r="N11" s="237"/>
      <c r="O11" s="237"/>
    </row>
    <row r="12" customFormat="false" ht="15" hidden="false" customHeight="true" outlineLevel="0" collapsed="false">
      <c r="A12" s="237" t="s">
        <v>1778</v>
      </c>
      <c r="B12" s="244" t="n">
        <v>1</v>
      </c>
      <c r="C12" s="237" t="s">
        <v>1779</v>
      </c>
      <c r="D12" s="237" t="s">
        <v>1780</v>
      </c>
      <c r="E12" s="237"/>
      <c r="F12" s="237"/>
      <c r="G12" s="237"/>
      <c r="H12" s="237"/>
      <c r="I12" s="237"/>
      <c r="J12" s="237"/>
      <c r="K12" s="237"/>
      <c r="L12" s="237"/>
      <c r="M12" s="237"/>
      <c r="N12" s="237"/>
      <c r="O12" s="237"/>
    </row>
    <row r="13" customFormat="false" ht="15" hidden="false" customHeight="true" outlineLevel="0" collapsed="false">
      <c r="A13" s="237" t="s">
        <v>1781</v>
      </c>
      <c r="B13" s="244" t="n">
        <v>3</v>
      </c>
      <c r="C13" s="237" t="s">
        <v>1779</v>
      </c>
      <c r="D13" s="237" t="s">
        <v>1782</v>
      </c>
      <c r="E13" s="237"/>
      <c r="F13" s="237"/>
      <c r="G13" s="237"/>
      <c r="H13" s="237"/>
      <c r="I13" s="237"/>
      <c r="J13" s="237"/>
      <c r="K13" s="237"/>
      <c r="L13" s="237"/>
      <c r="M13" s="237"/>
      <c r="N13" s="237"/>
      <c r="O13" s="237"/>
    </row>
    <row r="14" customFormat="false" ht="15" hidden="false" customHeight="true" outlineLevel="0" collapsed="false">
      <c r="A14" s="237" t="s">
        <v>1783</v>
      </c>
      <c r="B14" s="245" t="n">
        <f aca="false">DATE(2027,3,1)</f>
        <v>46447</v>
      </c>
      <c r="C14" s="237" t="s">
        <v>1784</v>
      </c>
      <c r="D14" s="246" t="n">
        <v>46108</v>
      </c>
      <c r="E14" s="237"/>
      <c r="F14" s="237"/>
      <c r="G14" s="237"/>
      <c r="H14" s="237"/>
      <c r="I14" s="237"/>
      <c r="J14" s="237"/>
      <c r="K14" s="237"/>
      <c r="L14" s="237"/>
      <c r="M14" s="237"/>
      <c r="N14" s="237"/>
      <c r="O14" s="237"/>
    </row>
    <row r="15" customFormat="false" ht="15" hidden="false" customHeight="true" outlineLevel="0" collapsed="false">
      <c r="A15" s="237" t="s">
        <v>1785</v>
      </c>
      <c r="B15" s="244" t="n">
        <v>3</v>
      </c>
      <c r="C15" s="237" t="s">
        <v>1779</v>
      </c>
      <c r="D15" s="237" t="s">
        <v>1786</v>
      </c>
      <c r="E15" s="237"/>
      <c r="F15" s="237"/>
      <c r="G15" s="237"/>
      <c r="H15" s="237"/>
      <c r="I15" s="237"/>
      <c r="J15" s="237"/>
      <c r="K15" s="237"/>
      <c r="L15" s="237"/>
      <c r="M15" s="237"/>
      <c r="N15" s="237"/>
      <c r="O15" s="237"/>
    </row>
    <row r="16" customFormat="false" ht="15" hidden="false" customHeight="true" outlineLevel="0" collapsed="false">
      <c r="A16" s="237" t="s">
        <v>1787</v>
      </c>
      <c r="B16" s="241" t="n">
        <v>21114</v>
      </c>
      <c r="C16" s="237" t="s">
        <v>1765</v>
      </c>
      <c r="D16" s="237" t="s">
        <v>1788</v>
      </c>
      <c r="E16" s="237"/>
      <c r="F16" s="237"/>
      <c r="G16" s="237"/>
      <c r="H16" s="237"/>
      <c r="I16" s="237"/>
      <c r="J16" s="237"/>
      <c r="K16" s="237"/>
      <c r="L16" s="237"/>
      <c r="M16" s="237"/>
      <c r="N16" s="237"/>
      <c r="O16" s="237"/>
    </row>
    <row r="17" customFormat="false" ht="15" hidden="false" customHeight="true" outlineLevel="0" collapsed="false">
      <c r="A17" s="237" t="s">
        <v>1789</v>
      </c>
      <c r="B17" s="247" t="n">
        <v>0.4682</v>
      </c>
      <c r="C17" s="237" t="s">
        <v>1486</v>
      </c>
      <c r="D17" s="237" t="s">
        <v>1790</v>
      </c>
      <c r="E17" s="237"/>
      <c r="F17" s="237"/>
      <c r="G17" s="237"/>
      <c r="H17" s="237"/>
      <c r="I17" s="237"/>
      <c r="J17" s="237"/>
      <c r="K17" s="237"/>
      <c r="L17" s="237"/>
      <c r="M17" s="237"/>
      <c r="N17" s="237"/>
      <c r="O17" s="237"/>
    </row>
    <row r="18" customFormat="false" ht="15" hidden="false" customHeight="true" outlineLevel="0" collapsed="false">
      <c r="A18" s="237" t="s">
        <v>1791</v>
      </c>
      <c r="B18" s="248" t="n">
        <f aca="false">$B$16*(1+$B$17)</f>
        <v>30999.5748</v>
      </c>
      <c r="C18" s="237" t="s">
        <v>1765</v>
      </c>
      <c r="D18" s="237" t="s">
        <v>1792</v>
      </c>
      <c r="E18" s="237"/>
      <c r="F18" s="237"/>
      <c r="G18" s="237"/>
      <c r="H18" s="237"/>
      <c r="I18" s="237"/>
      <c r="J18" s="237"/>
      <c r="K18" s="237"/>
      <c r="L18" s="237"/>
      <c r="M18" s="237"/>
      <c r="N18" s="237"/>
      <c r="O18" s="237"/>
    </row>
    <row r="19" customFormat="false" ht="15" hidden="false" customHeight="true" outlineLevel="0" collapsed="false">
      <c r="A19" s="237" t="s">
        <v>1793</v>
      </c>
      <c r="B19" s="244" t="n">
        <f aca="false">19+16</f>
        <v>35</v>
      </c>
      <c r="C19" s="237" t="s">
        <v>1794</v>
      </c>
      <c r="D19" s="249" t="s">
        <v>1795</v>
      </c>
      <c r="E19" s="237"/>
      <c r="F19" s="237"/>
      <c r="G19" s="237"/>
      <c r="H19" s="237"/>
      <c r="I19" s="237"/>
      <c r="J19" s="237"/>
      <c r="K19" s="237"/>
      <c r="L19" s="237"/>
      <c r="M19" s="237"/>
      <c r="N19" s="237"/>
      <c r="O19" s="237"/>
    </row>
    <row r="20" customFormat="false" ht="15" hidden="false" customHeight="true" outlineLevel="0" collapsed="false">
      <c r="A20" s="237" t="s">
        <v>1796</v>
      </c>
      <c r="B20" s="247" t="n">
        <v>0.053</v>
      </c>
      <c r="C20" s="237" t="s">
        <v>1797</v>
      </c>
      <c r="D20" s="237" t="s">
        <v>1798</v>
      </c>
      <c r="E20" s="237"/>
      <c r="F20" s="237"/>
      <c r="G20" s="237"/>
      <c r="H20" s="237"/>
      <c r="I20" s="237"/>
      <c r="J20" s="237"/>
      <c r="K20" s="237"/>
      <c r="L20" s="237"/>
      <c r="M20" s="237"/>
      <c r="N20" s="237"/>
      <c r="O20" s="237"/>
    </row>
    <row r="21" customFormat="false" ht="15" hidden="false" customHeight="true" outlineLevel="0" collapsed="false">
      <c r="A21" s="237" t="s">
        <v>1799</v>
      </c>
      <c r="B21" s="241" t="n">
        <v>2604</v>
      </c>
      <c r="C21" s="237" t="s">
        <v>1765</v>
      </c>
      <c r="D21" s="237" t="s">
        <v>1800</v>
      </c>
      <c r="E21" s="237"/>
      <c r="F21" s="237"/>
      <c r="G21" s="237"/>
      <c r="H21" s="237"/>
      <c r="I21" s="237"/>
      <c r="J21" s="237"/>
      <c r="K21" s="237"/>
      <c r="L21" s="237"/>
      <c r="M21" s="237"/>
      <c r="N21" s="237"/>
      <c r="O21" s="237"/>
    </row>
    <row r="22" customFormat="false" ht="15" hidden="false" customHeight="true" outlineLevel="0" collapsed="false">
      <c r="A22" s="237" t="s">
        <v>1801</v>
      </c>
      <c r="B22" s="241" t="n">
        <v>5000</v>
      </c>
      <c r="C22" s="237" t="s">
        <v>1802</v>
      </c>
      <c r="D22" s="249" t="s">
        <v>1803</v>
      </c>
      <c r="E22" s="237"/>
      <c r="F22" s="237"/>
      <c r="G22" s="237"/>
      <c r="H22" s="237"/>
      <c r="I22" s="237"/>
      <c r="J22" s="237"/>
      <c r="K22" s="237"/>
      <c r="L22" s="237"/>
      <c r="M22" s="237"/>
      <c r="N22" s="237"/>
      <c r="O22" s="237"/>
    </row>
    <row r="23" customFormat="false" ht="15" hidden="false" customHeight="true" outlineLevel="0" collapsed="false">
      <c r="A23" s="237" t="s">
        <v>1804</v>
      </c>
      <c r="B23" s="244" t="n">
        <v>3</v>
      </c>
      <c r="C23" s="237" t="s">
        <v>1779</v>
      </c>
      <c r="D23" s="237" t="s">
        <v>1805</v>
      </c>
      <c r="E23" s="237"/>
      <c r="F23" s="237"/>
      <c r="G23" s="237"/>
      <c r="H23" s="237"/>
      <c r="I23" s="237"/>
      <c r="J23" s="237"/>
      <c r="K23" s="237"/>
      <c r="L23" s="237"/>
      <c r="M23" s="237"/>
      <c r="N23" s="237"/>
      <c r="O23" s="237"/>
    </row>
    <row r="24" customFormat="false" ht="15" hidden="false" customHeight="true" outlineLevel="0" collapsed="false">
      <c r="A24" s="237" t="s">
        <v>1806</v>
      </c>
      <c r="B24" s="244" t="n">
        <v>12</v>
      </c>
      <c r="C24" s="237" t="s">
        <v>1779</v>
      </c>
      <c r="D24" s="237" t="s">
        <v>1805</v>
      </c>
      <c r="E24" s="237"/>
      <c r="F24" s="237"/>
      <c r="G24" s="237"/>
      <c r="H24" s="237"/>
      <c r="I24" s="237"/>
      <c r="J24" s="237"/>
      <c r="K24" s="237"/>
      <c r="L24" s="237"/>
      <c r="M24" s="237"/>
      <c r="N24" s="237"/>
      <c r="O24" s="237"/>
    </row>
    <row r="25" customFormat="false" ht="15" hidden="false" customHeight="true" outlineLevel="0" collapsed="false">
      <c r="A25" s="237" t="s">
        <v>1807</v>
      </c>
      <c r="B25" s="244" t="n">
        <v>1</v>
      </c>
      <c r="C25" s="237" t="s">
        <v>1779</v>
      </c>
      <c r="D25" s="237" t="s">
        <v>1808</v>
      </c>
      <c r="E25" s="237"/>
      <c r="F25" s="237"/>
      <c r="G25" s="237"/>
      <c r="H25" s="237"/>
      <c r="I25" s="237"/>
      <c r="J25" s="237"/>
      <c r="K25" s="237"/>
      <c r="L25" s="237"/>
      <c r="M25" s="237"/>
      <c r="N25" s="237"/>
      <c r="O25" s="237"/>
    </row>
    <row r="26" customFormat="false" ht="15" hidden="false" customHeight="true" outlineLevel="0" collapsed="false">
      <c r="A26" s="237" t="s">
        <v>1809</v>
      </c>
      <c r="B26" s="241" t="n">
        <v>3000</v>
      </c>
      <c r="C26" s="237" t="s">
        <v>1765</v>
      </c>
      <c r="D26" s="237" t="s">
        <v>1810</v>
      </c>
      <c r="E26" s="237"/>
      <c r="F26" s="237"/>
      <c r="G26" s="237"/>
      <c r="H26" s="237"/>
      <c r="I26" s="237"/>
      <c r="J26" s="237"/>
      <c r="K26" s="237"/>
      <c r="L26" s="237"/>
      <c r="M26" s="237"/>
      <c r="N26" s="237"/>
      <c r="O26" s="237"/>
    </row>
    <row r="27" customFormat="false" ht="15" hidden="false" customHeight="true" outlineLevel="0" collapsed="false">
      <c r="A27" s="237"/>
      <c r="B27" s="237"/>
      <c r="C27" s="237"/>
      <c r="D27" s="237"/>
      <c r="E27" s="237"/>
      <c r="F27" s="237"/>
      <c r="G27" s="237"/>
      <c r="H27" s="237"/>
      <c r="I27" s="237"/>
      <c r="J27" s="237"/>
      <c r="K27" s="237"/>
      <c r="L27" s="237"/>
      <c r="M27" s="237"/>
      <c r="N27" s="237"/>
      <c r="O27" s="237"/>
    </row>
    <row r="28" customFormat="false" ht="27" hidden="false" customHeight="true" outlineLevel="0" collapsed="false">
      <c r="A28" s="240" t="s">
        <v>1811</v>
      </c>
      <c r="B28" s="240" t="s">
        <v>1468</v>
      </c>
      <c r="C28" s="240" t="s">
        <v>1469</v>
      </c>
      <c r="D28" s="240" t="s">
        <v>1</v>
      </c>
      <c r="E28" s="240"/>
      <c r="F28" s="240"/>
      <c r="G28" s="240"/>
      <c r="H28" s="240"/>
      <c r="I28" s="240"/>
      <c r="J28" s="240"/>
      <c r="K28" s="240"/>
      <c r="L28" s="240"/>
      <c r="M28" s="240"/>
      <c r="N28" s="240"/>
      <c r="O28" s="240"/>
    </row>
    <row r="29" customFormat="false" ht="15" hidden="false" customHeight="true" outlineLevel="0" collapsed="false">
      <c r="A29" s="237" t="s">
        <v>1812</v>
      </c>
      <c r="B29" s="250" t="n">
        <f aca="false">B30+'Fld Ops Payroll'!B11</f>
        <v>21</v>
      </c>
      <c r="C29" s="237" t="s">
        <v>1779</v>
      </c>
      <c r="D29" s="237" t="s">
        <v>1813</v>
      </c>
      <c r="E29" s="237"/>
      <c r="F29" s="237"/>
      <c r="G29" s="237"/>
      <c r="H29" s="237"/>
      <c r="I29" s="237"/>
      <c r="J29" s="237"/>
      <c r="K29" s="237"/>
      <c r="L29" s="237"/>
      <c r="M29" s="237"/>
      <c r="N29" s="237"/>
      <c r="O29" s="237"/>
    </row>
    <row r="30" customFormat="false" ht="15" hidden="false" customHeight="true" outlineLevel="0" collapsed="false">
      <c r="A30" s="237" t="s">
        <v>1814</v>
      </c>
      <c r="B30" s="244" t="n">
        <v>7</v>
      </c>
      <c r="C30" s="237" t="s">
        <v>1779</v>
      </c>
      <c r="D30" s="237" t="s">
        <v>1815</v>
      </c>
      <c r="E30" s="237"/>
      <c r="F30" s="237"/>
      <c r="G30" s="237"/>
      <c r="H30" s="237"/>
      <c r="I30" s="237"/>
      <c r="J30" s="237"/>
      <c r="K30" s="237"/>
      <c r="L30" s="237"/>
      <c r="M30" s="237"/>
      <c r="N30" s="237"/>
      <c r="O30" s="237"/>
    </row>
    <row r="31" customFormat="false" ht="15" hidden="false" customHeight="true" outlineLevel="0" collapsed="false">
      <c r="A31" s="237" t="s">
        <v>1816</v>
      </c>
      <c r="B31" s="251" t="n">
        <f aca="false">'Fld Ops Payroll'!B5</f>
        <v>1</v>
      </c>
      <c r="C31" s="237" t="s">
        <v>1817</v>
      </c>
      <c r="D31" s="237" t="s">
        <v>1818</v>
      </c>
      <c r="E31" s="237"/>
      <c r="F31" s="237"/>
      <c r="G31" s="237"/>
      <c r="H31" s="237"/>
      <c r="I31" s="237"/>
      <c r="J31" s="237"/>
      <c r="K31" s="237"/>
      <c r="L31" s="237"/>
      <c r="M31" s="237"/>
      <c r="N31" s="237"/>
      <c r="O31" s="237"/>
    </row>
    <row r="32" customFormat="false" ht="15" hidden="false" customHeight="true" outlineLevel="0" collapsed="false">
      <c r="A32" s="237" t="s">
        <v>1819</v>
      </c>
      <c r="B32" s="252" t="n">
        <f aca="false">'Fld Ops Payroll'!B12</f>
        <v>0.6</v>
      </c>
      <c r="C32" s="237" t="s">
        <v>1486</v>
      </c>
      <c r="D32" s="237" t="s">
        <v>1820</v>
      </c>
      <c r="E32" s="237"/>
      <c r="F32" s="237"/>
      <c r="G32" s="237"/>
      <c r="H32" s="237"/>
      <c r="I32" s="237"/>
      <c r="J32" s="237"/>
      <c r="K32" s="237"/>
      <c r="L32" s="237"/>
      <c r="M32" s="237"/>
      <c r="N32" s="237"/>
      <c r="O32" s="237"/>
    </row>
    <row r="33" customFormat="false" ht="15" hidden="false" customHeight="true" outlineLevel="0" collapsed="false">
      <c r="A33" s="237" t="s">
        <v>1821</v>
      </c>
      <c r="B33" s="253" t="n">
        <f aca="false">'Fld Ops Payroll'!B10</f>
        <v>1</v>
      </c>
      <c r="C33" s="237" t="s">
        <v>1822</v>
      </c>
      <c r="D33" s="237" t="s">
        <v>1823</v>
      </c>
      <c r="E33" s="237"/>
      <c r="F33" s="237"/>
      <c r="G33" s="237"/>
      <c r="H33" s="237"/>
      <c r="I33" s="237"/>
      <c r="J33" s="237"/>
      <c r="K33" s="237"/>
      <c r="L33" s="237"/>
      <c r="M33" s="237"/>
      <c r="N33" s="237"/>
      <c r="O33" s="237"/>
    </row>
    <row r="34" customFormat="false" ht="15" hidden="false" customHeight="true" outlineLevel="0" collapsed="false">
      <c r="A34" s="237" t="s">
        <v>1824</v>
      </c>
      <c r="B34" s="253" t="n">
        <f aca="false">'Fld Ops Payroll'!H8</f>
        <v>20</v>
      </c>
      <c r="C34" s="237" t="s">
        <v>1779</v>
      </c>
      <c r="D34" s="237" t="s">
        <v>1825</v>
      </c>
      <c r="E34" s="237"/>
      <c r="F34" s="237"/>
      <c r="G34" s="237"/>
      <c r="H34" s="237"/>
      <c r="I34" s="237"/>
      <c r="J34" s="237"/>
      <c r="K34" s="237"/>
      <c r="L34" s="237"/>
      <c r="M34" s="237"/>
      <c r="N34" s="237"/>
      <c r="O34" s="237"/>
    </row>
    <row r="35" customFormat="false" ht="15" hidden="false" customHeight="true" outlineLevel="0" collapsed="false">
      <c r="A35" s="237" t="s">
        <v>1631</v>
      </c>
      <c r="B35" s="253" t="n">
        <f aca="false">'Fld Ops Payroll'!M11</f>
        <v>40</v>
      </c>
      <c r="C35" s="237" t="s">
        <v>1779</v>
      </c>
      <c r="D35" s="237" t="s">
        <v>1826</v>
      </c>
      <c r="E35" s="237"/>
      <c r="F35" s="237"/>
      <c r="G35" s="237"/>
      <c r="H35" s="237"/>
      <c r="I35" s="237"/>
      <c r="J35" s="237"/>
      <c r="K35" s="237"/>
      <c r="L35" s="237"/>
      <c r="M35" s="237"/>
      <c r="N35" s="237"/>
      <c r="O35" s="237"/>
    </row>
    <row r="36" customFormat="false" ht="15" hidden="false" customHeight="true" outlineLevel="0" collapsed="false">
      <c r="A36" s="237" t="s">
        <v>1827</v>
      </c>
      <c r="B36" s="254" t="n">
        <f aca="false">'Fld Ops Payroll'!B9</f>
        <v>2000</v>
      </c>
      <c r="C36" s="237" t="s">
        <v>1828</v>
      </c>
      <c r="D36" s="237" t="s">
        <v>1829</v>
      </c>
      <c r="E36" s="237"/>
      <c r="F36" s="237"/>
      <c r="G36" s="237"/>
      <c r="H36" s="237"/>
      <c r="I36" s="237"/>
      <c r="J36" s="237"/>
      <c r="K36" s="237"/>
      <c r="L36" s="237"/>
      <c r="M36" s="237"/>
      <c r="N36" s="237"/>
      <c r="O36" s="237"/>
    </row>
    <row r="37" customFormat="false" ht="15" hidden="false" customHeight="true" outlineLevel="0" collapsed="false">
      <c r="A37" s="237" t="s">
        <v>1830</v>
      </c>
      <c r="B37" s="255" t="n">
        <f aca="false">B29-B30</f>
        <v>14</v>
      </c>
      <c r="C37" s="237" t="s">
        <v>1779</v>
      </c>
      <c r="D37" s="237" t="s">
        <v>1831</v>
      </c>
      <c r="E37" s="237"/>
      <c r="F37" s="237"/>
      <c r="G37" s="237"/>
      <c r="H37" s="237"/>
      <c r="I37" s="237"/>
      <c r="J37" s="237"/>
      <c r="K37" s="237"/>
      <c r="L37" s="237"/>
      <c r="M37" s="237"/>
      <c r="N37" s="237"/>
      <c r="O37" s="237"/>
    </row>
    <row r="38" customFormat="false" ht="15" hidden="false" customHeight="true" outlineLevel="0" collapsed="false">
      <c r="A38" s="237"/>
      <c r="B38" s="237"/>
      <c r="C38" s="237"/>
      <c r="D38" s="237"/>
      <c r="E38" s="237"/>
      <c r="F38" s="237"/>
      <c r="G38" s="237"/>
      <c r="H38" s="237"/>
      <c r="I38" s="237"/>
      <c r="J38" s="237"/>
      <c r="K38" s="237"/>
      <c r="L38" s="237"/>
      <c r="M38" s="237"/>
      <c r="N38" s="237"/>
      <c r="O38" s="237"/>
    </row>
    <row r="39" customFormat="false" ht="27" hidden="false" customHeight="true" outlineLevel="0" collapsed="false">
      <c r="A39" s="240" t="s">
        <v>1832</v>
      </c>
      <c r="B39" s="256" t="n">
        <f aca="false">DATE(2027,1,1)</f>
        <v>46388</v>
      </c>
      <c r="C39" s="256" t="n">
        <f aca="false">DATE(2027,2,1)</f>
        <v>46419</v>
      </c>
      <c r="D39" s="256" t="n">
        <f aca="false">DATE(2027,3,1)</f>
        <v>46447</v>
      </c>
      <c r="E39" s="256" t="n">
        <f aca="false">DATE(2027,4,1)</f>
        <v>46478</v>
      </c>
      <c r="F39" s="256" t="n">
        <f aca="false">DATE(2027,5,1)</f>
        <v>46508</v>
      </c>
      <c r="G39" s="256" t="n">
        <f aca="false">DATE(2027,6,1)</f>
        <v>46539</v>
      </c>
      <c r="H39" s="256" t="n">
        <f aca="false">DATE(2027,7,1)</f>
        <v>46569</v>
      </c>
      <c r="I39" s="256" t="n">
        <f aca="false">DATE(2027,8,1)</f>
        <v>46600</v>
      </c>
      <c r="J39" s="256" t="n">
        <f aca="false">DATE(2027,9,1)</f>
        <v>46631</v>
      </c>
      <c r="K39" s="256" t="n">
        <f aca="false">DATE(2027,10,1)</f>
        <v>46661</v>
      </c>
      <c r="L39" s="256" t="n">
        <f aca="false">DATE(2027,11,1)</f>
        <v>46692</v>
      </c>
      <c r="M39" s="256" t="n">
        <f aca="false">DATE(2027,12,1)</f>
        <v>46722</v>
      </c>
      <c r="N39" s="257" t="s">
        <v>1421</v>
      </c>
      <c r="O39" s="257"/>
    </row>
    <row r="40" customFormat="false" ht="15" hidden="false" customHeight="true" outlineLevel="0" collapsed="false">
      <c r="A40" s="237" t="s">
        <v>1833</v>
      </c>
      <c r="B40" s="258" t="n">
        <f aca="false">N(DeploySum!F54)</f>
        <v>3</v>
      </c>
      <c r="C40" s="258" t="n">
        <f aca="false">N(DeploySum!G54)</f>
        <v>2</v>
      </c>
      <c r="D40" s="258" t="n">
        <f aca="false">N(DeploySum!H54)</f>
        <v>0</v>
      </c>
      <c r="E40" s="258" t="n">
        <f aca="false">N(DeploySum!I54)</f>
        <v>3</v>
      </c>
      <c r="F40" s="258" t="n">
        <f aca="false">N(DeploySum!J54)</f>
        <v>3</v>
      </c>
      <c r="G40" s="258" t="n">
        <f aca="false">N(DeploySum!K54)</f>
        <v>4</v>
      </c>
      <c r="H40" s="258" t="n">
        <f aca="false">N(DeploySum!L54)</f>
        <v>4</v>
      </c>
      <c r="I40" s="258" t="n">
        <f aca="false">N(DeploySum!M54)</f>
        <v>5</v>
      </c>
      <c r="J40" s="258" t="n">
        <f aca="false">N(DeploySum!N54)</f>
        <v>6</v>
      </c>
      <c r="K40" s="258" t="n">
        <f aca="false">N(DeploySum!O54)</f>
        <v>6</v>
      </c>
      <c r="L40" s="258" t="n">
        <f aca="false">N(DeploySum!P54)</f>
        <v>7</v>
      </c>
      <c r="M40" s="258" t="n">
        <f aca="false">N(DeploySum!Q54)</f>
        <v>8</v>
      </c>
      <c r="N40" s="259" t="n">
        <f aca="false">SUM(B40:M40)</f>
        <v>51</v>
      </c>
      <c r="O40" s="237"/>
    </row>
    <row r="41" customFormat="false" ht="15" hidden="false" customHeight="true" outlineLevel="0" collapsed="false">
      <c r="A41" s="237" t="s">
        <v>1834</v>
      </c>
      <c r="B41" s="258" t="n">
        <f aca="false">N(DeploySum!F60)</f>
        <v>0</v>
      </c>
      <c r="C41" s="258" t="n">
        <f aca="false">N(DeploySum!G60)</f>
        <v>0</v>
      </c>
      <c r="D41" s="258" t="n">
        <f aca="false">N(DeploySum!H60)</f>
        <v>0</v>
      </c>
      <c r="E41" s="258" t="n">
        <f aca="false">N(DeploySum!I60)</f>
        <v>1</v>
      </c>
      <c r="F41" s="258" t="n">
        <f aca="false">N(DeploySum!J60)</f>
        <v>0</v>
      </c>
      <c r="G41" s="258" t="n">
        <f aca="false">N(DeploySum!K60)</f>
        <v>0</v>
      </c>
      <c r="H41" s="258" t="n">
        <f aca="false">N(DeploySum!L60)</f>
        <v>0</v>
      </c>
      <c r="I41" s="258" t="n">
        <f aca="false">N(DeploySum!M60)</f>
        <v>0</v>
      </c>
      <c r="J41" s="258" t="n">
        <f aca="false">N(DeploySum!N60)</f>
        <v>0</v>
      </c>
      <c r="K41" s="258" t="n">
        <f aca="false">N(DeploySum!O60)</f>
        <v>0</v>
      </c>
      <c r="L41" s="258" t="n">
        <f aca="false">N(DeploySum!P60)</f>
        <v>0</v>
      </c>
      <c r="M41" s="258" t="n">
        <f aca="false">N(DeploySum!Q60)</f>
        <v>0</v>
      </c>
      <c r="N41" s="259" t="n">
        <f aca="false">SUM(B41:M41)</f>
        <v>1</v>
      </c>
      <c r="O41" s="237"/>
    </row>
    <row r="42" customFormat="false" ht="15" hidden="false" customHeight="true" outlineLevel="0" collapsed="false">
      <c r="A42" s="237" t="s">
        <v>1835</v>
      </c>
      <c r="B42" s="258" t="n">
        <f aca="false">N(DeploySum!F57)</f>
        <v>0</v>
      </c>
      <c r="C42" s="258" t="n">
        <f aca="false">N(DeploySum!G57)</f>
        <v>0</v>
      </c>
      <c r="D42" s="258" t="n">
        <f aca="false">N(DeploySum!H57)</f>
        <v>0</v>
      </c>
      <c r="E42" s="258" t="n">
        <f aca="false">N(DeploySum!I57)</f>
        <v>1</v>
      </c>
      <c r="F42" s="258" t="n">
        <f aca="false">N(DeploySum!J57)</f>
        <v>1</v>
      </c>
      <c r="G42" s="258" t="n">
        <f aca="false">N(DeploySum!K57)</f>
        <v>2</v>
      </c>
      <c r="H42" s="258" t="n">
        <f aca="false">N(DeploySum!L57)</f>
        <v>1</v>
      </c>
      <c r="I42" s="258" t="n">
        <f aca="false">N(DeploySum!M57)</f>
        <v>1</v>
      </c>
      <c r="J42" s="258" t="n">
        <f aca="false">N(DeploySum!N57)</f>
        <v>2</v>
      </c>
      <c r="K42" s="258" t="n">
        <f aca="false">N(DeploySum!O57)</f>
        <v>2</v>
      </c>
      <c r="L42" s="258" t="n">
        <f aca="false">N(DeploySum!P57)</f>
        <v>3</v>
      </c>
      <c r="M42" s="258" t="n">
        <f aca="false">N(DeploySum!Q57)</f>
        <v>2</v>
      </c>
      <c r="N42" s="259" t="n">
        <f aca="false">SUM(B42:M42)</f>
        <v>15</v>
      </c>
      <c r="O42" s="237"/>
    </row>
    <row r="43" customFormat="false" ht="15" hidden="false" customHeight="true" outlineLevel="0" collapsed="false">
      <c r="A43" s="260" t="s">
        <v>1836</v>
      </c>
      <c r="B43" s="261" t="n">
        <f aca="false">B40+B41+B42</f>
        <v>3</v>
      </c>
      <c r="C43" s="261" t="n">
        <f aca="false">C40+C41+C42</f>
        <v>2</v>
      </c>
      <c r="D43" s="261" t="n">
        <f aca="false">D40+D41+D42</f>
        <v>0</v>
      </c>
      <c r="E43" s="261" t="n">
        <f aca="false">E40+E41+E42</f>
        <v>5</v>
      </c>
      <c r="F43" s="261" t="n">
        <f aca="false">F40+F41+F42</f>
        <v>4</v>
      </c>
      <c r="G43" s="261" t="n">
        <f aca="false">G40+G41+G42</f>
        <v>6</v>
      </c>
      <c r="H43" s="261" t="n">
        <f aca="false">H40+H41+H42</f>
        <v>5</v>
      </c>
      <c r="I43" s="261" t="n">
        <f aca="false">I40+I41+I42</f>
        <v>6</v>
      </c>
      <c r="J43" s="261" t="n">
        <f aca="false">J40+J41+J42</f>
        <v>8</v>
      </c>
      <c r="K43" s="261" t="n">
        <f aca="false">K40+K41+K42</f>
        <v>8</v>
      </c>
      <c r="L43" s="261" t="n">
        <f aca="false">L40+L41+L42</f>
        <v>10</v>
      </c>
      <c r="M43" s="261" t="n">
        <f aca="false">M40+M41+M42</f>
        <v>10</v>
      </c>
      <c r="N43" s="261" t="n">
        <f aca="false">SUM(B43:M43)</f>
        <v>67</v>
      </c>
      <c r="O43" s="237"/>
    </row>
    <row r="44" customFormat="false" ht="15" hidden="false" customHeight="true" outlineLevel="0" collapsed="false">
      <c r="A44" s="237" t="s">
        <v>1819</v>
      </c>
      <c r="B44" s="259" t="n">
        <f aca="false">B42*$B$32</f>
        <v>0</v>
      </c>
      <c r="C44" s="259" t="n">
        <f aca="false">C42*$B$32</f>
        <v>0</v>
      </c>
      <c r="D44" s="259" t="n">
        <f aca="false">D42*$B$32</f>
        <v>0</v>
      </c>
      <c r="E44" s="259" t="n">
        <f aca="false">E42*$B$32</f>
        <v>0.6</v>
      </c>
      <c r="F44" s="259" t="n">
        <f aca="false">F42*$B$32</f>
        <v>0.6</v>
      </c>
      <c r="G44" s="259" t="n">
        <f aca="false">G42*$B$32</f>
        <v>1.2</v>
      </c>
      <c r="H44" s="259" t="n">
        <f aca="false">H42*$B$32</f>
        <v>0.6</v>
      </c>
      <c r="I44" s="259" t="n">
        <f aca="false">I42*$B$32</f>
        <v>0.6</v>
      </c>
      <c r="J44" s="259" t="n">
        <f aca="false">J42*$B$32</f>
        <v>1.2</v>
      </c>
      <c r="K44" s="259" t="n">
        <f aca="false">K42*$B$32</f>
        <v>1.2</v>
      </c>
      <c r="L44" s="259" t="n">
        <f aca="false">L42*$B$32</f>
        <v>1.8</v>
      </c>
      <c r="M44" s="259" t="n">
        <f aca="false">M42*$B$32</f>
        <v>1.2</v>
      </c>
      <c r="N44" s="259" t="n">
        <f aca="false">SUM(B44:M44)</f>
        <v>9</v>
      </c>
      <c r="O44" s="237"/>
    </row>
    <row r="45" customFormat="false" ht="15" hidden="false" customHeight="true" outlineLevel="0" collapsed="false">
      <c r="A45" s="260" t="s">
        <v>1837</v>
      </c>
      <c r="B45" s="261" t="n">
        <f aca="false">B40+B41+B44</f>
        <v>3</v>
      </c>
      <c r="C45" s="261" t="n">
        <f aca="false">C40+C41+C44</f>
        <v>2</v>
      </c>
      <c r="D45" s="261" t="n">
        <f aca="false">D40+D41+D44</f>
        <v>0</v>
      </c>
      <c r="E45" s="261" t="n">
        <f aca="false">E40+E41+E44</f>
        <v>4.6</v>
      </c>
      <c r="F45" s="261" t="n">
        <f aca="false">F40+F41+F44</f>
        <v>3.6</v>
      </c>
      <c r="G45" s="261" t="n">
        <f aca="false">G40+G41+G44</f>
        <v>5.2</v>
      </c>
      <c r="H45" s="261" t="n">
        <f aca="false">H40+H41+H44</f>
        <v>4.6</v>
      </c>
      <c r="I45" s="261" t="n">
        <f aca="false">I40+I41+I44</f>
        <v>5.6</v>
      </c>
      <c r="J45" s="261" t="n">
        <f aca="false">J40+J41+J44</f>
        <v>7.2</v>
      </c>
      <c r="K45" s="261" t="n">
        <f aca="false">K40+K41+K44</f>
        <v>7.2</v>
      </c>
      <c r="L45" s="261" t="n">
        <f aca="false">L40+L41+L44</f>
        <v>8.8</v>
      </c>
      <c r="M45" s="261" t="n">
        <f aca="false">M40+M41+M44</f>
        <v>9.2</v>
      </c>
      <c r="N45" s="261" t="n">
        <f aca="false">SUM(B45:M45)</f>
        <v>61</v>
      </c>
      <c r="O45" s="237"/>
    </row>
    <row r="46" customFormat="false" ht="15" hidden="false" customHeight="true" outlineLevel="0" collapsed="false">
      <c r="A46" s="237" t="s">
        <v>1838</v>
      </c>
      <c r="B46" s="259" t="n">
        <f aca="false">B45*$B$6</f>
        <v>0.9</v>
      </c>
      <c r="C46" s="259" t="n">
        <f aca="false">C45*$B$6</f>
        <v>0.6</v>
      </c>
      <c r="D46" s="259" t="n">
        <f aca="false">D45*$B$6</f>
        <v>0</v>
      </c>
      <c r="E46" s="259" t="n">
        <f aca="false">E45*$B$6</f>
        <v>1.38</v>
      </c>
      <c r="F46" s="259" t="n">
        <f aca="false">F45*$B$6</f>
        <v>1.08</v>
      </c>
      <c r="G46" s="259" t="n">
        <f aca="false">G45*$B$6</f>
        <v>1.56</v>
      </c>
      <c r="H46" s="259" t="n">
        <f aca="false">H45*$B$6</f>
        <v>1.38</v>
      </c>
      <c r="I46" s="259" t="n">
        <f aca="false">I45*$B$6</f>
        <v>1.68</v>
      </c>
      <c r="J46" s="259" t="n">
        <f aca="false">J45*$B$6</f>
        <v>2.16</v>
      </c>
      <c r="K46" s="259" t="n">
        <f aca="false">K45*$B$6</f>
        <v>2.16</v>
      </c>
      <c r="L46" s="259" t="n">
        <f aca="false">L45*$B$6</f>
        <v>2.64</v>
      </c>
      <c r="M46" s="259" t="n">
        <f aca="false">M45*$B$6</f>
        <v>2.76</v>
      </c>
      <c r="N46" s="259" t="n">
        <f aca="false">SUM(B46:M46)</f>
        <v>18.3</v>
      </c>
      <c r="O46" s="237"/>
    </row>
    <row r="47" customFormat="false" ht="15" hidden="false" customHeight="true" outlineLevel="0" collapsed="false">
      <c r="A47" s="237" t="s">
        <v>1839</v>
      </c>
      <c r="B47" s="258" t="n">
        <f aca="false">N(DeploySum!F55)</f>
        <v>20</v>
      </c>
      <c r="C47" s="258" t="n">
        <f aca="false">N(DeploySum!G55)</f>
        <v>8</v>
      </c>
      <c r="D47" s="258" t="n">
        <f aca="false">N(DeploySum!H55)</f>
        <v>0</v>
      </c>
      <c r="E47" s="258" t="n">
        <f aca="false">N(DeploySum!I55)</f>
        <v>12</v>
      </c>
      <c r="F47" s="258" t="n">
        <f aca="false">N(DeploySum!J55)</f>
        <v>12</v>
      </c>
      <c r="G47" s="258" t="n">
        <f aca="false">N(DeploySum!K55)</f>
        <v>16</v>
      </c>
      <c r="H47" s="258" t="n">
        <f aca="false">N(DeploySum!L55)</f>
        <v>16</v>
      </c>
      <c r="I47" s="258" t="n">
        <f aca="false">N(DeploySum!M55)</f>
        <v>20</v>
      </c>
      <c r="J47" s="258" t="n">
        <f aca="false">N(DeploySum!N55)</f>
        <v>24</v>
      </c>
      <c r="K47" s="258" t="n">
        <f aca="false">N(DeploySum!O55)</f>
        <v>24</v>
      </c>
      <c r="L47" s="258" t="n">
        <f aca="false">N(DeploySum!P55)</f>
        <v>28</v>
      </c>
      <c r="M47" s="258" t="n">
        <f aca="false">N(DeploySum!Q55)</f>
        <v>32</v>
      </c>
      <c r="N47" s="259" t="n">
        <f aca="false">SUM(B47:M47)</f>
        <v>212</v>
      </c>
      <c r="O47" s="237"/>
    </row>
    <row r="48" customFormat="false" ht="15" hidden="false" customHeight="true" outlineLevel="0" collapsed="false">
      <c r="A48" s="237" t="s">
        <v>1840</v>
      </c>
      <c r="B48" s="258" t="n">
        <f aca="false">N(DeploySum!F58)</f>
        <v>0</v>
      </c>
      <c r="C48" s="258" t="n">
        <f aca="false">N(DeploySum!G58)</f>
        <v>0</v>
      </c>
      <c r="D48" s="258" t="n">
        <f aca="false">N(DeploySum!H58)</f>
        <v>0</v>
      </c>
      <c r="E48" s="258" t="n">
        <f aca="false">N(DeploySum!I58)</f>
        <v>2</v>
      </c>
      <c r="F48" s="258" t="n">
        <f aca="false">N(DeploySum!J58)</f>
        <v>2</v>
      </c>
      <c r="G48" s="258" t="n">
        <f aca="false">N(DeploySum!K58)</f>
        <v>4</v>
      </c>
      <c r="H48" s="258" t="n">
        <f aca="false">N(DeploySum!L58)</f>
        <v>2</v>
      </c>
      <c r="I48" s="258" t="n">
        <f aca="false">N(DeploySum!M58)</f>
        <v>2</v>
      </c>
      <c r="J48" s="258" t="n">
        <f aca="false">N(DeploySum!N58)</f>
        <v>4</v>
      </c>
      <c r="K48" s="258" t="n">
        <f aca="false">N(DeploySum!O58)</f>
        <v>4</v>
      </c>
      <c r="L48" s="258" t="n">
        <f aca="false">N(DeploySum!P58)</f>
        <v>6</v>
      </c>
      <c r="M48" s="258" t="n">
        <f aca="false">N(DeploySum!Q58)</f>
        <v>4</v>
      </c>
      <c r="N48" s="259" t="n">
        <f aca="false">SUM(B48:M48)</f>
        <v>30</v>
      </c>
      <c r="O48" s="237"/>
    </row>
    <row r="49" customFormat="false" ht="15" hidden="false" customHeight="true" outlineLevel="0" collapsed="false">
      <c r="A49" s="237" t="s">
        <v>1841</v>
      </c>
      <c r="B49" s="258" t="n">
        <f aca="false">N(DeploySum!F61)</f>
        <v>0</v>
      </c>
      <c r="C49" s="258" t="n">
        <f aca="false">N(DeploySum!G61)</f>
        <v>0</v>
      </c>
      <c r="D49" s="258" t="n">
        <f aca="false">N(DeploySum!H61)</f>
        <v>0</v>
      </c>
      <c r="E49" s="258" t="n">
        <f aca="false">N(DeploySum!I61)</f>
        <v>8</v>
      </c>
      <c r="F49" s="258" t="n">
        <f aca="false">N(DeploySum!J61)</f>
        <v>0</v>
      </c>
      <c r="G49" s="258" t="n">
        <f aca="false">N(DeploySum!K61)</f>
        <v>0</v>
      </c>
      <c r="H49" s="258" t="n">
        <f aca="false">N(DeploySum!L61)</f>
        <v>0</v>
      </c>
      <c r="I49" s="258" t="n">
        <f aca="false">N(DeploySum!M61)</f>
        <v>0</v>
      </c>
      <c r="J49" s="258" t="n">
        <f aca="false">N(DeploySum!N61)</f>
        <v>0</v>
      </c>
      <c r="K49" s="258" t="n">
        <f aca="false">N(DeploySum!O61)</f>
        <v>0</v>
      </c>
      <c r="L49" s="258" t="n">
        <f aca="false">N(DeploySum!P61)</f>
        <v>0</v>
      </c>
      <c r="M49" s="258" t="n">
        <f aca="false">N(DeploySum!Q61)</f>
        <v>0</v>
      </c>
      <c r="N49" s="259" t="n">
        <f aca="false">SUM(B49:M49)</f>
        <v>8</v>
      </c>
      <c r="O49" s="237"/>
    </row>
    <row r="50" customFormat="false" ht="15" hidden="false" customHeight="true" outlineLevel="0" collapsed="false">
      <c r="A50" s="260" t="s">
        <v>1842</v>
      </c>
      <c r="B50" s="261" t="n">
        <f aca="false">B47+B48+B49</f>
        <v>20</v>
      </c>
      <c r="C50" s="261" t="n">
        <f aca="false">C47+C48+C49</f>
        <v>8</v>
      </c>
      <c r="D50" s="261" t="n">
        <f aca="false">D47+D48+D49</f>
        <v>0</v>
      </c>
      <c r="E50" s="261" t="n">
        <f aca="false">E47+E48+E49</f>
        <v>22</v>
      </c>
      <c r="F50" s="261" t="n">
        <f aca="false">F47+F48+F49</f>
        <v>14</v>
      </c>
      <c r="G50" s="261" t="n">
        <f aca="false">G47+G48+G49</f>
        <v>20</v>
      </c>
      <c r="H50" s="261" t="n">
        <f aca="false">H47+H48+H49</f>
        <v>18</v>
      </c>
      <c r="I50" s="261" t="n">
        <f aca="false">I47+I48+I49</f>
        <v>22</v>
      </c>
      <c r="J50" s="261" t="n">
        <f aca="false">J47+J48+J49</f>
        <v>28</v>
      </c>
      <c r="K50" s="261" t="n">
        <f aca="false">K47+K48+K49</f>
        <v>28</v>
      </c>
      <c r="L50" s="261" t="n">
        <f aca="false">L47+L48+L49</f>
        <v>34</v>
      </c>
      <c r="M50" s="261" t="n">
        <f aca="false">M47+M48+M49</f>
        <v>36</v>
      </c>
      <c r="N50" s="261" t="n">
        <f aca="false">SUM(B50:M50)</f>
        <v>250</v>
      </c>
      <c r="O50" s="237"/>
    </row>
    <row r="51" customFormat="false" ht="15" hidden="false" customHeight="true" outlineLevel="0" collapsed="false">
      <c r="A51" s="237" t="s">
        <v>1843</v>
      </c>
      <c r="B51" s="258" t="n">
        <f aca="false">N(DeploySum!F56)</f>
        <v>60</v>
      </c>
      <c r="C51" s="258" t="n">
        <f aca="false">N(DeploySum!G56)</f>
        <v>24</v>
      </c>
      <c r="D51" s="258" t="n">
        <f aca="false">N(DeploySum!H56)</f>
        <v>0</v>
      </c>
      <c r="E51" s="258" t="n">
        <f aca="false">N(DeploySum!I56)</f>
        <v>36</v>
      </c>
      <c r="F51" s="258" t="n">
        <f aca="false">N(DeploySum!J56)</f>
        <v>36</v>
      </c>
      <c r="G51" s="258" t="n">
        <f aca="false">N(DeploySum!K56)</f>
        <v>48</v>
      </c>
      <c r="H51" s="258" t="n">
        <f aca="false">N(DeploySum!L56)</f>
        <v>48</v>
      </c>
      <c r="I51" s="258" t="n">
        <f aca="false">N(DeploySum!M56)</f>
        <v>60</v>
      </c>
      <c r="J51" s="258" t="n">
        <f aca="false">N(DeploySum!N56)</f>
        <v>72</v>
      </c>
      <c r="K51" s="258" t="n">
        <f aca="false">N(DeploySum!O56)</f>
        <v>72</v>
      </c>
      <c r="L51" s="258" t="n">
        <f aca="false">N(DeploySum!P56)</f>
        <v>84</v>
      </c>
      <c r="M51" s="258" t="n">
        <f aca="false">N(DeploySum!Q56)</f>
        <v>96</v>
      </c>
      <c r="N51" s="259" t="n">
        <f aca="false">SUM(B51:M51)</f>
        <v>636</v>
      </c>
      <c r="O51" s="237"/>
    </row>
    <row r="52" customFormat="false" ht="15" hidden="false" customHeight="true" outlineLevel="0" collapsed="false">
      <c r="A52" s="237" t="s">
        <v>1844</v>
      </c>
      <c r="B52" s="258" t="n">
        <f aca="false">N(DeploySum!F59)</f>
        <v>0</v>
      </c>
      <c r="C52" s="258" t="n">
        <f aca="false">N(DeploySum!G59)</f>
        <v>0</v>
      </c>
      <c r="D52" s="258" t="n">
        <f aca="false">N(DeploySum!H59)</f>
        <v>0</v>
      </c>
      <c r="E52" s="258" t="n">
        <f aca="false">N(DeploySum!I59)</f>
        <v>25</v>
      </c>
      <c r="F52" s="258" t="n">
        <f aca="false">N(DeploySum!J59)</f>
        <v>25</v>
      </c>
      <c r="G52" s="258" t="n">
        <f aca="false">N(DeploySum!K59)</f>
        <v>50</v>
      </c>
      <c r="H52" s="258" t="n">
        <f aca="false">N(DeploySum!L59)</f>
        <v>25</v>
      </c>
      <c r="I52" s="258" t="n">
        <f aca="false">N(DeploySum!M59)</f>
        <v>25</v>
      </c>
      <c r="J52" s="258" t="n">
        <f aca="false">N(DeploySum!N59)</f>
        <v>50</v>
      </c>
      <c r="K52" s="258" t="n">
        <f aca="false">N(DeploySum!O59)</f>
        <v>50</v>
      </c>
      <c r="L52" s="258" t="n">
        <f aca="false">N(DeploySum!P59)</f>
        <v>75</v>
      </c>
      <c r="M52" s="258" t="n">
        <f aca="false">N(DeploySum!Q59)</f>
        <v>50</v>
      </c>
      <c r="N52" s="259" t="n">
        <f aca="false">SUM(B52:M52)</f>
        <v>375</v>
      </c>
      <c r="O52" s="237"/>
    </row>
    <row r="53" customFormat="false" ht="15" hidden="false" customHeight="true" outlineLevel="0" collapsed="false">
      <c r="A53" s="237" t="s">
        <v>1845</v>
      </c>
      <c r="B53" s="258" t="n">
        <f aca="false">N(DeploySum!F62)</f>
        <v>0</v>
      </c>
      <c r="C53" s="258" t="n">
        <f aca="false">N(DeploySum!G62)</f>
        <v>0</v>
      </c>
      <c r="D53" s="258" t="n">
        <f aca="false">N(DeploySum!H62)</f>
        <v>0</v>
      </c>
      <c r="E53" s="258" t="n">
        <f aca="false">N(DeploySum!I62)</f>
        <v>25</v>
      </c>
      <c r="F53" s="258" t="n">
        <f aca="false">N(DeploySum!J62)</f>
        <v>0</v>
      </c>
      <c r="G53" s="258" t="n">
        <f aca="false">N(DeploySum!K62)</f>
        <v>0</v>
      </c>
      <c r="H53" s="258" t="n">
        <f aca="false">N(DeploySum!L62)</f>
        <v>0</v>
      </c>
      <c r="I53" s="258" t="n">
        <f aca="false">N(DeploySum!M62)</f>
        <v>0</v>
      </c>
      <c r="J53" s="258" t="n">
        <f aca="false">N(DeploySum!N62)</f>
        <v>0</v>
      </c>
      <c r="K53" s="258" t="n">
        <f aca="false">N(DeploySum!O62)</f>
        <v>0</v>
      </c>
      <c r="L53" s="258" t="n">
        <f aca="false">N(DeploySum!P62)</f>
        <v>0</v>
      </c>
      <c r="M53" s="258" t="n">
        <f aca="false">N(DeploySum!Q62)</f>
        <v>0</v>
      </c>
      <c r="N53" s="259" t="n">
        <f aca="false">SUM(B53:M53)</f>
        <v>25</v>
      </c>
      <c r="O53" s="237"/>
    </row>
    <row r="54" customFormat="false" ht="15" hidden="false" customHeight="true" outlineLevel="0" collapsed="false">
      <c r="A54" s="260" t="s">
        <v>1846</v>
      </c>
      <c r="B54" s="261" t="n">
        <f aca="false">B51+B52+B53</f>
        <v>60</v>
      </c>
      <c r="C54" s="261" t="n">
        <f aca="false">C51+C52+C53</f>
        <v>24</v>
      </c>
      <c r="D54" s="261" t="n">
        <f aca="false">D51+D52+D53</f>
        <v>0</v>
      </c>
      <c r="E54" s="261" t="n">
        <f aca="false">E51+E52+E53</f>
        <v>86</v>
      </c>
      <c r="F54" s="261" t="n">
        <f aca="false">F51+F52+F53</f>
        <v>61</v>
      </c>
      <c r="G54" s="261" t="n">
        <f aca="false">G51+G52+G53</f>
        <v>98</v>
      </c>
      <c r="H54" s="261" t="n">
        <f aca="false">H51+H52+H53</f>
        <v>73</v>
      </c>
      <c r="I54" s="261" t="n">
        <f aca="false">I51+I52+I53</f>
        <v>85</v>
      </c>
      <c r="J54" s="261" t="n">
        <f aca="false">J51+J52+J53</f>
        <v>122</v>
      </c>
      <c r="K54" s="261" t="n">
        <f aca="false">K51+K52+K53</f>
        <v>122</v>
      </c>
      <c r="L54" s="261" t="n">
        <f aca="false">L51+L52+L53</f>
        <v>159</v>
      </c>
      <c r="M54" s="261" t="n">
        <f aca="false">M51+M52+M53</f>
        <v>146</v>
      </c>
      <c r="N54" s="261" t="n">
        <f aca="false">SUM(B54:M54)</f>
        <v>1036</v>
      </c>
      <c r="O54" s="237"/>
    </row>
    <row r="55" customFormat="false" ht="15" hidden="false" customHeight="true" outlineLevel="0" collapsed="false">
      <c r="A55" s="237" t="s">
        <v>1847</v>
      </c>
      <c r="B55" s="259" t="n">
        <f aca="false">IF(B40=0,0,B40*MAX(ROUNDUP(B47/B40/$B$23,0),ROUNDUP(B51/B40/$B$24,0),$B$25))</f>
        <v>9</v>
      </c>
      <c r="C55" s="259" t="n">
        <f aca="false">IF(C40=0,0,C40*MAX(ROUNDUP(C47/C40/$B$23,0),ROUNDUP(C51/C40/$B$24,0),$B$25))</f>
        <v>4</v>
      </c>
      <c r="D55" s="259" t="n">
        <f aca="false">IF(D40=0,0,D40*MAX(ROUNDUP(D47/D40/$B$23,0),ROUNDUP(D51/D40/$B$24,0),$B$25))</f>
        <v>0</v>
      </c>
      <c r="E55" s="259" t="n">
        <f aca="false">IF(E40=0,0,E40*MAX(ROUNDUP(E47/E40/$B$23,0),ROUNDUP(E51/E40/$B$24,0),$B$25))</f>
        <v>6</v>
      </c>
      <c r="F55" s="259" t="n">
        <f aca="false">IF(F40=0,0,F40*MAX(ROUNDUP(F47/F40/$B$23,0),ROUNDUP(F51/F40/$B$24,0),$B$25))</f>
        <v>6</v>
      </c>
      <c r="G55" s="259" t="n">
        <f aca="false">IF(G40=0,0,G40*MAX(ROUNDUP(G47/G40/$B$23,0),ROUNDUP(G51/G40/$B$24,0),$B$25))</f>
        <v>8</v>
      </c>
      <c r="H55" s="259" t="n">
        <f aca="false">IF(H40=0,0,H40*MAX(ROUNDUP(H47/H40/$B$23,0),ROUNDUP(H51/H40/$B$24,0),$B$25))</f>
        <v>8</v>
      </c>
      <c r="I55" s="259" t="n">
        <f aca="false">IF(I40=0,0,I40*MAX(ROUNDUP(I47/I40/$B$23,0),ROUNDUP(I51/I40/$B$24,0),$B$25))</f>
        <v>10</v>
      </c>
      <c r="J55" s="259" t="n">
        <f aca="false">IF(J40=0,0,J40*MAX(ROUNDUP(J47/J40/$B$23,0),ROUNDUP(J51/J40/$B$24,0),$B$25))</f>
        <v>12</v>
      </c>
      <c r="K55" s="259" t="n">
        <f aca="false">IF(K40=0,0,K40*MAX(ROUNDUP(K47/K40/$B$23,0),ROUNDUP(K51/K40/$B$24,0),$B$25))</f>
        <v>12</v>
      </c>
      <c r="L55" s="259" t="n">
        <f aca="false">IF(L40=0,0,L40*MAX(ROUNDUP(L47/L40/$B$23,0),ROUNDUP(L51/L40/$B$24,0),$B$25))</f>
        <v>14</v>
      </c>
      <c r="M55" s="259" t="n">
        <f aca="false">IF(M40=0,0,M40*MAX(ROUNDUP(M47/M40/$B$23,0),ROUNDUP(M51/M40/$B$24,0),$B$25))</f>
        <v>16</v>
      </c>
      <c r="N55" s="259" t="n">
        <f aca="false">SUM(B55:M55)</f>
        <v>105</v>
      </c>
      <c r="O55" s="237"/>
    </row>
    <row r="56" customFormat="false" ht="15" hidden="false" customHeight="true" outlineLevel="0" collapsed="false">
      <c r="A56" s="237" t="s">
        <v>1848</v>
      </c>
      <c r="B56" s="259" t="n">
        <f aca="false">IF(B42=0,0,B42*MAX(ROUNDUP(B48/B42/$B$23,0),ROUNDUP(B52/B42/$B$24,0),$B$25))</f>
        <v>0</v>
      </c>
      <c r="C56" s="259" t="n">
        <f aca="false">IF(C42=0,0,C42*MAX(ROUNDUP(C48/C42/$B$23,0),ROUNDUP(C52/C42/$B$24,0),$B$25))</f>
        <v>0</v>
      </c>
      <c r="D56" s="259" t="n">
        <f aca="false">IF(D42=0,0,D42*MAX(ROUNDUP(D48/D42/$B$23,0),ROUNDUP(D52/D42/$B$24,0),$B$25))</f>
        <v>0</v>
      </c>
      <c r="E56" s="259" t="n">
        <f aca="false">IF(E42=0,0,E42*MAX(ROUNDUP(E48/E42/$B$23,0),ROUNDUP(E52/E42/$B$24,0),$B$25))</f>
        <v>3</v>
      </c>
      <c r="F56" s="259" t="n">
        <f aca="false">IF(F42=0,0,F42*MAX(ROUNDUP(F48/F42/$B$23,0),ROUNDUP(F52/F42/$B$24,0),$B$25))</f>
        <v>3</v>
      </c>
      <c r="G56" s="259" t="n">
        <f aca="false">IF(G42=0,0,G42*MAX(ROUNDUP(G48/G42/$B$23,0),ROUNDUP(G52/G42/$B$24,0),$B$25))</f>
        <v>6</v>
      </c>
      <c r="H56" s="259" t="n">
        <f aca="false">IF(H42=0,0,H42*MAX(ROUNDUP(H48/H42/$B$23,0),ROUNDUP(H52/H42/$B$24,0),$B$25))</f>
        <v>3</v>
      </c>
      <c r="I56" s="259" t="n">
        <f aca="false">IF(I42=0,0,I42*MAX(ROUNDUP(I48/I42/$B$23,0),ROUNDUP(I52/I42/$B$24,0),$B$25))</f>
        <v>3</v>
      </c>
      <c r="J56" s="259" t="n">
        <f aca="false">IF(J42=0,0,J42*MAX(ROUNDUP(J48/J42/$B$23,0),ROUNDUP(J52/J42/$B$24,0),$B$25))</f>
        <v>6</v>
      </c>
      <c r="K56" s="259" t="n">
        <f aca="false">IF(K42=0,0,K42*MAX(ROUNDUP(K48/K42/$B$23,0),ROUNDUP(K52/K42/$B$24,0),$B$25))</f>
        <v>6</v>
      </c>
      <c r="L56" s="259" t="n">
        <f aca="false">IF(L42=0,0,L42*MAX(ROUNDUP(L48/L42/$B$23,0),ROUNDUP(L52/L42/$B$24,0),$B$25))</f>
        <v>9</v>
      </c>
      <c r="M56" s="259" t="n">
        <f aca="false">IF(M42=0,0,M42*MAX(ROUNDUP(M48/M42/$B$23,0),ROUNDUP(M52/M42/$B$24,0),$B$25))</f>
        <v>6</v>
      </c>
      <c r="N56" s="259" t="n">
        <f aca="false">SUM(B56:M56)</f>
        <v>45</v>
      </c>
      <c r="O56" s="237"/>
    </row>
    <row r="57" customFormat="false" ht="15" hidden="false" customHeight="true" outlineLevel="0" collapsed="false">
      <c r="A57" s="237" t="s">
        <v>1849</v>
      </c>
      <c r="B57" s="259" t="n">
        <f aca="false">IF(B41=0,0,B41*MAX(ROUNDUP(B49/B41/$B$23,0),ROUNDUP(B53/B41/$B$24,0),$B$25))</f>
        <v>0</v>
      </c>
      <c r="C57" s="259" t="n">
        <f aca="false">IF(C41=0,0,C41*MAX(ROUNDUP(C49/C41/$B$23,0),ROUNDUP(C53/C41/$B$24,0),$B$25))</f>
        <v>0</v>
      </c>
      <c r="D57" s="259" t="n">
        <f aca="false">IF(D41=0,0,D41*MAX(ROUNDUP(D49/D41/$B$23,0),ROUNDUP(D53/D41/$B$24,0),$B$25))</f>
        <v>0</v>
      </c>
      <c r="E57" s="259" t="n">
        <f aca="false">IF(E41=0,0,E41*MAX(ROUNDUP(E49/E41/$B$23,0),ROUNDUP(E53/E41/$B$24,0),$B$25))</f>
        <v>3</v>
      </c>
      <c r="F57" s="259" t="n">
        <f aca="false">IF(F41=0,0,F41*MAX(ROUNDUP(F49/F41/$B$23,0),ROUNDUP(F53/F41/$B$24,0),$B$25))</f>
        <v>0</v>
      </c>
      <c r="G57" s="259" t="n">
        <f aca="false">IF(G41=0,0,G41*MAX(ROUNDUP(G49/G41/$B$23,0),ROUNDUP(G53/G41/$B$24,0),$B$25))</f>
        <v>0</v>
      </c>
      <c r="H57" s="259" t="n">
        <f aca="false">IF(H41=0,0,H41*MAX(ROUNDUP(H49/H41/$B$23,0),ROUNDUP(H53/H41/$B$24,0),$B$25))</f>
        <v>0</v>
      </c>
      <c r="I57" s="259" t="n">
        <f aca="false">IF(I41=0,0,I41*MAX(ROUNDUP(I49/I41/$B$23,0),ROUNDUP(I53/I41/$B$24,0),$B$25))</f>
        <v>0</v>
      </c>
      <c r="J57" s="259" t="n">
        <f aca="false">IF(J41=0,0,J41*MAX(ROUNDUP(J49/J41/$B$23,0),ROUNDUP(J53/J41/$B$24,0),$B$25))</f>
        <v>0</v>
      </c>
      <c r="K57" s="259" t="n">
        <f aca="false">IF(K41=0,0,K41*MAX(ROUNDUP(K49/K41/$B$23,0),ROUNDUP(K53/K41/$B$24,0),$B$25))</f>
        <v>0</v>
      </c>
      <c r="L57" s="259" t="n">
        <f aca="false">IF(L41=0,0,L41*MAX(ROUNDUP(L49/L41/$B$23,0),ROUNDUP(L53/L41/$B$24,0),$B$25))</f>
        <v>0</v>
      </c>
      <c r="M57" s="259" t="n">
        <f aca="false">IF(M41=0,0,M41*MAX(ROUNDUP(M49/M41/$B$23,0),ROUNDUP(M53/M41/$B$24,0),$B$25))</f>
        <v>0</v>
      </c>
      <c r="N57" s="259" t="n">
        <f aca="false">SUM(B57:M57)</f>
        <v>3</v>
      </c>
      <c r="O57" s="237"/>
    </row>
    <row r="58" customFormat="false" ht="15" hidden="false" customHeight="true" outlineLevel="0" collapsed="false">
      <c r="A58" s="260" t="s">
        <v>1850</v>
      </c>
      <c r="B58" s="261" t="n">
        <f aca="false">B55+B56+B57</f>
        <v>9</v>
      </c>
      <c r="C58" s="261" t="n">
        <f aca="false">C55+C56+C57</f>
        <v>4</v>
      </c>
      <c r="D58" s="261" t="n">
        <f aca="false">D55+D56+D57</f>
        <v>0</v>
      </c>
      <c r="E58" s="261" t="n">
        <f aca="false">E55+E56+E57</f>
        <v>12</v>
      </c>
      <c r="F58" s="261" t="n">
        <f aca="false">F55+F56+F57</f>
        <v>9</v>
      </c>
      <c r="G58" s="261" t="n">
        <f aca="false">G55+G56+G57</f>
        <v>14</v>
      </c>
      <c r="H58" s="261" t="n">
        <f aca="false">H55+H56+H57</f>
        <v>11</v>
      </c>
      <c r="I58" s="261" t="n">
        <f aca="false">I55+I56+I57</f>
        <v>13</v>
      </c>
      <c r="J58" s="261" t="n">
        <f aca="false">J55+J56+J57</f>
        <v>18</v>
      </c>
      <c r="K58" s="261" t="n">
        <f aca="false">K55+K56+K57</f>
        <v>18</v>
      </c>
      <c r="L58" s="261" t="n">
        <f aca="false">L55+L56+L57</f>
        <v>23</v>
      </c>
      <c r="M58" s="261" t="n">
        <f aca="false">M55+M56+M57</f>
        <v>22</v>
      </c>
      <c r="N58" s="261" t="n">
        <f aca="false">SUM(B58:M58)</f>
        <v>153</v>
      </c>
      <c r="O58" s="237"/>
    </row>
    <row r="59" customFormat="false" ht="15" hidden="false" customHeight="true" outlineLevel="0" collapsed="false">
      <c r="A59" s="237" t="s">
        <v>1851</v>
      </c>
      <c r="B59" s="262" t="n">
        <f aca="false">N($B$19)+SUM($B50:B50)</f>
        <v>55</v>
      </c>
      <c r="C59" s="262" t="n">
        <f aca="false">N($B$19)+SUM($B50:C50)</f>
        <v>63</v>
      </c>
      <c r="D59" s="262" t="n">
        <f aca="false">N($B$19)+SUM($B50:D50)</f>
        <v>63</v>
      </c>
      <c r="E59" s="262" t="n">
        <f aca="false">N($B$19)+SUM($B50:E50)</f>
        <v>85</v>
      </c>
      <c r="F59" s="262" t="n">
        <f aca="false">N($B$19)+SUM($B50:F50)</f>
        <v>99</v>
      </c>
      <c r="G59" s="262" t="n">
        <f aca="false">N($B$19)+SUM($B50:G50)</f>
        <v>119</v>
      </c>
      <c r="H59" s="262" t="n">
        <f aca="false">N($B$19)+SUM($B50:H50)</f>
        <v>137</v>
      </c>
      <c r="I59" s="262" t="n">
        <f aca="false">N($B$19)+SUM($B50:I50)</f>
        <v>159</v>
      </c>
      <c r="J59" s="262" t="n">
        <f aca="false">N($B$19)+SUM($B50:J50)</f>
        <v>187</v>
      </c>
      <c r="K59" s="262" t="n">
        <f aca="false">N($B$19)+SUM($B50:K50)</f>
        <v>215</v>
      </c>
      <c r="L59" s="262" t="n">
        <f aca="false">N($B$19)+SUM($B50:L50)</f>
        <v>249</v>
      </c>
      <c r="M59" s="262" t="n">
        <f aca="false">N($B$19)+SUM($B50:M50)</f>
        <v>285</v>
      </c>
      <c r="N59" s="262"/>
      <c r="O59" s="237"/>
    </row>
    <row r="60" customFormat="false" ht="15" hidden="false" customHeight="true" outlineLevel="0" collapsed="false">
      <c r="A60" s="237" t="s">
        <v>1852</v>
      </c>
      <c r="B60" s="263" t="n">
        <f aca="false">IF(N($B$19)&gt;0,B59/$B$19-1,0)</f>
        <v>0.571428571428571</v>
      </c>
      <c r="C60" s="263" t="n">
        <f aca="false">IF(N($B$19)&gt;0,C59/$B$19-1,0)</f>
        <v>0.8</v>
      </c>
      <c r="D60" s="263" t="n">
        <f aca="false">IF(N($B$19)&gt;0,D59/$B$19-1,0)</f>
        <v>0.8</v>
      </c>
      <c r="E60" s="263" t="n">
        <f aca="false">IF(N($B$19)&gt;0,E59/$B$19-1,0)</f>
        <v>1.42857142857143</v>
      </c>
      <c r="F60" s="263" t="n">
        <f aca="false">IF(N($B$19)&gt;0,F59/$B$19-1,0)</f>
        <v>1.82857142857143</v>
      </c>
      <c r="G60" s="263" t="n">
        <f aca="false">IF(N($B$19)&gt;0,G59/$B$19-1,0)</f>
        <v>2.4</v>
      </c>
      <c r="H60" s="263" t="n">
        <f aca="false">IF(N($B$19)&gt;0,H59/$B$19-1,0)</f>
        <v>2.91428571428571</v>
      </c>
      <c r="I60" s="263" t="n">
        <f aca="false">IF(N($B$19)&gt;0,I59/$B$19-1,0)</f>
        <v>3.54285714285714</v>
      </c>
      <c r="J60" s="263" t="n">
        <f aca="false">IF(N($B$19)&gt;0,J59/$B$19-1,0)</f>
        <v>4.34285714285714</v>
      </c>
      <c r="K60" s="263" t="n">
        <f aca="false">IF(N($B$19)&gt;0,K59/$B$19-1,0)</f>
        <v>5.14285714285714</v>
      </c>
      <c r="L60" s="263" t="n">
        <f aca="false">IF(N($B$19)&gt;0,L59/$B$19-1,0)</f>
        <v>6.11428571428571</v>
      </c>
      <c r="M60" s="263" t="n">
        <f aca="false">IF(N($B$19)&gt;0,M59/$B$19-1,0)</f>
        <v>7.14285714285714</v>
      </c>
      <c r="N60" s="263"/>
      <c r="O60" s="237"/>
    </row>
    <row r="61" customFormat="false" ht="15" hidden="false" customHeight="true" outlineLevel="0" collapsed="false">
      <c r="A61" s="237"/>
      <c r="B61" s="237"/>
      <c r="C61" s="237"/>
      <c r="D61" s="237"/>
      <c r="E61" s="237"/>
      <c r="F61" s="237"/>
      <c r="G61" s="237"/>
      <c r="H61" s="237"/>
      <c r="I61" s="237"/>
      <c r="J61" s="237"/>
      <c r="K61" s="237"/>
      <c r="L61" s="237"/>
      <c r="M61" s="237"/>
      <c r="N61" s="237"/>
      <c r="O61" s="237"/>
    </row>
    <row r="62" customFormat="false" ht="27" hidden="false" customHeight="true" outlineLevel="0" collapsed="false">
      <c r="A62" s="240" t="s">
        <v>1853</v>
      </c>
      <c r="B62" s="256" t="n">
        <f aca="false">B$39</f>
        <v>46388</v>
      </c>
      <c r="C62" s="256" t="n">
        <f aca="false">C$39</f>
        <v>46419</v>
      </c>
      <c r="D62" s="256" t="n">
        <f aca="false">D$39</f>
        <v>46447</v>
      </c>
      <c r="E62" s="256" t="n">
        <f aca="false">E$39</f>
        <v>46478</v>
      </c>
      <c r="F62" s="256" t="n">
        <f aca="false">F$39</f>
        <v>46508</v>
      </c>
      <c r="G62" s="256" t="n">
        <f aca="false">G$39</f>
        <v>46539</v>
      </c>
      <c r="H62" s="256" t="n">
        <f aca="false">H$39</f>
        <v>46569</v>
      </c>
      <c r="I62" s="256" t="n">
        <f aca="false">I$39</f>
        <v>46600</v>
      </c>
      <c r="J62" s="256" t="n">
        <f aca="false">J$39</f>
        <v>46631</v>
      </c>
      <c r="K62" s="256" t="n">
        <f aca="false">K$39</f>
        <v>46661</v>
      </c>
      <c r="L62" s="256" t="n">
        <f aca="false">L$39</f>
        <v>46692</v>
      </c>
      <c r="M62" s="256" t="n">
        <f aca="false">M$39</f>
        <v>46722</v>
      </c>
      <c r="N62" s="257" t="s">
        <v>1854</v>
      </c>
      <c r="O62" s="257"/>
    </row>
    <row r="63" customFormat="false" ht="15" hidden="false" customHeight="true" outlineLevel="0" collapsed="false">
      <c r="A63" s="237" t="s">
        <v>1855</v>
      </c>
      <c r="B63" s="259" t="n">
        <f aca="false">$B$37</f>
        <v>14</v>
      </c>
      <c r="C63" s="259" t="n">
        <f aca="false">$B$37</f>
        <v>14</v>
      </c>
      <c r="D63" s="259" t="n">
        <f aca="false">$B$37</f>
        <v>14</v>
      </c>
      <c r="E63" s="259" t="n">
        <f aca="false">$B$37</f>
        <v>14</v>
      </c>
      <c r="F63" s="259" t="n">
        <f aca="false">$B$37</f>
        <v>14</v>
      </c>
      <c r="G63" s="259" t="n">
        <f aca="false">$B$37</f>
        <v>14</v>
      </c>
      <c r="H63" s="259" t="n">
        <f aca="false">$B$37</f>
        <v>14</v>
      </c>
      <c r="I63" s="259" t="n">
        <f aca="false">$B$37</f>
        <v>14</v>
      </c>
      <c r="J63" s="259" t="n">
        <f aca="false">$B$37</f>
        <v>14</v>
      </c>
      <c r="K63" s="259" t="n">
        <f aca="false">$B$37</f>
        <v>14</v>
      </c>
      <c r="L63" s="259" t="n">
        <f aca="false">$B$37</f>
        <v>14</v>
      </c>
      <c r="M63" s="259" t="n">
        <f aca="false">$B$37</f>
        <v>14</v>
      </c>
      <c r="N63" s="259" t="n">
        <f aca="false">AVERAGE(B63:M63)</f>
        <v>14</v>
      </c>
      <c r="O63" s="237"/>
    </row>
    <row r="64" customFormat="false" ht="15" hidden="false" customHeight="true" outlineLevel="0" collapsed="false">
      <c r="A64" s="237" t="s">
        <v>1856</v>
      </c>
      <c r="B64" s="258" t="n">
        <f aca="false">'Fld Ops Payroll'!F30</f>
        <v>5</v>
      </c>
      <c r="C64" s="258" t="n">
        <f aca="false">'Fld Ops Payroll'!G30</f>
        <v>5</v>
      </c>
      <c r="D64" s="258" t="n">
        <f aca="false">'Fld Ops Payroll'!H30</f>
        <v>8</v>
      </c>
      <c r="E64" s="258" t="n">
        <f aca="false">'Fld Ops Payroll'!I30</f>
        <v>11</v>
      </c>
      <c r="F64" s="258" t="n">
        <f aca="false">'Fld Ops Payroll'!J30</f>
        <v>15</v>
      </c>
      <c r="G64" s="258" t="n">
        <f aca="false">'Fld Ops Payroll'!K30</f>
        <v>19</v>
      </c>
      <c r="H64" s="258" t="n">
        <f aca="false">'Fld Ops Payroll'!L30</f>
        <v>24</v>
      </c>
      <c r="I64" s="258" t="n">
        <f aca="false">'Fld Ops Payroll'!M30</f>
        <v>30</v>
      </c>
      <c r="J64" s="258" t="n">
        <f aca="false">'Fld Ops Payroll'!N30</f>
        <v>36</v>
      </c>
      <c r="K64" s="258" t="n">
        <f aca="false">'Fld Ops Payroll'!O30</f>
        <v>43</v>
      </c>
      <c r="L64" s="258" t="n">
        <f aca="false">'Fld Ops Payroll'!P30</f>
        <v>51</v>
      </c>
      <c r="M64" s="258" t="n">
        <f aca="false">'Fld Ops Payroll'!Q30</f>
        <v>58</v>
      </c>
      <c r="N64" s="259" t="n">
        <f aca="false">AVERAGE(B64:M64)</f>
        <v>25.4166666666667</v>
      </c>
      <c r="O64" s="237"/>
    </row>
    <row r="65" customFormat="false" ht="15" hidden="false" customHeight="true" outlineLevel="0" collapsed="false">
      <c r="A65" s="237" t="s">
        <v>1857</v>
      </c>
      <c r="B65" s="258" t="n">
        <f aca="false">'Fld Ops Payroll'!F41</f>
        <v>0</v>
      </c>
      <c r="C65" s="258" t="n">
        <f aca="false">'Fld Ops Payroll'!G41</f>
        <v>0</v>
      </c>
      <c r="D65" s="258" t="n">
        <f aca="false">'Fld Ops Payroll'!H41</f>
        <v>1</v>
      </c>
      <c r="E65" s="258" t="n">
        <f aca="false">'Fld Ops Payroll'!I41</f>
        <v>1</v>
      </c>
      <c r="F65" s="258" t="n">
        <f aca="false">'Fld Ops Payroll'!J41</f>
        <v>2</v>
      </c>
      <c r="G65" s="258" t="n">
        <f aca="false">'Fld Ops Payroll'!K41</f>
        <v>3</v>
      </c>
      <c r="H65" s="258" t="n">
        <f aca="false">'Fld Ops Payroll'!L41</f>
        <v>4</v>
      </c>
      <c r="I65" s="258" t="n">
        <f aca="false">'Fld Ops Payroll'!M41</f>
        <v>5</v>
      </c>
      <c r="J65" s="258" t="n">
        <f aca="false">'Fld Ops Payroll'!N41</f>
        <v>6</v>
      </c>
      <c r="K65" s="258" t="n">
        <f aca="false">'Fld Ops Payroll'!O41</f>
        <v>8</v>
      </c>
      <c r="L65" s="258" t="n">
        <f aca="false">'Fld Ops Payroll'!P41</f>
        <v>9</v>
      </c>
      <c r="M65" s="258" t="n">
        <f aca="false">'Fld Ops Payroll'!Q41</f>
        <v>10</v>
      </c>
      <c r="N65" s="259" t="n">
        <f aca="false">AVERAGE(B65:M65)</f>
        <v>4.08333333333333</v>
      </c>
      <c r="O65" s="237"/>
    </row>
    <row r="66" customFormat="false" ht="15" hidden="false" customHeight="true" outlineLevel="0" collapsed="false">
      <c r="A66" s="237" t="s">
        <v>1858</v>
      </c>
      <c r="B66" s="258" t="n">
        <f aca="false">'Fld Ops Payroll'!F54</f>
        <v>0</v>
      </c>
      <c r="C66" s="258" t="n">
        <f aca="false">'Fld Ops Payroll'!G54</f>
        <v>0</v>
      </c>
      <c r="D66" s="258" t="n">
        <f aca="false">'Fld Ops Payroll'!H54</f>
        <v>0</v>
      </c>
      <c r="E66" s="258" t="n">
        <f aca="false">'Fld Ops Payroll'!I54</f>
        <v>0</v>
      </c>
      <c r="F66" s="258" t="n">
        <f aca="false">'Fld Ops Payroll'!J54</f>
        <v>0</v>
      </c>
      <c r="G66" s="258" t="n">
        <f aca="false">'Fld Ops Payroll'!K54</f>
        <v>0</v>
      </c>
      <c r="H66" s="258" t="n">
        <f aca="false">'Fld Ops Payroll'!L54</f>
        <v>0</v>
      </c>
      <c r="I66" s="258" t="n">
        <f aca="false">'Fld Ops Payroll'!M54</f>
        <v>0</v>
      </c>
      <c r="J66" s="258" t="n">
        <f aca="false">'Fld Ops Payroll'!N54</f>
        <v>0</v>
      </c>
      <c r="K66" s="258" t="n">
        <f aca="false">'Fld Ops Payroll'!O54</f>
        <v>0</v>
      </c>
      <c r="L66" s="258" t="n">
        <f aca="false">'Fld Ops Payroll'!P54</f>
        <v>0</v>
      </c>
      <c r="M66" s="258" t="n">
        <f aca="false">'Fld Ops Payroll'!Q54</f>
        <v>0</v>
      </c>
      <c r="N66" s="259" t="n">
        <f aca="false">AVERAGE(B66:M66)</f>
        <v>0</v>
      </c>
      <c r="O66" s="237"/>
    </row>
    <row r="67" customFormat="false" ht="15" hidden="false" customHeight="true" outlineLevel="0" collapsed="false">
      <c r="A67" s="237" t="s">
        <v>1859</v>
      </c>
      <c r="B67" s="259" t="n">
        <f aca="false">-IF(B$39&gt;=$B$14,$B$15,0)</f>
        <v>-0</v>
      </c>
      <c r="C67" s="259" t="n">
        <f aca="false">-IF(C$39&gt;=$B$14,$B$15,0)</f>
        <v>-0</v>
      </c>
      <c r="D67" s="259" t="n">
        <f aca="false">-IF(D$39&gt;=$B$14,$B$15,0)</f>
        <v>-3</v>
      </c>
      <c r="E67" s="259" t="n">
        <f aca="false">-IF(E$39&gt;=$B$14,$B$15,0)</f>
        <v>-3</v>
      </c>
      <c r="F67" s="259" t="n">
        <f aca="false">-IF(F$39&gt;=$B$14,$B$15,0)</f>
        <v>-3</v>
      </c>
      <c r="G67" s="259" t="n">
        <f aca="false">-IF(G$39&gt;=$B$14,$B$15,0)</f>
        <v>-3</v>
      </c>
      <c r="H67" s="259" t="n">
        <f aca="false">-IF(H$39&gt;=$B$14,$B$15,0)</f>
        <v>-3</v>
      </c>
      <c r="I67" s="259" t="n">
        <f aca="false">-IF(I$39&gt;=$B$14,$B$15,0)</f>
        <v>-3</v>
      </c>
      <c r="J67" s="259" t="n">
        <f aca="false">-IF(J$39&gt;=$B$14,$B$15,0)</f>
        <v>-3</v>
      </c>
      <c r="K67" s="259" t="n">
        <f aca="false">-IF(K$39&gt;=$B$14,$B$15,0)</f>
        <v>-3</v>
      </c>
      <c r="L67" s="259" t="n">
        <f aca="false">-IF(L$39&gt;=$B$14,$B$15,0)</f>
        <v>-3</v>
      </c>
      <c r="M67" s="259" t="n">
        <f aca="false">-IF(M$39&gt;=$B$14,$B$15,0)</f>
        <v>-3</v>
      </c>
      <c r="N67" s="259" t="n">
        <f aca="false">AVERAGE(B67:M67)</f>
        <v>-2.5</v>
      </c>
      <c r="O67" s="237"/>
    </row>
    <row r="68" customFormat="false" ht="15" hidden="false" customHeight="true" outlineLevel="0" collapsed="false">
      <c r="A68" s="260" t="s">
        <v>1860</v>
      </c>
      <c r="B68" s="261" t="n">
        <f aca="false">SUM(B63:B67)</f>
        <v>19</v>
      </c>
      <c r="C68" s="261" t="n">
        <f aca="false">SUM(C63:C67)</f>
        <v>19</v>
      </c>
      <c r="D68" s="261" t="n">
        <f aca="false">SUM(D63:D67)</f>
        <v>20</v>
      </c>
      <c r="E68" s="261" t="n">
        <f aca="false">SUM(E63:E67)</f>
        <v>23</v>
      </c>
      <c r="F68" s="261" t="n">
        <f aca="false">SUM(F63:F67)</f>
        <v>28</v>
      </c>
      <c r="G68" s="261" t="n">
        <f aca="false">SUM(G63:G67)</f>
        <v>33</v>
      </c>
      <c r="H68" s="261" t="n">
        <f aca="false">SUM(H63:H67)</f>
        <v>39</v>
      </c>
      <c r="I68" s="261" t="n">
        <f aca="false">SUM(I63:I67)</f>
        <v>46</v>
      </c>
      <c r="J68" s="261" t="n">
        <f aca="false">SUM(J63:J67)</f>
        <v>53</v>
      </c>
      <c r="K68" s="261" t="n">
        <f aca="false">SUM(K63:K67)</f>
        <v>62</v>
      </c>
      <c r="L68" s="261" t="n">
        <f aca="false">SUM(L63:L67)</f>
        <v>71</v>
      </c>
      <c r="M68" s="261" t="n">
        <f aca="false">SUM(M63:M67)</f>
        <v>79</v>
      </c>
      <c r="N68" s="261" t="n">
        <f aca="false">AVERAGE(B68:M68)</f>
        <v>41</v>
      </c>
      <c r="O68" s="237"/>
    </row>
    <row r="69" customFormat="false" ht="15" hidden="false" customHeight="true" outlineLevel="0" collapsed="false">
      <c r="A69" s="237" t="s">
        <v>1861</v>
      </c>
      <c r="B69" s="258" t="n">
        <f aca="false">'Fld Ops Payroll'!F67</f>
        <v>1</v>
      </c>
      <c r="C69" s="258" t="n">
        <f aca="false">'Fld Ops Payroll'!G67</f>
        <v>1</v>
      </c>
      <c r="D69" s="258" t="n">
        <f aca="false">'Fld Ops Payroll'!H67</f>
        <v>2</v>
      </c>
      <c r="E69" s="258" t="n">
        <f aca="false">'Fld Ops Payroll'!I67</f>
        <v>2</v>
      </c>
      <c r="F69" s="258" t="n">
        <f aca="false">'Fld Ops Payroll'!J67</f>
        <v>2</v>
      </c>
      <c r="G69" s="258" t="n">
        <f aca="false">'Fld Ops Payroll'!K67</f>
        <v>2</v>
      </c>
      <c r="H69" s="258" t="n">
        <f aca="false">'Fld Ops Payroll'!L67</f>
        <v>3</v>
      </c>
      <c r="I69" s="258" t="n">
        <f aca="false">'Fld Ops Payroll'!M67</f>
        <v>3</v>
      </c>
      <c r="J69" s="258" t="n">
        <f aca="false">'Fld Ops Payroll'!N67</f>
        <v>3</v>
      </c>
      <c r="K69" s="258" t="n">
        <f aca="false">'Fld Ops Payroll'!O67</f>
        <v>4</v>
      </c>
      <c r="L69" s="258" t="n">
        <f aca="false">'Fld Ops Payroll'!P67</f>
        <v>4</v>
      </c>
      <c r="M69" s="258" t="n">
        <f aca="false">'Fld Ops Payroll'!Q67</f>
        <v>5</v>
      </c>
      <c r="N69" s="259" t="n">
        <f aca="false">AVERAGE(B69:M69)</f>
        <v>2.66666666666667</v>
      </c>
      <c r="O69" s="237"/>
    </row>
    <row r="70" customFormat="false" ht="15" hidden="false" customHeight="true" outlineLevel="0" collapsed="false">
      <c r="A70" s="237" t="s">
        <v>1862</v>
      </c>
      <c r="B70" s="259" t="n">
        <f aca="false">$B$30</f>
        <v>7</v>
      </c>
      <c r="C70" s="259" t="n">
        <f aca="false">$B$30</f>
        <v>7</v>
      </c>
      <c r="D70" s="259" t="n">
        <f aca="false">$B$30</f>
        <v>7</v>
      </c>
      <c r="E70" s="259" t="n">
        <f aca="false">$B$30</f>
        <v>7</v>
      </c>
      <c r="F70" s="259" t="n">
        <f aca="false">$B$30</f>
        <v>7</v>
      </c>
      <c r="G70" s="259" t="n">
        <f aca="false">$B$30</f>
        <v>7</v>
      </c>
      <c r="H70" s="259" t="n">
        <f aca="false">$B$30</f>
        <v>7</v>
      </c>
      <c r="I70" s="259" t="n">
        <f aca="false">$B$30</f>
        <v>7</v>
      </c>
      <c r="J70" s="259" t="n">
        <f aca="false">$B$30</f>
        <v>7</v>
      </c>
      <c r="K70" s="259" t="n">
        <f aca="false">$B$30</f>
        <v>7</v>
      </c>
      <c r="L70" s="259" t="n">
        <f aca="false">$B$30</f>
        <v>7</v>
      </c>
      <c r="M70" s="259" t="n">
        <f aca="false">$B$30</f>
        <v>7</v>
      </c>
      <c r="N70" s="259" t="n">
        <f aca="false">AVERAGE(B70:M70)</f>
        <v>7</v>
      </c>
      <c r="O70" s="237"/>
    </row>
    <row r="71" customFormat="false" ht="15" hidden="false" customHeight="true" outlineLevel="0" collapsed="false">
      <c r="A71" s="237" t="s">
        <v>1863</v>
      </c>
      <c r="B71" s="259" t="n">
        <f aca="false">IF(B$39&gt;=$B$14,$B$13,0)</f>
        <v>0</v>
      </c>
      <c r="C71" s="259" t="n">
        <f aca="false">IF(C$39&gt;=$B$14,$B$13,0)</f>
        <v>0</v>
      </c>
      <c r="D71" s="259" t="n">
        <f aca="false">IF(D$39&gt;=$B$14,$B$13,0)</f>
        <v>3</v>
      </c>
      <c r="E71" s="259" t="n">
        <f aca="false">IF(E$39&gt;=$B$14,$B$13,0)</f>
        <v>3</v>
      </c>
      <c r="F71" s="259" t="n">
        <f aca="false">IF(F$39&gt;=$B$14,$B$13,0)</f>
        <v>3</v>
      </c>
      <c r="G71" s="259" t="n">
        <f aca="false">IF(G$39&gt;=$B$14,$B$13,0)</f>
        <v>3</v>
      </c>
      <c r="H71" s="259" t="n">
        <f aca="false">IF(H$39&gt;=$B$14,$B$13,0)</f>
        <v>3</v>
      </c>
      <c r="I71" s="259" t="n">
        <f aca="false">IF(I$39&gt;=$B$14,$B$13,0)</f>
        <v>3</v>
      </c>
      <c r="J71" s="259" t="n">
        <f aca="false">IF(J$39&gt;=$B$14,$B$13,0)</f>
        <v>3</v>
      </c>
      <c r="K71" s="259" t="n">
        <f aca="false">IF(K$39&gt;=$B$14,$B$13,0)</f>
        <v>3</v>
      </c>
      <c r="L71" s="259" t="n">
        <f aca="false">IF(L$39&gt;=$B$14,$B$13,0)</f>
        <v>3</v>
      </c>
      <c r="M71" s="259" t="n">
        <f aca="false">IF(M$39&gt;=$B$14,$B$13,0)</f>
        <v>3</v>
      </c>
      <c r="N71" s="259" t="n">
        <f aca="false">AVERAGE(B71:M71)</f>
        <v>2.5</v>
      </c>
      <c r="O71" s="237"/>
    </row>
    <row r="72" customFormat="false" ht="15" hidden="false" customHeight="true" outlineLevel="0" collapsed="false">
      <c r="A72" s="237" t="s">
        <v>1864</v>
      </c>
      <c r="B72" s="259" t="n">
        <f aca="false">$B$12</f>
        <v>1</v>
      </c>
      <c r="C72" s="259" t="n">
        <f aca="false">$B$12</f>
        <v>1</v>
      </c>
      <c r="D72" s="259" t="n">
        <f aca="false">$B$12</f>
        <v>1</v>
      </c>
      <c r="E72" s="259" t="n">
        <f aca="false">$B$12</f>
        <v>1</v>
      </c>
      <c r="F72" s="259" t="n">
        <f aca="false">$B$12</f>
        <v>1</v>
      </c>
      <c r="G72" s="259" t="n">
        <f aca="false">$B$12</f>
        <v>1</v>
      </c>
      <c r="H72" s="259" t="n">
        <f aca="false">$B$12</f>
        <v>1</v>
      </c>
      <c r="I72" s="259" t="n">
        <f aca="false">$B$12</f>
        <v>1</v>
      </c>
      <c r="J72" s="259" t="n">
        <f aca="false">$B$12</f>
        <v>1</v>
      </c>
      <c r="K72" s="259" t="n">
        <f aca="false">$B$12</f>
        <v>1</v>
      </c>
      <c r="L72" s="259" t="n">
        <f aca="false">$B$12</f>
        <v>1</v>
      </c>
      <c r="M72" s="259" t="n">
        <f aca="false">$B$12</f>
        <v>1</v>
      </c>
      <c r="N72" s="259" t="n">
        <f aca="false">AVERAGE(B72:M72)</f>
        <v>1</v>
      </c>
      <c r="O72" s="237"/>
    </row>
    <row r="73" customFormat="false" ht="15" hidden="false" customHeight="true" outlineLevel="0" collapsed="false">
      <c r="A73" s="260" t="s">
        <v>1865</v>
      </c>
      <c r="B73" s="261" t="n">
        <f aca="false">B70+B71+B72</f>
        <v>8</v>
      </c>
      <c r="C73" s="261" t="n">
        <f aca="false">C70+C71+C72</f>
        <v>8</v>
      </c>
      <c r="D73" s="261" t="n">
        <f aca="false">D70+D71+D72</f>
        <v>11</v>
      </c>
      <c r="E73" s="261" t="n">
        <f aca="false">E70+E71+E72</f>
        <v>11</v>
      </c>
      <c r="F73" s="261" t="n">
        <f aca="false">F70+F71+F72</f>
        <v>11</v>
      </c>
      <c r="G73" s="261" t="n">
        <f aca="false">G70+G71+G72</f>
        <v>11</v>
      </c>
      <c r="H73" s="261" t="n">
        <f aca="false">H70+H71+H72</f>
        <v>11</v>
      </c>
      <c r="I73" s="261" t="n">
        <f aca="false">I70+I71+I72</f>
        <v>11</v>
      </c>
      <c r="J73" s="261" t="n">
        <f aca="false">J70+J71+J72</f>
        <v>11</v>
      </c>
      <c r="K73" s="261" t="n">
        <f aca="false">K70+K71+K72</f>
        <v>11</v>
      </c>
      <c r="L73" s="261" t="n">
        <f aca="false">L70+L71+L72</f>
        <v>11</v>
      </c>
      <c r="M73" s="261" t="n">
        <f aca="false">M70+M71+M72</f>
        <v>11</v>
      </c>
      <c r="N73" s="261" t="n">
        <f aca="false">AVERAGE(B73:M73)</f>
        <v>10.5</v>
      </c>
      <c r="O73" s="237"/>
    </row>
    <row r="74" customFormat="false" ht="15" hidden="false" customHeight="true" outlineLevel="0" collapsed="false">
      <c r="A74" s="237"/>
      <c r="B74" s="237"/>
      <c r="C74" s="237"/>
      <c r="D74" s="237"/>
      <c r="E74" s="237"/>
      <c r="F74" s="237"/>
      <c r="G74" s="237"/>
      <c r="H74" s="237"/>
      <c r="I74" s="237"/>
      <c r="J74" s="237"/>
      <c r="K74" s="237"/>
      <c r="L74" s="237"/>
      <c r="M74" s="237"/>
      <c r="N74" s="237"/>
      <c r="O74" s="237"/>
    </row>
    <row r="75" customFormat="false" ht="27" hidden="false" customHeight="true" outlineLevel="0" collapsed="false">
      <c r="A75" s="240" t="s">
        <v>1866</v>
      </c>
      <c r="B75" s="256" t="n">
        <f aca="false">B$39</f>
        <v>46388</v>
      </c>
      <c r="C75" s="256" t="n">
        <f aca="false">C$39</f>
        <v>46419</v>
      </c>
      <c r="D75" s="256" t="n">
        <f aca="false">D$39</f>
        <v>46447</v>
      </c>
      <c r="E75" s="256" t="n">
        <f aca="false">E$39</f>
        <v>46478</v>
      </c>
      <c r="F75" s="256" t="n">
        <f aca="false">F$39</f>
        <v>46508</v>
      </c>
      <c r="G75" s="256" t="n">
        <f aca="false">G$39</f>
        <v>46539</v>
      </c>
      <c r="H75" s="256" t="n">
        <f aca="false">H$39</f>
        <v>46569</v>
      </c>
      <c r="I75" s="256" t="n">
        <f aca="false">I$39</f>
        <v>46600</v>
      </c>
      <c r="J75" s="256" t="n">
        <f aca="false">J$39</f>
        <v>46631</v>
      </c>
      <c r="K75" s="256" t="n">
        <f aca="false">K$39</f>
        <v>46661</v>
      </c>
      <c r="L75" s="256" t="n">
        <f aca="false">L$39</f>
        <v>46692</v>
      </c>
      <c r="M75" s="256" t="n">
        <f aca="false">M$39</f>
        <v>46722</v>
      </c>
      <c r="N75" s="257" t="s">
        <v>1421</v>
      </c>
      <c r="O75" s="257" t="s">
        <v>1491</v>
      </c>
      <c r="P75" s="185" t="s">
        <v>1400</v>
      </c>
    </row>
    <row r="76" customFormat="false" ht="15" hidden="false" customHeight="true" outlineLevel="0" collapsed="false">
      <c r="A76" s="237" t="s">
        <v>1867</v>
      </c>
      <c r="B76" s="264" t="n">
        <f aca="false">B46*$B$5</f>
        <v>2279.7</v>
      </c>
      <c r="C76" s="264" t="n">
        <f aca="false">C46*$B$5</f>
        <v>1519.8</v>
      </c>
      <c r="D76" s="264" t="n">
        <f aca="false">D46*$B$5</f>
        <v>0</v>
      </c>
      <c r="E76" s="264" t="n">
        <f aca="false">E46*$B$5</f>
        <v>3495.54</v>
      </c>
      <c r="F76" s="264" t="n">
        <f aca="false">F46*$B$5</f>
        <v>2735.64</v>
      </c>
      <c r="G76" s="264" t="n">
        <f aca="false">G46*$B$5</f>
        <v>3951.48</v>
      </c>
      <c r="H76" s="264" t="n">
        <f aca="false">H46*$B$5</f>
        <v>3495.54</v>
      </c>
      <c r="I76" s="264" t="n">
        <f aca="false">I46*$B$5</f>
        <v>4255.44</v>
      </c>
      <c r="J76" s="264" t="n">
        <f aca="false">J46*$B$5</f>
        <v>5471.28</v>
      </c>
      <c r="K76" s="264" t="n">
        <f aca="false">K46*$B$5</f>
        <v>5471.28</v>
      </c>
      <c r="L76" s="264" t="n">
        <f aca="false">L46*$B$5</f>
        <v>6687.12</v>
      </c>
      <c r="M76" s="264" t="n">
        <f aca="false">M46*$B$5</f>
        <v>6991.08</v>
      </c>
      <c r="N76" s="264" t="n">
        <f aca="false">SUM(B76:M76)</f>
        <v>46353.9</v>
      </c>
      <c r="O76" s="265" t="n">
        <v>5050</v>
      </c>
    </row>
    <row r="77" customFormat="false" ht="15" hidden="false" customHeight="true" outlineLevel="0" collapsed="false">
      <c r="A77" s="237" t="s">
        <v>1868</v>
      </c>
      <c r="B77" s="264" t="n">
        <f aca="false">$B$7</f>
        <v>3992</v>
      </c>
      <c r="C77" s="264" t="n">
        <f aca="false">$B$7</f>
        <v>3992</v>
      </c>
      <c r="D77" s="264" t="n">
        <f aca="false">$B$7</f>
        <v>3992</v>
      </c>
      <c r="E77" s="264" t="n">
        <f aca="false">$B$7</f>
        <v>3992</v>
      </c>
      <c r="F77" s="264" t="n">
        <f aca="false">$B$7</f>
        <v>3992</v>
      </c>
      <c r="G77" s="264" t="n">
        <f aca="false">$B$7</f>
        <v>3992</v>
      </c>
      <c r="H77" s="264" t="n">
        <f aca="false">$B$7</f>
        <v>3992</v>
      </c>
      <c r="I77" s="264" t="n">
        <f aca="false">$B$7</f>
        <v>3992</v>
      </c>
      <c r="J77" s="264" t="n">
        <f aca="false">$B$7</f>
        <v>3992</v>
      </c>
      <c r="K77" s="264" t="n">
        <f aca="false">$B$7</f>
        <v>3992</v>
      </c>
      <c r="L77" s="264" t="n">
        <f aca="false">$B$7</f>
        <v>3992</v>
      </c>
      <c r="M77" s="264" t="n">
        <f aca="false">$B$7</f>
        <v>3992</v>
      </c>
      <c r="N77" s="264" t="n">
        <f aca="false">SUM(B77:M77)</f>
        <v>47904</v>
      </c>
      <c r="O77" s="265" t="n">
        <v>5360</v>
      </c>
    </row>
    <row r="78" customFormat="false" ht="15" hidden="false" customHeight="true" outlineLevel="0" collapsed="false">
      <c r="A78" s="237" t="s">
        <v>1869</v>
      </c>
      <c r="B78" s="264" t="n">
        <f aca="false">B45*$B$8</f>
        <v>13500</v>
      </c>
      <c r="C78" s="264" t="n">
        <f aca="false">C45*$B$8</f>
        <v>9000</v>
      </c>
      <c r="D78" s="264" t="n">
        <f aca="false">D45*$B$8</f>
        <v>0</v>
      </c>
      <c r="E78" s="264" t="n">
        <f aca="false">E45*$B$8</f>
        <v>20700</v>
      </c>
      <c r="F78" s="264" t="n">
        <f aca="false">F45*$B$8</f>
        <v>16200</v>
      </c>
      <c r="G78" s="264" t="n">
        <f aca="false">G45*$B$8</f>
        <v>23400</v>
      </c>
      <c r="H78" s="264" t="n">
        <f aca="false">H45*$B$8</f>
        <v>20700</v>
      </c>
      <c r="I78" s="264" t="n">
        <f aca="false">I45*$B$8</f>
        <v>25200</v>
      </c>
      <c r="J78" s="264" t="n">
        <f aca="false">J45*$B$8</f>
        <v>32400</v>
      </c>
      <c r="K78" s="264" t="n">
        <f aca="false">K45*$B$8</f>
        <v>32400</v>
      </c>
      <c r="L78" s="264" t="n">
        <f aca="false">L45*$B$8</f>
        <v>39600</v>
      </c>
      <c r="M78" s="264" t="n">
        <f aca="false">M45*$B$8</f>
        <v>41400</v>
      </c>
      <c r="N78" s="264" t="n">
        <f aca="false">SUM(B78:M78)</f>
        <v>274500</v>
      </c>
      <c r="O78" s="265" t="n">
        <v>5330</v>
      </c>
      <c r="P78" s="185" t="s">
        <v>1870</v>
      </c>
    </row>
    <row r="79" customFormat="false" ht="15" hidden="false" customHeight="true" outlineLevel="0" collapsed="false">
      <c r="A79" s="237" t="s">
        <v>1871</v>
      </c>
      <c r="B79" s="264" t="n">
        <f aca="false">B68*$B$9</f>
        <v>524.02</v>
      </c>
      <c r="C79" s="264" t="n">
        <f aca="false">C68*$B$9</f>
        <v>524.02</v>
      </c>
      <c r="D79" s="264" t="n">
        <f aca="false">D68*$B$9</f>
        <v>551.6</v>
      </c>
      <c r="E79" s="264" t="n">
        <f aca="false">E68*$B$9</f>
        <v>634.34</v>
      </c>
      <c r="F79" s="264" t="n">
        <f aca="false">F68*$B$9</f>
        <v>772.24</v>
      </c>
      <c r="G79" s="264" t="n">
        <f aca="false">G68*$B$9</f>
        <v>910.14</v>
      </c>
      <c r="H79" s="264" t="n">
        <f aca="false">H68*$B$9</f>
        <v>1075.62</v>
      </c>
      <c r="I79" s="264" t="n">
        <f aca="false">I68*$B$9</f>
        <v>1268.68</v>
      </c>
      <c r="J79" s="264" t="n">
        <f aca="false">J68*$B$9</f>
        <v>1461.74</v>
      </c>
      <c r="K79" s="264" t="n">
        <f aca="false">K68*$B$9</f>
        <v>1709.96</v>
      </c>
      <c r="L79" s="264" t="n">
        <f aca="false">L68*$B$9</f>
        <v>1958.18</v>
      </c>
      <c r="M79" s="264" t="n">
        <f aca="false">M68*$B$9</f>
        <v>2178.82</v>
      </c>
      <c r="N79" s="264" t="n">
        <f aca="false">SUM(B79:M79)</f>
        <v>13569.36</v>
      </c>
      <c r="O79" s="265" t="n">
        <v>5330</v>
      </c>
    </row>
    <row r="80" customFormat="false" ht="15" hidden="false" customHeight="true" outlineLevel="0" collapsed="false">
      <c r="A80" s="237" t="s">
        <v>1872</v>
      </c>
      <c r="B80" s="264" t="n">
        <f aca="false">$B$18*(1+B60)</f>
        <v>48713.6175428571</v>
      </c>
      <c r="C80" s="264" t="n">
        <f aca="false">$B$18*(1+C60)</f>
        <v>55799.23464</v>
      </c>
      <c r="D80" s="264" t="n">
        <f aca="false">$B$18*(1+D60)</f>
        <v>55799.23464</v>
      </c>
      <c r="E80" s="264" t="n">
        <f aca="false">$B$18*(1+E60)</f>
        <v>75284.6816571429</v>
      </c>
      <c r="F80" s="264" t="n">
        <f aca="false">$B$18*(1+F60)</f>
        <v>87684.5115771429</v>
      </c>
      <c r="G80" s="264" t="n">
        <f aca="false">$B$18*(1+G60)</f>
        <v>105398.55432</v>
      </c>
      <c r="H80" s="264" t="n">
        <f aca="false">$B$18*(1+H60)</f>
        <v>121341.192788571</v>
      </c>
      <c r="I80" s="264" t="n">
        <f aca="false">$B$18*(1+I60)</f>
        <v>140826.639805714</v>
      </c>
      <c r="J80" s="264" t="n">
        <f aca="false">$B$18*(1+J60)</f>
        <v>165626.299645714</v>
      </c>
      <c r="K80" s="264" t="n">
        <f aca="false">$B$18*(1+K60)</f>
        <v>190425.959485714</v>
      </c>
      <c r="L80" s="264" t="n">
        <f aca="false">$B$18*(1+L60)</f>
        <v>220539.832148571</v>
      </c>
      <c r="M80" s="264" t="n">
        <f aca="false">$B$18*(1+M60)</f>
        <v>252425.109085714</v>
      </c>
      <c r="N80" s="264" t="n">
        <f aca="false">SUM(B80:M80)</f>
        <v>1519864.86733714</v>
      </c>
      <c r="O80" s="265" t="n">
        <v>5340</v>
      </c>
    </row>
    <row r="81" customFormat="false" ht="15" hidden="false" customHeight="true" outlineLevel="0" collapsed="false">
      <c r="A81" s="237" t="s">
        <v>1796</v>
      </c>
      <c r="B81" s="264" t="n">
        <f aca="false">B80*$B$20</f>
        <v>2581.82172977143</v>
      </c>
      <c r="C81" s="264" t="n">
        <f aca="false">C80*$B$20</f>
        <v>2957.35943592</v>
      </c>
      <c r="D81" s="264" t="n">
        <f aca="false">D80*$B$20</f>
        <v>2957.35943592</v>
      </c>
      <c r="E81" s="264" t="n">
        <f aca="false">E80*$B$20</f>
        <v>3990.08812782857</v>
      </c>
      <c r="F81" s="264" t="n">
        <f aca="false">F80*$B$20</f>
        <v>4647.27911358857</v>
      </c>
      <c r="G81" s="264" t="n">
        <f aca="false">G80*$B$20</f>
        <v>5586.12337896</v>
      </c>
      <c r="H81" s="264" t="n">
        <f aca="false">H80*$B$20</f>
        <v>6431.08321779429</v>
      </c>
      <c r="I81" s="264" t="n">
        <f aca="false">I80*$B$20</f>
        <v>7463.81190970286</v>
      </c>
      <c r="J81" s="264" t="n">
        <f aca="false">J80*$B$20</f>
        <v>8778.19388122286</v>
      </c>
      <c r="K81" s="264" t="n">
        <f aca="false">K80*$B$20</f>
        <v>10092.5758527429</v>
      </c>
      <c r="L81" s="264" t="n">
        <f aca="false">L80*$B$20</f>
        <v>11688.6111038743</v>
      </c>
      <c r="M81" s="264" t="n">
        <f aca="false">M80*$B$20</f>
        <v>13378.5307815429</v>
      </c>
      <c r="N81" s="264" t="n">
        <f aca="false">SUM(B81:M81)</f>
        <v>80552.8379688686</v>
      </c>
      <c r="O81" s="265" t="n">
        <v>5320</v>
      </c>
    </row>
    <row r="82" customFormat="false" ht="15" hidden="false" customHeight="true" outlineLevel="0" collapsed="false">
      <c r="A82" s="237" t="s">
        <v>1799</v>
      </c>
      <c r="B82" s="264" t="n">
        <f aca="false">$B$21</f>
        <v>2604</v>
      </c>
      <c r="C82" s="264" t="n">
        <f aca="false">$B$21</f>
        <v>2604</v>
      </c>
      <c r="D82" s="264" t="n">
        <f aca="false">$B$21</f>
        <v>2604</v>
      </c>
      <c r="E82" s="264" t="n">
        <f aca="false">$B$21</f>
        <v>2604</v>
      </c>
      <c r="F82" s="264" t="n">
        <f aca="false">$B$21</f>
        <v>2604</v>
      </c>
      <c r="G82" s="264" t="n">
        <f aca="false">$B$21</f>
        <v>2604</v>
      </c>
      <c r="H82" s="264" t="n">
        <f aca="false">$B$21</f>
        <v>2604</v>
      </c>
      <c r="I82" s="264" t="n">
        <f aca="false">$B$21</f>
        <v>2604</v>
      </c>
      <c r="J82" s="264" t="n">
        <f aca="false">$B$21</f>
        <v>2604</v>
      </c>
      <c r="K82" s="264" t="n">
        <f aca="false">$B$21</f>
        <v>2604</v>
      </c>
      <c r="L82" s="264" t="n">
        <f aca="false">$B$21</f>
        <v>2604</v>
      </c>
      <c r="M82" s="264" t="n">
        <f aca="false">$B$21</f>
        <v>2604</v>
      </c>
      <c r="N82" s="264" t="n">
        <f aca="false">SUM(B82:M82)</f>
        <v>31248</v>
      </c>
      <c r="O82" s="265" t="n">
        <v>5320</v>
      </c>
    </row>
    <row r="83" customFormat="false" ht="15" hidden="false" customHeight="true" outlineLevel="0" collapsed="false">
      <c r="A83" s="237" t="s">
        <v>1873</v>
      </c>
      <c r="B83" s="264" t="n">
        <f aca="false">B58*$B$22</f>
        <v>45000</v>
      </c>
      <c r="C83" s="264" t="n">
        <f aca="false">C58*$B$22</f>
        <v>20000</v>
      </c>
      <c r="D83" s="264" t="n">
        <f aca="false">D58*$B$22</f>
        <v>0</v>
      </c>
      <c r="E83" s="264" t="n">
        <f aca="false">E58*$B$22</f>
        <v>60000</v>
      </c>
      <c r="F83" s="264" t="n">
        <f aca="false">F58*$B$22</f>
        <v>45000</v>
      </c>
      <c r="G83" s="264" t="n">
        <f aca="false">G58*$B$22</f>
        <v>70000</v>
      </c>
      <c r="H83" s="264" t="n">
        <f aca="false">H58*$B$22</f>
        <v>55000</v>
      </c>
      <c r="I83" s="264" t="n">
        <f aca="false">I58*$B$22</f>
        <v>65000</v>
      </c>
      <c r="J83" s="264" t="n">
        <f aca="false">J58*$B$22</f>
        <v>90000</v>
      </c>
      <c r="K83" s="264" t="n">
        <f aca="false">K58*$B$22</f>
        <v>90000</v>
      </c>
      <c r="L83" s="264" t="n">
        <f aca="false">L58*$B$22</f>
        <v>115000</v>
      </c>
      <c r="M83" s="264" t="n">
        <f aca="false">M58*$B$22</f>
        <v>110000</v>
      </c>
      <c r="N83" s="264" t="n">
        <f aca="false">SUM(B83:M83)</f>
        <v>765000</v>
      </c>
      <c r="O83" s="265" t="n">
        <v>5040</v>
      </c>
    </row>
    <row r="84" customFormat="false" ht="15" hidden="false" customHeight="true" outlineLevel="0" collapsed="false">
      <c r="A84" s="237" t="s">
        <v>1874</v>
      </c>
      <c r="B84" s="264" t="n">
        <f aca="false">(B70+B71)*$B$10+B72*$B$11</f>
        <v>37614</v>
      </c>
      <c r="C84" s="264" t="n">
        <f aca="false">(C70+C71)*$B$10+C72*$B$11</f>
        <v>37614</v>
      </c>
      <c r="D84" s="264" t="n">
        <f aca="false">(D70+D71)*$B$10+D72*$B$11</f>
        <v>50004</v>
      </c>
      <c r="E84" s="264" t="n">
        <f aca="false">(E70+E71)*$B$10+E72*$B$11</f>
        <v>50004</v>
      </c>
      <c r="F84" s="264" t="n">
        <f aca="false">(F70+F71)*$B$10+F72*$B$11</f>
        <v>50004</v>
      </c>
      <c r="G84" s="264" t="n">
        <f aca="false">(G70+G71)*$B$10+G72*$B$11</f>
        <v>50004</v>
      </c>
      <c r="H84" s="264" t="n">
        <f aca="false">(H70+H71)*$B$10+H72*$B$11</f>
        <v>50004</v>
      </c>
      <c r="I84" s="264" t="n">
        <f aca="false">(I70+I71)*$B$10+I72*$B$11</f>
        <v>50004</v>
      </c>
      <c r="J84" s="264" t="n">
        <f aca="false">(J70+J71)*$B$10+J72*$B$11</f>
        <v>50004</v>
      </c>
      <c r="K84" s="264" t="n">
        <f aca="false">(K70+K71)*$B$10+K72*$B$11</f>
        <v>50004</v>
      </c>
      <c r="L84" s="264" t="n">
        <f aca="false">(L70+L71)*$B$10+L72*$B$11</f>
        <v>50004</v>
      </c>
      <c r="M84" s="264" t="n">
        <f aca="false">(M70+M71)*$B$10+M72*$B$11</f>
        <v>50004</v>
      </c>
      <c r="N84" s="264" t="n">
        <f aca="false">SUM(B84:M84)</f>
        <v>575268</v>
      </c>
      <c r="O84" s="265" t="n">
        <v>5310</v>
      </c>
    </row>
    <row r="85" customFormat="false" ht="15" hidden="false" customHeight="true" outlineLevel="0" collapsed="false">
      <c r="A85" s="237" t="s">
        <v>1809</v>
      </c>
      <c r="B85" s="264" t="n">
        <f aca="false">$B$26</f>
        <v>3000</v>
      </c>
      <c r="C85" s="264" t="n">
        <f aca="false">$B$26</f>
        <v>3000</v>
      </c>
      <c r="D85" s="264" t="n">
        <f aca="false">$B$26</f>
        <v>3000</v>
      </c>
      <c r="E85" s="264" t="n">
        <f aca="false">$B$26</f>
        <v>3000</v>
      </c>
      <c r="F85" s="264" t="n">
        <f aca="false">$B$26</f>
        <v>3000</v>
      </c>
      <c r="G85" s="264" t="n">
        <f aca="false">$B$26</f>
        <v>3000</v>
      </c>
      <c r="H85" s="264" t="n">
        <f aca="false">$B$26</f>
        <v>3000</v>
      </c>
      <c r="I85" s="264" t="n">
        <f aca="false">$B$26</f>
        <v>3000</v>
      </c>
      <c r="J85" s="264" t="n">
        <f aca="false">$B$26</f>
        <v>3000</v>
      </c>
      <c r="K85" s="264" t="n">
        <f aca="false">$B$26</f>
        <v>3000</v>
      </c>
      <c r="L85" s="264" t="n">
        <f aca="false">$B$26</f>
        <v>3000</v>
      </c>
      <c r="M85" s="264" t="n">
        <f aca="false">$B$26</f>
        <v>3000</v>
      </c>
      <c r="N85" s="264" t="n">
        <f aca="false">SUM(B85:M85)</f>
        <v>36000</v>
      </c>
      <c r="O85" s="265" t="n">
        <v>5350</v>
      </c>
    </row>
    <row r="86" customFormat="false" ht="15" hidden="false" customHeight="true" outlineLevel="0" collapsed="false">
      <c r="A86" s="266" t="s">
        <v>1875</v>
      </c>
      <c r="B86" s="267" t="n">
        <f aca="false">SUM(B76:B85)</f>
        <v>159809.159272629</v>
      </c>
      <c r="C86" s="267" t="n">
        <f aca="false">SUM(C76:C85)</f>
        <v>137010.41407592</v>
      </c>
      <c r="D86" s="267" t="n">
        <f aca="false">SUM(D76:D85)</f>
        <v>118908.19407592</v>
      </c>
      <c r="E86" s="267" t="n">
        <f aca="false">SUM(E76:E85)</f>
        <v>223704.649784971</v>
      </c>
      <c r="F86" s="267" t="n">
        <f aca="false">SUM(F76:F85)</f>
        <v>216639.670690731</v>
      </c>
      <c r="G86" s="267" t="n">
        <f aca="false">SUM(G76:G85)</f>
        <v>268846.29769896</v>
      </c>
      <c r="H86" s="267" t="n">
        <f aca="false">SUM(H76:H85)</f>
        <v>267643.436006366</v>
      </c>
      <c r="I86" s="267" t="n">
        <f aca="false">SUM(I76:I85)</f>
        <v>303614.571715417</v>
      </c>
      <c r="J86" s="267" t="n">
        <f aca="false">SUM(J76:J85)</f>
        <v>363337.513526937</v>
      </c>
      <c r="K86" s="267" t="n">
        <f aca="false">SUM(K76:K85)</f>
        <v>389699.775338457</v>
      </c>
      <c r="L86" s="267" t="n">
        <f aca="false">SUM(L76:L85)</f>
        <v>455073.743252446</v>
      </c>
      <c r="M86" s="267" t="n">
        <f aca="false">SUM(M76:M85)</f>
        <v>485973.539867257</v>
      </c>
      <c r="N86" s="267" t="n">
        <f aca="false">SUM(B86:M86)</f>
        <v>3390260.96530601</v>
      </c>
      <c r="O86" s="237"/>
    </row>
    <row r="87" customFormat="false" ht="15" hidden="false" customHeight="true" outlineLevel="0" collapsed="false">
      <c r="A87" s="237"/>
      <c r="B87" s="264"/>
      <c r="C87" s="264"/>
      <c r="D87" s="264"/>
      <c r="E87" s="264"/>
      <c r="F87" s="264"/>
      <c r="G87" s="264"/>
      <c r="H87" s="264"/>
      <c r="I87" s="264"/>
      <c r="J87" s="264"/>
      <c r="K87" s="264"/>
      <c r="L87" s="264"/>
      <c r="M87" s="264"/>
      <c r="N87" s="264"/>
      <c r="O87" s="237"/>
    </row>
    <row r="88" customFormat="false" ht="27" hidden="false" customHeight="true" outlineLevel="0" collapsed="false">
      <c r="A88" s="240" t="s">
        <v>1876</v>
      </c>
      <c r="B88" s="256" t="n">
        <f aca="false">B$39</f>
        <v>46388</v>
      </c>
      <c r="C88" s="256" t="n">
        <f aca="false">C$39</f>
        <v>46419</v>
      </c>
      <c r="D88" s="256" t="n">
        <f aca="false">D$39</f>
        <v>46447</v>
      </c>
      <c r="E88" s="256" t="n">
        <f aca="false">E$39</f>
        <v>46478</v>
      </c>
      <c r="F88" s="256" t="n">
        <f aca="false">F$39</f>
        <v>46508</v>
      </c>
      <c r="G88" s="256" t="n">
        <f aca="false">G$39</f>
        <v>46539</v>
      </c>
      <c r="H88" s="256" t="n">
        <f aca="false">H$39</f>
        <v>46569</v>
      </c>
      <c r="I88" s="256" t="n">
        <f aca="false">I$39</f>
        <v>46600</v>
      </c>
      <c r="J88" s="256" t="n">
        <f aca="false">J$39</f>
        <v>46631</v>
      </c>
      <c r="K88" s="256" t="n">
        <f aca="false">K$39</f>
        <v>46661</v>
      </c>
      <c r="L88" s="256" t="n">
        <f aca="false">L$39</f>
        <v>46692</v>
      </c>
      <c r="M88" s="256" t="n">
        <f aca="false">M$39</f>
        <v>46722</v>
      </c>
      <c r="N88" s="268" t="s">
        <v>1421</v>
      </c>
      <c r="O88" s="257"/>
    </row>
    <row r="89" customFormat="false" ht="15" hidden="false" customHeight="true" outlineLevel="0" collapsed="false">
      <c r="A89" s="237" t="s">
        <v>1284</v>
      </c>
      <c r="B89" s="264" t="n">
        <f aca="false">SUMIF($O$76:$O$85,5040,B$76:B$85)</f>
        <v>45000</v>
      </c>
      <c r="C89" s="264" t="n">
        <f aca="false">SUMIF($O$76:$O$85,5040,C$76:C$85)</f>
        <v>20000</v>
      </c>
      <c r="D89" s="264" t="n">
        <f aca="false">SUMIF($O$76:$O$85,5040,D$76:D$85)</f>
        <v>0</v>
      </c>
      <c r="E89" s="264" t="n">
        <f aca="false">SUMIF($O$76:$O$85,5040,E$76:E$85)</f>
        <v>60000</v>
      </c>
      <c r="F89" s="264" t="n">
        <f aca="false">SUMIF($O$76:$O$85,5040,F$76:F$85)</f>
        <v>45000</v>
      </c>
      <c r="G89" s="264" t="n">
        <f aca="false">SUMIF($O$76:$O$85,5040,G$76:G$85)</f>
        <v>70000</v>
      </c>
      <c r="H89" s="264" t="n">
        <f aca="false">SUMIF($O$76:$O$85,5040,H$76:H$85)</f>
        <v>55000</v>
      </c>
      <c r="I89" s="264" t="n">
        <f aca="false">SUMIF($O$76:$O$85,5040,I$76:I$85)</f>
        <v>65000</v>
      </c>
      <c r="J89" s="264" t="n">
        <f aca="false">SUMIF($O$76:$O$85,5040,J$76:J$85)</f>
        <v>90000</v>
      </c>
      <c r="K89" s="264" t="n">
        <f aca="false">SUMIF($O$76:$O$85,5040,K$76:K$85)</f>
        <v>90000</v>
      </c>
      <c r="L89" s="264" t="n">
        <f aca="false">SUMIF($O$76:$O$85,5040,L$76:L$85)</f>
        <v>115000</v>
      </c>
      <c r="M89" s="264" t="n">
        <f aca="false">SUMIF($O$76:$O$85,5040,M$76:M$85)</f>
        <v>110000</v>
      </c>
      <c r="N89" s="264" t="n">
        <f aca="false">SUM(B89:M89)</f>
        <v>765000</v>
      </c>
      <c r="O89" s="237"/>
    </row>
    <row r="90" customFormat="false" ht="15" hidden="false" customHeight="true" outlineLevel="0" collapsed="false">
      <c r="A90" s="237" t="s">
        <v>1285</v>
      </c>
      <c r="B90" s="264" t="n">
        <f aca="false">SUMIF($O$76:$O$85,5050,B$76:B$85)</f>
        <v>2279.7</v>
      </c>
      <c r="C90" s="264" t="n">
        <f aca="false">SUMIF($O$76:$O$85,5050,C$76:C$85)</f>
        <v>1519.8</v>
      </c>
      <c r="D90" s="264" t="n">
        <f aca="false">SUMIF($O$76:$O$85,5050,D$76:D$85)</f>
        <v>0</v>
      </c>
      <c r="E90" s="264" t="n">
        <f aca="false">SUMIF($O$76:$O$85,5050,E$76:E$85)</f>
        <v>3495.54</v>
      </c>
      <c r="F90" s="264" t="n">
        <f aca="false">SUMIF($O$76:$O$85,5050,F$76:F$85)</f>
        <v>2735.64</v>
      </c>
      <c r="G90" s="264" t="n">
        <f aca="false">SUMIF($O$76:$O$85,5050,G$76:G$85)</f>
        <v>3951.48</v>
      </c>
      <c r="H90" s="264" t="n">
        <f aca="false">SUMIF($O$76:$O$85,5050,H$76:H$85)</f>
        <v>3495.54</v>
      </c>
      <c r="I90" s="264" t="n">
        <f aca="false">SUMIF($O$76:$O$85,5050,I$76:I$85)</f>
        <v>4255.44</v>
      </c>
      <c r="J90" s="264" t="n">
        <f aca="false">SUMIF($O$76:$O$85,5050,J$76:J$85)</f>
        <v>5471.28</v>
      </c>
      <c r="K90" s="264" t="n">
        <f aca="false">SUMIF($O$76:$O$85,5050,K$76:K$85)</f>
        <v>5471.28</v>
      </c>
      <c r="L90" s="264" t="n">
        <f aca="false">SUMIF($O$76:$O$85,5050,L$76:L$85)</f>
        <v>6687.12</v>
      </c>
      <c r="M90" s="264" t="n">
        <f aca="false">SUMIF($O$76:$O$85,5050,M$76:M$85)</f>
        <v>6991.08</v>
      </c>
      <c r="N90" s="264" t="n">
        <f aca="false">SUM(B90:M90)</f>
        <v>46353.9</v>
      </c>
      <c r="O90" s="237"/>
    </row>
    <row r="91" customFormat="false" ht="15" hidden="false" customHeight="true" outlineLevel="0" collapsed="false">
      <c r="A91" s="237" t="s">
        <v>1299</v>
      </c>
      <c r="B91" s="264" t="n">
        <f aca="false">SUMIF($O$76:$O$85,5310,B$76:B$85)</f>
        <v>37614</v>
      </c>
      <c r="C91" s="264" t="n">
        <f aca="false">SUMIF($O$76:$O$85,5310,C$76:C$85)</f>
        <v>37614</v>
      </c>
      <c r="D91" s="264" t="n">
        <f aca="false">SUMIF($O$76:$O$85,5310,D$76:D$85)</f>
        <v>50004</v>
      </c>
      <c r="E91" s="264" t="n">
        <f aca="false">SUMIF($O$76:$O$85,5310,E$76:E$85)</f>
        <v>50004</v>
      </c>
      <c r="F91" s="264" t="n">
        <f aca="false">SUMIF($O$76:$O$85,5310,F$76:F$85)</f>
        <v>50004</v>
      </c>
      <c r="G91" s="264" t="n">
        <f aca="false">SUMIF($O$76:$O$85,5310,G$76:G$85)</f>
        <v>50004</v>
      </c>
      <c r="H91" s="264" t="n">
        <f aca="false">SUMIF($O$76:$O$85,5310,H$76:H$85)</f>
        <v>50004</v>
      </c>
      <c r="I91" s="264" t="n">
        <f aca="false">SUMIF($O$76:$O$85,5310,I$76:I$85)</f>
        <v>50004</v>
      </c>
      <c r="J91" s="264" t="n">
        <f aca="false">SUMIF($O$76:$O$85,5310,J$76:J$85)</f>
        <v>50004</v>
      </c>
      <c r="K91" s="264" t="n">
        <f aca="false">SUMIF($O$76:$O$85,5310,K$76:K$85)</f>
        <v>50004</v>
      </c>
      <c r="L91" s="264" t="n">
        <f aca="false">SUMIF($O$76:$O$85,5310,L$76:L$85)</f>
        <v>50004</v>
      </c>
      <c r="M91" s="264" t="n">
        <f aca="false">SUMIF($O$76:$O$85,5310,M$76:M$85)</f>
        <v>50004</v>
      </c>
      <c r="N91" s="264" t="n">
        <f aca="false">SUM(B91:M91)</f>
        <v>575268</v>
      </c>
      <c r="O91" s="237"/>
    </row>
    <row r="92" customFormat="false" ht="15" hidden="false" customHeight="true" outlineLevel="0" collapsed="false">
      <c r="A92" s="237" t="s">
        <v>1300</v>
      </c>
      <c r="B92" s="264" t="n">
        <f aca="false">SUMIF($O$76:$O$85,5320,B$76:B$85)</f>
        <v>5185.82172977143</v>
      </c>
      <c r="C92" s="264" t="n">
        <f aca="false">SUMIF($O$76:$O$85,5320,C$76:C$85)</f>
        <v>5561.35943592</v>
      </c>
      <c r="D92" s="264" t="n">
        <f aca="false">SUMIF($O$76:$O$85,5320,D$76:D$85)</f>
        <v>5561.35943592</v>
      </c>
      <c r="E92" s="264" t="n">
        <f aca="false">SUMIF($O$76:$O$85,5320,E$76:E$85)</f>
        <v>6594.08812782857</v>
      </c>
      <c r="F92" s="264" t="n">
        <f aca="false">SUMIF($O$76:$O$85,5320,F$76:F$85)</f>
        <v>7251.27911358857</v>
      </c>
      <c r="G92" s="264" t="n">
        <f aca="false">SUMIF($O$76:$O$85,5320,G$76:G$85)</f>
        <v>8190.12337896</v>
      </c>
      <c r="H92" s="264" t="n">
        <f aca="false">SUMIF($O$76:$O$85,5320,H$76:H$85)</f>
        <v>9035.08321779429</v>
      </c>
      <c r="I92" s="264" t="n">
        <f aca="false">SUMIF($O$76:$O$85,5320,I$76:I$85)</f>
        <v>10067.8119097029</v>
      </c>
      <c r="J92" s="264" t="n">
        <f aca="false">SUMIF($O$76:$O$85,5320,J$76:J$85)</f>
        <v>11382.1938812229</v>
      </c>
      <c r="K92" s="264" t="n">
        <f aca="false">SUMIF($O$76:$O$85,5320,K$76:K$85)</f>
        <v>12696.5758527429</v>
      </c>
      <c r="L92" s="264" t="n">
        <f aca="false">SUMIF($O$76:$O$85,5320,L$76:L$85)</f>
        <v>14292.6111038743</v>
      </c>
      <c r="M92" s="264" t="n">
        <f aca="false">SUMIF($O$76:$O$85,5320,M$76:M$85)</f>
        <v>15982.5307815429</v>
      </c>
      <c r="N92" s="264" t="n">
        <f aca="false">SUM(B92:M92)</f>
        <v>111800.837968869</v>
      </c>
      <c r="O92" s="237"/>
    </row>
    <row r="93" customFormat="false" ht="15" hidden="false" customHeight="true" outlineLevel="0" collapsed="false">
      <c r="A93" s="237" t="s">
        <v>1301</v>
      </c>
      <c r="B93" s="264" t="n">
        <f aca="false">SUMIF($O$76:$O$85,5330,B$76:B$85)</f>
        <v>14024.02</v>
      </c>
      <c r="C93" s="264" t="n">
        <f aca="false">SUMIF($O$76:$O$85,5330,C$76:C$85)</f>
        <v>9524.02</v>
      </c>
      <c r="D93" s="264" t="n">
        <f aca="false">SUMIF($O$76:$O$85,5330,D$76:D$85)</f>
        <v>551.6</v>
      </c>
      <c r="E93" s="264" t="n">
        <f aca="false">SUMIF($O$76:$O$85,5330,E$76:E$85)</f>
        <v>21334.34</v>
      </c>
      <c r="F93" s="264" t="n">
        <f aca="false">SUMIF($O$76:$O$85,5330,F$76:F$85)</f>
        <v>16972.24</v>
      </c>
      <c r="G93" s="264" t="n">
        <f aca="false">SUMIF($O$76:$O$85,5330,G$76:G$85)</f>
        <v>24310.14</v>
      </c>
      <c r="H93" s="264" t="n">
        <f aca="false">SUMIF($O$76:$O$85,5330,H$76:H$85)</f>
        <v>21775.62</v>
      </c>
      <c r="I93" s="264" t="n">
        <f aca="false">SUMIF($O$76:$O$85,5330,I$76:I$85)</f>
        <v>26468.68</v>
      </c>
      <c r="J93" s="264" t="n">
        <f aca="false">SUMIF($O$76:$O$85,5330,J$76:J$85)</f>
        <v>33861.74</v>
      </c>
      <c r="K93" s="264" t="n">
        <f aca="false">SUMIF($O$76:$O$85,5330,K$76:K$85)</f>
        <v>34109.96</v>
      </c>
      <c r="L93" s="264" t="n">
        <f aca="false">SUMIF($O$76:$O$85,5330,L$76:L$85)</f>
        <v>41558.18</v>
      </c>
      <c r="M93" s="264" t="n">
        <f aca="false">SUMIF($O$76:$O$85,5330,M$76:M$85)</f>
        <v>43578.82</v>
      </c>
      <c r="N93" s="264" t="n">
        <f aca="false">SUM(B93:M93)</f>
        <v>288069.36</v>
      </c>
      <c r="O93" s="237"/>
    </row>
    <row r="94" customFormat="false" ht="15" hidden="false" customHeight="true" outlineLevel="0" collapsed="false">
      <c r="A94" s="237" t="s">
        <v>1302</v>
      </c>
      <c r="B94" s="264" t="n">
        <f aca="false">SUMIF($O$76:$O$85,5340,B$76:B$85)</f>
        <v>48713.6175428571</v>
      </c>
      <c r="C94" s="264" t="n">
        <f aca="false">SUMIF($O$76:$O$85,5340,C$76:C$85)</f>
        <v>55799.23464</v>
      </c>
      <c r="D94" s="264" t="n">
        <f aca="false">SUMIF($O$76:$O$85,5340,D$76:D$85)</f>
        <v>55799.23464</v>
      </c>
      <c r="E94" s="264" t="n">
        <f aca="false">SUMIF($O$76:$O$85,5340,E$76:E$85)</f>
        <v>75284.6816571429</v>
      </c>
      <c r="F94" s="264" t="n">
        <f aca="false">SUMIF($O$76:$O$85,5340,F$76:F$85)</f>
        <v>87684.5115771429</v>
      </c>
      <c r="G94" s="264" t="n">
        <f aca="false">SUMIF($O$76:$O$85,5340,G$76:G$85)</f>
        <v>105398.55432</v>
      </c>
      <c r="H94" s="264" t="n">
        <f aca="false">SUMIF($O$76:$O$85,5340,H$76:H$85)</f>
        <v>121341.192788571</v>
      </c>
      <c r="I94" s="264" t="n">
        <f aca="false">SUMIF($O$76:$O$85,5340,I$76:I$85)</f>
        <v>140826.639805714</v>
      </c>
      <c r="J94" s="264" t="n">
        <f aca="false">SUMIF($O$76:$O$85,5340,J$76:J$85)</f>
        <v>165626.299645714</v>
      </c>
      <c r="K94" s="264" t="n">
        <f aca="false">SUMIF($O$76:$O$85,5340,K$76:K$85)</f>
        <v>190425.959485714</v>
      </c>
      <c r="L94" s="264" t="n">
        <f aca="false">SUMIF($O$76:$O$85,5340,L$76:L$85)</f>
        <v>220539.832148571</v>
      </c>
      <c r="M94" s="264" t="n">
        <f aca="false">SUMIF($O$76:$O$85,5340,M$76:M$85)</f>
        <v>252425.109085714</v>
      </c>
      <c r="N94" s="264" t="n">
        <f aca="false">SUM(B94:M94)</f>
        <v>1519864.86733714</v>
      </c>
      <c r="O94" s="237"/>
    </row>
    <row r="95" customFormat="false" ht="15" hidden="false" customHeight="true" outlineLevel="0" collapsed="false">
      <c r="A95" s="237" t="s">
        <v>1303</v>
      </c>
      <c r="B95" s="264" t="n">
        <f aca="false">SUMIF($O$76:$O$85,5350,B$76:B$85)</f>
        <v>3000</v>
      </c>
      <c r="C95" s="264" t="n">
        <f aca="false">SUMIF($O$76:$O$85,5350,C$76:C$85)</f>
        <v>3000</v>
      </c>
      <c r="D95" s="264" t="n">
        <f aca="false">SUMIF($O$76:$O$85,5350,D$76:D$85)</f>
        <v>3000</v>
      </c>
      <c r="E95" s="264" t="n">
        <f aca="false">SUMIF($O$76:$O$85,5350,E$76:E$85)</f>
        <v>3000</v>
      </c>
      <c r="F95" s="264" t="n">
        <f aca="false">SUMIF($O$76:$O$85,5350,F$76:F$85)</f>
        <v>3000</v>
      </c>
      <c r="G95" s="264" t="n">
        <f aca="false">SUMIF($O$76:$O$85,5350,G$76:G$85)</f>
        <v>3000</v>
      </c>
      <c r="H95" s="264" t="n">
        <f aca="false">SUMIF($O$76:$O$85,5350,H$76:H$85)</f>
        <v>3000</v>
      </c>
      <c r="I95" s="264" t="n">
        <f aca="false">SUMIF($O$76:$O$85,5350,I$76:I$85)</f>
        <v>3000</v>
      </c>
      <c r="J95" s="264" t="n">
        <f aca="false">SUMIF($O$76:$O$85,5350,J$76:J$85)</f>
        <v>3000</v>
      </c>
      <c r="K95" s="264" t="n">
        <f aca="false">SUMIF($O$76:$O$85,5350,K$76:K$85)</f>
        <v>3000</v>
      </c>
      <c r="L95" s="264" t="n">
        <f aca="false">SUMIF($O$76:$O$85,5350,L$76:L$85)</f>
        <v>3000</v>
      </c>
      <c r="M95" s="264" t="n">
        <f aca="false">SUMIF($O$76:$O$85,5350,M$76:M$85)</f>
        <v>3000</v>
      </c>
      <c r="N95" s="264" t="n">
        <f aca="false">SUM(B95:M95)</f>
        <v>36000</v>
      </c>
      <c r="O95" s="237"/>
    </row>
    <row r="96" customFormat="false" ht="15" hidden="false" customHeight="true" outlineLevel="0" collapsed="false">
      <c r="A96" s="237" t="s">
        <v>1304</v>
      </c>
      <c r="B96" s="264" t="n">
        <f aca="false">SUMIF($O$76:$O$85,5360,B$76:B$85)</f>
        <v>3992</v>
      </c>
      <c r="C96" s="264" t="n">
        <f aca="false">SUMIF($O$76:$O$85,5360,C$76:C$85)</f>
        <v>3992</v>
      </c>
      <c r="D96" s="264" t="n">
        <f aca="false">SUMIF($O$76:$O$85,5360,D$76:D$85)</f>
        <v>3992</v>
      </c>
      <c r="E96" s="264" t="n">
        <f aca="false">SUMIF($O$76:$O$85,5360,E$76:E$85)</f>
        <v>3992</v>
      </c>
      <c r="F96" s="264" t="n">
        <f aca="false">SUMIF($O$76:$O$85,5360,F$76:F$85)</f>
        <v>3992</v>
      </c>
      <c r="G96" s="264" t="n">
        <f aca="false">SUMIF($O$76:$O$85,5360,G$76:G$85)</f>
        <v>3992</v>
      </c>
      <c r="H96" s="264" t="n">
        <f aca="false">SUMIF($O$76:$O$85,5360,H$76:H$85)</f>
        <v>3992</v>
      </c>
      <c r="I96" s="264" t="n">
        <f aca="false">SUMIF($O$76:$O$85,5360,I$76:I$85)</f>
        <v>3992</v>
      </c>
      <c r="J96" s="264" t="n">
        <f aca="false">SUMIF($O$76:$O$85,5360,J$76:J$85)</f>
        <v>3992</v>
      </c>
      <c r="K96" s="264" t="n">
        <f aca="false">SUMIF($O$76:$O$85,5360,K$76:K$85)</f>
        <v>3992</v>
      </c>
      <c r="L96" s="264" t="n">
        <f aca="false">SUMIF($O$76:$O$85,5360,L$76:L$85)</f>
        <v>3992</v>
      </c>
      <c r="M96" s="264" t="n">
        <f aca="false">SUMIF($O$76:$O$85,5360,M$76:M$85)</f>
        <v>3992</v>
      </c>
      <c r="N96" s="264" t="n">
        <f aca="false">SUM(B96:M96)</f>
        <v>47904</v>
      </c>
      <c r="O96" s="237"/>
    </row>
    <row r="97" customFormat="false" ht="15" hidden="false" customHeight="true" outlineLevel="0" collapsed="false">
      <c r="A97" s="266" t="s">
        <v>1877</v>
      </c>
      <c r="B97" s="267" t="n">
        <f aca="false">SUM(B89:B96)</f>
        <v>159809.159272629</v>
      </c>
      <c r="C97" s="267" t="n">
        <f aca="false">SUM(C89:C96)</f>
        <v>137010.41407592</v>
      </c>
      <c r="D97" s="267" t="n">
        <f aca="false">SUM(D89:D96)</f>
        <v>118908.19407592</v>
      </c>
      <c r="E97" s="267" t="n">
        <f aca="false">SUM(E89:E96)</f>
        <v>223704.649784971</v>
      </c>
      <c r="F97" s="267" t="n">
        <f aca="false">SUM(F89:F96)</f>
        <v>216639.670690731</v>
      </c>
      <c r="G97" s="267" t="n">
        <f aca="false">SUM(G89:G96)</f>
        <v>268846.29769896</v>
      </c>
      <c r="H97" s="267" t="n">
        <f aca="false">SUM(H89:H96)</f>
        <v>267643.436006366</v>
      </c>
      <c r="I97" s="267" t="n">
        <f aca="false">SUM(I89:I96)</f>
        <v>303614.571715417</v>
      </c>
      <c r="J97" s="267" t="n">
        <f aca="false">SUM(J89:J96)</f>
        <v>363337.513526937</v>
      </c>
      <c r="K97" s="267" t="n">
        <f aca="false">SUM(K89:K96)</f>
        <v>389699.775338457</v>
      </c>
      <c r="L97" s="267" t="n">
        <f aca="false">SUM(L89:L96)</f>
        <v>455073.743252446</v>
      </c>
      <c r="M97" s="267" t="n">
        <f aca="false">SUM(M89:M96)</f>
        <v>485973.539867257</v>
      </c>
      <c r="N97" s="267" t="n">
        <f aca="false">SUM(B97:M97)</f>
        <v>3390260.96530601</v>
      </c>
      <c r="O97" s="237"/>
    </row>
    <row r="98" customFormat="false" ht="15" hidden="false" customHeight="true" outlineLevel="0" collapsed="false">
      <c r="A98" s="237" t="s">
        <v>1878</v>
      </c>
      <c r="B98" s="264" t="n">
        <f aca="false">ROUND(B97-B86,0)</f>
        <v>0</v>
      </c>
      <c r="C98" s="264" t="n">
        <f aca="false">ROUND(C97-C86,0)</f>
        <v>0</v>
      </c>
      <c r="D98" s="264" t="n">
        <f aca="false">ROUND(D97-D86,0)</f>
        <v>0</v>
      </c>
      <c r="E98" s="264" t="n">
        <f aca="false">ROUND(E97-E86,0)</f>
        <v>0</v>
      </c>
      <c r="F98" s="264" t="n">
        <f aca="false">ROUND(F97-F86,0)</f>
        <v>0</v>
      </c>
      <c r="G98" s="264" t="n">
        <f aca="false">ROUND(G97-G86,0)</f>
        <v>0</v>
      </c>
      <c r="H98" s="264" t="n">
        <f aca="false">ROUND(H97-H86,0)</f>
        <v>0</v>
      </c>
      <c r="I98" s="264" t="n">
        <f aca="false">ROUND(I97-I86,0)</f>
        <v>0</v>
      </c>
      <c r="J98" s="264" t="n">
        <f aca="false">ROUND(J97-J86,0)</f>
        <v>0</v>
      </c>
      <c r="K98" s="264" t="n">
        <f aca="false">ROUND(K97-K86,0)</f>
        <v>0</v>
      </c>
      <c r="L98" s="264" t="n">
        <f aca="false">ROUND(L97-L86,0)</f>
        <v>0</v>
      </c>
      <c r="M98" s="264" t="n">
        <f aca="false">ROUND(M97-M86,0)</f>
        <v>0</v>
      </c>
      <c r="N98" s="264" t="n">
        <f aca="false">SUM(B98:M98)</f>
        <v>0</v>
      </c>
      <c r="O98" s="237"/>
    </row>
    <row r="99" customFormat="false" ht="15" hidden="false" customHeight="true" outlineLevel="0" collapsed="false">
      <c r="A99" s="269" t="s">
        <v>1879</v>
      </c>
      <c r="B99" s="237"/>
      <c r="C99" s="237"/>
      <c r="D99" s="237"/>
      <c r="E99" s="237"/>
      <c r="F99" s="237"/>
      <c r="G99" s="237"/>
      <c r="H99" s="237"/>
      <c r="I99" s="237"/>
      <c r="J99" s="237"/>
      <c r="K99" s="237"/>
      <c r="L99" s="237"/>
      <c r="M99" s="237"/>
      <c r="N99" s="237"/>
      <c r="O99" s="237"/>
    </row>
    <row r="100" customFormat="false" ht="15" hidden="false" customHeight="true" outlineLevel="0" collapsed="false">
      <c r="A100" s="237"/>
      <c r="B100" s="237"/>
      <c r="C100" s="237"/>
      <c r="D100" s="237"/>
      <c r="E100" s="237"/>
      <c r="F100" s="237"/>
      <c r="G100" s="237"/>
      <c r="H100" s="237"/>
      <c r="I100" s="237"/>
      <c r="J100" s="237"/>
      <c r="K100" s="237"/>
      <c r="L100" s="237"/>
      <c r="M100" s="237"/>
      <c r="N100" s="237"/>
      <c r="O100" s="237"/>
    </row>
    <row r="101" customFormat="false" ht="27" hidden="false" customHeight="true" outlineLevel="0" collapsed="false">
      <c r="A101" s="240"/>
      <c r="B101" s="256"/>
      <c r="C101" s="256"/>
      <c r="D101" s="256"/>
      <c r="E101" s="256"/>
      <c r="F101" s="256"/>
      <c r="G101" s="256"/>
      <c r="H101" s="256"/>
      <c r="I101" s="256"/>
      <c r="J101" s="256"/>
      <c r="K101" s="256"/>
      <c r="L101" s="256"/>
      <c r="M101" s="256"/>
      <c r="N101" s="268"/>
      <c r="O101" s="237"/>
    </row>
    <row r="102" customFormat="false" ht="27" hidden="false" customHeight="true" outlineLevel="0" collapsed="false">
      <c r="A102" s="237"/>
      <c r="B102" s="264"/>
      <c r="C102" s="264"/>
      <c r="D102" s="264"/>
      <c r="E102" s="264"/>
      <c r="F102" s="264"/>
      <c r="G102" s="264"/>
      <c r="H102" s="264"/>
      <c r="I102" s="264"/>
      <c r="J102" s="264"/>
      <c r="K102" s="264"/>
      <c r="L102" s="264"/>
      <c r="M102" s="264"/>
      <c r="N102" s="264"/>
      <c r="O102" s="237"/>
    </row>
    <row r="103" customFormat="false" ht="27" hidden="false" customHeight="true" outlineLevel="0" collapsed="false">
      <c r="A103" s="237"/>
      <c r="B103" s="264"/>
      <c r="C103" s="264"/>
      <c r="D103" s="264"/>
      <c r="E103" s="264"/>
      <c r="F103" s="264"/>
      <c r="G103" s="264"/>
      <c r="H103" s="264"/>
      <c r="I103" s="264"/>
      <c r="J103" s="264"/>
      <c r="K103" s="264"/>
      <c r="L103" s="264"/>
      <c r="M103" s="264"/>
      <c r="N103" s="264"/>
      <c r="O103" s="237"/>
    </row>
    <row r="104" customFormat="false" ht="27" hidden="false" customHeight="true" outlineLevel="0" collapsed="false">
      <c r="A104" s="237"/>
      <c r="B104" s="264"/>
      <c r="C104" s="264"/>
      <c r="D104" s="264"/>
      <c r="E104" s="264"/>
      <c r="F104" s="264"/>
      <c r="G104" s="264"/>
      <c r="H104" s="264"/>
      <c r="I104" s="264"/>
      <c r="J104" s="264"/>
      <c r="K104" s="264"/>
      <c r="L104" s="264"/>
      <c r="M104" s="264"/>
      <c r="N104" s="264"/>
      <c r="O104" s="237"/>
    </row>
    <row r="105" customFormat="false" ht="27" hidden="false" customHeight="true" outlineLevel="0" collapsed="false">
      <c r="A105" s="237"/>
      <c r="B105" s="264"/>
      <c r="C105" s="264"/>
      <c r="D105" s="264"/>
      <c r="E105" s="264"/>
      <c r="F105" s="264"/>
      <c r="G105" s="264"/>
      <c r="H105" s="264"/>
      <c r="I105" s="264"/>
      <c r="J105" s="264"/>
      <c r="K105" s="264"/>
      <c r="L105" s="264"/>
      <c r="M105" s="264"/>
      <c r="N105" s="264"/>
      <c r="O105" s="237"/>
    </row>
    <row r="106" customFormat="false" ht="27" hidden="false" customHeight="true" outlineLevel="0" collapsed="false">
      <c r="A106" s="237"/>
      <c r="B106" s="264"/>
      <c r="C106" s="264"/>
      <c r="D106" s="264"/>
      <c r="E106" s="264"/>
      <c r="F106" s="264"/>
      <c r="G106" s="264"/>
      <c r="H106" s="264"/>
      <c r="I106" s="264"/>
      <c r="J106" s="264"/>
      <c r="K106" s="264"/>
      <c r="L106" s="264"/>
      <c r="M106" s="264"/>
      <c r="N106" s="264"/>
      <c r="O106" s="237"/>
    </row>
    <row r="107" customFormat="false" ht="27" hidden="false" customHeight="true" outlineLevel="0" collapsed="false">
      <c r="A107" s="237"/>
      <c r="B107" s="264"/>
      <c r="C107" s="264"/>
      <c r="D107" s="264"/>
      <c r="E107" s="264"/>
      <c r="F107" s="264"/>
      <c r="G107" s="264"/>
      <c r="H107" s="264"/>
      <c r="I107" s="264"/>
      <c r="J107" s="264"/>
      <c r="K107" s="264"/>
      <c r="L107" s="264"/>
      <c r="M107" s="264"/>
      <c r="N107" s="264"/>
      <c r="O107" s="237"/>
    </row>
    <row r="108" customFormat="false" ht="27" hidden="false" customHeight="true" outlineLevel="0" collapsed="false">
      <c r="A108" s="237"/>
      <c r="B108" s="264"/>
      <c r="C108" s="264"/>
      <c r="D108" s="264"/>
      <c r="E108" s="264"/>
      <c r="F108" s="264"/>
      <c r="G108" s="264"/>
      <c r="H108" s="264"/>
      <c r="I108" s="264"/>
      <c r="J108" s="264"/>
      <c r="K108" s="264"/>
      <c r="L108" s="264"/>
      <c r="M108" s="264"/>
      <c r="N108" s="264"/>
      <c r="O108" s="237"/>
    </row>
    <row r="109" customFormat="false" ht="27" hidden="false" customHeight="true" outlineLevel="0" collapsed="false">
      <c r="A109" s="266"/>
      <c r="B109" s="267"/>
      <c r="C109" s="267"/>
      <c r="D109" s="267"/>
      <c r="E109" s="267"/>
      <c r="F109" s="267"/>
      <c r="G109" s="267"/>
      <c r="H109" s="267"/>
      <c r="I109" s="267"/>
      <c r="J109" s="267"/>
      <c r="K109" s="267"/>
      <c r="L109" s="267"/>
      <c r="M109" s="267"/>
      <c r="N109" s="267"/>
      <c r="O109" s="237"/>
    </row>
    <row r="110" customFormat="false" ht="27" hidden="false" customHeight="true" outlineLevel="0" collapsed="false">
      <c r="A110" s="237"/>
      <c r="B110" s="264"/>
      <c r="C110" s="264"/>
      <c r="D110" s="264"/>
      <c r="E110" s="264"/>
      <c r="F110" s="264"/>
      <c r="G110" s="264"/>
      <c r="H110" s="264"/>
      <c r="I110" s="264"/>
      <c r="J110" s="264"/>
      <c r="K110" s="264"/>
      <c r="L110" s="264"/>
      <c r="M110" s="264"/>
      <c r="N110" s="264"/>
      <c r="O110" s="237"/>
    </row>
    <row r="111" customFormat="false" ht="27" hidden="false" customHeight="true" outlineLevel="0" collapsed="false">
      <c r="A111" s="240"/>
      <c r="B111" s="257"/>
      <c r="C111" s="257"/>
      <c r="D111" s="257"/>
      <c r="E111" s="240"/>
      <c r="F111" s="237"/>
      <c r="G111" s="237"/>
      <c r="H111" s="237"/>
      <c r="I111" s="237"/>
      <c r="J111" s="237"/>
      <c r="K111" s="237"/>
      <c r="L111" s="237"/>
      <c r="M111" s="237"/>
      <c r="N111" s="237"/>
      <c r="O111" s="237"/>
    </row>
    <row r="112" customFormat="false" ht="27" hidden="false" customHeight="true" outlineLevel="0" collapsed="false">
      <c r="A112" s="240" t="s">
        <v>1880</v>
      </c>
      <c r="B112" s="257" t="s">
        <v>1881</v>
      </c>
      <c r="C112" s="257" t="s">
        <v>1882</v>
      </c>
      <c r="D112" s="257" t="s">
        <v>1883</v>
      </c>
      <c r="E112" s="240" t="s">
        <v>1884</v>
      </c>
      <c r="F112" s="237"/>
      <c r="G112" s="237"/>
      <c r="H112" s="237"/>
      <c r="I112" s="237"/>
      <c r="J112" s="237"/>
      <c r="K112" s="237"/>
      <c r="L112" s="237"/>
      <c r="M112" s="237"/>
      <c r="N112" s="237"/>
      <c r="O112" s="237"/>
    </row>
    <row r="113" customFormat="false" ht="15" hidden="false" customHeight="true" outlineLevel="0" collapsed="false">
      <c r="A113" s="237" t="s">
        <v>1284</v>
      </c>
      <c r="B113" s="264" t="n">
        <v>57182</v>
      </c>
      <c r="C113" s="264" t="n">
        <f aca="false">N89</f>
        <v>765000</v>
      </c>
      <c r="D113" s="264" t="n">
        <f aca="false">C113-B113</f>
        <v>707818</v>
      </c>
      <c r="E113" s="237" t="s">
        <v>1885</v>
      </c>
      <c r="F113" s="237"/>
      <c r="G113" s="237"/>
      <c r="H113" s="237"/>
      <c r="I113" s="237"/>
      <c r="J113" s="237"/>
      <c r="K113" s="237"/>
      <c r="L113" s="237"/>
      <c r="M113" s="237"/>
      <c r="N113" s="237"/>
      <c r="O113" s="237"/>
    </row>
    <row r="114" customFormat="false" ht="15" hidden="false" customHeight="true" outlineLevel="0" collapsed="false">
      <c r="A114" s="237" t="s">
        <v>1285</v>
      </c>
      <c r="B114" s="264" t="n">
        <v>2684</v>
      </c>
      <c r="C114" s="264" t="n">
        <f aca="false">N90</f>
        <v>46353.9</v>
      </c>
      <c r="D114" s="264" t="n">
        <f aca="false">C114-B114</f>
        <v>43669.9</v>
      </c>
      <c r="E114" s="237" t="s">
        <v>1886</v>
      </c>
      <c r="F114" s="237"/>
      <c r="G114" s="237"/>
      <c r="H114" s="237"/>
      <c r="I114" s="237"/>
      <c r="J114" s="237"/>
      <c r="K114" s="237"/>
      <c r="L114" s="237"/>
      <c r="M114" s="237"/>
      <c r="N114" s="237"/>
      <c r="O114" s="237"/>
    </row>
    <row r="115" customFormat="false" ht="15" hidden="false" customHeight="true" outlineLevel="0" collapsed="false">
      <c r="A115" s="237" t="s">
        <v>1299</v>
      </c>
      <c r="B115" s="264" t="n">
        <v>231822</v>
      </c>
      <c r="C115" s="264" t="n">
        <f aca="false">N91</f>
        <v>575268</v>
      </c>
      <c r="D115" s="264" t="n">
        <f aca="false">C115-B115</f>
        <v>343446</v>
      </c>
      <c r="E115" s="237" t="s">
        <v>1887</v>
      </c>
      <c r="F115" s="237"/>
      <c r="G115" s="237"/>
      <c r="H115" s="237"/>
      <c r="I115" s="237"/>
      <c r="J115" s="237"/>
      <c r="K115" s="237"/>
      <c r="L115" s="237"/>
      <c r="M115" s="237"/>
      <c r="N115" s="237"/>
      <c r="O115" s="237"/>
    </row>
    <row r="116" customFormat="false" ht="15" hidden="false" customHeight="true" outlineLevel="0" collapsed="false">
      <c r="A116" s="237" t="s">
        <v>1300</v>
      </c>
      <c r="B116" s="264" t="n">
        <v>76383</v>
      </c>
      <c r="C116" s="264" t="n">
        <f aca="false">N92</f>
        <v>111800.837968869</v>
      </c>
      <c r="D116" s="264" t="n">
        <f aca="false">C116-B116</f>
        <v>35417.8379688686</v>
      </c>
      <c r="E116" s="237" t="s">
        <v>1888</v>
      </c>
      <c r="F116" s="237"/>
      <c r="G116" s="237"/>
      <c r="H116" s="237"/>
      <c r="I116" s="237"/>
      <c r="J116" s="237"/>
      <c r="K116" s="237"/>
      <c r="L116" s="237"/>
      <c r="M116" s="237"/>
      <c r="N116" s="237"/>
      <c r="O116" s="237"/>
    </row>
    <row r="117" customFormat="false" ht="15" hidden="false" customHeight="true" outlineLevel="0" collapsed="false">
      <c r="A117" s="237" t="s">
        <v>1301</v>
      </c>
      <c r="B117" s="264" t="n">
        <v>23121</v>
      </c>
      <c r="C117" s="264" t="n">
        <f aca="false">N93</f>
        <v>288069.36</v>
      </c>
      <c r="D117" s="264" t="n">
        <f aca="false">C117-B117</f>
        <v>264948.36</v>
      </c>
      <c r="E117" s="237" t="s">
        <v>1889</v>
      </c>
      <c r="F117" s="237"/>
      <c r="G117" s="237"/>
      <c r="H117" s="237"/>
      <c r="I117" s="237"/>
      <c r="J117" s="237"/>
      <c r="K117" s="237"/>
      <c r="L117" s="237"/>
      <c r="M117" s="237"/>
      <c r="N117" s="237"/>
      <c r="O117" s="237"/>
    </row>
    <row r="118" customFormat="false" ht="15" hidden="false" customHeight="true" outlineLevel="0" collapsed="false">
      <c r="A118" s="237" t="s">
        <v>1302</v>
      </c>
      <c r="B118" s="264" t="n">
        <v>255704</v>
      </c>
      <c r="C118" s="264" t="n">
        <f aca="false">N94</f>
        <v>1519864.86733714</v>
      </c>
      <c r="D118" s="264" t="n">
        <f aca="false">C118-B118</f>
        <v>1264160.86733714</v>
      </c>
      <c r="E118" s="237" t="s">
        <v>1890</v>
      </c>
      <c r="F118" s="237"/>
      <c r="G118" s="237"/>
      <c r="H118" s="237"/>
      <c r="I118" s="237"/>
      <c r="J118" s="237"/>
      <c r="K118" s="237"/>
      <c r="L118" s="237"/>
      <c r="M118" s="237"/>
      <c r="N118" s="237"/>
      <c r="O118" s="237"/>
    </row>
    <row r="119" customFormat="false" ht="15" hidden="false" customHeight="true" outlineLevel="0" collapsed="false">
      <c r="A119" s="237" t="s">
        <v>1303</v>
      </c>
      <c r="B119" s="264" t="n">
        <v>30960</v>
      </c>
      <c r="C119" s="264" t="n">
        <f aca="false">N95</f>
        <v>36000</v>
      </c>
      <c r="D119" s="264" t="n">
        <f aca="false">C119-B119</f>
        <v>5040</v>
      </c>
      <c r="E119" s="237" t="s">
        <v>1891</v>
      </c>
      <c r="F119" s="237"/>
      <c r="G119" s="237"/>
      <c r="H119" s="237"/>
      <c r="I119" s="237"/>
      <c r="J119" s="237"/>
      <c r="K119" s="237"/>
      <c r="L119" s="237"/>
      <c r="M119" s="237"/>
      <c r="N119" s="237"/>
      <c r="O119" s="237"/>
    </row>
    <row r="120" customFormat="false" ht="15" hidden="false" customHeight="true" outlineLevel="0" collapsed="false">
      <c r="A120" s="237" t="s">
        <v>1304</v>
      </c>
      <c r="B120" s="264" t="n">
        <v>45228</v>
      </c>
      <c r="C120" s="264" t="n">
        <f aca="false">N96</f>
        <v>47904</v>
      </c>
      <c r="D120" s="264" t="n">
        <f aca="false">C120-B120</f>
        <v>2676</v>
      </c>
      <c r="E120" s="237" t="s">
        <v>1892</v>
      </c>
      <c r="F120" s="237"/>
      <c r="G120" s="237"/>
      <c r="H120" s="237"/>
      <c r="I120" s="237"/>
      <c r="J120" s="237"/>
      <c r="K120" s="237"/>
      <c r="L120" s="237"/>
      <c r="M120" s="237"/>
      <c r="N120" s="237"/>
      <c r="O120" s="237"/>
    </row>
    <row r="121" customFormat="false" ht="15" hidden="false" customHeight="true" outlineLevel="0" collapsed="false">
      <c r="A121" s="266" t="s">
        <v>1893</v>
      </c>
      <c r="B121" s="267" t="n">
        <f aca="false">SUM(B113:B120)</f>
        <v>723084</v>
      </c>
      <c r="C121" s="267" t="n">
        <f aca="false">SUM(C113:C120)</f>
        <v>3390260.96530601</v>
      </c>
      <c r="D121" s="267" t="n">
        <f aca="false">C121-B121</f>
        <v>2667176.96530601</v>
      </c>
      <c r="E121" s="266"/>
      <c r="F121" s="237"/>
      <c r="G121" s="237"/>
      <c r="H121" s="237"/>
      <c r="I121" s="237"/>
      <c r="J121" s="237"/>
      <c r="K121" s="237"/>
      <c r="L121" s="237"/>
      <c r="M121" s="237"/>
      <c r="N121" s="237"/>
      <c r="O121" s="237"/>
    </row>
    <row r="122" customFormat="false" ht="15" hidden="false" customHeight="true" outlineLevel="0" collapsed="false">
      <c r="A122" s="269" t="s">
        <v>1894</v>
      </c>
      <c r="B122" s="237"/>
      <c r="C122" s="237"/>
      <c r="D122" s="237"/>
      <c r="E122" s="237"/>
      <c r="F122" s="237"/>
      <c r="G122" s="237"/>
      <c r="H122" s="237"/>
      <c r="I122" s="237"/>
      <c r="J122" s="237"/>
      <c r="K122" s="237"/>
      <c r="L122" s="237"/>
      <c r="M122" s="237"/>
      <c r="N122" s="237"/>
      <c r="O122" s="237"/>
    </row>
    <row r="123" customFormat="false" ht="15" hidden="false" customHeight="true" outlineLevel="0" collapsed="false">
      <c r="A123" s="237"/>
      <c r="B123" s="237"/>
      <c r="C123" s="237"/>
      <c r="D123" s="237"/>
      <c r="E123" s="237"/>
      <c r="F123" s="237"/>
      <c r="G123" s="237"/>
      <c r="H123" s="237"/>
      <c r="I123" s="237"/>
      <c r="J123" s="237"/>
      <c r="K123" s="237"/>
      <c r="L123" s="237"/>
      <c r="M123" s="237"/>
      <c r="N123" s="237"/>
      <c r="O123" s="237"/>
    </row>
    <row r="124" customFormat="false" ht="15" hidden="false" customHeight="true" outlineLevel="0" collapsed="false">
      <c r="A124" s="240" t="s">
        <v>1895</v>
      </c>
      <c r="B124" s="240"/>
      <c r="C124" s="240"/>
      <c r="D124" s="240"/>
      <c r="E124" s="240"/>
      <c r="F124" s="240"/>
      <c r="G124" s="240"/>
      <c r="H124" s="240"/>
      <c r="I124" s="240"/>
      <c r="J124" s="240"/>
      <c r="K124" s="240"/>
      <c r="L124" s="240"/>
      <c r="M124" s="240"/>
      <c r="N124" s="240"/>
      <c r="O124" s="240"/>
    </row>
    <row r="125" customFormat="false" ht="15" hidden="false" customHeight="true" outlineLevel="0" collapsed="false">
      <c r="A125" s="237" t="s">
        <v>1896</v>
      </c>
      <c r="B125" s="237"/>
      <c r="C125" s="237"/>
      <c r="D125" s="237"/>
      <c r="E125" s="237"/>
      <c r="F125" s="237"/>
      <c r="G125" s="237"/>
      <c r="H125" s="237"/>
      <c r="I125" s="237"/>
      <c r="J125" s="237"/>
      <c r="K125" s="237"/>
      <c r="L125" s="237"/>
      <c r="M125" s="237"/>
      <c r="N125" s="237"/>
      <c r="O125" s="237"/>
    </row>
    <row r="126" customFormat="false" ht="15" hidden="false" customHeight="true" outlineLevel="0" collapsed="false">
      <c r="A126" s="237" t="s">
        <v>1897</v>
      </c>
      <c r="B126" s="237"/>
      <c r="C126" s="237"/>
      <c r="D126" s="237"/>
      <c r="E126" s="237"/>
      <c r="F126" s="237"/>
      <c r="G126" s="237"/>
      <c r="H126" s="237"/>
      <c r="I126" s="237"/>
      <c r="J126" s="237"/>
      <c r="K126" s="237"/>
      <c r="L126" s="237"/>
      <c r="M126" s="237"/>
      <c r="N126" s="237"/>
      <c r="O126" s="237"/>
    </row>
    <row r="127" customFormat="false" ht="15" hidden="false" customHeight="true" outlineLevel="0" collapsed="false">
      <c r="A127" s="237" t="s">
        <v>1898</v>
      </c>
      <c r="B127" s="237"/>
      <c r="C127" s="237"/>
      <c r="D127" s="237"/>
      <c r="E127" s="237"/>
      <c r="F127" s="237"/>
      <c r="G127" s="237"/>
      <c r="H127" s="237"/>
      <c r="I127" s="237"/>
      <c r="J127" s="237"/>
      <c r="K127" s="237"/>
      <c r="L127" s="237"/>
      <c r="M127" s="237"/>
      <c r="N127" s="237"/>
      <c r="O127" s="237"/>
    </row>
    <row r="128" customFormat="false" ht="15" hidden="false" customHeight="true" outlineLevel="0" collapsed="false">
      <c r="A128" s="237" t="s">
        <v>1899</v>
      </c>
      <c r="B128" s="237"/>
      <c r="C128" s="237"/>
      <c r="D128" s="237"/>
      <c r="E128" s="237"/>
      <c r="F128" s="237"/>
      <c r="G128" s="237"/>
      <c r="H128" s="237"/>
      <c r="I128" s="237"/>
      <c r="J128" s="237"/>
      <c r="K128" s="237"/>
      <c r="L128" s="237"/>
      <c r="M128" s="237"/>
      <c r="N128" s="237"/>
      <c r="O128" s="237"/>
    </row>
    <row r="129" customFormat="false" ht="15" hidden="false" customHeight="true" outlineLevel="0" collapsed="false">
      <c r="A129" s="237" t="s">
        <v>1900</v>
      </c>
      <c r="B129" s="237"/>
      <c r="C129" s="237"/>
      <c r="D129" s="237"/>
      <c r="E129" s="237"/>
      <c r="F129" s="237"/>
      <c r="G129" s="237"/>
      <c r="H129" s="237"/>
      <c r="I129" s="237"/>
      <c r="J129" s="237"/>
      <c r="K129" s="237"/>
      <c r="L129" s="237"/>
      <c r="M129" s="237"/>
      <c r="N129" s="237"/>
      <c r="O129" s="237"/>
    </row>
    <row r="130" customFormat="false" ht="15" hidden="false" customHeight="true" outlineLevel="0" collapsed="false">
      <c r="A130" s="237" t="s">
        <v>1901</v>
      </c>
      <c r="B130" s="237"/>
      <c r="C130" s="237"/>
      <c r="D130" s="237"/>
      <c r="E130" s="237"/>
      <c r="F130" s="237"/>
      <c r="G130" s="237"/>
      <c r="H130" s="237"/>
      <c r="I130" s="237"/>
      <c r="J130" s="237"/>
      <c r="K130" s="237"/>
      <c r="L130" s="237"/>
      <c r="M130" s="237"/>
      <c r="N130" s="237"/>
      <c r="O130" s="237"/>
    </row>
    <row r="131" customFormat="false" ht="15" hidden="false" customHeight="true" outlineLevel="0" collapsed="false">
      <c r="A131" s="237" t="s">
        <v>1902</v>
      </c>
      <c r="B131" s="237"/>
      <c r="C131" s="237"/>
      <c r="D131" s="237"/>
      <c r="E131" s="237"/>
      <c r="F131" s="237"/>
      <c r="G131" s="237"/>
      <c r="H131" s="237"/>
      <c r="I131" s="237"/>
      <c r="J131" s="237"/>
      <c r="K131" s="237"/>
      <c r="L131" s="237"/>
      <c r="M131" s="237"/>
      <c r="N131" s="237"/>
      <c r="O131" s="237"/>
    </row>
    <row r="132" customFormat="false" ht="15" hidden="false" customHeight="true" outlineLevel="0" collapsed="false">
      <c r="A132" s="237"/>
      <c r="B132" s="237"/>
      <c r="C132" s="237"/>
      <c r="D132" s="237"/>
      <c r="E132" s="237"/>
      <c r="F132" s="237"/>
      <c r="G132" s="237"/>
      <c r="H132" s="237"/>
      <c r="I132" s="237"/>
      <c r="J132" s="237"/>
      <c r="K132" s="237"/>
      <c r="L132" s="237"/>
      <c r="M132" s="237"/>
      <c r="N132" s="237"/>
      <c r="O132" s="237"/>
    </row>
    <row r="133" customFormat="false" ht="15" hidden="false" customHeight="true" outlineLevel="0" collapsed="false">
      <c r="A133" s="240" t="s">
        <v>1903</v>
      </c>
      <c r="B133" s="240"/>
      <c r="C133" s="240"/>
      <c r="D133" s="240"/>
      <c r="E133" s="240"/>
      <c r="F133" s="240"/>
      <c r="G133" s="240"/>
      <c r="H133" s="240"/>
      <c r="I133" s="240"/>
      <c r="J133" s="240"/>
      <c r="K133" s="240"/>
      <c r="L133" s="240"/>
      <c r="M133" s="240"/>
      <c r="N133" s="240"/>
      <c r="O133" s="240"/>
    </row>
    <row r="134" customFormat="false" ht="15" hidden="false" customHeight="true" outlineLevel="0" collapsed="false">
      <c r="A134" s="237" t="s">
        <v>1904</v>
      </c>
      <c r="B134" s="237"/>
      <c r="C134" s="237"/>
      <c r="D134" s="237"/>
      <c r="E134" s="237"/>
      <c r="F134" s="237"/>
      <c r="G134" s="237"/>
      <c r="H134" s="237"/>
      <c r="I134" s="237"/>
      <c r="J134" s="237"/>
      <c r="K134" s="237"/>
      <c r="L134" s="237"/>
      <c r="M134" s="237"/>
      <c r="N134" s="237"/>
      <c r="O134" s="237"/>
    </row>
    <row r="135" customFormat="false" ht="15" hidden="false" customHeight="true" outlineLevel="0" collapsed="false">
      <c r="A135" s="237" t="s">
        <v>1905</v>
      </c>
      <c r="B135" s="237"/>
      <c r="C135" s="237"/>
      <c r="D135" s="237"/>
      <c r="E135" s="237"/>
      <c r="F135" s="237"/>
      <c r="G135" s="237"/>
      <c r="H135" s="237"/>
      <c r="I135" s="237"/>
      <c r="J135" s="237"/>
      <c r="K135" s="237"/>
      <c r="L135" s="237"/>
      <c r="M135" s="237"/>
      <c r="N135" s="237"/>
      <c r="O135" s="237"/>
    </row>
    <row r="136" customFormat="false" ht="15" hidden="false" customHeight="true" outlineLevel="0" collapsed="false">
      <c r="A136" s="237" t="s">
        <v>1906</v>
      </c>
      <c r="B136" s="237"/>
      <c r="C136" s="237"/>
      <c r="D136" s="237"/>
      <c r="E136" s="237"/>
      <c r="F136" s="237"/>
      <c r="G136" s="237"/>
      <c r="H136" s="237"/>
      <c r="I136" s="237"/>
      <c r="J136" s="237"/>
      <c r="K136" s="237"/>
      <c r="L136" s="237"/>
      <c r="M136" s="237"/>
      <c r="N136" s="237"/>
      <c r="O136" s="237"/>
    </row>
    <row r="137" customFormat="false" ht="15" hidden="false" customHeight="true" outlineLevel="0" collapsed="false">
      <c r="A137" s="237" t="s">
        <v>1907</v>
      </c>
      <c r="B137" s="237"/>
      <c r="C137" s="237"/>
      <c r="D137" s="237"/>
      <c r="E137" s="237"/>
      <c r="F137" s="237"/>
      <c r="G137" s="237"/>
      <c r="H137" s="237"/>
      <c r="I137" s="237"/>
      <c r="J137" s="237"/>
      <c r="K137" s="237"/>
      <c r="L137" s="237"/>
      <c r="M137" s="237"/>
      <c r="N137" s="237"/>
      <c r="O137" s="237"/>
    </row>
    <row r="138" customFormat="false" ht="15" hidden="false" customHeight="true" outlineLevel="0" collapsed="false">
      <c r="A138" s="237"/>
      <c r="B138" s="237"/>
      <c r="C138" s="237"/>
      <c r="D138" s="237"/>
      <c r="E138" s="237"/>
      <c r="F138" s="237"/>
      <c r="G138" s="237"/>
      <c r="H138" s="237"/>
      <c r="I138" s="237"/>
      <c r="J138" s="237"/>
      <c r="K138" s="237"/>
      <c r="L138" s="237"/>
      <c r="M138" s="237"/>
      <c r="N138" s="237"/>
      <c r="O138" s="237"/>
    </row>
    <row r="139" customFormat="false" ht="15" hidden="false" customHeight="true" outlineLevel="0" collapsed="false">
      <c r="A139" s="240" t="s">
        <v>1908</v>
      </c>
      <c r="B139" s="240"/>
      <c r="C139" s="240"/>
      <c r="D139" s="240"/>
      <c r="E139" s="240"/>
      <c r="F139" s="240"/>
      <c r="G139" s="240"/>
      <c r="H139" s="240"/>
      <c r="I139" s="240"/>
      <c r="J139" s="240"/>
      <c r="K139" s="240"/>
      <c r="L139" s="240"/>
      <c r="M139" s="240"/>
      <c r="N139" s="240"/>
      <c r="O139" s="240"/>
    </row>
    <row r="140" customFormat="false" ht="15" hidden="false" customHeight="true" outlineLevel="0" collapsed="false">
      <c r="A140" s="237" t="s">
        <v>1909</v>
      </c>
      <c r="B140" s="237"/>
      <c r="C140" s="237"/>
      <c r="D140" s="237"/>
      <c r="E140" s="237"/>
      <c r="F140" s="237"/>
      <c r="G140" s="237"/>
      <c r="H140" s="237"/>
      <c r="I140" s="237"/>
      <c r="J140" s="237"/>
      <c r="K140" s="237"/>
      <c r="L140" s="237"/>
      <c r="M140" s="237"/>
      <c r="N140" s="237"/>
      <c r="O140" s="237"/>
    </row>
    <row r="141" customFormat="false" ht="15" hidden="false" customHeight="true" outlineLevel="0" collapsed="false">
      <c r="A141" s="237"/>
      <c r="B141" s="237"/>
      <c r="C141" s="237"/>
      <c r="D141" s="237"/>
      <c r="E141" s="237"/>
      <c r="F141" s="237"/>
      <c r="G141" s="237"/>
      <c r="H141" s="237"/>
      <c r="I141" s="237"/>
      <c r="J141" s="237"/>
      <c r="K141" s="237"/>
      <c r="L141" s="237"/>
      <c r="M141" s="237"/>
      <c r="N141" s="237"/>
      <c r="O141" s="237"/>
    </row>
    <row r="142" customFormat="false" ht="15" hidden="false" customHeight="true" outlineLevel="0" collapsed="false">
      <c r="A142" s="240" t="s">
        <v>1910</v>
      </c>
      <c r="B142" s="240"/>
      <c r="C142" s="240"/>
      <c r="D142" s="240"/>
      <c r="E142" s="240"/>
      <c r="F142" s="240"/>
      <c r="G142" s="240"/>
      <c r="H142" s="240"/>
      <c r="I142" s="240"/>
      <c r="J142" s="240"/>
      <c r="K142" s="240"/>
      <c r="L142" s="240"/>
      <c r="M142" s="240"/>
      <c r="N142" s="240"/>
      <c r="O142" s="240"/>
    </row>
    <row r="143" customFormat="false" ht="15" hidden="false" customHeight="true" outlineLevel="0" collapsed="false">
      <c r="A143" s="237" t="s">
        <v>1911</v>
      </c>
      <c r="B143" s="237"/>
      <c r="C143" s="237"/>
      <c r="D143" s="237"/>
      <c r="E143" s="237"/>
      <c r="F143" s="237"/>
      <c r="G143" s="237"/>
      <c r="H143" s="237"/>
      <c r="I143" s="237"/>
      <c r="J143" s="237"/>
      <c r="K143" s="237"/>
      <c r="L143" s="237"/>
      <c r="M143" s="237"/>
      <c r="N143" s="237"/>
      <c r="O143" s="237"/>
    </row>
  </sheetData>
  <mergeCells count="1">
    <mergeCell ref="B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2.6328125" defaultRowHeight="15" zeroHeight="false" outlineLevelRow="0" outlineLevelCol="0"/>
  <cols>
    <col collapsed="false" customWidth="true" hidden="false" outlineLevel="0" max="1" min="1" style="6" width="41.38"/>
    <col collapsed="false" customWidth="true" hidden="false" outlineLevel="0" max="13" min="2" style="6" width="12"/>
  </cols>
  <sheetData>
    <row r="1" customFormat="false" ht="17.25" hidden="false" customHeight="true" outlineLevel="0" collapsed="false">
      <c r="A1" s="270" t="s">
        <v>1912</v>
      </c>
      <c r="B1" s="237"/>
      <c r="C1" s="237"/>
      <c r="D1" s="237"/>
      <c r="E1" s="237"/>
      <c r="F1" s="237"/>
      <c r="G1" s="237"/>
      <c r="H1" s="237"/>
      <c r="I1" s="237"/>
      <c r="J1" s="237"/>
      <c r="K1" s="237"/>
      <c r="L1" s="237"/>
      <c r="M1" s="237"/>
      <c r="N1" s="237"/>
    </row>
    <row r="2" customFormat="false" ht="52.5" hidden="false" customHeight="true" outlineLevel="0" collapsed="false">
      <c r="A2" s="238" t="s">
        <v>1755</v>
      </c>
      <c r="B2" s="239" t="s">
        <v>1913</v>
      </c>
      <c r="C2" s="239"/>
      <c r="D2" s="239"/>
      <c r="E2" s="239"/>
      <c r="F2" s="239"/>
      <c r="G2" s="239"/>
      <c r="H2" s="239"/>
      <c r="I2" s="239"/>
      <c r="J2" s="239"/>
      <c r="K2" s="239"/>
      <c r="L2" s="239"/>
      <c r="M2" s="239"/>
      <c r="N2" s="239"/>
    </row>
    <row r="3" customFormat="false" ht="15" hidden="false" customHeight="true" outlineLevel="0" collapsed="false">
      <c r="A3" s="237"/>
      <c r="B3" s="237"/>
      <c r="C3" s="237"/>
      <c r="D3" s="237"/>
      <c r="E3" s="237"/>
      <c r="F3" s="237"/>
      <c r="G3" s="237"/>
      <c r="H3" s="237"/>
      <c r="I3" s="237"/>
      <c r="J3" s="237"/>
      <c r="K3" s="237"/>
      <c r="L3" s="237"/>
      <c r="M3" s="237"/>
      <c r="N3" s="237"/>
    </row>
    <row r="4" customFormat="false" ht="15" hidden="false" customHeight="true" outlineLevel="0" collapsed="false">
      <c r="A4" s="271" t="s">
        <v>1757</v>
      </c>
      <c r="B4" s="271" t="s">
        <v>1468</v>
      </c>
      <c r="C4" s="271" t="s">
        <v>1469</v>
      </c>
      <c r="D4" s="271" t="s">
        <v>1758</v>
      </c>
      <c r="E4" s="237"/>
      <c r="F4" s="237"/>
      <c r="G4" s="237"/>
      <c r="H4" s="237"/>
      <c r="I4" s="237"/>
      <c r="J4" s="237"/>
      <c r="K4" s="237"/>
      <c r="L4" s="237"/>
      <c r="M4" s="237"/>
      <c r="N4" s="237"/>
    </row>
    <row r="5" customFormat="false" ht="15" hidden="false" customHeight="true" outlineLevel="0" collapsed="false">
      <c r="A5" s="237" t="s">
        <v>1914</v>
      </c>
      <c r="B5" s="244" t="n">
        <v>4</v>
      </c>
      <c r="C5" s="237" t="s">
        <v>1779</v>
      </c>
      <c r="D5" s="237" t="s">
        <v>1915</v>
      </c>
      <c r="E5" s="237"/>
      <c r="F5" s="237"/>
      <c r="G5" s="237"/>
      <c r="H5" s="237"/>
      <c r="I5" s="237"/>
      <c r="J5" s="237"/>
      <c r="K5" s="237"/>
      <c r="L5" s="237"/>
      <c r="M5" s="237"/>
      <c r="N5" s="237"/>
    </row>
    <row r="6" customFormat="false" ht="15" hidden="false" customHeight="true" outlineLevel="0" collapsed="false">
      <c r="A6" s="237" t="s">
        <v>1916</v>
      </c>
      <c r="B6" s="272" t="n">
        <v>1</v>
      </c>
      <c r="C6" s="237" t="s">
        <v>1486</v>
      </c>
      <c r="D6" s="237" t="s">
        <v>1917</v>
      </c>
      <c r="E6" s="237"/>
      <c r="F6" s="237"/>
      <c r="G6" s="237"/>
      <c r="H6" s="237"/>
      <c r="I6" s="237"/>
      <c r="J6" s="237"/>
      <c r="K6" s="237"/>
      <c r="L6" s="237"/>
      <c r="M6" s="237"/>
      <c r="N6" s="237"/>
    </row>
    <row r="7" customFormat="false" ht="15" hidden="false" customHeight="true" outlineLevel="0" collapsed="false">
      <c r="A7" s="237" t="s">
        <v>1819</v>
      </c>
      <c r="B7" s="273" t="n">
        <f aca="false">'Fld Ops Payroll'!B12</f>
        <v>0.6</v>
      </c>
      <c r="C7" s="237" t="s">
        <v>1486</v>
      </c>
      <c r="D7" s="237" t="s">
        <v>1918</v>
      </c>
      <c r="E7" s="237"/>
      <c r="F7" s="237"/>
      <c r="G7" s="237"/>
      <c r="H7" s="237"/>
      <c r="I7" s="237"/>
      <c r="J7" s="237"/>
      <c r="K7" s="237"/>
      <c r="L7" s="237"/>
      <c r="M7" s="237"/>
      <c r="N7" s="237"/>
    </row>
    <row r="8" customFormat="false" ht="15" hidden="false" customHeight="true" outlineLevel="0" collapsed="false">
      <c r="A8" s="237" t="s">
        <v>1919</v>
      </c>
      <c r="B8" s="272" t="n">
        <v>0.3</v>
      </c>
      <c r="C8" s="237" t="s">
        <v>1920</v>
      </c>
      <c r="D8" s="237" t="s">
        <v>1921</v>
      </c>
      <c r="E8" s="237"/>
      <c r="F8" s="237"/>
      <c r="G8" s="237"/>
      <c r="H8" s="237"/>
      <c r="I8" s="237"/>
      <c r="J8" s="237"/>
      <c r="K8" s="237"/>
      <c r="L8" s="237"/>
      <c r="M8" s="237"/>
      <c r="N8" s="237"/>
    </row>
    <row r="9" customFormat="false" ht="15" hidden="false" customHeight="true" outlineLevel="0" collapsed="false">
      <c r="A9" s="237" t="s">
        <v>1922</v>
      </c>
      <c r="B9" s="272" t="n">
        <v>0.25</v>
      </c>
      <c r="C9" s="237" t="s">
        <v>1923</v>
      </c>
      <c r="D9" s="237" t="s">
        <v>1924</v>
      </c>
      <c r="E9" s="237"/>
      <c r="F9" s="237"/>
      <c r="G9" s="237"/>
      <c r="H9" s="237"/>
      <c r="I9" s="237"/>
      <c r="J9" s="237"/>
      <c r="K9" s="237"/>
      <c r="L9" s="237"/>
      <c r="M9" s="237"/>
      <c r="N9" s="237"/>
    </row>
    <row r="10" customFormat="false" ht="15" hidden="false" customHeight="true" outlineLevel="0" collapsed="false">
      <c r="A10" s="237" t="s">
        <v>1925</v>
      </c>
      <c r="B10" s="244" t="n">
        <v>9</v>
      </c>
      <c r="C10" s="237" t="s">
        <v>1779</v>
      </c>
      <c r="D10" s="237" t="s">
        <v>1926</v>
      </c>
      <c r="E10" s="237"/>
      <c r="F10" s="237"/>
      <c r="G10" s="237"/>
      <c r="H10" s="237"/>
      <c r="I10" s="237"/>
      <c r="J10" s="237"/>
      <c r="K10" s="237"/>
      <c r="L10" s="237"/>
      <c r="M10" s="237"/>
      <c r="N10" s="237"/>
    </row>
    <row r="11" customFormat="false" ht="15" hidden="false" customHeight="true" outlineLevel="0" collapsed="false">
      <c r="A11" s="237"/>
      <c r="B11" s="237"/>
      <c r="C11" s="237"/>
      <c r="D11" s="237"/>
      <c r="E11" s="237"/>
      <c r="F11" s="237"/>
      <c r="G11" s="237"/>
      <c r="H11" s="237"/>
      <c r="I11" s="237"/>
      <c r="J11" s="237"/>
      <c r="K11" s="237"/>
      <c r="L11" s="237"/>
      <c r="M11" s="237"/>
      <c r="N11" s="237"/>
    </row>
    <row r="12" customFormat="false" ht="15" hidden="false" customHeight="true" outlineLevel="0" collapsed="false">
      <c r="A12" s="271" t="s">
        <v>1927</v>
      </c>
      <c r="B12" s="271" t="s">
        <v>1928</v>
      </c>
      <c r="C12" s="271" t="s">
        <v>1929</v>
      </c>
      <c r="D12" s="271" t="s">
        <v>1758</v>
      </c>
      <c r="E12" s="237"/>
      <c r="F12" s="237"/>
      <c r="G12" s="237"/>
      <c r="H12" s="237"/>
      <c r="I12" s="237"/>
      <c r="J12" s="237"/>
      <c r="K12" s="237"/>
      <c r="L12" s="237"/>
      <c r="M12" s="237"/>
      <c r="N12" s="237"/>
    </row>
    <row r="13" customFormat="false" ht="15" hidden="false" customHeight="true" outlineLevel="0" collapsed="false">
      <c r="A13" s="237" t="s">
        <v>1930</v>
      </c>
      <c r="B13" s="274" t="n">
        <v>98591</v>
      </c>
      <c r="C13" s="245" t="n">
        <f aca="false">DATE(2027,1,1)</f>
        <v>46388</v>
      </c>
      <c r="D13" s="237" t="s">
        <v>1931</v>
      </c>
      <c r="E13" s="237"/>
      <c r="F13" s="237"/>
      <c r="G13" s="237"/>
      <c r="H13" s="237"/>
      <c r="I13" s="237"/>
      <c r="J13" s="237"/>
      <c r="K13" s="237"/>
      <c r="L13" s="237"/>
      <c r="M13" s="237"/>
      <c r="N13" s="237"/>
    </row>
    <row r="14" customFormat="false" ht="15" hidden="false" customHeight="true" outlineLevel="0" collapsed="false">
      <c r="A14" s="237" t="s">
        <v>1932</v>
      </c>
      <c r="B14" s="274" t="n">
        <v>72080</v>
      </c>
      <c r="C14" s="245" t="n">
        <f aca="false">DATE(2027,1,1)</f>
        <v>46388</v>
      </c>
      <c r="D14" s="237" t="s">
        <v>1931</v>
      </c>
      <c r="E14" s="237"/>
      <c r="F14" s="237"/>
      <c r="G14" s="237"/>
      <c r="H14" s="237"/>
      <c r="I14" s="237"/>
      <c r="J14" s="237"/>
      <c r="K14" s="237"/>
      <c r="L14" s="237"/>
      <c r="M14" s="237"/>
      <c r="N14" s="237"/>
    </row>
    <row r="15" customFormat="false" ht="15" hidden="false" customHeight="true" outlineLevel="0" collapsed="false">
      <c r="A15" s="237" t="s">
        <v>1933</v>
      </c>
      <c r="B15" s="274" t="n">
        <v>75000</v>
      </c>
      <c r="C15" s="245" t="n">
        <f aca="false">DATE(2027,1,1)</f>
        <v>46388</v>
      </c>
      <c r="D15" s="237" t="s">
        <v>1931</v>
      </c>
      <c r="E15" s="237"/>
      <c r="F15" s="237"/>
      <c r="G15" s="237"/>
      <c r="H15" s="237"/>
      <c r="I15" s="237"/>
      <c r="J15" s="237"/>
      <c r="K15" s="237"/>
      <c r="L15" s="237"/>
      <c r="M15" s="237"/>
      <c r="N15" s="237"/>
    </row>
    <row r="16" customFormat="false" ht="15" hidden="false" customHeight="true" outlineLevel="0" collapsed="false">
      <c r="A16" s="237" t="s">
        <v>1934</v>
      </c>
      <c r="B16" s="274" t="n">
        <v>70000</v>
      </c>
      <c r="C16" s="245" t="n">
        <f aca="false">DATE(2027,1,1)</f>
        <v>46388</v>
      </c>
      <c r="D16" s="237" t="s">
        <v>1931</v>
      </c>
      <c r="E16" s="237"/>
      <c r="F16" s="237"/>
      <c r="G16" s="237"/>
      <c r="H16" s="237"/>
      <c r="I16" s="237"/>
      <c r="J16" s="237"/>
      <c r="K16" s="237"/>
      <c r="L16" s="237"/>
      <c r="M16" s="237"/>
      <c r="N16" s="237"/>
    </row>
    <row r="17" customFormat="false" ht="15" hidden="false" customHeight="true" outlineLevel="0" collapsed="false">
      <c r="A17" s="237" t="s">
        <v>1935</v>
      </c>
      <c r="B17" s="274" t="n">
        <v>160000</v>
      </c>
      <c r="C17" s="245" t="n">
        <f aca="false">DATE(2027,1,1)</f>
        <v>46388</v>
      </c>
      <c r="D17" s="237" t="s">
        <v>1931</v>
      </c>
      <c r="E17" s="237"/>
      <c r="F17" s="237"/>
      <c r="G17" s="237"/>
      <c r="H17" s="237"/>
      <c r="I17" s="237"/>
      <c r="J17" s="237"/>
      <c r="K17" s="237"/>
      <c r="L17" s="237"/>
      <c r="M17" s="237"/>
      <c r="N17" s="237"/>
    </row>
    <row r="18" customFormat="false" ht="15" hidden="false" customHeight="true" outlineLevel="0" collapsed="false">
      <c r="A18" s="237" t="s">
        <v>1936</v>
      </c>
      <c r="B18" s="274" t="n">
        <v>65000</v>
      </c>
      <c r="C18" s="245" t="n">
        <f aca="false">DATE(2027,1,1)</f>
        <v>46388</v>
      </c>
      <c r="D18" s="237" t="s">
        <v>1931</v>
      </c>
      <c r="E18" s="237"/>
      <c r="F18" s="237"/>
      <c r="G18" s="237"/>
      <c r="H18" s="237"/>
      <c r="I18" s="237"/>
      <c r="J18" s="237"/>
      <c r="K18" s="237"/>
      <c r="L18" s="237"/>
      <c r="M18" s="237"/>
      <c r="N18" s="237"/>
    </row>
    <row r="19" customFormat="false" ht="15" hidden="false" customHeight="true" outlineLevel="0" collapsed="false">
      <c r="A19" s="237" t="s">
        <v>1937</v>
      </c>
      <c r="B19" s="274" t="n">
        <f aca="false">B18</f>
        <v>65000</v>
      </c>
      <c r="C19" s="245" t="n">
        <f aca="false">DATE(2027,8,1)</f>
        <v>46600</v>
      </c>
      <c r="D19" s="237" t="s">
        <v>1938</v>
      </c>
      <c r="E19" s="237"/>
      <c r="F19" s="237"/>
      <c r="G19" s="237"/>
      <c r="H19" s="237"/>
      <c r="I19" s="237"/>
      <c r="J19" s="237"/>
      <c r="K19" s="237"/>
      <c r="L19" s="237"/>
      <c r="M19" s="237"/>
      <c r="N19" s="237"/>
    </row>
    <row r="20" customFormat="false" ht="15" hidden="false" customHeight="true" outlineLevel="0" collapsed="false">
      <c r="A20" s="237" t="s">
        <v>1939</v>
      </c>
      <c r="B20" s="274" t="n">
        <v>140000</v>
      </c>
      <c r="C20" s="245" t="n">
        <f aca="false">DATE(2027,1,1)</f>
        <v>46388</v>
      </c>
      <c r="D20" s="237" t="s">
        <v>1940</v>
      </c>
      <c r="E20" s="237"/>
      <c r="F20" s="237"/>
      <c r="G20" s="237"/>
      <c r="H20" s="237"/>
      <c r="I20" s="237"/>
      <c r="J20" s="237"/>
      <c r="K20" s="237"/>
      <c r="L20" s="237"/>
      <c r="M20" s="237"/>
      <c r="N20" s="237"/>
    </row>
    <row r="21" customFormat="false" ht="15" hidden="false" customHeight="true" outlineLevel="0" collapsed="false">
      <c r="A21" s="237" t="s">
        <v>1941</v>
      </c>
      <c r="B21" s="274"/>
      <c r="C21" s="245" t="n">
        <f aca="false">DATE(2027,1,1)</f>
        <v>46388</v>
      </c>
      <c r="D21" s="237" t="s">
        <v>1942</v>
      </c>
      <c r="E21" s="237"/>
      <c r="F21" s="237"/>
      <c r="G21" s="237"/>
      <c r="H21" s="237"/>
      <c r="I21" s="237"/>
      <c r="J21" s="237"/>
      <c r="K21" s="237"/>
      <c r="L21" s="237"/>
      <c r="M21" s="237"/>
      <c r="N21" s="237"/>
    </row>
    <row r="22" customFormat="false" ht="15" hidden="false" customHeight="true" outlineLevel="0" collapsed="false">
      <c r="A22" s="237" t="s">
        <v>1618</v>
      </c>
      <c r="B22" s="275" t="n">
        <f aca="false">'Fld Ops Payroll'!B7</f>
        <v>0.068</v>
      </c>
      <c r="C22" s="237" t="s">
        <v>1486</v>
      </c>
      <c r="D22" s="237" t="s">
        <v>1943</v>
      </c>
      <c r="E22" s="237"/>
      <c r="F22" s="237"/>
      <c r="G22" s="237"/>
      <c r="H22" s="237"/>
      <c r="I22" s="237"/>
      <c r="J22" s="237"/>
      <c r="K22" s="237"/>
      <c r="L22" s="237"/>
      <c r="M22" s="237"/>
      <c r="N22" s="237"/>
    </row>
    <row r="23" customFormat="false" ht="15" hidden="false" customHeight="true" outlineLevel="0" collapsed="false">
      <c r="A23" s="237" t="s">
        <v>1620</v>
      </c>
      <c r="B23" s="275" t="n">
        <f aca="false">'Fld Ops Payroll'!B8</f>
        <v>0.164</v>
      </c>
      <c r="C23" s="237" t="s">
        <v>1486</v>
      </c>
      <c r="D23" s="237" t="s">
        <v>1944</v>
      </c>
      <c r="E23" s="237"/>
      <c r="F23" s="237"/>
      <c r="G23" s="237"/>
      <c r="H23" s="237"/>
      <c r="I23" s="237"/>
      <c r="J23" s="237"/>
      <c r="K23" s="237"/>
      <c r="L23" s="237"/>
      <c r="M23" s="237"/>
      <c r="N23" s="237"/>
    </row>
    <row r="24" customFormat="false" ht="15" hidden="false" customHeight="true" outlineLevel="0" collapsed="false">
      <c r="A24" s="237" t="s">
        <v>1616</v>
      </c>
      <c r="B24" s="275" t="n">
        <f aca="false">'Fld Ops Payroll'!M5</f>
        <v>0.03</v>
      </c>
      <c r="C24" s="237" t="s">
        <v>1486</v>
      </c>
      <c r="D24" s="237" t="s">
        <v>1945</v>
      </c>
      <c r="E24" s="237"/>
      <c r="F24" s="237"/>
      <c r="G24" s="237"/>
      <c r="H24" s="237"/>
      <c r="I24" s="237"/>
      <c r="J24" s="237"/>
      <c r="K24" s="237"/>
      <c r="L24" s="237"/>
      <c r="M24" s="237"/>
      <c r="N24" s="237"/>
    </row>
    <row r="25" customFormat="false" ht="15" hidden="false" customHeight="true" outlineLevel="0" collapsed="false">
      <c r="A25" s="237" t="s">
        <v>1619</v>
      </c>
      <c r="B25" s="276" t="n">
        <f aca="false">'Fld Ops Payroll'!M6</f>
        <v>46661</v>
      </c>
      <c r="C25" s="237" t="s">
        <v>1784</v>
      </c>
      <c r="D25" s="237" t="s">
        <v>1946</v>
      </c>
      <c r="E25" s="237"/>
      <c r="F25" s="237"/>
      <c r="G25" s="237"/>
      <c r="H25" s="237"/>
      <c r="I25" s="237"/>
      <c r="J25" s="237"/>
      <c r="K25" s="237"/>
      <c r="L25" s="237"/>
      <c r="M25" s="237"/>
      <c r="N25" s="237"/>
    </row>
    <row r="26" customFormat="false" ht="15" hidden="false" customHeight="true" outlineLevel="0" collapsed="false">
      <c r="A26" s="237"/>
      <c r="B26" s="237"/>
      <c r="C26" s="237"/>
      <c r="D26" s="237"/>
      <c r="E26" s="237"/>
      <c r="F26" s="237"/>
      <c r="G26" s="237"/>
      <c r="H26" s="237"/>
      <c r="I26" s="237"/>
      <c r="J26" s="237"/>
      <c r="K26" s="237"/>
      <c r="L26" s="237"/>
      <c r="M26" s="237"/>
      <c r="N26" s="237"/>
    </row>
    <row r="27" customFormat="false" ht="15" hidden="false" customHeight="true" outlineLevel="0" collapsed="false">
      <c r="A27" s="271" t="s">
        <v>1947</v>
      </c>
      <c r="B27" s="277" t="n">
        <f aca="false">DATE(2026,1,1)</f>
        <v>46023</v>
      </c>
      <c r="C27" s="277" t="n">
        <f aca="false">DATE(2026,2,1)</f>
        <v>46054</v>
      </c>
      <c r="D27" s="277" t="n">
        <f aca="false">DATE(2026,3,1)</f>
        <v>46082</v>
      </c>
      <c r="E27" s="277" t="n">
        <f aca="false">DATE(2026,4,1)</f>
        <v>46113</v>
      </c>
      <c r="F27" s="277" t="n">
        <f aca="false">DATE(2026,5,1)</f>
        <v>46143</v>
      </c>
      <c r="G27" s="277" t="n">
        <f aca="false">DATE(2026,6,1)</f>
        <v>46174</v>
      </c>
      <c r="H27" s="277" t="n">
        <f aca="false">DATE(2026,7,1)</f>
        <v>46204</v>
      </c>
      <c r="I27" s="277" t="n">
        <f aca="false">DATE(2026,8,1)</f>
        <v>46235</v>
      </c>
      <c r="J27" s="277" t="n">
        <f aca="false">DATE(2026,9,1)</f>
        <v>46266</v>
      </c>
      <c r="K27" s="277" t="s">
        <v>1948</v>
      </c>
      <c r="L27" s="237"/>
      <c r="M27" s="237"/>
      <c r="N27" s="237"/>
    </row>
    <row r="28" customFormat="false" ht="15" hidden="false" customHeight="true" outlineLevel="0" collapsed="false">
      <c r="A28" s="237" t="s">
        <v>1949</v>
      </c>
      <c r="B28" s="278" t="n">
        <f aca="false">FE!B30</f>
        <v>6093.31</v>
      </c>
      <c r="C28" s="278" t="n">
        <f aca="false">FE!C30</f>
        <v>3188.15</v>
      </c>
      <c r="D28" s="278" t="n">
        <f aca="false">FE!D30</f>
        <v>6516.64</v>
      </c>
      <c r="E28" s="278" t="n">
        <f aca="false">FE!E30</f>
        <v>4232.23</v>
      </c>
      <c r="F28" s="278" t="n">
        <f aca="false">FE!F30</f>
        <v>13531.9</v>
      </c>
      <c r="G28" s="278" t="n">
        <f aca="false">FE!G30</f>
        <v>2938.06</v>
      </c>
      <c r="H28" s="278" t="n">
        <f aca="false">FE!H30</f>
        <v>3402.48</v>
      </c>
      <c r="I28" s="278" t="n">
        <f aca="false">FE!I30</f>
        <v>5552.25</v>
      </c>
      <c r="J28" s="278" t="n">
        <f aca="false">FE!J30</f>
        <v>13000</v>
      </c>
      <c r="K28" s="264" t="n">
        <f aca="false">SUM(B28:J28)</f>
        <v>58455.02</v>
      </c>
      <c r="L28" s="237"/>
      <c r="M28" s="237"/>
      <c r="N28" s="237"/>
    </row>
    <row r="29" customFormat="false" ht="15" hidden="false" customHeight="true" outlineLevel="0" collapsed="false">
      <c r="A29" s="237" t="s">
        <v>1950</v>
      </c>
      <c r="B29" s="278" t="n">
        <f aca="false">FE!B31</f>
        <v>623.1</v>
      </c>
      <c r="C29" s="278" t="n">
        <f aca="false">FE!C31</f>
        <v>491.08</v>
      </c>
      <c r="D29" s="278" t="n">
        <f aca="false">FE!D31</f>
        <v>878.77</v>
      </c>
      <c r="E29" s="278" t="n">
        <f aca="false">FE!E31</f>
        <v>846.11</v>
      </c>
      <c r="F29" s="278" t="n">
        <f aca="false">FE!F31</f>
        <v>1479.8</v>
      </c>
      <c r="G29" s="278" t="n">
        <f aca="false">FE!G31</f>
        <v>235.83</v>
      </c>
      <c r="H29" s="278" t="n">
        <f aca="false">FE!H31</f>
        <v>436.9</v>
      </c>
      <c r="I29" s="278" t="n">
        <f aca="false">FE!I31</f>
        <v>721.59</v>
      </c>
      <c r="J29" s="278" t="n">
        <f aca="false">FE!J31</f>
        <v>1400</v>
      </c>
      <c r="K29" s="264" t="n">
        <f aca="false">SUM(B29:J29)</f>
        <v>7113.18</v>
      </c>
      <c r="L29" s="237"/>
      <c r="M29" s="237"/>
      <c r="N29" s="237"/>
    </row>
    <row r="30" customFormat="false" ht="15" hidden="false" customHeight="true" outlineLevel="0" collapsed="false">
      <c r="A30" s="237" t="s">
        <v>1951</v>
      </c>
      <c r="B30" s="278" t="n">
        <f aca="false">FE!B74</f>
        <v>0</v>
      </c>
      <c r="C30" s="278" t="n">
        <f aca="false">FE!C74</f>
        <v>-773.5</v>
      </c>
      <c r="D30" s="278" t="n">
        <f aca="false">FE!D74</f>
        <v>1130.73</v>
      </c>
      <c r="E30" s="278" t="n">
        <f aca="false">FE!E74</f>
        <v>8303.22</v>
      </c>
      <c r="F30" s="278" t="n">
        <f aca="false">FE!F74</f>
        <v>2747.17</v>
      </c>
      <c r="G30" s="278" t="n">
        <f aca="false">FE!G74</f>
        <v>7608.77</v>
      </c>
      <c r="H30" s="278" t="n">
        <f aca="false">FE!H74</f>
        <v>1346.83</v>
      </c>
      <c r="I30" s="278" t="n">
        <f aca="false">FE!I74</f>
        <v>2646.86</v>
      </c>
      <c r="J30" s="278" t="n">
        <f aca="false">FE!J74</f>
        <v>3000</v>
      </c>
      <c r="K30" s="264" t="n">
        <f aca="false">SUM(B30:J30)</f>
        <v>26010.08</v>
      </c>
      <c r="L30" s="237"/>
      <c r="M30" s="237"/>
      <c r="N30" s="237"/>
    </row>
    <row r="31" customFormat="false" ht="15" hidden="false" customHeight="true" outlineLevel="0" collapsed="false">
      <c r="A31" s="237" t="s">
        <v>1952</v>
      </c>
      <c r="B31" s="278" t="n">
        <f aca="false">FE!B75</f>
        <v>12.29</v>
      </c>
      <c r="C31" s="278" t="n">
        <f aca="false">FE!C75</f>
        <v>0</v>
      </c>
      <c r="D31" s="278" t="n">
        <f aca="false">FE!D75</f>
        <v>0</v>
      </c>
      <c r="E31" s="278" t="n">
        <f aca="false">FE!E75</f>
        <v>2986.15</v>
      </c>
      <c r="F31" s="278" t="n">
        <f aca="false">FE!F75</f>
        <v>0</v>
      </c>
      <c r="G31" s="278" t="n">
        <f aca="false">FE!G75</f>
        <v>475.67</v>
      </c>
      <c r="H31" s="278" t="n">
        <f aca="false">FE!H75</f>
        <v>234.79</v>
      </c>
      <c r="I31" s="278" t="n">
        <f aca="false">FE!I75</f>
        <v>0</v>
      </c>
      <c r="J31" s="278" t="n">
        <f aca="false">FE!J75</f>
        <v>400</v>
      </c>
      <c r="K31" s="264" t="n">
        <f aca="false">SUM(B31:J31)</f>
        <v>4108.9</v>
      </c>
      <c r="L31" s="237"/>
      <c r="M31" s="237"/>
      <c r="N31" s="237"/>
    </row>
    <row r="32" customFormat="false" ht="15" hidden="false" customHeight="true" outlineLevel="0" collapsed="false">
      <c r="A32" s="237" t="s">
        <v>1953</v>
      </c>
      <c r="B32" s="278" t="n">
        <f aca="false">FE!B49</f>
        <v>60</v>
      </c>
      <c r="C32" s="278" t="n">
        <f aca="false">FE!C49</f>
        <v>0</v>
      </c>
      <c r="D32" s="278" t="n">
        <f aca="false">FE!D49</f>
        <v>281.44</v>
      </c>
      <c r="E32" s="278" t="n">
        <f aca="false">FE!E49</f>
        <v>302.03</v>
      </c>
      <c r="F32" s="278" t="n">
        <f aca="false">FE!F49</f>
        <v>0</v>
      </c>
      <c r="G32" s="278" t="n">
        <f aca="false">FE!G49</f>
        <v>0</v>
      </c>
      <c r="H32" s="278" t="n">
        <f aca="false">FE!H49</f>
        <v>0</v>
      </c>
      <c r="I32" s="278" t="n">
        <f aca="false">FE!I49</f>
        <v>471.85</v>
      </c>
      <c r="J32" s="278" t="n">
        <f aca="false">FE!J49</f>
        <v>0</v>
      </c>
      <c r="K32" s="264" t="n">
        <f aca="false">SUM(B32:J32)</f>
        <v>1115.32</v>
      </c>
      <c r="L32" s="237"/>
      <c r="M32" s="237"/>
      <c r="N32" s="237"/>
    </row>
    <row r="33" customFormat="false" ht="15" hidden="false" customHeight="true" outlineLevel="0" collapsed="false">
      <c r="A33" s="237" t="s">
        <v>1954</v>
      </c>
      <c r="B33" s="278" t="n">
        <f aca="false">FE!B50</f>
        <v>0</v>
      </c>
      <c r="C33" s="278" t="n">
        <f aca="false">FE!C50</f>
        <v>0</v>
      </c>
      <c r="D33" s="278" t="n">
        <f aca="false">FE!D50</f>
        <v>160.63</v>
      </c>
      <c r="E33" s="278" t="n">
        <f aca="false">FE!E50</f>
        <v>0</v>
      </c>
      <c r="F33" s="278" t="n">
        <f aca="false">FE!F50</f>
        <v>0</v>
      </c>
      <c r="G33" s="278" t="n">
        <f aca="false">FE!G50</f>
        <v>0</v>
      </c>
      <c r="H33" s="278" t="n">
        <f aca="false">FE!H50</f>
        <v>0</v>
      </c>
      <c r="I33" s="278" t="n">
        <f aca="false">FE!I50</f>
        <v>0</v>
      </c>
      <c r="J33" s="278" t="n">
        <f aca="false">FE!J50</f>
        <v>0</v>
      </c>
      <c r="K33" s="264" t="n">
        <f aca="false">SUM(B33:J33)</f>
        <v>160.63</v>
      </c>
      <c r="L33" s="237"/>
      <c r="M33" s="237"/>
      <c r="N33" s="237"/>
    </row>
    <row r="34" customFormat="false" ht="15" hidden="false" customHeight="true" outlineLevel="0" collapsed="false">
      <c r="A34" s="237"/>
      <c r="B34" s="269" t="s">
        <v>1955</v>
      </c>
      <c r="C34" s="237"/>
      <c r="D34" s="237"/>
      <c r="E34" s="237"/>
      <c r="F34" s="237"/>
      <c r="G34" s="237"/>
      <c r="H34" s="237"/>
      <c r="I34" s="237"/>
      <c r="J34" s="237"/>
      <c r="K34" s="237"/>
      <c r="L34" s="237"/>
      <c r="M34" s="237"/>
      <c r="N34" s="237"/>
    </row>
    <row r="35" customFormat="false" ht="15" hidden="false" customHeight="true" outlineLevel="0" collapsed="false">
      <c r="A35" s="237"/>
      <c r="B35" s="237"/>
      <c r="C35" s="237"/>
      <c r="D35" s="237"/>
      <c r="E35" s="237"/>
      <c r="F35" s="237"/>
      <c r="G35" s="237"/>
      <c r="H35" s="237"/>
      <c r="I35" s="237"/>
      <c r="J35" s="237"/>
      <c r="K35" s="237"/>
      <c r="L35" s="237"/>
      <c r="M35" s="237"/>
      <c r="N35" s="237"/>
    </row>
    <row r="36" customFormat="false" ht="15" hidden="false" customHeight="true" outlineLevel="0" collapsed="false">
      <c r="A36" s="271" t="s">
        <v>1956</v>
      </c>
      <c r="B36" s="271" t="s">
        <v>1468</v>
      </c>
      <c r="C36" s="271" t="s">
        <v>1469</v>
      </c>
      <c r="D36" s="271" t="s">
        <v>1957</v>
      </c>
      <c r="E36" s="237"/>
      <c r="F36" s="237"/>
      <c r="G36" s="237"/>
      <c r="H36" s="237"/>
      <c r="I36" s="237"/>
      <c r="J36" s="237"/>
      <c r="K36" s="237"/>
      <c r="L36" s="237"/>
      <c r="M36" s="237"/>
      <c r="N36" s="237"/>
    </row>
    <row r="37" customFormat="false" ht="15" hidden="false" customHeight="true" outlineLevel="0" collapsed="false">
      <c r="A37" s="237" t="s">
        <v>1958</v>
      </c>
      <c r="B37" s="264" t="n">
        <f aca="false">SUM(B28:J29)</f>
        <v>65568.2</v>
      </c>
      <c r="C37" s="237" t="s">
        <v>1472</v>
      </c>
      <c r="D37" s="237" t="s">
        <v>1959</v>
      </c>
      <c r="E37" s="237"/>
      <c r="F37" s="237"/>
      <c r="G37" s="237"/>
      <c r="H37" s="237"/>
      <c r="I37" s="237"/>
      <c r="J37" s="237"/>
      <c r="K37" s="237"/>
      <c r="L37" s="237"/>
      <c r="M37" s="237"/>
      <c r="N37" s="237"/>
    </row>
    <row r="38" customFormat="false" ht="15" hidden="false" customHeight="true" outlineLevel="0" collapsed="false">
      <c r="A38" s="237" t="s">
        <v>1960</v>
      </c>
      <c r="B38" s="264" t="n">
        <f aca="false">F28+F29</f>
        <v>15011.7</v>
      </c>
      <c r="C38" s="237" t="s">
        <v>1472</v>
      </c>
      <c r="D38" s="237" t="s">
        <v>1961</v>
      </c>
      <c r="E38" s="237"/>
      <c r="F38" s="237"/>
      <c r="G38" s="237"/>
      <c r="H38" s="237"/>
      <c r="I38" s="237"/>
      <c r="J38" s="237"/>
      <c r="K38" s="237"/>
      <c r="L38" s="237"/>
      <c r="M38" s="237"/>
      <c r="N38" s="237"/>
    </row>
    <row r="39" customFormat="false" ht="15" hidden="false" customHeight="true" outlineLevel="0" collapsed="false">
      <c r="A39" s="237" t="s">
        <v>1962</v>
      </c>
      <c r="B39" s="264" t="n">
        <f aca="false">(SUM(B28:I29)-B38)/(COLUMNS(B28:I28)-1)</f>
        <v>5165.21428571429</v>
      </c>
      <c r="C39" s="237" t="s">
        <v>1765</v>
      </c>
      <c r="D39" s="237" t="s">
        <v>1963</v>
      </c>
      <c r="E39" s="237"/>
      <c r="F39" s="237"/>
      <c r="G39" s="237"/>
      <c r="H39" s="237"/>
      <c r="I39" s="237"/>
      <c r="J39" s="237"/>
      <c r="K39" s="237"/>
      <c r="L39" s="237"/>
      <c r="M39" s="237"/>
      <c r="N39" s="237"/>
    </row>
    <row r="40" customFormat="false" ht="15" hidden="false" customHeight="true" outlineLevel="0" collapsed="false">
      <c r="A40" s="237" t="s">
        <v>1964</v>
      </c>
      <c r="B40" s="264" t="n">
        <f aca="false">B38-B39</f>
        <v>9846.48571428571</v>
      </c>
      <c r="C40" s="237" t="s">
        <v>1472</v>
      </c>
      <c r="D40" s="237" t="s">
        <v>1965</v>
      </c>
      <c r="E40" s="237"/>
      <c r="F40" s="237"/>
      <c r="G40" s="237"/>
      <c r="H40" s="237"/>
      <c r="I40" s="237"/>
      <c r="J40" s="237"/>
      <c r="K40" s="237"/>
      <c r="L40" s="237"/>
      <c r="M40" s="237"/>
      <c r="N40" s="237"/>
    </row>
    <row r="41" customFormat="false" ht="15" hidden="false" customHeight="true" outlineLevel="0" collapsed="false">
      <c r="A41" s="237" t="s">
        <v>1966</v>
      </c>
      <c r="B41" s="264" t="n">
        <f aca="false">B37-B40</f>
        <v>55721.7142857143</v>
      </c>
      <c r="C41" s="237" t="s">
        <v>1472</v>
      </c>
      <c r="D41" s="237"/>
      <c r="E41" s="237"/>
      <c r="F41" s="237"/>
      <c r="G41" s="237"/>
      <c r="H41" s="237"/>
      <c r="I41" s="237"/>
      <c r="J41" s="237"/>
      <c r="K41" s="237"/>
      <c r="L41" s="237"/>
      <c r="M41" s="237"/>
      <c r="N41" s="237"/>
    </row>
    <row r="42" customFormat="false" ht="15" hidden="false" customHeight="true" outlineLevel="0" collapsed="false">
      <c r="A42" s="260" t="s">
        <v>1967</v>
      </c>
      <c r="B42" s="279" t="n">
        <f aca="false">IF(B10=0,0,B41/B10)</f>
        <v>6191.30158730159</v>
      </c>
      <c r="C42" s="237" t="s">
        <v>1968</v>
      </c>
      <c r="D42" s="237" t="s">
        <v>1969</v>
      </c>
      <c r="E42" s="237"/>
      <c r="F42" s="237"/>
      <c r="G42" s="237"/>
      <c r="H42" s="237"/>
      <c r="I42" s="237"/>
      <c r="J42" s="237"/>
      <c r="K42" s="237"/>
      <c r="L42" s="237"/>
      <c r="M42" s="237"/>
      <c r="N42" s="237"/>
    </row>
    <row r="43" customFormat="false" ht="15" hidden="false" customHeight="true" outlineLevel="0" collapsed="false">
      <c r="A43" s="237" t="s">
        <v>1970</v>
      </c>
      <c r="B43" s="263" t="n">
        <f aca="false">IF(B37=0,0,SUM(B29:J29)/B37)</f>
        <v>0.108485210818659</v>
      </c>
      <c r="C43" s="237" t="s">
        <v>1486</v>
      </c>
      <c r="D43" s="237" t="s">
        <v>1971</v>
      </c>
      <c r="E43" s="237"/>
      <c r="F43" s="237"/>
      <c r="G43" s="237"/>
      <c r="H43" s="237"/>
      <c r="I43" s="237"/>
      <c r="J43" s="237"/>
      <c r="K43" s="237"/>
      <c r="L43" s="237"/>
      <c r="M43" s="237"/>
      <c r="N43" s="237"/>
    </row>
    <row r="44" customFormat="false" ht="15" hidden="false" customHeight="true" outlineLevel="0" collapsed="false">
      <c r="A44" s="237" t="s">
        <v>1972</v>
      </c>
      <c r="B44" s="264" t="n">
        <f aca="false">SUM(B30:I33)/COLUMNS(B30:I30)</f>
        <v>3499.36625</v>
      </c>
      <c r="C44" s="237" t="s">
        <v>1765</v>
      </c>
      <c r="D44" s="237" t="s">
        <v>1973</v>
      </c>
      <c r="E44" s="237"/>
      <c r="F44" s="237"/>
      <c r="G44" s="237"/>
      <c r="H44" s="237"/>
      <c r="I44" s="237"/>
      <c r="J44" s="237"/>
      <c r="K44" s="237"/>
      <c r="L44" s="237"/>
      <c r="M44" s="237"/>
      <c r="N44" s="237"/>
    </row>
    <row r="45" customFormat="false" ht="15" hidden="false" customHeight="true" outlineLevel="0" collapsed="false">
      <c r="A45" s="237" t="s">
        <v>1974</v>
      </c>
      <c r="B45" s="263" t="n">
        <f aca="false">IF(SUM(B30:I33)=0,0,(SUM(B31:I31)+SUM(B33:I33))/SUM(B30:I33))</f>
        <v>0.138222528150633</v>
      </c>
      <c r="C45" s="237" t="s">
        <v>1486</v>
      </c>
      <c r="D45" s="237" t="s">
        <v>1975</v>
      </c>
      <c r="E45" s="237"/>
      <c r="F45" s="237"/>
      <c r="G45" s="237"/>
      <c r="H45" s="237"/>
      <c r="I45" s="237"/>
      <c r="J45" s="237"/>
      <c r="K45" s="237"/>
      <c r="L45" s="237"/>
      <c r="M45" s="237"/>
      <c r="N45" s="237"/>
    </row>
    <row r="46" customFormat="false" ht="15" hidden="false" customHeight="true" outlineLevel="0" collapsed="false">
      <c r="A46" s="260" t="s">
        <v>1976</v>
      </c>
      <c r="B46" s="279" t="n">
        <f aca="false">B44*(1+B9)</f>
        <v>4374.2078125</v>
      </c>
      <c r="C46" s="237" t="s">
        <v>1765</v>
      </c>
      <c r="D46" s="237" t="s">
        <v>1977</v>
      </c>
      <c r="E46" s="237"/>
      <c r="F46" s="237"/>
      <c r="G46" s="237"/>
      <c r="H46" s="237"/>
      <c r="I46" s="237"/>
      <c r="J46" s="237"/>
      <c r="K46" s="237"/>
      <c r="L46" s="237"/>
      <c r="M46" s="237"/>
      <c r="N46" s="237"/>
    </row>
    <row r="47" customFormat="false" ht="15" hidden="false" customHeight="true" outlineLevel="0" collapsed="false">
      <c r="A47" s="237"/>
      <c r="B47" s="237"/>
      <c r="C47" s="237"/>
      <c r="D47" s="237"/>
      <c r="E47" s="237"/>
      <c r="F47" s="237"/>
      <c r="G47" s="237"/>
      <c r="H47" s="237"/>
      <c r="I47" s="237"/>
      <c r="J47" s="237"/>
      <c r="K47" s="237"/>
      <c r="L47" s="237"/>
      <c r="M47" s="237"/>
      <c r="N47" s="237"/>
    </row>
    <row r="48" customFormat="false" ht="15" hidden="false" customHeight="true" outlineLevel="0" collapsed="false">
      <c r="A48" s="271" t="s">
        <v>1832</v>
      </c>
      <c r="B48" s="277" t="n">
        <f aca="false">DATE(2027,1,1)</f>
        <v>46388</v>
      </c>
      <c r="C48" s="277" t="n">
        <f aca="false">DATE(2027,2,1)</f>
        <v>46419</v>
      </c>
      <c r="D48" s="277" t="n">
        <f aca="false">DATE(2027,3,1)</f>
        <v>46447</v>
      </c>
      <c r="E48" s="277" t="n">
        <f aca="false">DATE(2027,4,1)</f>
        <v>46478</v>
      </c>
      <c r="F48" s="277" t="n">
        <f aca="false">DATE(2027,5,1)</f>
        <v>46508</v>
      </c>
      <c r="G48" s="277" t="n">
        <f aca="false">DATE(2027,6,1)</f>
        <v>46539</v>
      </c>
      <c r="H48" s="277" t="n">
        <f aca="false">DATE(2027,7,1)</f>
        <v>46569</v>
      </c>
      <c r="I48" s="277" t="n">
        <f aca="false">DATE(2027,8,1)</f>
        <v>46600</v>
      </c>
      <c r="J48" s="277" t="n">
        <f aca="false">DATE(2027,9,1)</f>
        <v>46631</v>
      </c>
      <c r="K48" s="277" t="n">
        <f aca="false">DATE(2027,10,1)</f>
        <v>46661</v>
      </c>
      <c r="L48" s="277" t="n">
        <f aca="false">DATE(2027,11,1)</f>
        <v>46692</v>
      </c>
      <c r="M48" s="277" t="n">
        <f aca="false">DATE(2027,12,1)</f>
        <v>46722</v>
      </c>
      <c r="N48" s="277" t="s">
        <v>1421</v>
      </c>
    </row>
    <row r="49" customFormat="false" ht="15" hidden="false" customHeight="true" outlineLevel="0" collapsed="false">
      <c r="A49" s="237" t="s">
        <v>1833</v>
      </c>
      <c r="B49" s="258" t="n">
        <f aca="false">N(DeploySum!F54)</f>
        <v>3</v>
      </c>
      <c r="C49" s="258" t="n">
        <f aca="false">N(DeploySum!G54)</f>
        <v>2</v>
      </c>
      <c r="D49" s="258" t="n">
        <f aca="false">N(DeploySum!H54)</f>
        <v>0</v>
      </c>
      <c r="E49" s="258" t="n">
        <f aca="false">N(DeploySum!I54)</f>
        <v>3</v>
      </c>
      <c r="F49" s="258" t="n">
        <f aca="false">N(DeploySum!J54)</f>
        <v>3</v>
      </c>
      <c r="G49" s="258" t="n">
        <f aca="false">N(DeploySum!K54)</f>
        <v>4</v>
      </c>
      <c r="H49" s="258" t="n">
        <f aca="false">N(DeploySum!L54)</f>
        <v>4</v>
      </c>
      <c r="I49" s="258" t="n">
        <f aca="false">N(DeploySum!M54)</f>
        <v>5</v>
      </c>
      <c r="J49" s="258" t="n">
        <f aca="false">N(DeploySum!N54)</f>
        <v>6</v>
      </c>
      <c r="K49" s="258" t="n">
        <f aca="false">N(DeploySum!O54)</f>
        <v>6</v>
      </c>
      <c r="L49" s="258" t="n">
        <f aca="false">N(DeploySum!P54)</f>
        <v>7</v>
      </c>
      <c r="M49" s="258" t="n">
        <f aca="false">N(DeploySum!Q54)</f>
        <v>8</v>
      </c>
      <c r="N49" s="259" t="n">
        <f aca="false">SUM(B49:M49)</f>
        <v>51</v>
      </c>
    </row>
    <row r="50" customFormat="false" ht="15" hidden="false" customHeight="true" outlineLevel="0" collapsed="false">
      <c r="A50" s="237" t="s">
        <v>1834</v>
      </c>
      <c r="B50" s="258" t="n">
        <f aca="false">N(DeploySum!F60)</f>
        <v>0</v>
      </c>
      <c r="C50" s="258" t="n">
        <f aca="false">N(DeploySum!G60)</f>
        <v>0</v>
      </c>
      <c r="D50" s="258" t="n">
        <f aca="false">N(DeploySum!H60)</f>
        <v>0</v>
      </c>
      <c r="E50" s="258" t="n">
        <f aca="false">N(DeploySum!I60)</f>
        <v>1</v>
      </c>
      <c r="F50" s="258" t="n">
        <f aca="false">N(DeploySum!J60)</f>
        <v>0</v>
      </c>
      <c r="G50" s="258" t="n">
        <f aca="false">N(DeploySum!K60)</f>
        <v>0</v>
      </c>
      <c r="H50" s="258" t="n">
        <f aca="false">N(DeploySum!L60)</f>
        <v>0</v>
      </c>
      <c r="I50" s="258" t="n">
        <f aca="false">N(DeploySum!M60)</f>
        <v>0</v>
      </c>
      <c r="J50" s="258" t="n">
        <f aca="false">N(DeploySum!N60)</f>
        <v>0</v>
      </c>
      <c r="K50" s="258" t="n">
        <f aca="false">N(DeploySum!O60)</f>
        <v>0</v>
      </c>
      <c r="L50" s="258" t="n">
        <f aca="false">N(DeploySum!P60)</f>
        <v>0</v>
      </c>
      <c r="M50" s="258" t="n">
        <f aca="false">N(DeploySum!Q60)</f>
        <v>0</v>
      </c>
      <c r="N50" s="259" t="n">
        <f aca="false">SUM(B50:M50)</f>
        <v>1</v>
      </c>
    </row>
    <row r="51" customFormat="false" ht="15" hidden="false" customHeight="true" outlineLevel="0" collapsed="false">
      <c r="A51" s="237" t="s">
        <v>1835</v>
      </c>
      <c r="B51" s="258" t="n">
        <f aca="false">N(DeploySum!F57)</f>
        <v>0</v>
      </c>
      <c r="C51" s="258" t="n">
        <f aca="false">N(DeploySum!G57)</f>
        <v>0</v>
      </c>
      <c r="D51" s="258" t="n">
        <f aca="false">N(DeploySum!H57)</f>
        <v>0</v>
      </c>
      <c r="E51" s="258" t="n">
        <f aca="false">N(DeploySum!I57)</f>
        <v>1</v>
      </c>
      <c r="F51" s="258" t="n">
        <f aca="false">N(DeploySum!J57)</f>
        <v>1</v>
      </c>
      <c r="G51" s="258" t="n">
        <f aca="false">N(DeploySum!K57)</f>
        <v>2</v>
      </c>
      <c r="H51" s="258" t="n">
        <f aca="false">N(DeploySum!L57)</f>
        <v>1</v>
      </c>
      <c r="I51" s="258" t="n">
        <f aca="false">N(DeploySum!M57)</f>
        <v>1</v>
      </c>
      <c r="J51" s="258" t="n">
        <f aca="false">N(DeploySum!N57)</f>
        <v>2</v>
      </c>
      <c r="K51" s="258" t="n">
        <f aca="false">N(DeploySum!O57)</f>
        <v>2</v>
      </c>
      <c r="L51" s="258" t="n">
        <f aca="false">N(DeploySum!P57)</f>
        <v>3</v>
      </c>
      <c r="M51" s="258" t="n">
        <f aca="false">N(DeploySum!Q57)</f>
        <v>2</v>
      </c>
      <c r="N51" s="259" t="n">
        <f aca="false">SUM(B51:M51)</f>
        <v>15</v>
      </c>
    </row>
    <row r="52" customFormat="false" ht="15" hidden="false" customHeight="true" outlineLevel="0" collapsed="false">
      <c r="A52" s="280" t="s">
        <v>1836</v>
      </c>
      <c r="B52" s="281" t="n">
        <f aca="false">B49+B50+B51</f>
        <v>3</v>
      </c>
      <c r="C52" s="281" t="n">
        <f aca="false">C49+C50+C51</f>
        <v>2</v>
      </c>
      <c r="D52" s="281" t="n">
        <f aca="false">D49+D50+D51</f>
        <v>0</v>
      </c>
      <c r="E52" s="281" t="n">
        <f aca="false">E49+E50+E51</f>
        <v>5</v>
      </c>
      <c r="F52" s="281" t="n">
        <f aca="false">F49+F50+F51</f>
        <v>4</v>
      </c>
      <c r="G52" s="281" t="n">
        <f aca="false">G49+G50+G51</f>
        <v>6</v>
      </c>
      <c r="H52" s="281" t="n">
        <f aca="false">H49+H50+H51</f>
        <v>5</v>
      </c>
      <c r="I52" s="281" t="n">
        <f aca="false">I49+I50+I51</f>
        <v>6</v>
      </c>
      <c r="J52" s="281" t="n">
        <f aca="false">J49+J50+J51</f>
        <v>8</v>
      </c>
      <c r="K52" s="281" t="n">
        <f aca="false">K49+K50+K51</f>
        <v>8</v>
      </c>
      <c r="L52" s="281" t="n">
        <f aca="false">L49+L50+L51</f>
        <v>10</v>
      </c>
      <c r="M52" s="281" t="n">
        <f aca="false">M49+M50+M51</f>
        <v>10</v>
      </c>
      <c r="N52" s="281" t="n">
        <f aca="false">SUM(B52:M52)</f>
        <v>67</v>
      </c>
    </row>
    <row r="53" customFormat="false" ht="15" hidden="false" customHeight="true" outlineLevel="0" collapsed="false">
      <c r="A53" s="237" t="s">
        <v>1978</v>
      </c>
      <c r="B53" s="259" t="n">
        <f aca="false">B51*$B$7</f>
        <v>0</v>
      </c>
      <c r="C53" s="259" t="n">
        <f aca="false">C51*$B$7</f>
        <v>0</v>
      </c>
      <c r="D53" s="259" t="n">
        <f aca="false">D51*$B$7</f>
        <v>0</v>
      </c>
      <c r="E53" s="259" t="n">
        <f aca="false">E51*$B$7</f>
        <v>0.6</v>
      </c>
      <c r="F53" s="259" t="n">
        <f aca="false">F51*$B$7</f>
        <v>0.6</v>
      </c>
      <c r="G53" s="259" t="n">
        <f aca="false">G51*$B$7</f>
        <v>1.2</v>
      </c>
      <c r="H53" s="259" t="n">
        <f aca="false">H51*$B$7</f>
        <v>0.6</v>
      </c>
      <c r="I53" s="259" t="n">
        <f aca="false">I51*$B$7</f>
        <v>0.6</v>
      </c>
      <c r="J53" s="259" t="n">
        <f aca="false">J51*$B$7</f>
        <v>1.2</v>
      </c>
      <c r="K53" s="259" t="n">
        <f aca="false">K51*$B$7</f>
        <v>1.2</v>
      </c>
      <c r="L53" s="259" t="n">
        <f aca="false">L51*$B$7</f>
        <v>1.8</v>
      </c>
      <c r="M53" s="259" t="n">
        <f aca="false">M51*$B$7</f>
        <v>1.2</v>
      </c>
      <c r="N53" s="259" t="n">
        <f aca="false">SUM(B53:M53)</f>
        <v>9</v>
      </c>
    </row>
    <row r="54" customFormat="false" ht="15" hidden="false" customHeight="true" outlineLevel="0" collapsed="false">
      <c r="A54" s="237" t="s">
        <v>1979</v>
      </c>
      <c r="B54" s="259" t="n">
        <f aca="false">B51-B53</f>
        <v>0</v>
      </c>
      <c r="C54" s="259" t="n">
        <f aca="false">C51-C53</f>
        <v>0</v>
      </c>
      <c r="D54" s="259" t="n">
        <f aca="false">D51-D53</f>
        <v>0</v>
      </c>
      <c r="E54" s="259" t="n">
        <f aca="false">E51-E53</f>
        <v>0.4</v>
      </c>
      <c r="F54" s="259" t="n">
        <f aca="false">F51-F53</f>
        <v>0.4</v>
      </c>
      <c r="G54" s="259" t="n">
        <f aca="false">G51-G53</f>
        <v>0.8</v>
      </c>
      <c r="H54" s="259" t="n">
        <f aca="false">H51-H53</f>
        <v>0.4</v>
      </c>
      <c r="I54" s="259" t="n">
        <f aca="false">I51-I53</f>
        <v>0.4</v>
      </c>
      <c r="J54" s="259" t="n">
        <f aca="false">J51-J53</f>
        <v>0.8</v>
      </c>
      <c r="K54" s="259" t="n">
        <f aca="false">K51-K53</f>
        <v>0.8</v>
      </c>
      <c r="L54" s="259" t="n">
        <f aca="false">L51-L53</f>
        <v>1.2</v>
      </c>
      <c r="M54" s="259" t="n">
        <f aca="false">M51-M53</f>
        <v>0.8</v>
      </c>
      <c r="N54" s="259" t="n">
        <f aca="false">SUM(B54:M54)</f>
        <v>6</v>
      </c>
    </row>
    <row r="55" customFormat="false" ht="15" hidden="false" customHeight="true" outlineLevel="0" collapsed="false">
      <c r="A55" s="260" t="s">
        <v>1980</v>
      </c>
      <c r="B55" s="261" t="n">
        <f aca="false">B49+B50+B53+B54*$B$8</f>
        <v>3</v>
      </c>
      <c r="C55" s="261" t="n">
        <f aca="false">C49+C50+C53+C54*$B$8</f>
        <v>2</v>
      </c>
      <c r="D55" s="261" t="n">
        <f aca="false">D49+D50+D53+D54*$B$8</f>
        <v>0</v>
      </c>
      <c r="E55" s="261" t="n">
        <f aca="false">E49+E50+E53+E54*$B$8</f>
        <v>4.72</v>
      </c>
      <c r="F55" s="261" t="n">
        <f aca="false">F49+F50+F53+F54*$B$8</f>
        <v>3.72</v>
      </c>
      <c r="G55" s="261" t="n">
        <f aca="false">G49+G50+G53+G54*$B$8</f>
        <v>5.44</v>
      </c>
      <c r="H55" s="261" t="n">
        <f aca="false">H49+H50+H53+H54*$B$8</f>
        <v>4.72</v>
      </c>
      <c r="I55" s="261" t="n">
        <f aca="false">I49+I50+I53+I54*$B$8</f>
        <v>5.72</v>
      </c>
      <c r="J55" s="261" t="n">
        <f aca="false">J49+J50+J53+J54*$B$8</f>
        <v>7.44</v>
      </c>
      <c r="K55" s="261" t="n">
        <f aca="false">K49+K50+K53+K54*$B$8</f>
        <v>7.44</v>
      </c>
      <c r="L55" s="261" t="n">
        <f aca="false">L49+L50+L53+L54*$B$8</f>
        <v>9.16</v>
      </c>
      <c r="M55" s="261" t="n">
        <f aca="false">M49+M50+M53+M54*$B$8</f>
        <v>9.44</v>
      </c>
      <c r="N55" s="261" t="n">
        <f aca="false">SUM(B55:M55)</f>
        <v>62.8</v>
      </c>
    </row>
    <row r="56" customFormat="false" ht="15" hidden="false" customHeight="true" outlineLevel="0" collapsed="false">
      <c r="A56" s="237" t="s">
        <v>1981</v>
      </c>
      <c r="B56" s="259" t="n">
        <f aca="false">IF($B$5=0,0,B52/$B$5)</f>
        <v>0.75</v>
      </c>
      <c r="C56" s="259" t="n">
        <f aca="false">IF($B$5=0,0,C52/$B$5)</f>
        <v>0.5</v>
      </c>
      <c r="D56" s="259" t="n">
        <f aca="false">IF($B$5=0,0,D52/$B$5)</f>
        <v>0</v>
      </c>
      <c r="E56" s="259" t="n">
        <f aca="false">IF($B$5=0,0,E52/$B$5)</f>
        <v>1.25</v>
      </c>
      <c r="F56" s="259" t="n">
        <f aca="false">IF($B$5=0,0,F52/$B$5)</f>
        <v>1</v>
      </c>
      <c r="G56" s="259" t="n">
        <f aca="false">IF($B$5=0,0,G52/$B$5)</f>
        <v>1.5</v>
      </c>
      <c r="H56" s="259" t="n">
        <f aca="false">IF($B$5=0,0,H52/$B$5)</f>
        <v>1.25</v>
      </c>
      <c r="I56" s="259" t="n">
        <f aca="false">IF($B$5=0,0,I52/$B$5)</f>
        <v>1.5</v>
      </c>
      <c r="J56" s="259" t="n">
        <f aca="false">IF($B$5=0,0,J52/$B$5)</f>
        <v>2</v>
      </c>
      <c r="K56" s="259" t="n">
        <f aca="false">IF($B$5=0,0,K52/$B$5)</f>
        <v>2</v>
      </c>
      <c r="L56" s="259" t="n">
        <f aca="false">IF($B$5=0,0,L52/$B$5)</f>
        <v>2.5</v>
      </c>
      <c r="M56" s="259" t="n">
        <f aca="false">IF($B$5=0,0,M52/$B$5)</f>
        <v>2.5</v>
      </c>
      <c r="N56" s="259"/>
    </row>
    <row r="57" customFormat="false" ht="15" hidden="false" customHeight="true" outlineLevel="0" collapsed="false">
      <c r="A57" s="237"/>
      <c r="B57" s="237"/>
      <c r="C57" s="237"/>
      <c r="D57" s="237"/>
      <c r="E57" s="237"/>
      <c r="F57" s="237"/>
      <c r="G57" s="237"/>
      <c r="H57" s="237"/>
      <c r="I57" s="237"/>
      <c r="J57" s="237"/>
      <c r="K57" s="237"/>
      <c r="L57" s="237"/>
      <c r="M57" s="237"/>
      <c r="N57" s="237"/>
    </row>
    <row r="58" customFormat="false" ht="15" hidden="false" customHeight="true" outlineLevel="0" collapsed="false">
      <c r="A58" s="271" t="s">
        <v>1982</v>
      </c>
      <c r="B58" s="277" t="n">
        <f aca="false">DATE(2027,1,1)</f>
        <v>46388</v>
      </c>
      <c r="C58" s="277" t="n">
        <f aca="false">DATE(2027,2,1)</f>
        <v>46419</v>
      </c>
      <c r="D58" s="277" t="n">
        <f aca="false">DATE(2027,3,1)</f>
        <v>46447</v>
      </c>
      <c r="E58" s="277" t="n">
        <f aca="false">DATE(2027,4,1)</f>
        <v>46478</v>
      </c>
      <c r="F58" s="277" t="n">
        <f aca="false">DATE(2027,5,1)</f>
        <v>46508</v>
      </c>
      <c r="G58" s="277" t="n">
        <f aca="false">DATE(2027,6,1)</f>
        <v>46539</v>
      </c>
      <c r="H58" s="277" t="n">
        <f aca="false">DATE(2027,7,1)</f>
        <v>46569</v>
      </c>
      <c r="I58" s="277" t="n">
        <f aca="false">DATE(2027,8,1)</f>
        <v>46600</v>
      </c>
      <c r="J58" s="277" t="n">
        <f aca="false">DATE(2027,9,1)</f>
        <v>46631</v>
      </c>
      <c r="K58" s="277" t="n">
        <f aca="false">DATE(2027,10,1)</f>
        <v>46661</v>
      </c>
      <c r="L58" s="277" t="n">
        <f aca="false">DATE(2027,11,1)</f>
        <v>46692</v>
      </c>
      <c r="M58" s="277" t="n">
        <f aca="false">DATE(2027,12,1)</f>
        <v>46722</v>
      </c>
      <c r="N58" s="277" t="s">
        <v>1421</v>
      </c>
    </row>
    <row r="59" customFormat="false" ht="15" hidden="false" customHeight="true" outlineLevel="0" collapsed="false">
      <c r="A59" s="237" t="str">
        <f aca="false">A13</f>
        <v>Field Engineer – Hogan Welch</v>
      </c>
      <c r="B59" s="264" t="n">
        <f aca="false">IF(B$58&gt;=$C$13,$B$13/12*(1+IF(B$58&gt;=$B$25,$B$24,0)),0)</f>
        <v>8215.91666666667</v>
      </c>
      <c r="C59" s="264" t="n">
        <f aca="false">IF(C$58&gt;=$C$13,$B$13/12*(1+IF(C$58&gt;=$B$25,$B$24,0)),0)</f>
        <v>8215.91666666667</v>
      </c>
      <c r="D59" s="264" t="n">
        <f aca="false">IF(D$58&gt;=$C$13,$B$13/12*(1+IF(D$58&gt;=$B$25,$B$24,0)),0)</f>
        <v>8215.91666666667</v>
      </c>
      <c r="E59" s="264" t="n">
        <f aca="false">IF(E$58&gt;=$C$13,$B$13/12*(1+IF(E$58&gt;=$B$25,$B$24,0)),0)</f>
        <v>8215.91666666667</v>
      </c>
      <c r="F59" s="264" t="n">
        <f aca="false">IF(F$58&gt;=$C$13,$B$13/12*(1+IF(F$58&gt;=$B$25,$B$24,0)),0)</f>
        <v>8215.91666666667</v>
      </c>
      <c r="G59" s="264" t="n">
        <f aca="false">IF(G$58&gt;=$C$13,$B$13/12*(1+IF(G$58&gt;=$B$25,$B$24,0)),0)</f>
        <v>8215.91666666667</v>
      </c>
      <c r="H59" s="264" t="n">
        <f aca="false">IF(H$58&gt;=$C$13,$B$13/12*(1+IF(H$58&gt;=$B$25,$B$24,0)),0)</f>
        <v>8215.91666666667</v>
      </c>
      <c r="I59" s="264" t="n">
        <f aca="false">IF(I$58&gt;=$C$13,$B$13/12*(1+IF(I$58&gt;=$B$25,$B$24,0)),0)</f>
        <v>8215.91666666667</v>
      </c>
      <c r="J59" s="264" t="n">
        <f aca="false">IF(J$58&gt;=$C$13,$B$13/12*(1+IF(J$58&gt;=$B$25,$B$24,0)),0)</f>
        <v>8215.91666666667</v>
      </c>
      <c r="K59" s="264" t="n">
        <f aca="false">IF(K$58&gt;=$C$13,$B$13/12*(1+IF(K$58&gt;=$B$25,$B$24,0)),0)</f>
        <v>8462.39416666667</v>
      </c>
      <c r="L59" s="264" t="n">
        <f aca="false">IF(L$58&gt;=$C$13,$B$13/12*(1+IF(L$58&gt;=$B$25,$B$24,0)),0)</f>
        <v>8462.39416666667</v>
      </c>
      <c r="M59" s="264" t="n">
        <f aca="false">IF(M$58&gt;=$C$13,$B$13/12*(1+IF(M$58&gt;=$B$25,$B$24,0)),0)</f>
        <v>8462.39416666667</v>
      </c>
      <c r="N59" s="264" t="n">
        <f aca="false">SUM(B59:M59)</f>
        <v>99330.4325</v>
      </c>
    </row>
    <row r="60" customFormat="false" ht="15" hidden="false" customHeight="true" outlineLevel="0" collapsed="false">
      <c r="A60" s="237" t="str">
        <f aca="false">A14</f>
        <v>Field Engineer – James Mead</v>
      </c>
      <c r="B60" s="264" t="n">
        <f aca="false">IF(B$58&gt;=$C$14,$B$14/12*(1+IF(B$58&gt;=$B$25,$B$24,0)),0)</f>
        <v>6006.66666666667</v>
      </c>
      <c r="C60" s="264" t="n">
        <f aca="false">IF(C$58&gt;=$C$14,$B$14/12*(1+IF(C$58&gt;=$B$25,$B$24,0)),0)</f>
        <v>6006.66666666667</v>
      </c>
      <c r="D60" s="264" t="n">
        <f aca="false">IF(D$58&gt;=$C$14,$B$14/12*(1+IF(D$58&gt;=$B$25,$B$24,0)),0)</f>
        <v>6006.66666666667</v>
      </c>
      <c r="E60" s="264" t="n">
        <f aca="false">IF(E$58&gt;=$C$14,$B$14/12*(1+IF(E$58&gt;=$B$25,$B$24,0)),0)</f>
        <v>6006.66666666667</v>
      </c>
      <c r="F60" s="264" t="n">
        <f aca="false">IF(F$58&gt;=$C$14,$B$14/12*(1+IF(F$58&gt;=$B$25,$B$24,0)),0)</f>
        <v>6006.66666666667</v>
      </c>
      <c r="G60" s="264" t="n">
        <f aca="false">IF(G$58&gt;=$C$14,$B$14/12*(1+IF(G$58&gt;=$B$25,$B$24,0)),0)</f>
        <v>6006.66666666667</v>
      </c>
      <c r="H60" s="264" t="n">
        <f aca="false">IF(H$58&gt;=$C$14,$B$14/12*(1+IF(H$58&gt;=$B$25,$B$24,0)),0)</f>
        <v>6006.66666666667</v>
      </c>
      <c r="I60" s="264" t="n">
        <f aca="false">IF(I$58&gt;=$C$14,$B$14/12*(1+IF(I$58&gt;=$B$25,$B$24,0)),0)</f>
        <v>6006.66666666667</v>
      </c>
      <c r="J60" s="264" t="n">
        <f aca="false">IF(J$58&gt;=$C$14,$B$14/12*(1+IF(J$58&gt;=$B$25,$B$24,0)),0)</f>
        <v>6006.66666666667</v>
      </c>
      <c r="K60" s="264" t="n">
        <f aca="false">IF(K$58&gt;=$C$14,$B$14/12*(1+IF(K$58&gt;=$B$25,$B$24,0)),0)</f>
        <v>6186.86666666667</v>
      </c>
      <c r="L60" s="264" t="n">
        <f aca="false">IF(L$58&gt;=$C$14,$B$14/12*(1+IF(L$58&gt;=$B$25,$B$24,0)),0)</f>
        <v>6186.86666666667</v>
      </c>
      <c r="M60" s="264" t="n">
        <f aca="false">IF(M$58&gt;=$C$14,$B$14/12*(1+IF(M$58&gt;=$B$25,$B$24,0)),0)</f>
        <v>6186.86666666667</v>
      </c>
      <c r="N60" s="264" t="n">
        <f aca="false">SUM(B60:M60)</f>
        <v>72620.6</v>
      </c>
    </row>
    <row r="61" customFormat="false" ht="15" hidden="false" customHeight="true" outlineLevel="0" collapsed="false">
      <c r="A61" s="237" t="str">
        <f aca="false">A15</f>
        <v>Field Engineer – James Murphy</v>
      </c>
      <c r="B61" s="264" t="n">
        <f aca="false">IF(B$58&gt;=$C$15,$B$15/12*(1+IF(B$58&gt;=$B$25,$B$24,0)),0)</f>
        <v>6250</v>
      </c>
      <c r="C61" s="264" t="n">
        <f aca="false">IF(C$58&gt;=$C$15,$B$15/12*(1+IF(C$58&gt;=$B$25,$B$24,0)),0)</f>
        <v>6250</v>
      </c>
      <c r="D61" s="264" t="n">
        <f aca="false">IF(D$58&gt;=$C$15,$B$15/12*(1+IF(D$58&gt;=$B$25,$B$24,0)),0)</f>
        <v>6250</v>
      </c>
      <c r="E61" s="264" t="n">
        <f aca="false">IF(E$58&gt;=$C$15,$B$15/12*(1+IF(E$58&gt;=$B$25,$B$24,0)),0)</f>
        <v>6250</v>
      </c>
      <c r="F61" s="264" t="n">
        <f aca="false">IF(F$58&gt;=$C$15,$B$15/12*(1+IF(F$58&gt;=$B$25,$B$24,0)),0)</f>
        <v>6250</v>
      </c>
      <c r="G61" s="264" t="n">
        <f aca="false">IF(G$58&gt;=$C$15,$B$15/12*(1+IF(G$58&gt;=$B$25,$B$24,0)),0)</f>
        <v>6250</v>
      </c>
      <c r="H61" s="264" t="n">
        <f aca="false">IF(H$58&gt;=$C$15,$B$15/12*(1+IF(H$58&gt;=$B$25,$B$24,0)),0)</f>
        <v>6250</v>
      </c>
      <c r="I61" s="264" t="n">
        <f aca="false">IF(I$58&gt;=$C$15,$B$15/12*(1+IF(I$58&gt;=$B$25,$B$24,0)),0)</f>
        <v>6250</v>
      </c>
      <c r="J61" s="264" t="n">
        <f aca="false">IF(J$58&gt;=$C$15,$B$15/12*(1+IF(J$58&gt;=$B$25,$B$24,0)),0)</f>
        <v>6250</v>
      </c>
      <c r="K61" s="264" t="n">
        <f aca="false">IF(K$58&gt;=$C$15,$B$15/12*(1+IF(K$58&gt;=$B$25,$B$24,0)),0)</f>
        <v>6437.5</v>
      </c>
      <c r="L61" s="264" t="n">
        <f aca="false">IF(L$58&gt;=$C$15,$B$15/12*(1+IF(L$58&gt;=$B$25,$B$24,0)),0)</f>
        <v>6437.5</v>
      </c>
      <c r="M61" s="264" t="n">
        <f aca="false">IF(M$58&gt;=$C$15,$B$15/12*(1+IF(M$58&gt;=$B$25,$B$24,0)),0)</f>
        <v>6437.5</v>
      </c>
      <c r="N61" s="264" t="n">
        <f aca="false">SUM(B61:M61)</f>
        <v>75562.5</v>
      </c>
    </row>
    <row r="62" customFormat="false" ht="15" hidden="false" customHeight="true" outlineLevel="0" collapsed="false">
      <c r="A62" s="237" t="str">
        <f aca="false">A16</f>
        <v>Field Engineer – Elizabeth Ferry</v>
      </c>
      <c r="B62" s="264" t="n">
        <f aca="false">IF(B$58&gt;=$C$16,$B$16/12*(1+IF(B$58&gt;=$B$25,$B$24,0)),0)</f>
        <v>5833.33333333333</v>
      </c>
      <c r="C62" s="264" t="n">
        <f aca="false">IF(C$58&gt;=$C$16,$B$16/12*(1+IF(C$58&gt;=$B$25,$B$24,0)),0)</f>
        <v>5833.33333333333</v>
      </c>
      <c r="D62" s="264" t="n">
        <f aca="false">IF(D$58&gt;=$C$16,$B$16/12*(1+IF(D$58&gt;=$B$25,$B$24,0)),0)</f>
        <v>5833.33333333333</v>
      </c>
      <c r="E62" s="264" t="n">
        <f aca="false">IF(E$58&gt;=$C$16,$B$16/12*(1+IF(E$58&gt;=$B$25,$B$24,0)),0)</f>
        <v>5833.33333333333</v>
      </c>
      <c r="F62" s="264" t="n">
        <f aca="false">IF(F$58&gt;=$C$16,$B$16/12*(1+IF(F$58&gt;=$B$25,$B$24,0)),0)</f>
        <v>5833.33333333333</v>
      </c>
      <c r="G62" s="264" t="n">
        <f aca="false">IF(G$58&gt;=$C$16,$B$16/12*(1+IF(G$58&gt;=$B$25,$B$24,0)),0)</f>
        <v>5833.33333333333</v>
      </c>
      <c r="H62" s="264" t="n">
        <f aca="false">IF(H$58&gt;=$C$16,$B$16/12*(1+IF(H$58&gt;=$B$25,$B$24,0)),0)</f>
        <v>5833.33333333333</v>
      </c>
      <c r="I62" s="264" t="n">
        <f aca="false">IF(I$58&gt;=$C$16,$B$16/12*(1+IF(I$58&gt;=$B$25,$B$24,0)),0)</f>
        <v>5833.33333333333</v>
      </c>
      <c r="J62" s="264" t="n">
        <f aca="false">IF(J$58&gt;=$C$16,$B$16/12*(1+IF(J$58&gt;=$B$25,$B$24,0)),0)</f>
        <v>5833.33333333333</v>
      </c>
      <c r="K62" s="264" t="n">
        <f aca="false">IF(K$58&gt;=$C$16,$B$16/12*(1+IF(K$58&gt;=$B$25,$B$24,0)),0)</f>
        <v>6008.33333333333</v>
      </c>
      <c r="L62" s="264" t="n">
        <f aca="false">IF(L$58&gt;=$C$16,$B$16/12*(1+IF(L$58&gt;=$B$25,$B$24,0)),0)</f>
        <v>6008.33333333333</v>
      </c>
      <c r="M62" s="264" t="n">
        <f aca="false">IF(M$58&gt;=$C$16,$B$16/12*(1+IF(M$58&gt;=$B$25,$B$24,0)),0)</f>
        <v>6008.33333333333</v>
      </c>
      <c r="N62" s="264" t="n">
        <f aca="false">SUM(B62:M62)</f>
        <v>70525</v>
      </c>
    </row>
    <row r="63" customFormat="false" ht="15" hidden="false" customHeight="true" outlineLevel="0" collapsed="false">
      <c r="A63" s="237" t="str">
        <f aca="false">A17</f>
        <v>Customer Support Manager – Seng</v>
      </c>
      <c r="B63" s="264" t="n">
        <f aca="false">IF(B$58&gt;=$C$17,$B$17/12*(1+IF(B$58&gt;=$B$25,$B$24,0)),0)</f>
        <v>13333.3333333333</v>
      </c>
      <c r="C63" s="264" t="n">
        <f aca="false">IF(C$58&gt;=$C$17,$B$17/12*(1+IF(C$58&gt;=$B$25,$B$24,0)),0)</f>
        <v>13333.3333333333</v>
      </c>
      <c r="D63" s="264" t="n">
        <f aca="false">IF(D$58&gt;=$C$17,$B$17/12*(1+IF(D$58&gt;=$B$25,$B$24,0)),0)</f>
        <v>13333.3333333333</v>
      </c>
      <c r="E63" s="264" t="n">
        <f aca="false">IF(E$58&gt;=$C$17,$B$17/12*(1+IF(E$58&gt;=$B$25,$B$24,0)),0)</f>
        <v>13333.3333333333</v>
      </c>
      <c r="F63" s="264" t="n">
        <f aca="false">IF(F$58&gt;=$C$17,$B$17/12*(1+IF(F$58&gt;=$B$25,$B$24,0)),0)</f>
        <v>13333.3333333333</v>
      </c>
      <c r="G63" s="264" t="n">
        <f aca="false">IF(G$58&gt;=$C$17,$B$17/12*(1+IF(G$58&gt;=$B$25,$B$24,0)),0)</f>
        <v>13333.3333333333</v>
      </c>
      <c r="H63" s="264" t="n">
        <f aca="false">IF(H$58&gt;=$C$17,$B$17/12*(1+IF(H$58&gt;=$B$25,$B$24,0)),0)</f>
        <v>13333.3333333333</v>
      </c>
      <c r="I63" s="264" t="n">
        <f aca="false">IF(I$58&gt;=$C$17,$B$17/12*(1+IF(I$58&gt;=$B$25,$B$24,0)),0)</f>
        <v>13333.3333333333</v>
      </c>
      <c r="J63" s="264" t="n">
        <f aca="false">IF(J$58&gt;=$C$17,$B$17/12*(1+IF(J$58&gt;=$B$25,$B$24,0)),0)</f>
        <v>13333.3333333333</v>
      </c>
      <c r="K63" s="264" t="n">
        <f aca="false">IF(K$58&gt;=$C$17,$B$17/12*(1+IF(K$58&gt;=$B$25,$B$24,0)),0)</f>
        <v>13733.3333333333</v>
      </c>
      <c r="L63" s="264" t="n">
        <f aca="false">IF(L$58&gt;=$C$17,$B$17/12*(1+IF(L$58&gt;=$B$25,$B$24,0)),0)</f>
        <v>13733.3333333333</v>
      </c>
      <c r="M63" s="264" t="n">
        <f aca="false">IF(M$58&gt;=$C$17,$B$17/12*(1+IF(M$58&gt;=$B$25,$B$24,0)),0)</f>
        <v>13733.3333333333</v>
      </c>
      <c r="N63" s="264" t="n">
        <f aca="false">SUM(B63:M63)</f>
        <v>161200</v>
      </c>
    </row>
    <row r="64" customFormat="false" ht="15" hidden="false" customHeight="true" outlineLevel="0" collapsed="false">
      <c r="A64" s="237" t="str">
        <f aca="false">A18</f>
        <v>Customer Support Specialist – Jessica</v>
      </c>
      <c r="B64" s="264" t="n">
        <f aca="false">IF(B$58&gt;=$C$18,$B$18/12*(1+IF(B$58&gt;=$B$25,$B$24,0)),0)</f>
        <v>5416.66666666667</v>
      </c>
      <c r="C64" s="264" t="n">
        <f aca="false">IF(C$58&gt;=$C$18,$B$18/12*(1+IF(C$58&gt;=$B$25,$B$24,0)),0)</f>
        <v>5416.66666666667</v>
      </c>
      <c r="D64" s="264" t="n">
        <f aca="false">IF(D$58&gt;=$C$18,$B$18/12*(1+IF(D$58&gt;=$B$25,$B$24,0)),0)</f>
        <v>5416.66666666667</v>
      </c>
      <c r="E64" s="264" t="n">
        <f aca="false">IF(E$58&gt;=$C$18,$B$18/12*(1+IF(E$58&gt;=$B$25,$B$24,0)),0)</f>
        <v>5416.66666666667</v>
      </c>
      <c r="F64" s="264" t="n">
        <f aca="false">IF(F$58&gt;=$C$18,$B$18/12*(1+IF(F$58&gt;=$B$25,$B$24,0)),0)</f>
        <v>5416.66666666667</v>
      </c>
      <c r="G64" s="264" t="n">
        <f aca="false">IF(G$58&gt;=$C$18,$B$18/12*(1+IF(G$58&gt;=$B$25,$B$24,0)),0)</f>
        <v>5416.66666666667</v>
      </c>
      <c r="H64" s="264" t="n">
        <f aca="false">IF(H$58&gt;=$C$18,$B$18/12*(1+IF(H$58&gt;=$B$25,$B$24,0)),0)</f>
        <v>5416.66666666667</v>
      </c>
      <c r="I64" s="264" t="n">
        <f aca="false">IF(I$58&gt;=$C$18,$B$18/12*(1+IF(I$58&gt;=$B$25,$B$24,0)),0)</f>
        <v>5416.66666666667</v>
      </c>
      <c r="J64" s="264" t="n">
        <f aca="false">IF(J$58&gt;=$C$18,$B$18/12*(1+IF(J$58&gt;=$B$25,$B$24,0)),0)</f>
        <v>5416.66666666667</v>
      </c>
      <c r="K64" s="264" t="n">
        <f aca="false">IF(K$58&gt;=$C$18,$B$18/12*(1+IF(K$58&gt;=$B$25,$B$24,0)),0)</f>
        <v>5579.16666666667</v>
      </c>
      <c r="L64" s="264" t="n">
        <f aca="false">IF(L$58&gt;=$C$18,$B$18/12*(1+IF(L$58&gt;=$B$25,$B$24,0)),0)</f>
        <v>5579.16666666667</v>
      </c>
      <c r="M64" s="264" t="n">
        <f aca="false">IF(M$58&gt;=$C$18,$B$18/12*(1+IF(M$58&gt;=$B$25,$B$24,0)),0)</f>
        <v>5579.16666666667</v>
      </c>
      <c r="N64" s="264" t="n">
        <f aca="false">SUM(B64:M64)</f>
        <v>65487.5</v>
      </c>
    </row>
    <row r="65" customFormat="false" ht="15" hidden="false" customHeight="true" outlineLevel="0" collapsed="false">
      <c r="A65" s="237" t="str">
        <f aca="false">A19</f>
        <v>Customer Support Specialist – New hire</v>
      </c>
      <c r="B65" s="264" t="n">
        <f aca="false">IF(B$58&gt;=$C$19,$B$19/12*(1+IF(B$58&gt;=$B$25,$B$24,0)),0)</f>
        <v>0</v>
      </c>
      <c r="C65" s="264" t="n">
        <f aca="false">IF(C$58&gt;=$C$19,$B$19/12*(1+IF(C$58&gt;=$B$25,$B$24,0)),0)</f>
        <v>0</v>
      </c>
      <c r="D65" s="264" t="n">
        <f aca="false">IF(D$58&gt;=$C$19,$B$19/12*(1+IF(D$58&gt;=$B$25,$B$24,0)),0)</f>
        <v>0</v>
      </c>
      <c r="E65" s="264" t="n">
        <f aca="false">IF(E$58&gt;=$C$19,$B$19/12*(1+IF(E$58&gt;=$B$25,$B$24,0)),0)</f>
        <v>0</v>
      </c>
      <c r="F65" s="264" t="n">
        <f aca="false">IF(F$58&gt;=$C$19,$B$19/12*(1+IF(F$58&gt;=$B$25,$B$24,0)),0)</f>
        <v>0</v>
      </c>
      <c r="G65" s="264" t="n">
        <f aca="false">IF(G$58&gt;=$C$19,$B$19/12*(1+IF(G$58&gt;=$B$25,$B$24,0)),0)</f>
        <v>0</v>
      </c>
      <c r="H65" s="264" t="n">
        <f aca="false">IF(H$58&gt;=$C$19,$B$19/12*(1+IF(H$58&gt;=$B$25,$B$24,0)),0)</f>
        <v>0</v>
      </c>
      <c r="I65" s="264" t="n">
        <f aca="false">IF(I$58&gt;=$C$19,$B$19/12*(1+IF(I$58&gt;=$B$25,$B$24,0)),0)</f>
        <v>5416.66666666667</v>
      </c>
      <c r="J65" s="264" t="n">
        <f aca="false">IF(J$58&gt;=$C$19,$B$19/12*(1+IF(J$58&gt;=$B$25,$B$24,0)),0)</f>
        <v>5416.66666666667</v>
      </c>
      <c r="K65" s="264" t="n">
        <f aca="false">IF(K$58&gt;=$C$19,$B$19/12*(1+IF(K$58&gt;=$B$25,$B$24,0)),0)</f>
        <v>5579.16666666667</v>
      </c>
      <c r="L65" s="264" t="n">
        <f aca="false">IF(L$58&gt;=$C$19,$B$19/12*(1+IF(L$58&gt;=$B$25,$B$24,0)),0)</f>
        <v>5579.16666666667</v>
      </c>
      <c r="M65" s="264" t="n">
        <f aca="false">IF(M$58&gt;=$C$19,$B$19/12*(1+IF(M$58&gt;=$B$25,$B$24,0)),0)</f>
        <v>5579.16666666667</v>
      </c>
      <c r="N65" s="264" t="n">
        <f aca="false">SUM(B65:M65)</f>
        <v>27570.8333333333</v>
      </c>
    </row>
    <row r="66" customFormat="false" ht="15" hidden="false" customHeight="true" outlineLevel="0" collapsed="false">
      <c r="A66" s="237" t="str">
        <f aca="false">A20</f>
        <v>Field Engineering Manager</v>
      </c>
      <c r="B66" s="264" t="n">
        <f aca="false">IF(B$58&gt;=$C$20,$B$20/12*(1+IF(B$58&gt;=$B$25,$B$24,0)),0)</f>
        <v>11666.6666666667</v>
      </c>
      <c r="C66" s="264" t="n">
        <f aca="false">IF(C$58&gt;=$C$20,$B$20/12*(1+IF(C$58&gt;=$B$25,$B$24,0)),0)</f>
        <v>11666.6666666667</v>
      </c>
      <c r="D66" s="264" t="n">
        <f aca="false">IF(D$58&gt;=$C$20,$B$20/12*(1+IF(D$58&gt;=$B$25,$B$24,0)),0)</f>
        <v>11666.6666666667</v>
      </c>
      <c r="E66" s="264" t="n">
        <f aca="false">IF(E$58&gt;=$C$20,$B$20/12*(1+IF(E$58&gt;=$B$25,$B$24,0)),0)</f>
        <v>11666.6666666667</v>
      </c>
      <c r="F66" s="264" t="n">
        <f aca="false">IF(F$58&gt;=$C$20,$B$20/12*(1+IF(F$58&gt;=$B$25,$B$24,0)),0)</f>
        <v>11666.6666666667</v>
      </c>
      <c r="G66" s="264" t="n">
        <f aca="false">IF(G$58&gt;=$C$20,$B$20/12*(1+IF(G$58&gt;=$B$25,$B$24,0)),0)</f>
        <v>11666.6666666667</v>
      </c>
      <c r="H66" s="264" t="n">
        <f aca="false">IF(H$58&gt;=$C$20,$B$20/12*(1+IF(H$58&gt;=$B$25,$B$24,0)),0)</f>
        <v>11666.6666666667</v>
      </c>
      <c r="I66" s="264" t="n">
        <f aca="false">IF(I$58&gt;=$C$20,$B$20/12*(1+IF(I$58&gt;=$B$25,$B$24,0)),0)</f>
        <v>11666.6666666667</v>
      </c>
      <c r="J66" s="264" t="n">
        <f aca="false">IF(J$58&gt;=$C$20,$B$20/12*(1+IF(J$58&gt;=$B$25,$B$24,0)),0)</f>
        <v>11666.6666666667</v>
      </c>
      <c r="K66" s="264" t="n">
        <f aca="false">IF(K$58&gt;=$C$20,$B$20/12*(1+IF(K$58&gt;=$B$25,$B$24,0)),0)</f>
        <v>12016.6666666667</v>
      </c>
      <c r="L66" s="264" t="n">
        <f aca="false">IF(L$58&gt;=$C$20,$B$20/12*(1+IF(L$58&gt;=$B$25,$B$24,0)),0)</f>
        <v>12016.6666666667</v>
      </c>
      <c r="M66" s="264" t="n">
        <f aca="false">IF(M$58&gt;=$C$20,$B$20/12*(1+IF(M$58&gt;=$B$25,$B$24,0)),0)</f>
        <v>12016.6666666667</v>
      </c>
      <c r="N66" s="264" t="n">
        <f aca="false">SUM(B66:M66)</f>
        <v>141050</v>
      </c>
    </row>
    <row r="67" customFormat="false" ht="15" hidden="false" customHeight="true" outlineLevel="0" collapsed="false">
      <c r="A67" s="237" t="str">
        <f aca="false">A21</f>
        <v>Head of Service Delivery – Rasheen Henry</v>
      </c>
      <c r="B67" s="264" t="n">
        <f aca="false">IF(B$58&gt;=$C$21,$B$21/12*(1+IF(B$58&gt;=$B$25,$B$24,0)),0)</f>
        <v>0</v>
      </c>
      <c r="C67" s="264" t="n">
        <f aca="false">IF(C$58&gt;=$C$21,$B$21/12*(1+IF(C$58&gt;=$B$25,$B$24,0)),0)</f>
        <v>0</v>
      </c>
      <c r="D67" s="264" t="n">
        <f aca="false">IF(D$58&gt;=$C$21,$B$21/12*(1+IF(D$58&gt;=$B$25,$B$24,0)),0)</f>
        <v>0</v>
      </c>
      <c r="E67" s="264" t="n">
        <f aca="false">IF(E$58&gt;=$C$21,$B$21/12*(1+IF(E$58&gt;=$B$25,$B$24,0)),0)</f>
        <v>0</v>
      </c>
      <c r="F67" s="264" t="n">
        <f aca="false">IF(F$58&gt;=$C$21,$B$21/12*(1+IF(F$58&gt;=$B$25,$B$24,0)),0)</f>
        <v>0</v>
      </c>
      <c r="G67" s="264" t="n">
        <f aca="false">IF(G$58&gt;=$C$21,$B$21/12*(1+IF(G$58&gt;=$B$25,$B$24,0)),0)</f>
        <v>0</v>
      </c>
      <c r="H67" s="264" t="n">
        <f aca="false">IF(H$58&gt;=$C$21,$B$21/12*(1+IF(H$58&gt;=$B$25,$B$24,0)),0)</f>
        <v>0</v>
      </c>
      <c r="I67" s="264" t="n">
        <f aca="false">IF(I$58&gt;=$C$21,$B$21/12*(1+IF(I$58&gt;=$B$25,$B$24,0)),0)</f>
        <v>0</v>
      </c>
      <c r="J67" s="264" t="n">
        <f aca="false">IF(J$58&gt;=$C$21,$B$21/12*(1+IF(J$58&gt;=$B$25,$B$24,0)),0)</f>
        <v>0</v>
      </c>
      <c r="K67" s="264" t="n">
        <f aca="false">IF(K$58&gt;=$C$21,$B$21/12*(1+IF(K$58&gt;=$B$25,$B$24,0)),0)</f>
        <v>0</v>
      </c>
      <c r="L67" s="264" t="n">
        <f aca="false">IF(L$58&gt;=$C$21,$B$21/12*(1+IF(L$58&gt;=$B$25,$B$24,0)),0)</f>
        <v>0</v>
      </c>
      <c r="M67" s="264" t="n">
        <f aca="false">IF(M$58&gt;=$C$21,$B$21/12*(1+IF(M$58&gt;=$B$25,$B$24,0)),0)</f>
        <v>0</v>
      </c>
      <c r="N67" s="264" t="n">
        <f aca="false">SUM(B67:M67)</f>
        <v>0</v>
      </c>
    </row>
    <row r="68" customFormat="false" ht="15" hidden="false" customHeight="true" outlineLevel="0" collapsed="false">
      <c r="A68" s="282" t="s">
        <v>1983</v>
      </c>
      <c r="B68" s="283" t="n">
        <f aca="false">SUM(B59:B67)</f>
        <v>56722.5833333333</v>
      </c>
      <c r="C68" s="283" t="n">
        <f aca="false">SUM(C59:C67)</f>
        <v>56722.5833333333</v>
      </c>
      <c r="D68" s="283" t="n">
        <f aca="false">SUM(D59:D67)</f>
        <v>56722.5833333333</v>
      </c>
      <c r="E68" s="283" t="n">
        <f aca="false">SUM(E59:E67)</f>
        <v>56722.5833333333</v>
      </c>
      <c r="F68" s="283" t="n">
        <f aca="false">SUM(F59:F67)</f>
        <v>56722.5833333333</v>
      </c>
      <c r="G68" s="283" t="n">
        <f aca="false">SUM(G59:G67)</f>
        <v>56722.5833333333</v>
      </c>
      <c r="H68" s="283" t="n">
        <f aca="false">SUM(H59:H67)</f>
        <v>56722.5833333333</v>
      </c>
      <c r="I68" s="283" t="n">
        <f aca="false">SUM(I59:I67)</f>
        <v>62139.25</v>
      </c>
      <c r="J68" s="283" t="n">
        <f aca="false">SUM(J59:J67)</f>
        <v>62139.25</v>
      </c>
      <c r="K68" s="283" t="n">
        <f aca="false">SUM(K59:K67)</f>
        <v>64003.4275</v>
      </c>
      <c r="L68" s="283" t="n">
        <f aca="false">SUM(L59:L67)</f>
        <v>64003.4275</v>
      </c>
      <c r="M68" s="283" t="n">
        <f aca="false">SUM(M59:M67)</f>
        <v>64003.4275</v>
      </c>
      <c r="N68" s="283" t="n">
        <f aca="false">SUM(B68:M68)</f>
        <v>713346.865833333</v>
      </c>
    </row>
    <row r="69" customFormat="false" ht="15" hidden="false" customHeight="true" outlineLevel="0" collapsed="false">
      <c r="A69" s="237" t="s">
        <v>1650</v>
      </c>
      <c r="B69" s="264" t="n">
        <f aca="false">B68*$B$22</f>
        <v>3857.13566666667</v>
      </c>
      <c r="C69" s="264" t="n">
        <f aca="false">C68*$B$22</f>
        <v>3857.13566666667</v>
      </c>
      <c r="D69" s="264" t="n">
        <f aca="false">D68*$B$22</f>
        <v>3857.13566666667</v>
      </c>
      <c r="E69" s="264" t="n">
        <f aca="false">E68*$B$22</f>
        <v>3857.13566666667</v>
      </c>
      <c r="F69" s="264" t="n">
        <f aca="false">F68*$B$22</f>
        <v>3857.13566666667</v>
      </c>
      <c r="G69" s="264" t="n">
        <f aca="false">G68*$B$22</f>
        <v>3857.13566666667</v>
      </c>
      <c r="H69" s="264" t="n">
        <f aca="false">H68*$B$22</f>
        <v>3857.13566666667</v>
      </c>
      <c r="I69" s="264" t="n">
        <f aca="false">I68*$B$22</f>
        <v>4225.469</v>
      </c>
      <c r="J69" s="264" t="n">
        <f aca="false">J68*$B$22</f>
        <v>4225.469</v>
      </c>
      <c r="K69" s="264" t="n">
        <f aca="false">K68*$B$22</f>
        <v>4352.23307</v>
      </c>
      <c r="L69" s="264" t="n">
        <f aca="false">L68*$B$22</f>
        <v>4352.23307</v>
      </c>
      <c r="M69" s="264" t="n">
        <f aca="false">M68*$B$22</f>
        <v>4352.23307</v>
      </c>
      <c r="N69" s="264" t="n">
        <f aca="false">SUM(B69:M69)</f>
        <v>48507.5868766667</v>
      </c>
    </row>
    <row r="70" customFormat="false" ht="15" hidden="false" customHeight="true" outlineLevel="0" collapsed="false">
      <c r="A70" s="237" t="s">
        <v>1390</v>
      </c>
      <c r="B70" s="264" t="n">
        <f aca="false">B68*$B$23</f>
        <v>9302.50366666667</v>
      </c>
      <c r="C70" s="264" t="n">
        <f aca="false">C68*$B$23</f>
        <v>9302.50366666667</v>
      </c>
      <c r="D70" s="264" t="n">
        <f aca="false">D68*$B$23</f>
        <v>9302.50366666667</v>
      </c>
      <c r="E70" s="264" t="n">
        <f aca="false">E68*$B$23</f>
        <v>9302.50366666667</v>
      </c>
      <c r="F70" s="264" t="n">
        <f aca="false">F68*$B$23</f>
        <v>9302.50366666667</v>
      </c>
      <c r="G70" s="264" t="n">
        <f aca="false">G68*$B$23</f>
        <v>9302.50366666667</v>
      </c>
      <c r="H70" s="264" t="n">
        <f aca="false">H68*$B$23</f>
        <v>9302.50366666667</v>
      </c>
      <c r="I70" s="264" t="n">
        <f aca="false">I68*$B$23</f>
        <v>10190.837</v>
      </c>
      <c r="J70" s="264" t="n">
        <f aca="false">J68*$B$23</f>
        <v>10190.837</v>
      </c>
      <c r="K70" s="264" t="n">
        <f aca="false">K68*$B$23</f>
        <v>10496.56211</v>
      </c>
      <c r="L70" s="264" t="n">
        <f aca="false">L68*$B$23</f>
        <v>10496.56211</v>
      </c>
      <c r="M70" s="264" t="n">
        <f aca="false">M68*$B$23</f>
        <v>10496.56211</v>
      </c>
      <c r="N70" s="264" t="n">
        <f aca="false">SUM(B70:M70)</f>
        <v>116988.885996667</v>
      </c>
    </row>
    <row r="71" customFormat="false" ht="15" hidden="false" customHeight="true" outlineLevel="0" collapsed="false">
      <c r="A71" s="282" t="s">
        <v>1984</v>
      </c>
      <c r="B71" s="283" t="n">
        <f aca="false">SUM(B68:B70)</f>
        <v>69882.2226666667</v>
      </c>
      <c r="C71" s="283" t="n">
        <f aca="false">SUM(C68:C70)</f>
        <v>69882.2226666667</v>
      </c>
      <c r="D71" s="283" t="n">
        <f aca="false">SUM(D68:D70)</f>
        <v>69882.2226666667</v>
      </c>
      <c r="E71" s="283" t="n">
        <f aca="false">SUM(E68:E70)</f>
        <v>69882.2226666667</v>
      </c>
      <c r="F71" s="283" t="n">
        <f aca="false">SUM(F68:F70)</f>
        <v>69882.2226666667</v>
      </c>
      <c r="G71" s="283" t="n">
        <f aca="false">SUM(G68:G70)</f>
        <v>69882.2226666667</v>
      </c>
      <c r="H71" s="283" t="n">
        <f aca="false">SUM(H68:H70)</f>
        <v>69882.2226666667</v>
      </c>
      <c r="I71" s="283" t="n">
        <f aca="false">SUM(I68:I70)</f>
        <v>76555.556</v>
      </c>
      <c r="J71" s="283" t="n">
        <f aca="false">SUM(J68:J70)</f>
        <v>76555.556</v>
      </c>
      <c r="K71" s="283" t="n">
        <f aca="false">SUM(K68:K70)</f>
        <v>78852.22268</v>
      </c>
      <c r="L71" s="283" t="n">
        <f aca="false">SUM(L68:L70)</f>
        <v>78852.22268</v>
      </c>
      <c r="M71" s="283" t="n">
        <f aca="false">SUM(M68:M70)</f>
        <v>78852.22268</v>
      </c>
      <c r="N71" s="283" t="n">
        <f aca="false">SUM(B71:M71)</f>
        <v>878843.338706667</v>
      </c>
    </row>
    <row r="72" customFormat="false" ht="15" hidden="false" customHeight="true" outlineLevel="0" collapsed="false">
      <c r="A72" s="237"/>
      <c r="B72" s="237"/>
      <c r="C72" s="237"/>
      <c r="D72" s="237"/>
      <c r="E72" s="237"/>
      <c r="F72" s="237"/>
      <c r="G72" s="237"/>
      <c r="H72" s="237"/>
      <c r="I72" s="237"/>
      <c r="J72" s="237"/>
      <c r="K72" s="237"/>
      <c r="L72" s="237"/>
      <c r="M72" s="237"/>
      <c r="N72" s="237"/>
    </row>
    <row r="73" customFormat="false" ht="15" hidden="false" customHeight="true" outlineLevel="0" collapsed="false">
      <c r="A73" s="271" t="s">
        <v>1985</v>
      </c>
      <c r="B73" s="277" t="n">
        <f aca="false">DATE(2027,1,1)</f>
        <v>46388</v>
      </c>
      <c r="C73" s="277" t="n">
        <f aca="false">DATE(2027,2,1)</f>
        <v>46419</v>
      </c>
      <c r="D73" s="277" t="n">
        <f aca="false">DATE(2027,3,1)</f>
        <v>46447</v>
      </c>
      <c r="E73" s="277" t="n">
        <f aca="false">DATE(2027,4,1)</f>
        <v>46478</v>
      </c>
      <c r="F73" s="277" t="n">
        <f aca="false">DATE(2027,5,1)</f>
        <v>46508</v>
      </c>
      <c r="G73" s="277" t="n">
        <f aca="false">DATE(2027,6,1)</f>
        <v>46539</v>
      </c>
      <c r="H73" s="277" t="n">
        <f aca="false">DATE(2027,7,1)</f>
        <v>46569</v>
      </c>
      <c r="I73" s="277" t="n">
        <f aca="false">DATE(2027,8,1)</f>
        <v>46600</v>
      </c>
      <c r="J73" s="277" t="n">
        <f aca="false">DATE(2027,9,1)</f>
        <v>46631</v>
      </c>
      <c r="K73" s="277" t="n">
        <f aca="false">DATE(2027,10,1)</f>
        <v>46661</v>
      </c>
      <c r="L73" s="277" t="n">
        <f aca="false">DATE(2027,11,1)</f>
        <v>46692</v>
      </c>
      <c r="M73" s="277" t="n">
        <f aca="false">DATE(2027,12,1)</f>
        <v>46722</v>
      </c>
      <c r="N73" s="277" t="s">
        <v>1421</v>
      </c>
    </row>
    <row r="74" customFormat="false" ht="15" hidden="false" customHeight="true" outlineLevel="0" collapsed="false">
      <c r="A74" s="237" t="s">
        <v>1949</v>
      </c>
      <c r="B74" s="264" t="n">
        <f aca="false">B55*$B$42*$B$6*(1-$B$43)</f>
        <v>16558.9107880838</v>
      </c>
      <c r="C74" s="264" t="n">
        <f aca="false">C55*$B$42*$B$6*(1-$B$43)</f>
        <v>11039.2738587226</v>
      </c>
      <c r="D74" s="264" t="n">
        <f aca="false">D55*$B$42*$B$6*(1-$B$43)</f>
        <v>0</v>
      </c>
      <c r="E74" s="264" t="n">
        <f aca="false">E55*$B$42*$B$6*(1-$B$43)</f>
        <v>26052.6863065852</v>
      </c>
      <c r="F74" s="264" t="n">
        <f aca="false">F55*$B$42*$B$6*(1-$B$43)</f>
        <v>20533.0493772239</v>
      </c>
      <c r="G74" s="264" t="n">
        <f aca="false">G55*$B$42*$B$6*(1-$B$43)</f>
        <v>30026.8248957253</v>
      </c>
      <c r="H74" s="264" t="n">
        <f aca="false">H55*$B$42*$B$6*(1-$B$43)</f>
        <v>26052.6863065852</v>
      </c>
      <c r="I74" s="264" t="n">
        <f aca="false">I55*$B$42*$B$6*(1-$B$43)</f>
        <v>31572.3232359465</v>
      </c>
      <c r="J74" s="264" t="n">
        <f aca="false">J55*$B$42*$B$6*(1-$B$43)</f>
        <v>41066.0987544479</v>
      </c>
      <c r="K74" s="264" t="n">
        <f aca="false">K55*$B$42*$B$6*(1-$B$43)</f>
        <v>41066.0987544479</v>
      </c>
      <c r="L74" s="264" t="n">
        <f aca="false">L55*$B$42*$B$6*(1-$B$43)</f>
        <v>50559.8742729493</v>
      </c>
      <c r="M74" s="264" t="n">
        <f aca="false">M55*$B$42*$B$6*(1-$B$43)</f>
        <v>52105.3726131704</v>
      </c>
      <c r="N74" s="264" t="n">
        <f aca="false">SUM(B74:M74)</f>
        <v>346633.199163888</v>
      </c>
    </row>
    <row r="75" customFormat="false" ht="15" hidden="false" customHeight="true" outlineLevel="0" collapsed="false">
      <c r="A75" s="237" t="s">
        <v>1950</v>
      </c>
      <c r="B75" s="264" t="n">
        <f aca="false">B55*$B$42*$B$6*$B$43</f>
        <v>2014.99397382093</v>
      </c>
      <c r="C75" s="264" t="n">
        <f aca="false">C55*$B$42*$B$6*$B$43</f>
        <v>1343.32931588062</v>
      </c>
      <c r="D75" s="264" t="n">
        <f aca="false">D55*$B$42*$B$6*$B$43</f>
        <v>0</v>
      </c>
      <c r="E75" s="264" t="n">
        <f aca="false">E55*$B$42*$B$6*$B$43</f>
        <v>3170.25718547827</v>
      </c>
      <c r="F75" s="264" t="n">
        <f aca="false">F55*$B$42*$B$6*$B$43</f>
        <v>2498.59252753796</v>
      </c>
      <c r="G75" s="264" t="n">
        <f aca="false">G55*$B$42*$B$6*$B$43</f>
        <v>3653.85573919529</v>
      </c>
      <c r="H75" s="264" t="n">
        <f aca="false">H55*$B$42*$B$6*$B$43</f>
        <v>3170.25718547827</v>
      </c>
      <c r="I75" s="264" t="n">
        <f aca="false">I55*$B$42*$B$6*$B$43</f>
        <v>3841.92184341858</v>
      </c>
      <c r="J75" s="264" t="n">
        <f aca="false">J55*$B$42*$B$6*$B$43</f>
        <v>4997.18505507591</v>
      </c>
      <c r="K75" s="264" t="n">
        <f aca="false">K55*$B$42*$B$6*$B$43</f>
        <v>4997.18505507591</v>
      </c>
      <c r="L75" s="264" t="n">
        <f aca="false">L55*$B$42*$B$6*$B$43</f>
        <v>6152.44826673325</v>
      </c>
      <c r="M75" s="264" t="n">
        <f aca="false">M55*$B$42*$B$6*$B$43</f>
        <v>6340.51437095654</v>
      </c>
      <c r="N75" s="264" t="n">
        <f aca="false">SUM(B75:M75)</f>
        <v>42180.5405186515</v>
      </c>
    </row>
    <row r="76" customFormat="false" ht="15" hidden="false" customHeight="true" outlineLevel="0" collapsed="false">
      <c r="A76" s="237" t="s">
        <v>1986</v>
      </c>
      <c r="B76" s="264" t="n">
        <f aca="false">$B$46*(1-$B$45)</f>
        <v>3769.59375</v>
      </c>
      <c r="C76" s="264" t="n">
        <f aca="false">$B$46*(1-$B$45)</f>
        <v>3769.59375</v>
      </c>
      <c r="D76" s="264" t="n">
        <f aca="false">$B$46*(1-$B$45)</f>
        <v>3769.59375</v>
      </c>
      <c r="E76" s="264" t="n">
        <f aca="false">$B$46*(1-$B$45)</f>
        <v>3769.59375</v>
      </c>
      <c r="F76" s="264" t="n">
        <f aca="false">$B$46*(1-$B$45)</f>
        <v>3769.59375</v>
      </c>
      <c r="G76" s="264" t="n">
        <f aca="false">$B$46*(1-$B$45)</f>
        <v>3769.59375</v>
      </c>
      <c r="H76" s="264" t="n">
        <f aca="false">$B$46*(1-$B$45)</f>
        <v>3769.59375</v>
      </c>
      <c r="I76" s="264" t="n">
        <f aca="false">$B$46*(1-$B$45)</f>
        <v>3769.59375</v>
      </c>
      <c r="J76" s="264" t="n">
        <f aca="false">$B$46*(1-$B$45)</f>
        <v>3769.59375</v>
      </c>
      <c r="K76" s="264" t="n">
        <f aca="false">$B$46*(1-$B$45)</f>
        <v>3769.59375</v>
      </c>
      <c r="L76" s="264" t="n">
        <f aca="false">$B$46*(1-$B$45)</f>
        <v>3769.59375</v>
      </c>
      <c r="M76" s="264" t="n">
        <f aca="false">$B$46*(1-$B$45)</f>
        <v>3769.59375</v>
      </c>
      <c r="N76" s="264" t="n">
        <f aca="false">SUM(B76:M76)</f>
        <v>45235.125</v>
      </c>
    </row>
    <row r="77" customFormat="false" ht="15" hidden="false" customHeight="true" outlineLevel="0" collapsed="false">
      <c r="A77" s="237" t="s">
        <v>1987</v>
      </c>
      <c r="B77" s="264" t="n">
        <f aca="false">$B$46*$B$45</f>
        <v>604.6140625</v>
      </c>
      <c r="C77" s="264" t="n">
        <f aca="false">$B$46*$B$45</f>
        <v>604.6140625</v>
      </c>
      <c r="D77" s="264" t="n">
        <f aca="false">$B$46*$B$45</f>
        <v>604.6140625</v>
      </c>
      <c r="E77" s="264" t="n">
        <f aca="false">$B$46*$B$45</f>
        <v>604.6140625</v>
      </c>
      <c r="F77" s="264" t="n">
        <f aca="false">$B$46*$B$45</f>
        <v>604.6140625</v>
      </c>
      <c r="G77" s="264" t="n">
        <f aca="false">$B$46*$B$45</f>
        <v>604.6140625</v>
      </c>
      <c r="H77" s="264" t="n">
        <f aca="false">$B$46*$B$45</f>
        <v>604.6140625</v>
      </c>
      <c r="I77" s="264" t="n">
        <f aca="false">$B$46*$B$45</f>
        <v>604.6140625</v>
      </c>
      <c r="J77" s="264" t="n">
        <f aca="false">$B$46*$B$45</f>
        <v>604.6140625</v>
      </c>
      <c r="K77" s="264" t="n">
        <f aca="false">$B$46*$B$45</f>
        <v>604.6140625</v>
      </c>
      <c r="L77" s="264" t="n">
        <f aca="false">$B$46*$B$45</f>
        <v>604.6140625</v>
      </c>
      <c r="M77" s="264" t="n">
        <f aca="false">$B$46*$B$45</f>
        <v>604.6140625</v>
      </c>
      <c r="N77" s="264" t="n">
        <f aca="false">SUM(B77:M77)</f>
        <v>7255.36875</v>
      </c>
    </row>
    <row r="78" customFormat="false" ht="15" hidden="false" customHeight="true" outlineLevel="0" collapsed="false">
      <c r="A78" s="237" t="s">
        <v>1988</v>
      </c>
      <c r="B78" s="284" t="n">
        <f aca="false">B68</f>
        <v>56722.5833333333</v>
      </c>
      <c r="C78" s="284" t="n">
        <f aca="false">C68</f>
        <v>56722.5833333333</v>
      </c>
      <c r="D78" s="284" t="n">
        <f aca="false">D68</f>
        <v>56722.5833333333</v>
      </c>
      <c r="E78" s="284" t="n">
        <f aca="false">E68</f>
        <v>56722.5833333333</v>
      </c>
      <c r="F78" s="284" t="n">
        <f aca="false">F68</f>
        <v>56722.5833333333</v>
      </c>
      <c r="G78" s="284" t="n">
        <f aca="false">G68</f>
        <v>56722.5833333333</v>
      </c>
      <c r="H78" s="284" t="n">
        <f aca="false">H68</f>
        <v>56722.5833333333</v>
      </c>
      <c r="I78" s="284" t="n">
        <f aca="false">I68</f>
        <v>62139.25</v>
      </c>
      <c r="J78" s="284" t="n">
        <f aca="false">J68</f>
        <v>62139.25</v>
      </c>
      <c r="K78" s="284" t="n">
        <f aca="false">K68</f>
        <v>64003.4275</v>
      </c>
      <c r="L78" s="284" t="n">
        <f aca="false">L68</f>
        <v>64003.4275</v>
      </c>
      <c r="M78" s="284" t="n">
        <f aca="false">M68</f>
        <v>64003.4275</v>
      </c>
      <c r="N78" s="264" t="n">
        <f aca="false">SUM(B78:M78)</f>
        <v>713346.865833333</v>
      </c>
    </row>
    <row r="79" customFormat="false" ht="15" hidden="false" customHeight="true" outlineLevel="0" collapsed="false">
      <c r="A79" s="237" t="s">
        <v>1989</v>
      </c>
      <c r="B79" s="284" t="n">
        <f aca="false">B69</f>
        <v>3857.13566666667</v>
      </c>
      <c r="C79" s="284" t="n">
        <f aca="false">C69</f>
        <v>3857.13566666667</v>
      </c>
      <c r="D79" s="284" t="n">
        <f aca="false">D69</f>
        <v>3857.13566666667</v>
      </c>
      <c r="E79" s="284" t="n">
        <f aca="false">E69</f>
        <v>3857.13566666667</v>
      </c>
      <c r="F79" s="284" t="n">
        <f aca="false">F69</f>
        <v>3857.13566666667</v>
      </c>
      <c r="G79" s="284" t="n">
        <f aca="false">G69</f>
        <v>3857.13566666667</v>
      </c>
      <c r="H79" s="284" t="n">
        <f aca="false">H69</f>
        <v>3857.13566666667</v>
      </c>
      <c r="I79" s="284" t="n">
        <f aca="false">I69</f>
        <v>4225.469</v>
      </c>
      <c r="J79" s="284" t="n">
        <f aca="false">J69</f>
        <v>4225.469</v>
      </c>
      <c r="K79" s="284" t="n">
        <f aca="false">K69</f>
        <v>4352.23307</v>
      </c>
      <c r="L79" s="284" t="n">
        <f aca="false">L69</f>
        <v>4352.23307</v>
      </c>
      <c r="M79" s="284" t="n">
        <f aca="false">M69</f>
        <v>4352.23307</v>
      </c>
      <c r="N79" s="264" t="n">
        <f aca="false">SUM(B79:M79)</f>
        <v>48507.5868766667</v>
      </c>
    </row>
    <row r="80" customFormat="false" ht="15" hidden="false" customHeight="true" outlineLevel="0" collapsed="false">
      <c r="A80" s="237" t="s">
        <v>1990</v>
      </c>
      <c r="B80" s="284" t="n">
        <f aca="false">B70</f>
        <v>9302.50366666667</v>
      </c>
      <c r="C80" s="284" t="n">
        <f aca="false">C70</f>
        <v>9302.50366666667</v>
      </c>
      <c r="D80" s="284" t="n">
        <f aca="false">D70</f>
        <v>9302.50366666667</v>
      </c>
      <c r="E80" s="284" t="n">
        <f aca="false">E70</f>
        <v>9302.50366666667</v>
      </c>
      <c r="F80" s="284" t="n">
        <f aca="false">F70</f>
        <v>9302.50366666667</v>
      </c>
      <c r="G80" s="284" t="n">
        <f aca="false">G70</f>
        <v>9302.50366666667</v>
      </c>
      <c r="H80" s="284" t="n">
        <f aca="false">H70</f>
        <v>9302.50366666667</v>
      </c>
      <c r="I80" s="284" t="n">
        <f aca="false">I70</f>
        <v>10190.837</v>
      </c>
      <c r="J80" s="284" t="n">
        <f aca="false">J70</f>
        <v>10190.837</v>
      </c>
      <c r="K80" s="284" t="n">
        <f aca="false">K70</f>
        <v>10496.56211</v>
      </c>
      <c r="L80" s="284" t="n">
        <f aca="false">L70</f>
        <v>10496.56211</v>
      </c>
      <c r="M80" s="284" t="n">
        <f aca="false">M70</f>
        <v>10496.56211</v>
      </c>
      <c r="N80" s="264" t="n">
        <f aca="false">SUM(B80:M80)</f>
        <v>116988.885996667</v>
      </c>
    </row>
    <row r="81" customFormat="false" ht="15" hidden="false" customHeight="true" outlineLevel="0" collapsed="false">
      <c r="A81" s="282" t="s">
        <v>1991</v>
      </c>
      <c r="B81" s="283" t="n">
        <f aca="false">SUM(B74:B80)</f>
        <v>92830.3352410714</v>
      </c>
      <c r="C81" s="283" t="n">
        <f aca="false">SUM(C74:C80)</f>
        <v>86639.0336537699</v>
      </c>
      <c r="D81" s="283" t="n">
        <f aca="false">SUM(D74:D80)</f>
        <v>74256.4304791667</v>
      </c>
      <c r="E81" s="283" t="n">
        <f aca="false">SUM(E74:E80)</f>
        <v>103479.37397123</v>
      </c>
      <c r="F81" s="283" t="n">
        <f aca="false">SUM(F74:F80)</f>
        <v>97288.0723839286</v>
      </c>
      <c r="G81" s="283" t="n">
        <f aca="false">SUM(G74:G80)</f>
        <v>107937.111114087</v>
      </c>
      <c r="H81" s="283" t="n">
        <f aca="false">SUM(H74:H80)</f>
        <v>103479.37397123</v>
      </c>
      <c r="I81" s="283" t="n">
        <f aca="false">SUM(I74:I80)</f>
        <v>116344.008891865</v>
      </c>
      <c r="J81" s="283" t="n">
        <f aca="false">SUM(J74:J80)</f>
        <v>126993.047622024</v>
      </c>
      <c r="K81" s="283" t="n">
        <f aca="false">SUM(K74:K80)</f>
        <v>129289.714302024</v>
      </c>
      <c r="L81" s="283" t="n">
        <f aca="false">SUM(L74:L80)</f>
        <v>139938.753032183</v>
      </c>
      <c r="M81" s="283" t="n">
        <f aca="false">SUM(M74:M80)</f>
        <v>141672.317476627</v>
      </c>
      <c r="N81" s="283" t="n">
        <f aca="false">SUM(B81:M81)</f>
        <v>1320147.57213921</v>
      </c>
    </row>
    <row r="82" customFormat="false" ht="15" hidden="false" customHeight="true" outlineLevel="0" collapsed="false">
      <c r="A82" s="237" t="s">
        <v>1992</v>
      </c>
      <c r="B82" s="264" t="n">
        <f aca="false">SUM(B74:B77)</f>
        <v>22948.1125744048</v>
      </c>
      <c r="C82" s="264" t="n">
        <f aca="false">SUM(C74:C77)</f>
        <v>16756.8109871032</v>
      </c>
      <c r="D82" s="264" t="n">
        <f aca="false">SUM(D74:D77)</f>
        <v>4374.2078125</v>
      </c>
      <c r="E82" s="264" t="n">
        <f aca="false">SUM(E74:E77)</f>
        <v>33597.1513045635</v>
      </c>
      <c r="F82" s="264" t="n">
        <f aca="false">SUM(F74:F77)</f>
        <v>27405.8497172619</v>
      </c>
      <c r="G82" s="264" t="n">
        <f aca="false">SUM(G74:G77)</f>
        <v>38054.8884474206</v>
      </c>
      <c r="H82" s="264" t="n">
        <f aca="false">SUM(H74:H77)</f>
        <v>33597.1513045635</v>
      </c>
      <c r="I82" s="264" t="n">
        <f aca="false">SUM(I74:I77)</f>
        <v>39788.4528918651</v>
      </c>
      <c r="J82" s="264" t="n">
        <f aca="false">SUM(J74:J77)</f>
        <v>50437.4916220238</v>
      </c>
      <c r="K82" s="264" t="n">
        <f aca="false">SUM(K74:K77)</f>
        <v>50437.4916220238</v>
      </c>
      <c r="L82" s="264" t="n">
        <f aca="false">SUM(L74:L77)</f>
        <v>61086.5303521825</v>
      </c>
      <c r="M82" s="264" t="n">
        <f aca="false">SUM(M74:M77)</f>
        <v>62820.094796627</v>
      </c>
      <c r="N82" s="264" t="n">
        <f aca="false">SUM(B82:M82)</f>
        <v>441304.23343254</v>
      </c>
    </row>
    <row r="83" customFormat="false" ht="15" hidden="false" customHeight="true" outlineLevel="0" collapsed="false">
      <c r="A83" s="237"/>
      <c r="B83" s="237"/>
      <c r="C83" s="237"/>
      <c r="D83" s="237"/>
      <c r="E83" s="237"/>
      <c r="F83" s="237"/>
      <c r="G83" s="237"/>
      <c r="H83" s="237"/>
      <c r="I83" s="237"/>
      <c r="J83" s="237"/>
      <c r="K83" s="237"/>
      <c r="L83" s="237"/>
      <c r="M83" s="237"/>
      <c r="N83" s="237"/>
    </row>
    <row r="84" customFormat="false" ht="33.75" hidden="false" customHeight="true" outlineLevel="0" collapsed="false">
      <c r="A84" s="285" t="s">
        <v>1993</v>
      </c>
      <c r="B84" s="286" t="s">
        <v>1994</v>
      </c>
      <c r="C84" s="286" t="s">
        <v>1995</v>
      </c>
      <c r="D84" s="286" t="s">
        <v>1996</v>
      </c>
      <c r="E84" s="286" t="s">
        <v>1997</v>
      </c>
      <c r="F84" s="286" t="s">
        <v>1998</v>
      </c>
      <c r="G84" s="286" t="s">
        <v>1999</v>
      </c>
      <c r="H84" s="237"/>
      <c r="I84" s="237"/>
      <c r="J84" s="237"/>
      <c r="K84" s="237"/>
      <c r="L84" s="237"/>
      <c r="M84" s="237"/>
      <c r="N84" s="237"/>
    </row>
    <row r="85" customFormat="false" ht="15" hidden="false" customHeight="true" outlineLevel="0" collapsed="false">
      <c r="A85" s="237" t="s">
        <v>1285</v>
      </c>
      <c r="B85" s="287" t="n">
        <v>30</v>
      </c>
      <c r="C85" s="288" t="s">
        <v>2000</v>
      </c>
      <c r="D85" s="264" t="n">
        <f aca="false">N74</f>
        <v>346633.199163888</v>
      </c>
      <c r="E85" s="278" t="n">
        <f aca="false">FE!N30</f>
        <v>87455.02</v>
      </c>
      <c r="F85" s="264" t="n">
        <f aca="false">D85-E85</f>
        <v>259178.179163888</v>
      </c>
      <c r="G85" s="278" t="n">
        <f aca="false">FE!AG30</f>
        <v>346633.199163888</v>
      </c>
      <c r="H85" s="237"/>
      <c r="I85" s="237"/>
      <c r="J85" s="237"/>
      <c r="K85" s="237"/>
      <c r="L85" s="237"/>
      <c r="M85" s="237"/>
      <c r="N85" s="237"/>
    </row>
    <row r="86" customFormat="false" ht="15" hidden="false" customHeight="true" outlineLevel="0" collapsed="false">
      <c r="A86" s="237" t="s">
        <v>1286</v>
      </c>
      <c r="B86" s="287" t="n">
        <v>31</v>
      </c>
      <c r="C86" s="288" t="s">
        <v>2000</v>
      </c>
      <c r="D86" s="264" t="n">
        <f aca="false">N75</f>
        <v>42180.5405186515</v>
      </c>
      <c r="E86" s="278" t="n">
        <f aca="false">FE!N31</f>
        <v>10313.18</v>
      </c>
      <c r="F86" s="264" t="n">
        <f aca="false">D86-E86</f>
        <v>31867.3605186515</v>
      </c>
      <c r="G86" s="278" t="n">
        <f aca="false">FE!AG31</f>
        <v>42180.5405186515</v>
      </c>
      <c r="H86" s="237"/>
      <c r="I86" s="237"/>
      <c r="J86" s="237"/>
      <c r="K86" s="237"/>
      <c r="L86" s="237"/>
      <c r="M86" s="237"/>
      <c r="N86" s="237"/>
    </row>
    <row r="87" customFormat="false" ht="15" hidden="false" customHeight="true" outlineLevel="0" collapsed="false">
      <c r="A87" s="237" t="s">
        <v>1328</v>
      </c>
      <c r="B87" s="287" t="n">
        <v>74</v>
      </c>
      <c r="C87" s="288" t="s">
        <v>2000</v>
      </c>
      <c r="D87" s="264" t="n">
        <f aca="false">N76</f>
        <v>45235.125</v>
      </c>
      <c r="E87" s="278" t="n">
        <f aca="false">FE!N74</f>
        <v>35010.08</v>
      </c>
      <c r="F87" s="264" t="n">
        <f aca="false">D87-E87</f>
        <v>10225.045</v>
      </c>
      <c r="G87" s="278" t="n">
        <f aca="false">FE!AG74</f>
        <v>45235.125</v>
      </c>
      <c r="H87" s="237"/>
      <c r="I87" s="237"/>
      <c r="J87" s="237"/>
      <c r="K87" s="237"/>
      <c r="L87" s="237"/>
      <c r="M87" s="237"/>
      <c r="N87" s="237"/>
    </row>
    <row r="88" customFormat="false" ht="15" hidden="false" customHeight="true" outlineLevel="0" collapsed="false">
      <c r="A88" s="237" t="s">
        <v>1329</v>
      </c>
      <c r="B88" s="287" t="n">
        <v>75</v>
      </c>
      <c r="C88" s="288" t="s">
        <v>2000</v>
      </c>
      <c r="D88" s="264" t="n">
        <f aca="false">N77</f>
        <v>7255.36875</v>
      </c>
      <c r="E88" s="278" t="n">
        <f aca="false">FE!N75</f>
        <v>5308.9</v>
      </c>
      <c r="F88" s="264" t="n">
        <f aca="false">D88-E88</f>
        <v>1946.46875</v>
      </c>
      <c r="G88" s="278" t="n">
        <f aca="false">FE!AG75</f>
        <v>7255.36875</v>
      </c>
      <c r="H88" s="237"/>
      <c r="I88" s="237"/>
      <c r="J88" s="237"/>
      <c r="K88" s="237"/>
      <c r="L88" s="237"/>
      <c r="M88" s="237"/>
      <c r="N88" s="237"/>
    </row>
    <row r="89" customFormat="false" ht="15" hidden="false" customHeight="true" outlineLevel="0" collapsed="false">
      <c r="A89" s="237" t="s">
        <v>1321</v>
      </c>
      <c r="B89" s="287" t="n">
        <v>67</v>
      </c>
      <c r="C89" s="288" t="s">
        <v>2000</v>
      </c>
      <c r="D89" s="264" t="n">
        <f aca="false">N78</f>
        <v>713346.865833333</v>
      </c>
      <c r="E89" s="278" t="n">
        <f aca="false">FE!N67</f>
        <v>850614.65</v>
      </c>
      <c r="F89" s="264" t="n">
        <f aca="false">D89-E89</f>
        <v>-137267.784166667</v>
      </c>
      <c r="G89" s="278" t="n">
        <f aca="false">FE!AG67</f>
        <v>713346.865833333</v>
      </c>
      <c r="H89" s="237"/>
      <c r="I89" s="237"/>
      <c r="J89" s="237"/>
      <c r="K89" s="237"/>
      <c r="L89" s="237"/>
      <c r="M89" s="237"/>
      <c r="N89" s="237"/>
    </row>
    <row r="90" customFormat="false" ht="15" hidden="false" customHeight="true" outlineLevel="0" collapsed="false">
      <c r="A90" s="237" t="s">
        <v>1322</v>
      </c>
      <c r="B90" s="287" t="n">
        <v>68</v>
      </c>
      <c r="C90" s="288" t="s">
        <v>2000</v>
      </c>
      <c r="D90" s="264" t="n">
        <f aca="false">N79</f>
        <v>48507.5868766667</v>
      </c>
      <c r="E90" s="278" t="n">
        <f aca="false">FE!N68</f>
        <v>40439.44</v>
      </c>
      <c r="F90" s="264" t="n">
        <f aca="false">D90-E90</f>
        <v>8068.14687666667</v>
      </c>
      <c r="G90" s="278" t="n">
        <f aca="false">FE!AG68</f>
        <v>48507.5868766667</v>
      </c>
      <c r="H90" s="237"/>
      <c r="I90" s="237"/>
      <c r="J90" s="237"/>
      <c r="K90" s="237"/>
      <c r="L90" s="237"/>
      <c r="M90" s="237"/>
      <c r="N90" s="237"/>
    </row>
    <row r="91" customFormat="false" ht="15" hidden="false" customHeight="true" outlineLevel="0" collapsed="false">
      <c r="A91" s="237" t="s">
        <v>1323</v>
      </c>
      <c r="B91" s="287" t="n">
        <v>69</v>
      </c>
      <c r="C91" s="288" t="s">
        <v>2000</v>
      </c>
      <c r="D91" s="264" t="n">
        <f aca="false">N80</f>
        <v>116988.885996667</v>
      </c>
      <c r="E91" s="278" t="n">
        <f aca="false">FE!N69</f>
        <v>80480.42</v>
      </c>
      <c r="F91" s="264" t="n">
        <f aca="false">D91-E91</f>
        <v>36508.4659966667</v>
      </c>
      <c r="G91" s="278" t="n">
        <f aca="false">FE!AG69</f>
        <v>116988.885996667</v>
      </c>
      <c r="H91" s="237"/>
      <c r="I91" s="237"/>
      <c r="J91" s="237"/>
      <c r="K91" s="237"/>
      <c r="L91" s="237"/>
      <c r="M91" s="237"/>
      <c r="N91" s="237"/>
    </row>
    <row r="92" customFormat="false" ht="15" hidden="false" customHeight="true" outlineLevel="0" collapsed="false">
      <c r="A92" s="282" t="s">
        <v>1893</v>
      </c>
      <c r="B92" s="282"/>
      <c r="C92" s="282"/>
      <c r="D92" s="283" t="n">
        <f aca="false">SUM(D85:D91)</f>
        <v>1320147.57213921</v>
      </c>
      <c r="E92" s="283" t="n">
        <f aca="false">SUM(E85:E91)</f>
        <v>1109621.69</v>
      </c>
      <c r="F92" s="283" t="n">
        <f aca="false">D92-E92</f>
        <v>210525.882139206</v>
      </c>
      <c r="G92" s="283" t="n">
        <f aca="false">SUM(G85:G91)</f>
        <v>1320147.57213921</v>
      </c>
      <c r="H92" s="237"/>
      <c r="I92" s="237"/>
      <c r="J92" s="237"/>
      <c r="K92" s="237"/>
      <c r="L92" s="237"/>
      <c r="M92" s="237"/>
      <c r="N92" s="237"/>
    </row>
    <row r="93" customFormat="false" ht="15" hidden="false" customHeight="true" outlineLevel="0" collapsed="false">
      <c r="A93" s="237"/>
      <c r="B93" s="269" t="s">
        <v>2001</v>
      </c>
      <c r="C93" s="237"/>
      <c r="D93" s="237"/>
      <c r="E93" s="237"/>
      <c r="F93" s="237"/>
      <c r="G93" s="237"/>
      <c r="H93" s="237"/>
      <c r="I93" s="237"/>
      <c r="J93" s="237"/>
      <c r="K93" s="237"/>
      <c r="L93" s="237"/>
      <c r="M93" s="237"/>
      <c r="N93" s="237"/>
    </row>
    <row r="94" customFormat="false" ht="15" hidden="false" customHeight="true" outlineLevel="0" collapsed="false">
      <c r="A94" s="237"/>
      <c r="B94" s="237"/>
      <c r="C94" s="237"/>
      <c r="D94" s="237"/>
      <c r="E94" s="237"/>
      <c r="F94" s="237"/>
      <c r="G94" s="237"/>
      <c r="H94" s="237"/>
      <c r="I94" s="237"/>
      <c r="J94" s="237"/>
      <c r="K94" s="237"/>
      <c r="L94" s="237"/>
      <c r="M94" s="237"/>
      <c r="N94" s="237"/>
    </row>
    <row r="95" customFormat="false" ht="15" hidden="false" customHeight="true" outlineLevel="0" collapsed="false">
      <c r="A95" s="271" t="s">
        <v>2002</v>
      </c>
      <c r="B95" s="271"/>
      <c r="C95" s="271"/>
      <c r="D95" s="271"/>
      <c r="E95" s="271"/>
      <c r="F95" s="271"/>
      <c r="G95" s="271"/>
      <c r="H95" s="271"/>
      <c r="I95" s="271"/>
      <c r="J95" s="271"/>
      <c r="K95" s="271"/>
      <c r="L95" s="271"/>
      <c r="M95" s="271"/>
      <c r="N95" s="271"/>
    </row>
    <row r="96" customFormat="false" ht="25.5" hidden="false" customHeight="true" outlineLevel="0" collapsed="false">
      <c r="A96" s="289"/>
      <c r="B96" s="128" t="s">
        <v>2003</v>
      </c>
      <c r="C96" s="128"/>
      <c r="D96" s="128"/>
      <c r="E96" s="128"/>
      <c r="F96" s="128"/>
      <c r="G96" s="128"/>
      <c r="H96" s="128"/>
      <c r="I96" s="128"/>
      <c r="J96" s="128"/>
      <c r="K96" s="128"/>
      <c r="L96" s="128"/>
      <c r="M96" s="128"/>
      <c r="N96" s="128"/>
    </row>
    <row r="97" customFormat="false" ht="25.5" hidden="false" customHeight="true" outlineLevel="0" collapsed="false">
      <c r="A97" s="289"/>
      <c r="B97" s="128" t="s">
        <v>2004</v>
      </c>
      <c r="C97" s="128"/>
      <c r="D97" s="128"/>
      <c r="E97" s="128"/>
      <c r="F97" s="128"/>
      <c r="G97" s="128"/>
      <c r="H97" s="128"/>
      <c r="I97" s="128"/>
      <c r="J97" s="128"/>
      <c r="K97" s="128"/>
      <c r="L97" s="128"/>
      <c r="M97" s="128"/>
      <c r="N97" s="128"/>
    </row>
    <row r="98" customFormat="false" ht="25.5" hidden="false" customHeight="true" outlineLevel="0" collapsed="false">
      <c r="A98" s="289"/>
      <c r="B98" s="128" t="s">
        <v>2005</v>
      </c>
      <c r="C98" s="128"/>
      <c r="D98" s="128"/>
      <c r="E98" s="128"/>
      <c r="F98" s="128"/>
      <c r="G98" s="128"/>
      <c r="H98" s="128"/>
      <c r="I98" s="128"/>
      <c r="J98" s="128"/>
      <c r="K98" s="128"/>
      <c r="L98" s="128"/>
      <c r="M98" s="128"/>
      <c r="N98" s="128"/>
    </row>
    <row r="99" customFormat="false" ht="25.5" hidden="false" customHeight="true" outlineLevel="0" collapsed="false">
      <c r="A99" s="289"/>
      <c r="B99" s="128" t="s">
        <v>2006</v>
      </c>
      <c r="C99" s="128"/>
      <c r="D99" s="128"/>
      <c r="E99" s="128"/>
      <c r="F99" s="128"/>
      <c r="G99" s="128"/>
      <c r="H99" s="128"/>
      <c r="I99" s="128"/>
      <c r="J99" s="128"/>
      <c r="K99" s="128"/>
      <c r="L99" s="128"/>
      <c r="M99" s="128"/>
      <c r="N99" s="128"/>
    </row>
    <row r="100" customFormat="false" ht="25.5" hidden="false" customHeight="true" outlineLevel="0" collapsed="false">
      <c r="A100" s="289"/>
      <c r="B100" s="128" t="s">
        <v>2007</v>
      </c>
      <c r="C100" s="128"/>
      <c r="D100" s="128"/>
      <c r="E100" s="128"/>
      <c r="F100" s="128"/>
      <c r="G100" s="128"/>
      <c r="H100" s="128"/>
      <c r="I100" s="128"/>
      <c r="J100" s="128"/>
      <c r="K100" s="128"/>
      <c r="L100" s="128"/>
      <c r="M100" s="128"/>
      <c r="N100" s="128"/>
    </row>
    <row r="101" customFormat="false" ht="25.5" hidden="false" customHeight="true" outlineLevel="0" collapsed="false">
      <c r="A101" s="289"/>
      <c r="B101" s="128" t="s">
        <v>2008</v>
      </c>
      <c r="C101" s="128"/>
      <c r="D101" s="128"/>
      <c r="E101" s="128"/>
      <c r="F101" s="128"/>
      <c r="G101" s="128"/>
      <c r="H101" s="128"/>
      <c r="I101" s="128"/>
      <c r="J101" s="128"/>
      <c r="K101" s="128"/>
      <c r="L101" s="128"/>
      <c r="M101" s="128"/>
      <c r="N101" s="128"/>
    </row>
    <row r="102" customFormat="false" ht="25.5" hidden="false" customHeight="true" outlineLevel="0" collapsed="false">
      <c r="A102" s="289"/>
      <c r="B102" s="128" t="s">
        <v>2009</v>
      </c>
      <c r="C102" s="128"/>
      <c r="D102" s="128"/>
      <c r="E102" s="128"/>
      <c r="F102" s="128"/>
      <c r="G102" s="128"/>
      <c r="H102" s="128"/>
      <c r="I102" s="128"/>
      <c r="J102" s="128"/>
      <c r="K102" s="128"/>
      <c r="L102" s="128"/>
      <c r="M102" s="128"/>
      <c r="N102" s="128"/>
    </row>
    <row r="103" customFormat="false" ht="25.5" hidden="false" customHeight="true" outlineLevel="0" collapsed="false">
      <c r="A103" s="289"/>
      <c r="B103" s="128" t="s">
        <v>2010</v>
      </c>
      <c r="C103" s="128"/>
      <c r="D103" s="128"/>
      <c r="E103" s="128"/>
      <c r="F103" s="128"/>
      <c r="G103" s="128"/>
      <c r="H103" s="128"/>
      <c r="I103" s="128"/>
      <c r="J103" s="128"/>
      <c r="K103" s="128"/>
      <c r="L103" s="128"/>
      <c r="M103" s="128"/>
      <c r="N103" s="128"/>
    </row>
    <row r="104" customFormat="false" ht="15" hidden="false" customHeight="true" outlineLevel="0" collapsed="false">
      <c r="A104" s="237"/>
      <c r="B104" s="237"/>
      <c r="C104" s="237"/>
      <c r="D104" s="237"/>
      <c r="E104" s="237"/>
      <c r="F104" s="237"/>
      <c r="G104" s="237"/>
      <c r="H104" s="237"/>
      <c r="I104" s="237"/>
      <c r="J104" s="237"/>
      <c r="K104" s="237"/>
      <c r="L104" s="237"/>
      <c r="M104" s="237"/>
      <c r="N104" s="237"/>
    </row>
    <row r="105" customFormat="false" ht="15" hidden="false" customHeight="true" outlineLevel="0" collapsed="false">
      <c r="A105" s="237"/>
      <c r="B105" s="237"/>
      <c r="C105" s="237"/>
      <c r="D105" s="237"/>
      <c r="E105" s="237"/>
      <c r="F105" s="237"/>
      <c r="G105" s="237"/>
      <c r="H105" s="237"/>
      <c r="I105" s="237"/>
      <c r="J105" s="237"/>
      <c r="K105" s="237"/>
      <c r="L105" s="237"/>
      <c r="M105" s="237"/>
      <c r="N105" s="237"/>
    </row>
    <row r="106" customFormat="false" ht="15" hidden="false" customHeight="true" outlineLevel="0" collapsed="false">
      <c r="A106" s="237"/>
      <c r="B106" s="237"/>
      <c r="C106" s="237"/>
      <c r="D106" s="237"/>
      <c r="E106" s="237"/>
      <c r="F106" s="237"/>
      <c r="G106" s="237"/>
      <c r="H106" s="237"/>
      <c r="I106" s="237"/>
      <c r="J106" s="237"/>
      <c r="K106" s="237"/>
      <c r="L106" s="237"/>
      <c r="M106" s="237"/>
      <c r="N106" s="237"/>
    </row>
    <row r="107" customFormat="false" ht="15" hidden="false" customHeight="true" outlineLevel="0" collapsed="false">
      <c r="A107" s="237"/>
      <c r="B107" s="237"/>
      <c r="C107" s="237"/>
      <c r="D107" s="237"/>
      <c r="E107" s="237"/>
      <c r="F107" s="237"/>
      <c r="G107" s="237"/>
      <c r="H107" s="237"/>
      <c r="I107" s="237"/>
      <c r="J107" s="237"/>
      <c r="K107" s="237"/>
      <c r="L107" s="237"/>
      <c r="M107" s="237"/>
      <c r="N107" s="237"/>
    </row>
    <row r="108" customFormat="false" ht="15" hidden="false" customHeight="true" outlineLevel="0" collapsed="false">
      <c r="A108" s="237"/>
      <c r="B108" s="237"/>
      <c r="C108" s="237"/>
      <c r="D108" s="237"/>
      <c r="E108" s="237"/>
      <c r="F108" s="237"/>
      <c r="G108" s="237"/>
      <c r="H108" s="237"/>
      <c r="I108" s="237"/>
      <c r="J108" s="237"/>
      <c r="K108" s="237"/>
      <c r="L108" s="237"/>
      <c r="M108" s="237"/>
      <c r="N108" s="237"/>
    </row>
    <row r="109" customFormat="false" ht="15" hidden="false" customHeight="true" outlineLevel="0" collapsed="false">
      <c r="A109" s="237"/>
      <c r="B109" s="237"/>
      <c r="C109" s="237"/>
      <c r="D109" s="237"/>
      <c r="E109" s="237"/>
      <c r="F109" s="237"/>
      <c r="G109" s="237"/>
      <c r="H109" s="237"/>
      <c r="I109" s="237"/>
      <c r="J109" s="237"/>
      <c r="K109" s="237"/>
      <c r="L109" s="237"/>
      <c r="M109" s="237"/>
      <c r="N109" s="237"/>
    </row>
    <row r="110" customFormat="false" ht="15" hidden="false" customHeight="true" outlineLevel="0" collapsed="false">
      <c r="A110" s="237"/>
      <c r="B110" s="237"/>
      <c r="C110" s="237"/>
      <c r="D110" s="237"/>
      <c r="E110" s="237"/>
      <c r="F110" s="237"/>
      <c r="G110" s="237"/>
      <c r="H110" s="237"/>
      <c r="I110" s="237"/>
      <c r="J110" s="237"/>
      <c r="K110" s="237"/>
      <c r="L110" s="237"/>
      <c r="M110" s="237"/>
      <c r="N110" s="237"/>
    </row>
  </sheetData>
  <mergeCells count="9">
    <mergeCell ref="B2:N2"/>
    <mergeCell ref="B96:N96"/>
    <mergeCell ref="B97:N97"/>
    <mergeCell ref="B98:N98"/>
    <mergeCell ref="B99:N99"/>
    <mergeCell ref="B100:N100"/>
    <mergeCell ref="B101:N101"/>
    <mergeCell ref="B102:N102"/>
    <mergeCell ref="B103:N10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2026-10-02T15:01:07Z</dcterms:created>
  <dc:creator>Kent Turner</dc:creator>
  <dc:description/>
  <dc:language>en-US</dc:language>
  <cp:lastModifiedBy/>
  <dcterms:modified xsi:type="dcterms:W3CDTF">2026-10-09T15:21:08Z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