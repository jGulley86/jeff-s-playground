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<sst xmlns="http://schemas.openxmlformats.org/spreadsheetml/2006/main" count="4136" uniqueCount="2011">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</sst>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s>
  <fills count="29">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s>
  <borders count="19">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v7, draft for review)</t>
        </is>
      </c>
    </row>
    <row r="3">
      <c r="A3" s="3" t="inlineStr">
        <is>
          <t xml:space="preserve">CONFIDENTIAL – contains named compensation data (HC-* tabs); restrict distribution</t>
        </is>
      </c>
    </row>
    <row r="4">
      <c r="A4" s="0" t="inlineStr">
        <is>
          <t xml:space="preserve">This workbook holds employee names and salaries on the HC-* tabs (copied from the COO HC &amp; PL workfile). Share it only with people cleared to see compensation. The notes file (02-build_notes_v7.md) rounds per-person amounts to $5k; this sheet keeps exact figures.</t>
        </is>
      </c>
    </row>
    <row r="6">
      <c r="A6" s="3" t="inlineStr">
        <is>
          <t xml:space="preserve">Decisions pending (user) - not resolved by the builder</t>
        </is>
      </c>
    </row>
    <row r="7">
      <c r="A7" s="3" t="inlineStr">
        <is>
          <t xml:space="preserve">#</t>
        </is>
      </c>
      <c r="B7" s="3" t="inlineStr">
        <is>
          <t xml:space="preserve">Decision (user)</t>
        </is>
      </c>
      <c r="C7" s="3" t="inlineStr">
        <is>
          <t xml:space="preserve">Issue</t>
        </is>
      </c>
      <c r="D7" s="3" t="inlineStr">
        <is>
          <t xml:space="preserve">Current treatment in the budget</t>
        </is>
      </c>
      <c r="E7" s="3" t="inlineStr">
        <is>
          <t xml:space="preserve">Alternatives: effect on 2027 COO contribution (+ raises, ( ) lowers)</t>
        </is>
      </c>
      <c r="F7" s="3" t="inlineStr">
        <is>
          <t xml:space="preserve">Who</t>
        </is>
      </c>
    </row>
    <row r="8">
      <c r="A8" s="4" t="inlineStr">
        <is>
          <t xml:space="preserve">1</t>
        </is>
      </c>
      <c r="B8" s="4" t="inlineStr">
        <is>
          <t xml:space="preserve">Production labour: expensed, or capitalised into the CapEx unit cost (65,000 per lift / 8,000 per tray)?</t>
        </is>
      </c>
      <c r="C8" s="4" t="inlineStr">
        <is>
          <t xml:space="preserve">I-05, I-23 (B1)</t>
        </is>
      </c>
      <c r="D8" s="4" t="inlineStr">
        <is>
          <t xml:space="preserve">PO 5110-5140 (652,820, the current PO HC staff) is expensed. The production ramp is not in the budget at all (Decision #6), so the 139,032 reads as if the ramp were capitalised inside the unit cost or not adopted.</t>
        </is>
      </c>
      <c r="E8" s="4" t="inlineStr">
        <is>
          <t xml:space="preserve">Expensed: ramp (1,962,389) at the 9-overlap / (2,102,502) at the 7-overlap; contribution (1,823,358) / (1,963,470). Capitalised on top of the unit cost (2027 depreciation only, Depreciation Schedule logic, 84 / 120 months): (64,735) / (69,357); contribution 74,297 / 69,674. Already inside the 65,000 / 8,000 unit cost: 0 (139,032).</t>
        </is>
      </c>
      <c r="F8" s="4" t="inlineStr">
        <is>
          <t xml:space="preserve">User / Finance (capitalisation policy), with the PO owner</t>
        </is>
      </c>
    </row>
    <row r="9">
      <c r="A9" s="4" t="inlineStr">
        <is>
          <t xml:space="preserve">2</t>
        </is>
      </c>
      <c r="B9" s="4" t="inlineStr">
        <is>
          <t xml:space="preserve">SlipBot fleet status (5010 depreciation)</t>
        </is>
      </c>
      <c r="C9" s="4" t="inlineStr">
        <is>
          <t xml:space="preserve">I-32</t>
        </is>
      </c>
      <c r="D9" s="4" t="inlineStr">
        <is>
          <t xml:space="preserve">Carried flat at the PO Dec-26 run rate 112,797.85/month = 1,353,574 in 2027 (builder assumption, A-17).</t>
        </is>
      </c>
      <c r="E9"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9" s="4" t="inlineStr">
        <is>
          <t xml:space="preserve">User, with PO/Finance (fixed-asset register)</t>
        </is>
      </c>
    </row>
    <row r="10">
      <c r="A10" s="4" t="inlineStr">
        <is>
          <t xml:space="preserve">3</t>
        </is>
      </c>
      <c r="B10" s="4" t="inlineStr">
        <is>
          <t xml:space="preserve">Q4-26 go-lives: PO run rate or DeploySum</t>
        </is>
      </c>
      <c r="C10" s="4" t="inlineStr">
        <is>
          <t xml:space="preserve">I-31</t>
        </is>
      </c>
      <c r="D10" s="4" t="inlineStr">
        <is>
          <t xml:space="preserve">Inside the PO Dec-26 run rate: PO steps up for 15 lifts / 53 trays (DeploySum: 18 / 67).</t>
        </is>
      </c>
      <c r="E10" s="4" t="inlineStr">
        <is>
          <t xml:space="preserve">Sep-26 run rate + DeploySum Oct-Dec 26 vintages: (39,057). If PO's Dec-26 step-up (3 lifts, 12 trays) is Jan-27 units already in the Jan-27 vintage and PO's Oct/Nov counts are right: +37,457. Keep as is: 0.</t>
        </is>
      </c>
      <c r="F10" s="4" t="inlineStr">
        <is>
          <t xml:space="preserve">User, after the PO owner says what the Q4-26 step-ups are</t>
        </is>
      </c>
    </row>
    <row r="11">
      <c r="A11" s="4" t="inlineStr">
        <is>
          <t xml:space="preserve">4</t>
        </is>
      </c>
      <c r="B11" s="4" t="inlineStr">
        <is>
          <t xml:space="preserve">SlipLift peripherals: GL and useful life</t>
        </is>
      </c>
      <c r="C11" s="4" t="inlineStr">
        <is>
          <t xml:space="preserve">I-33</t>
        </is>
      </c>
      <c r="D11" s="4" t="inlineStr">
        <is>
          <t xml:space="preserve">5020 Robot Peripherals, 84 months: 63,836 of 2027 depreciation (builder assumption, A-10/A-11).</t>
        </is>
      </c>
      <c r="E11" s="4" t="inlineStr">
        <is>
          <t xml:space="preserve">GL 5011 instead of 5020: 0 (moves 63,836 from PO row 22 to row 20). Life 60 months: (25,534). Life 120 months: +19,151.</t>
        </is>
      </c>
      <c r="F11" s="4" t="inlineStr">
        <is>
          <t xml:space="preserve">User</t>
        </is>
      </c>
    </row>
    <row r="12">
      <c r="A12" s="4" t="inlineStr">
        <is>
          <t xml:space="preserve">5</t>
        </is>
      </c>
      <c r="B12" s="4" t="inlineStr">
        <is>
          <t xml:space="preserve">Revenue split across 4100 / 4500 / 4900</t>
        </is>
      </c>
      <c r="C12" s="4" t="inlineStr">
        <is>
          <t xml:space="preserve">I-01 (A-02, A-03)</t>
        </is>
      </c>
      <c r="D12" s="4" t="inlineStr">
        <is>
          <t xml:space="preserve">All 15,563,646 of plan revenue on 4100; 4500 and 4900 = 0 (orchestrator assumption).</t>
        </is>
      </c>
      <c r="E12" s="4" t="inlineStr">
        <is>
          <t xml:space="preserve">Split the plan revenue across the three lines: 0 (classification only; gross margin unchanged). Budget implementation / one-time revenue in addition to the plan: not determinable (2026 4500 + 4900: 1,060,861).</t>
        </is>
      </c>
      <c r="F12" s="4" t="inlineStr">
        <is>
          <t xml:space="preserve">User / Finance</t>
        </is>
      </c>
    </row>
    <row r="13">
      <c r="A13" s="4" t="inlineStr">
        <is>
          <t xml:space="preserve">6</t>
        </is>
      </c>
      <c r="B13" s="4" t="inlineStr">
        <is>
          <t xml:space="preserve">Production and warehouse payroll (PO 5110-5140)</t>
        </is>
      </c>
      <c r="C13" s="4" t="inlineStr">
        <is>
          <t xml:space="preserve">I-05, I-17</t>
        </is>
      </c>
      <c r="D13" s="4" t="inlineStr">
        <is>
          <t xml:space="preserve">PO 5110-5140 = the 9 current PO HC staff, flat (652,820); no ramp hires.</t>
        </is>
      </c>
      <c r="E13" s="4" t="inlineStr">
        <is>
          <t xml:space="preserve">Add the Prod Payroll ramp (if expensed, Decision #1): (1,962,389) at the 9-overlap, (2,102,502) at the 7-overlap. Add the 7 new Logistics&amp;WH seats: (336,530). Both, deduplicated: (2,360,882) (9-overlap) or (2,439,031) (7-overlap); v6 showed (2,298,919), which takes PO HC r20 out twice. Keep as is: 0. (Net of the people already on PO HC and CO HC; not the model totals.)</t>
        </is>
      </c>
      <c r="F13" s="4" t="inlineStr">
        <is>
          <t xml:space="preserve">User, with the PO owner</t>
        </is>
      </c>
    </row>
    <row r="14">
      <c r="A14" s="4" t="inlineStr">
        <is>
          <t xml:space="preserve">7</t>
        </is>
      </c>
      <c r="B14" s="4" t="inlineStr">
        <is>
          <t xml:space="preserve">One person probably costed in both FO and FE</t>
        </is>
      </c>
      <c r="C14" s="4" t="inlineStr">
        <is>
          <t xml:space="preserve">I-28</t>
        </is>
      </c>
      <c r="D14" s="4" t="inlineStr">
        <is>
          <t xml:space="preserve">Probably costed twice (name match only; title and salary differ; likely FO-&gt;FE move): one of the 14 current techs in Fld Ops Payroll and Fld Eng Budget row 15.</t>
        </is>
      </c>
      <c r="E14" s="4" t="inlineStr">
        <is>
          <t xml:space="preserve">Remove from FO (B11 14 -&gt; 13): +78,529 (payroll +78,198, 5330 +331). Remove from FE (row 15): +93,093. Pro rata if the move happens mid-year.</t>
        </is>
      </c>
      <c r="F14" s="4" t="inlineStr">
        <is>
          <t xml:space="preserve">SD / FO owners</t>
        </is>
      </c>
    </row>
    <row r="15">
      <c r="A15" s="4" t="inlineStr">
        <is>
          <t xml:space="preserve">8</t>
        </is>
      </c>
      <c r="B15" s="4" t="inlineStr">
        <is>
          <t xml:space="preserve">FE payroll tax and benefit rates</t>
        </is>
      </c>
      <c r="C15" s="4" t="inlineStr">
        <is>
          <t xml:space="preserve">I-34</t>
        </is>
      </c>
      <c r="D15" s="4" t="inlineStr">
        <is>
          <t xml:space="preserve">SD field rates 6.8% / 16.4% on FE salaries.</t>
        </is>
      </c>
      <c r="E15" s="4" t="inlineStr">
        <is>
          <t xml:space="preserve">FE HC (T&amp;B) rates 4.069% / 7.223%: +109,539. Keep: 0. Caveat: the HC T&amp;B tax rates are below the 7.65% employer FICA and unverified (I-37); with the FE tax rate at 7.65%: +76,600.</t>
        </is>
      </c>
      <c r="F15" s="4" t="inlineStr">
        <is>
          <t xml:space="preserve">User / Finance</t>
        </is>
      </c>
    </row>
    <row r="16">
      <c r="A16" s="4" t="inlineStr">
        <is>
          <t xml:space="preserve">9</t>
        </is>
      </c>
      <c r="B16" s="4" t="inlineStr">
        <is>
          <t xml:space="preserve">PE 'transfer?' row (Head of Production and Delivery)</t>
        </is>
      </c>
      <c r="C16" s="4" t="inlineStr">
        <is>
          <t xml:space="preserve">I-35</t>
        </is>
      </c>
      <c r="D16" s="4" t="inlineStr">
        <is>
          <t xml:space="preserve">In PE 6610-6640 for all of 2027 (254,785).</t>
        </is>
      </c>
      <c r="E16" s="4" t="inlineStr">
        <is>
          <t xml:space="preserve">Leaves COO from Jan-27: +254,785. Moves within COO: 0 (budget it once, on the receiving department). Stays: 0.</t>
        </is>
      </c>
      <c r="F16" s="4" t="inlineStr">
        <is>
          <t xml:space="preserve">PE owner</t>
        </is>
      </c>
    </row>
    <row r="18">
      <c r="A18" s="2" t="inlineStr">
        <is>
          <t xml:space="preserve">Headline: 2027 COO contribution (live formulas on COO P&amp;L)</t>
        </is>
      </c>
    </row>
    <row r="19">
      <c r="A19" s="3" t="inlineStr">
        <is>
          <t xml:space="preserve">Line</t>
        </is>
      </c>
      <c r="B19" s="3" t="inlineStr">
        <is>
          <t xml:space="preserve">COO P&amp;L row</t>
        </is>
      </c>
      <c r="C19" s="3" t="inlineStr">
        <is>
          <t xml:space="preserve">2026 (N)</t>
        </is>
      </c>
      <c r="D19" s="3" t="inlineStr">
        <is>
          <t xml:space="preserve">2027 (AG)</t>
        </is>
      </c>
      <c r="E19" s="3" t="inlineStr">
        <is>
          <t xml:space="preserve">Change</t>
        </is>
      </c>
      <c r="F19" s="3" t="inlineStr">
        <is>
          <t xml:space="preserve">% (n/m if base &lt;= 0 or sign flips)</t>
        </is>
      </c>
      <c r="G19" s="3" t="inlineStr">
        <is>
          <t xml:space="preserve">2027 in v6 (value)</t>
        </is>
      </c>
    </row>
    <row r="20">
      <c r="A20" s="4" t="inlineStr">
        <is>
          <t xml:space="preserve">Revenue (company recognized revenue, 9/30/26 sales plan)</t>
        </is>
      </c>
      <c r="B20" s="4" t="inlineStr">
        <is>
          <t xml:space="preserve">16</t>
        </is>
      </c>
      <c r="C20" s="5">
        <f>'COO P&amp;L'!N16</f>
        <v>7423939.54333333</v>
      </c>
      <c r="D20" s="5">
        <f>'COO P&amp;L'!AG16</f>
        <v>15563645.5416667</v>
      </c>
      <c r="E20" s="5">
        <f>'COO P&amp;L'!AG16-('COO P&amp;L'!N16)</f>
        <v>8139705.998333369</v>
      </c>
      <c r="F20" s="4" t="str">
        <f>IF(OR('COO P&amp;L'!N16&lt;=0,'COO P&amp;L'!AG16&lt;0),"n/m",TEXT(('COO P&amp;L'!AG16-'COO P&amp;L'!N16)/'COO P&amp;L'!N16,"0%"))</f>
        <v>110%</v>
      </c>
      <c r="G20" s="5">
        <v>15563645.54</v>
      </c>
    </row>
    <row r="21">
      <c r="A21" s="4" t="inlineStr">
        <is>
          <t xml:space="preserve">COGS (COO departments)</t>
        </is>
      </c>
      <c r="B21" s="4" t="inlineStr">
        <is>
          <t xml:space="preserve">63</t>
        </is>
      </c>
      <c r="C21" s="5">
        <f>'COO P&amp;L'!N63</f>
        <v>4478015.61476191</v>
      </c>
      <c r="D21" s="5">
        <f>'COO P&amp;L'!AG63</f>
        <v>12152017.1582711</v>
      </c>
      <c r="E21" s="5">
        <f>'COO P&amp;L'!AG63-('COO P&amp;L'!N63)</f>
        <v>7674001.54350919</v>
      </c>
      <c r="F21" s="4" t="str">
        <f>IF(OR('COO P&amp;L'!N63&lt;=0,'COO P&amp;L'!AG63&lt;0),"n/m",TEXT(('COO P&amp;L'!AG63-'COO P&amp;L'!N63)/'COO P&amp;L'!N63,"0%"))</f>
        <v>171%</v>
      </c>
      <c r="G21" s="5">
        <v>12152017.16</v>
      </c>
    </row>
    <row r="22">
      <c r="A22" s="4" t="inlineStr">
        <is>
          <t xml:space="preserve">  of which depreciation (in COGS)</t>
        </is>
      </c>
      <c r="B22" s="4" t="inlineStr">
        <is>
          <t xml:space="preserve">19-22</t>
        </is>
      </c>
      <c r="C22" s="5">
        <f>SUM('COO P&amp;L'!N19:N22)</f>
        <v>1788096.5247619047</v>
      </c>
      <c r="D22" s="5">
        <f>SUM('COO P&amp;L'!AG19:AG22)</f>
        <v>3318808.163809521</v>
      </c>
      <c r="E22" s="5">
        <f>SUM('COO P&amp;L'!AG19:AG22)-(SUM('COO P&amp;L'!N19:N22))</f>
        <v>1530711.6390476164</v>
      </c>
      <c r="F22" s="4" t="str">
        <f>IF(OR(SUM('COO P&amp;L'!N19:N22)&lt;=0,SUM('COO P&amp;L'!AG19:AG22)&lt;0),"n/m",TEXT((SUM('COO P&amp;L'!AG19:AG22)-SUM('COO P&amp;L'!N19:N22))/SUM('COO P&amp;L'!N19:N22),"0%"))</f>
        <v>86%</v>
      </c>
      <c r="G22" s="5">
        <v>3318808.16</v>
      </c>
    </row>
    <row r="23">
      <c r="A23" s="4" t="inlineStr">
        <is>
          <t xml:space="preserve">Gross Profit</t>
        </is>
      </c>
      <c r="B23" s="4" t="inlineStr">
        <is>
          <t xml:space="preserve">64</t>
        </is>
      </c>
      <c r="C23" s="5">
        <f>'COO P&amp;L'!N64</f>
        <v>2945923.92857143</v>
      </c>
      <c r="D23" s="5">
        <f>'COO P&amp;L'!AG64</f>
        <v>3411628.3833956</v>
      </c>
      <c r="E23" s="5">
        <f>'COO P&amp;L'!AG64-('COO P&amp;L'!N64)</f>
        <v>465704.4548241701</v>
      </c>
      <c r="F23" s="4" t="str">
        <f>IF(OR('COO P&amp;L'!N64&lt;=0,'COO P&amp;L'!AG64&lt;0),"n/m",TEXT(('COO P&amp;L'!AG64-'COO P&amp;L'!N64)/'COO P&amp;L'!N64,"0%"))</f>
        <v>16%</v>
      </c>
      <c r="G23" s="5">
        <v>3411628.38</v>
      </c>
    </row>
    <row r="24">
      <c r="A24" s="4" t="inlineStr">
        <is>
          <t xml:space="preserve">Opex (COO departments)</t>
        </is>
      </c>
      <c r="B24" s="4" t="inlineStr">
        <is>
          <t xml:space="preserve">116</t>
        </is>
      </c>
      <c r="C24" s="5">
        <f>'COO P&amp;L'!N116</f>
        <v>3929957.3</v>
      </c>
      <c r="D24" s="5">
        <f>'COO P&amp;L'!AG116</f>
        <v>3272596.54406938</v>
      </c>
      <c r="E24" s="5">
        <f>'COO P&amp;L'!AG116-('COO P&amp;L'!N116)</f>
        <v>-657360.7559306198</v>
      </c>
      <c r="F24" s="4" t="str">
        <f>IF(OR('COO P&amp;L'!N116&lt;=0,'COO P&amp;L'!AG116&lt;0),"n/m",TEXT(('COO P&amp;L'!AG116-'COO P&amp;L'!N116)/'COO P&amp;L'!N116,"0%"))</f>
        <v>-17%</v>
      </c>
      <c r="G24" s="5">
        <v>3272596.54</v>
      </c>
    </row>
    <row r="25">
      <c r="A25" s="4" t="inlineStr">
        <is>
          <t xml:space="preserve">COO contribution before other income (workbook label 'Net Ordinary Income')</t>
        </is>
      </c>
      <c r="B25" s="4" t="inlineStr">
        <is>
          <t xml:space="preserve">117</t>
        </is>
      </c>
      <c r="C25" s="5">
        <f>'COO P&amp;L'!N117</f>
        <v>-984033.371428571</v>
      </c>
      <c r="D25" s="5">
        <f>'COO P&amp;L'!AG117</f>
        <v>139031.839326218</v>
      </c>
      <c r="E25" s="5">
        <f>'COO P&amp;L'!AG117-('COO P&amp;L'!N117)</f>
        <v>1123065.210754789</v>
      </c>
      <c r="F25" s="4" t="str">
        <f>IF(OR('COO P&amp;L'!N117&lt;=0,'COO P&amp;L'!AG117&lt;0),"n/m",TEXT(('COO P&amp;L'!AG117-'COO P&amp;L'!N117)/'COO P&amp;L'!N117,"0%"))</f>
        <v>n/m</v>
      </c>
      <c r="G25" s="5">
        <v>139031.84</v>
      </c>
    </row>
    <row r="26">
      <c r="A26" s="4" t="inlineStr">
        <is>
          <t xml:space="preserve">Net Other Income</t>
        </is>
      </c>
      <c r="B26" s="4" t="inlineStr">
        <is>
          <t xml:space="preserve">131</t>
        </is>
      </c>
      <c r="C26" s="5">
        <f>'COO P&amp;L'!N131</f>
        <v>84811.32</v>
      </c>
      <c r="D26" s="5">
        <f>'COO P&amp;L'!AG131</f>
        <v>0.0</v>
      </c>
      <c r="E26" s="5">
        <f>'COO P&amp;L'!AG131-('COO P&amp;L'!N131)</f>
        <v>-84811.32</v>
      </c>
      <c r="F26" s="4" t="str">
        <f>IF(OR('COO P&amp;L'!N131&lt;=0,'COO P&amp;L'!AG131&lt;0),"n/m",TEXT(('COO P&amp;L'!AG131-'COO P&amp;L'!N131)/'COO P&amp;L'!N131,"0%"))</f>
        <v>-100%</v>
      </c>
      <c r="G26" s="5">
        <v>0.0</v>
      </c>
    </row>
    <row r="27">
      <c r="A27" s="4" t="inlineStr">
        <is>
          <t xml:space="preserve">COO contribution (workbook label 'Net Income')</t>
        </is>
      </c>
      <c r="B27" s="4" t="inlineStr">
        <is>
          <t xml:space="preserve">132</t>
        </is>
      </c>
      <c r="C27" s="5">
        <f>'COO P&amp;L'!N132</f>
        <v>-899222.051428571</v>
      </c>
      <c r="D27" s="5">
        <f>'COO P&amp;L'!AG132</f>
        <v>139031.839326218</v>
      </c>
      <c r="E27" s="5">
        <f>'COO P&amp;L'!AG132-('COO P&amp;L'!N132)</f>
        <v>1038253.890754789</v>
      </c>
      <c r="F27" s="4" t="str">
        <f>IF(OR('COO P&amp;L'!N132&lt;=0,'COO P&amp;L'!AG132&lt;0),"n/m",TEXT(('COO P&amp;L'!AG132-'COO P&amp;L'!N132)/'COO P&amp;L'!N132,"0%"))</f>
        <v>n/m</v>
      </c>
      <c r="G27" s="5">
        <v>139031.84</v>
      </c>
    </row>
    <row r="29">
      <c r="A29" s="3" t="inlineStr">
        <is>
          <t xml:space="preserve">Caveats on the headline (read before using the figure)</t>
        </is>
      </c>
    </row>
    <row r="30">
      <c r="A30" s="0" t="inlineStr">
        <is>
          <t xml:space="preserve">(0) Headline caveat (B3, read with Decision #1): the FO ramp (2,618,543 of ramp hires on Fld Ops Payroll) is in the budget; the PO production ramp (1,962,389 net; 2,102,502 at the 7-overlap) is not. Both come from the same 9/30/26 deployment plan (Fld Ops Payroll reads DeploySum rows 54, 57; Prod Payroll reads rows 24, 25, 27, 28). If production labour is expensed, the budget is not internally consistent and the like-for-like contribution is (1,823,358) to (1,963,470). If it is capitalised, 2027 carries only depreciation (74,297 to 69,674), or nothing if the unit cost already includes it (139,032).</t>
        </is>
      </c>
    </row>
    <row r="31">
      <c r="A31" s="0" t="inlineStr">
        <is>
          <t xml:space="preserve">(1) What the figure is. The bottom line, 139,032, is a COO contribution: the company's recognized revenue (15,563,646, all of it) less the costs of the five COO departments only (COGS + Opex of FO, PO, CO, FE, PE: 15,424,614). Costs outside COO (for example sales, G&amp;A, R&amp;D) are not in this workbook, so it is not company Net Income. The workbook row keeps its GL label 'Net Income' (COO P&amp;L!A132) because v4 and v5 change no label on the P&amp;L tabs; the notes and Collation Notes call it 'COO contribution'.</t>
        </is>
      </c>
    </row>
    <row r="32">
      <c r="A32"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33">
      <c r="A33" s="0" t="inlineStr">
        <is>
          <t xml:space="preserve">(3) Open exposures, each on its own against the headline. 'n/d' = not determinable from the workbook. I-05 is shown expensed and capitalised (Decision #1) and at both overlap readings (9 by count, 7 by role); the I-05 + I-17 rows are deduplicated (v6's combined row took PO HC r20 out twice).</t>
        </is>
      </c>
    </row>
    <row r="34">
      <c r="A34" s="3" t="inlineStr">
        <is>
          <t xml:space="preserve">Item</t>
        </is>
      </c>
      <c r="B34" s="3" t="inlineStr">
        <is>
          <t xml:space="preserve">Direction</t>
        </is>
      </c>
      <c r="C34" s="3" t="inlineStr">
        <is>
          <t xml:space="preserve">What could happen</t>
        </is>
      </c>
      <c r="D34" s="3" t="inlineStr">
        <is>
          <t xml:space="preserve">Effect on 2027 COO contribution</t>
        </is>
      </c>
      <c r="E34" s="3" t="inlineStr">
        <is>
          <t xml:space="preserve">Contribution after this item alone</t>
        </is>
      </c>
      <c r="F34" s="3" t="inlineStr">
        <is>
          <t xml:space="preserve">Source cells</t>
        </is>
      </c>
    </row>
    <row r="35">
      <c r="A35" s="4" t="inlineStr">
        <is>
          <t xml:space="preserve">I-05 expensed, 9-overlap</t>
        </is>
      </c>
      <c r="B35" s="4" t="inlineStr">
        <is>
          <t xml:space="preserve">downside</t>
        </is>
      </c>
      <c r="C35" s="4" t="inlineStr">
        <is>
          <t xml:space="preserve">Production payroll ramp (SD Prod Payroll) that PO 5110-5140 does not carry, if production labour is EXPENSED (Decision #1): model 2027 total 2,592,894 (lift 1,622,423, tray 729,177, supervisors 241,294) less the model's cost of the 9 current staff (630,504), all 9 PO HC people counted as Prod Payroll's current staff (count match).</t>
        </is>
      </c>
      <c r="D35" s="5">
        <v>-1962389.42</v>
      </c>
      <c r="E35" s="5">
        <v>-1823357.58</v>
      </c>
      <c r="F35" s="4" t="inlineStr">
        <is>
          <t xml:space="preserve">Prod Payroll!S81 (tray/supervisor rows evaluated per A-28); PO!AG33:AG36; 'HC-PO'!Z67:Z70</t>
        </is>
      </c>
    </row>
    <row r="36">
      <c r="A36" s="4" t="inlineStr">
        <is>
          <t xml:space="preserve">I-05 expensed, 7-overlap</t>
        </is>
      </c>
      <c r="B36" s="4" t="inlineStr">
        <is>
          <t xml:space="preserve">downside</t>
        </is>
      </c>
      <c r="C36" s="4" t="inlineStr">
        <is>
          <t xml:space="preserve">Same, with only the 7 PO HC production staff as Prod Payroll's current staff (the 2 material-handling roles are tied to Logistics&amp;WH, B2): +140,112 for the 2 model seats no roster fills (model average current cost per head 70,056; 139,984 to 140,560 as 2 tray or 2 lift seats).</t>
        </is>
      </c>
      <c r="D36" s="5">
        <v>-2102501.53</v>
      </c>
      <c r="E36" s="5">
        <v>-1963469.69</v>
      </c>
      <c r="F36" s="4" t="inlineStr">
        <is>
          <t xml:space="preserve">Prod Payroll!S81 (tray/supervisor rows evaluated per A-28); PO!AG33:AG36; 'HC-PO'!Z67:Z70; 'HC-PO'!C14:C22</t>
        </is>
      </c>
    </row>
    <row r="37">
      <c r="A37" s="4" t="inlineStr">
        <is>
          <t xml:space="preserve">I-05 sensitivity (O1)</t>
        </is>
      </c>
      <c r="B37" s="4" t="inlineStr">
        <is>
          <t xml:space="preserve">downside</t>
        </is>
      </c>
      <c r="C37" s="4" t="inlineStr">
        <is>
          <t xml:space="preserve">9-overlap ramp with the PO HC burden rates (3.64% tax / 20.64% benefits, 24.3% of salary) instead of the model's (15.6% of salary): +141,924 on top of the ramp.</t>
        </is>
      </c>
      <c r="D37" s="5">
        <v>-2104313.49</v>
      </c>
      <c r="E37" s="5">
        <v>-1965281.65</v>
      </c>
      <c r="F37" s="4" t="inlineStr">
        <is>
          <t xml:space="preserve">Prod Payroll!B6:C7, H6:H7; 'HC-PO'!D6:D7</t>
        </is>
      </c>
    </row>
    <row r="38">
      <c r="A38" s="4" t="inlineStr">
        <is>
          <t xml:space="preserve">I-05 capitalised on top of the unit cost, 9-overlap</t>
        </is>
      </c>
      <c r="B38" s="4" t="inlineStr">
        <is>
          <t xml:space="preserve">downside</t>
        </is>
      </c>
      <c r="C38" s="4" t="inlineStr">
        <is>
          <t xml:space="preserve">If production labour is CAPITALISED and added to the CapEx unit cost, only depreciation reaches 2027 (Depreciation Schedule logic: full month from go-live, lifts 84 / trays 120 months; units built 2 months before go-live). Labour per unit 4,139 per lift (6.4% of 65,000) and 495 per tray; 1,897,654 stays on the balance sheet at Dec-27.</t>
        </is>
      </c>
      <c r="D38" s="5">
        <v>-64735.34</v>
      </c>
      <c r="E38" s="5">
        <v>74296.5</v>
      </c>
      <c r="F38" s="4" t="inlineStr">
        <is>
          <t xml:space="preserve">DeploySum!A47, rows 19-20, 24-25; 'Depreciation Schedule'!B6:B13, rows 38-62; Prod Payroll</t>
        </is>
      </c>
    </row>
    <row r="39">
      <c r="A39" s="4" t="inlineStr">
        <is>
          <t xml:space="preserve">I-05 capitalised on top of the unit cost, 7-overlap</t>
        </is>
      </c>
      <c r="B39" s="4" t="inlineStr">
        <is>
          <t xml:space="preserve">downside</t>
        </is>
      </c>
      <c r="C39" s="4" t="inlineStr">
        <is>
          <t xml:space="preserve">Same, 7-overlap ramp (lift / tray mix unchanged, A-34).</t>
        </is>
      </c>
      <c r="D39" s="5">
        <v>-69357.36</v>
      </c>
      <c r="E39" s="5">
        <v>69674.48</v>
      </c>
      <c r="F39" s="4" t="inlineStr">
        <is>
          <t xml:space="preserve">DeploySum!A47, rows 19-20, 24-25; 'Depreciation Schedule'!B6:B13, rows 38-62; Prod Payroll</t>
        </is>
      </c>
    </row>
    <row r="40">
      <c r="A40" s="4" t="inlineStr">
        <is>
          <t xml:space="preserve">I-05 capitalised inside the unit cost</t>
        </is>
      </c>
      <c r="B40" s="4" t="inlineStr">
        <is>
          <t xml:space="preserve">none</t>
        </is>
      </c>
      <c r="C40" s="4" t="inlineStr">
        <is>
          <t xml:space="preserve">If the 65,000 / 8,000 unit costs already include production labour, the ramp is already inside the budgeted depreciation of the 2027 go-lives and the budget needs no change for it (the ramp is a CapEx / cash item).</t>
        </is>
      </c>
      <c r="D40" s="5">
        <v>0.0</v>
      </c>
      <c r="E40" s="5">
        <v>139031.84</v>
      </c>
      <c r="F40" s="4" t="inlineStr">
        <is>
          <t xml:space="preserve">DeploySum!A47; 'Depreciation Schedule'!B6, B8</t>
        </is>
      </c>
    </row>
    <row r="41">
      <c r="A41" s="4" t="inlineStr">
        <is>
          <t xml:space="preserve">I-17</t>
        </is>
      </c>
      <c r="B41" s="4" t="inlineStr">
        <is>
          <t xml:space="preserve">downside</t>
        </is>
      </c>
      <c r="C41" s="4" t="inlineStr">
        <is>
          <t xml:space="preserve">Logistics &amp; warehouse seats (SD model, not carried) that no HC roster holds: 7 seats, net of the 2 seats that are already on CO HC r17 and PO HC r20 (210,912 of the model's 547,441).</t>
        </is>
      </c>
      <c r="D41" s="5">
        <v>-336529.72</v>
      </c>
      <c r="E41" s="5">
        <v>-197497.88</v>
      </c>
      <c r="F41" s="4" t="inlineStr">
        <is>
          <t xml:space="preserve">SD Logistics&amp;WH Payroll!S51 less LOG-01 and MH-01 (not carried)</t>
        </is>
      </c>
    </row>
    <row r="42">
      <c r="A42" s="4" t="inlineStr">
        <is>
          <t xml:space="preserve">I-05 + I-17 expensed, 9-overlap</t>
        </is>
      </c>
      <c r="B42" s="4" t="inlineStr">
        <is>
          <t xml:space="preserve">downside</t>
        </is>
      </c>
      <c r="C42" s="4" t="inlineStr">
        <is>
          <t xml:space="preserve">Both payroll ramps, deduplicated. v6 showed (2,298,919), which takes PO HC r20 out twice: once inside I-05 (as one of Prod Payroll's 9, by count) and once inside I-17 (as seat MH-01, by name). Keeping the count match, MH-01 becomes an unfilled seat: +61,963.</t>
        </is>
      </c>
      <c r="D42" s="5">
        <v>-2360881.84</v>
      </c>
      <c r="E42" s="5">
        <v>-2221850.0</v>
      </c>
      <c r="F42" s="4" t="inlineStr">
        <is>
          <t xml:space="preserve">as above; Logistics&amp;WH MH-01</t>
        </is>
      </c>
    </row>
    <row r="43">
      <c r="A43" s="4" t="inlineStr">
        <is>
          <t xml:space="preserve">I-05 + I-17 expensed, 7-overlap</t>
        </is>
      </c>
      <c r="B43" s="4" t="inlineStr">
        <is>
          <t xml:space="preserve">downside</t>
        </is>
      </c>
      <c r="C43" s="4" t="inlineStr">
        <is>
          <t xml:space="preserve">Both payroll ramps with the 7-overlap: PO HC r20 = MH-01 (name) and r16 (material handling, backfilled by MH-02) sit with Logistics&amp;WH, so no seat is taken out twice.</t>
        </is>
      </c>
      <c r="D43" s="5">
        <v>-2439031.25</v>
      </c>
      <c r="E43" s="5">
        <v>-2299999.41</v>
      </c>
      <c r="F43" s="4" t="inlineStr">
        <is>
          <t xml:space="preserve">as above</t>
        </is>
      </c>
    </row>
    <row r="44">
      <c r="A44" s="4" t="inlineStr">
        <is>
          <t xml:space="preserve">I-10</t>
        </is>
      </c>
      <c r="B44" s="4" t="inlineStr">
        <is>
          <t xml:space="preserve">downside</t>
        </is>
      </c>
      <c r="C44" s="4" t="inlineStr">
        <is>
          <t xml:space="preserve">FO/FE lines with 2026 spend budgeted at 0 for 2027 (5920 software, 6610 SG&amp;A salaries, 7200 contractors); effect if they continue at the 2026 level.</t>
        </is>
      </c>
      <c r="D44" s="5">
        <v>-384424.9</v>
      </c>
      <c r="E44" s="5">
        <v>-245393.06</v>
      </c>
      <c r="F44" s="4" t="inlineStr">
        <is>
          <t xml:space="preserve">FO!N58, N67, N91; FE!N91 (AG = 0)</t>
        </is>
      </c>
    </row>
    <row r="45">
      <c r="A45" s="4" t="inlineStr">
        <is>
          <t xml:space="preserve">I-26</t>
        </is>
      </c>
      <c r="B45" s="4" t="inlineStr">
        <is>
          <t xml:space="preserve">RESOLVED</t>
        </is>
      </c>
      <c r="C45" s="4" t="inlineStr">
        <is>
          <t xml:space="preserve">RESOLVED (user-confirmed 2026-10-09): Head of Service Delivery salary 205,000/year entered in v5 and now inside the headline (2027 cost 254,454: salary 206,538 + payroll tax 14,045 + benefits 33,872; v4 contribution was 393,486). No remaining exposure.</t>
        </is>
      </c>
      <c r="D45" s="4" t="inlineStr">
        <is>
          <t xml:space="preserve">0 (now in the headline)</t>
        </is>
      </c>
      <c r="E45" s="5">
        <v>139031.84</v>
      </c>
      <c r="F45" s="4" t="inlineStr">
        <is>
          <t xml:space="preserve">Fld Eng Budget!B21 = 205,000</t>
        </is>
      </c>
    </row>
    <row r="46">
      <c r="A46" s="4" t="inlineStr">
        <is>
          <t xml:space="preserve">I-28</t>
        </is>
      </c>
      <c r="B46" s="4" t="inlineStr">
        <is>
          <t xml:space="preserve">upside</t>
        </is>
      </c>
      <c r="C46" s="4" t="inlineStr">
        <is>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is>
      </c>
      <c r="D46" s="5">
        <v>78529.08</v>
      </c>
      <c r="E46" s="5">
        <v>217560.92</v>
      </c>
      <c r="F46" s="4" t="inlineStr">
        <is>
          <t xml:space="preserve">Fld Ops Payroll!B11, rows 20-24; Fld Maint Budget!B29</t>
        </is>
      </c>
    </row>
    <row r="47">
      <c r="A47" s="4" t="inlineStr">
        <is>
          <t xml:space="preserve">I-28</t>
        </is>
      </c>
      <c r="B47" s="4" t="inlineStr">
        <is>
          <t xml:space="preserve">upside</t>
        </is>
      </c>
      <c r="C47" s="4" t="inlineStr">
        <is>
          <t xml:space="preserve">Same person: remove from FE instead (Fld Eng Budget row 15, at SD burden rates). Pro rata if the move happens mid-year.</t>
        </is>
      </c>
      <c r="D47" s="5">
        <v>93093.0</v>
      </c>
      <c r="E47" s="5">
        <v>232124.84</v>
      </c>
      <c r="F47" s="4" t="inlineStr">
        <is>
          <t xml:space="preserve">Fld Eng Budget!B15; rows 61, 69-70</t>
        </is>
      </c>
    </row>
    <row r="48">
      <c r="A48" s="4" t="inlineStr">
        <is>
          <t xml:space="preserve">I-31</t>
        </is>
      </c>
      <c r="B48" s="4" t="inlineStr">
        <is>
          <t xml:space="preserve">two-way</t>
        </is>
      </c>
      <c r="C48" s="4" t="inlineStr">
        <is>
          <t xml:space="preserve">Shortfall if DeploySum's Q4-26 go-lives are right (3 lifts, 14 trays more than PO's run rate).</t>
        </is>
      </c>
      <c r="D48" s="5">
        <v>-39057.14</v>
      </c>
      <c r="E48" s="5">
        <v>99974.7</v>
      </c>
      <c r="F48" s="4" t="inlineStr">
        <is>
          <t xml:space="preserve">PO!J20:M21; DeploySum!C19:E20</t>
        </is>
      </c>
    </row>
    <row r="49">
      <c r="A49" s="4" t="inlineStr">
        <is>
          <t xml:space="preserve">I-31</t>
        </is>
      </c>
      <c r="B49" s="4" t="inlineStr">
        <is>
          <t xml:space="preserve">two-way</t>
        </is>
      </c>
      <c r="C49" s="4" t="inlineStr">
        <is>
          <t xml:space="preserve">Double count if PO's Dec-26 step-up (3 lifts, 12 trays; DeploySum Dec-26 go-lives 0) is Jan-27 units (20 lifts, 60 trays go live Jan-27, built Nov-26). Excludes the 5020 Dec step (+12,300 more if it is the same units).</t>
        </is>
      </c>
      <c r="D49" s="5">
        <v>37457.14</v>
      </c>
      <c r="E49" s="5">
        <v>176488.98</v>
      </c>
      <c r="F49" s="4" t="inlineStr">
        <is>
          <t xml:space="preserve">PO!L20:M21; DeploySum!E19:F20</t>
        </is>
      </c>
    </row>
    <row r="50">
      <c r="A50" s="4" t="inlineStr">
        <is>
          <t xml:space="preserve">I-32</t>
        </is>
      </c>
      <c r="B50" s="4" t="inlineStr">
        <is>
          <t xml:space="preserve">upside</t>
        </is>
      </c>
      <c r="C50" s="4" t="inlineStr">
        <is>
          <t xml:space="preserve">SlipBot fleet fully depreciated or retired from Jan-27 (5010 = 0).</t>
        </is>
      </c>
      <c r="D50" s="5">
        <v>1353574.2</v>
      </c>
      <c r="E50" s="5">
        <v>1492606.04</v>
      </c>
      <c r="F50" s="4" t="inlineStr">
        <is>
          <t xml:space="preserve">PO!M19; 'Depreciation Schedule'!B21</t>
        </is>
      </c>
    </row>
    <row r="51">
      <c r="A51" s="4" t="inlineStr">
        <is>
          <t xml:space="preserve">I-32</t>
        </is>
      </c>
      <c r="B51" s="4" t="inlineStr">
        <is>
          <t xml:space="preserve">upside</t>
        </is>
      </c>
      <c r="C51" s="4" t="inlineStr">
        <is>
          <t xml:space="preserve">Trend alternative: 5010 keeps falling at the 2026 rate (141,122 Jan-26 -&gt; 112,798 Sep-26, (3,541)/month).</t>
        </is>
      </c>
      <c r="D51" s="5">
        <v>276163.88</v>
      </c>
      <c r="E51" s="5">
        <v>415195.71</v>
      </c>
      <c r="F51" s="4" t="inlineStr">
        <is>
          <t xml:space="preserve">PO!B19, J19, M19</t>
        </is>
      </c>
    </row>
    <row r="52">
      <c r="A52" s="4" t="inlineStr">
        <is>
          <t xml:space="preserve">I-32</t>
        </is>
      </c>
      <c r="B52" s="4" t="inlineStr">
        <is>
          <t xml:space="preserve">upside</t>
        </is>
      </c>
      <c r="C52" s="4" t="inlineStr">
        <is>
          <t xml:space="preserve">Trend alternative continued from Sep-26: the same (3,541)/month decline also runs through Oct-Dec 26, so Jan-27 starts 4 months below Sep-26 (98,636 in Jan-27, 59,689 in Dec-27; floored at 0, 0 months at the floor).</t>
        </is>
      </c>
      <c r="D52" s="5">
        <v>403624.13</v>
      </c>
      <c r="E52" s="5">
        <v>542655.96</v>
      </c>
      <c r="F52" s="4" t="inlineStr">
        <is>
          <t xml:space="preserve">PO!B19, J19, M19</t>
        </is>
      </c>
    </row>
    <row r="53">
      <c r="A53" s="4" t="inlineStr">
        <is>
          <t xml:space="preserve">I-33</t>
        </is>
      </c>
      <c r="B53" s="4" t="inlineStr">
        <is>
          <t xml:space="preserve">two-way</t>
        </is>
      </c>
      <c r="C53" s="4" t="inlineStr">
        <is>
          <t xml:space="preserve">Peripherals life 60 months instead of 84 (a longer life, e.g. 120 months, gives the opposite sign).</t>
        </is>
      </c>
      <c r="D53" s="5">
        <v>-25534.29</v>
      </c>
      <c r="E53" s="5">
        <v>113497.55</v>
      </c>
      <c r="F53" s="4" t="inlineStr">
        <is>
          <t xml:space="preserve">'Depreciation Schedule'!B11</t>
        </is>
      </c>
    </row>
    <row r="54">
      <c r="A54" s="4" t="inlineStr">
        <is>
          <t xml:space="preserve">I-34</t>
        </is>
      </c>
      <c r="B54" s="4" t="inlineStr">
        <is>
          <t xml:space="preserve">upside</t>
        </is>
      </c>
      <c r="C54" s="4" t="inlineStr">
        <is>
          <t xml:space="preserve">FE payroll tax and benefits at the FE HC rates (4.069% / 7.223%) instead of the SD rates (6.8% / 16.4%) on the same FE salary base.</t>
        </is>
      </c>
      <c r="D54" s="5">
        <v>109538.77</v>
      </c>
      <c r="E54" s="5">
        <v>248570.61</v>
      </c>
      <c r="F54" s="4" t="inlineStr">
        <is>
          <t xml:space="preserve">Fld Eng Budget!B22:B23; 'HC-FE'!D6:D7; FE!AG68:AG69</t>
        </is>
      </c>
    </row>
    <row r="55">
      <c r="A55" s="4" t="inlineStr">
        <is>
          <t xml:space="preserve">I-34 with FE tax at 7.65%</t>
        </is>
      </c>
      <c r="B55" s="4" t="inlineStr">
        <is>
          <t xml:space="preserve">upside</t>
        </is>
      </c>
      <c r="C55" s="4" t="inlineStr">
        <is>
          <t xml:space="preserve">The HC T&amp;B tax rates are below the 7.65% employer FICA and unverified (I-37). If FE payroll tax cannot be below 7.65%, the 6630 part of I-34 (+25,120) goes and the SD 6.8% is short: upside benefits only.</t>
        </is>
      </c>
      <c r="D55" s="5">
        <v>76599.61</v>
      </c>
      <c r="E55" s="5">
        <v>215631.45</v>
      </c>
      <c r="F55" s="4" t="inlineStr">
        <is>
          <t xml:space="preserve">'HC-FE'!D6:D7; Fld Eng Budget!B22:B23</t>
        </is>
      </c>
    </row>
    <row r="56">
      <c r="A56" s="4" t="inlineStr">
        <is>
          <t xml:space="preserve">I-37</t>
        </is>
      </c>
      <c r="B56" s="4" t="inlineStr">
        <is>
          <t xml:space="preserve">downside</t>
        </is>
      </c>
      <c r="C56" s="4" t="inlineStr">
        <is>
          <t xml:space="preserve">PO, CO and PE payroll tax uses the HC T&amp;B rates (PO 3.64%, CO 5.22%, PE 3.57%), all below 7.65%. At 7.65% on every salary dollar (upper bound: the Social Security wage base lowers it for high salaries).</t>
        </is>
      </c>
      <c r="D56" s="5">
        <v>-77882.38</v>
      </c>
      <c r="E56" s="5">
        <v>61149.45</v>
      </c>
      <c r="F56" s="4" t="inlineStr">
        <is>
          <t xml:space="preserve">'HC-PO'!D6; 'HC-CO'!D6; 'HC-PE'!D6; PO!AG34; CO!AG68; PE!AG68</t>
        </is>
      </c>
    </row>
    <row r="57">
      <c r="A57" s="4" t="inlineStr">
        <is>
          <t xml:space="preserve">I-37</t>
        </is>
      </c>
      <c r="B57" s="4" t="inlineStr">
        <is>
          <t xml:space="preserve">downside</t>
        </is>
      </c>
      <c r="C57" s="4" t="inlineStr">
        <is>
          <t xml:space="preserve">FO and FE payroll tax uses the SD field rate 6.8%, also below 7.65% (same upper-bound basis; FO salary base 3,100,031 incl. the ramp, FE 919,884).</t>
        </is>
      </c>
      <c r="D57" s="5">
        <v>-34169.28</v>
      </c>
      <c r="E57" s="5">
        <v>104862.56</v>
      </c>
      <c r="F57" s="4" t="inlineStr">
        <is>
          <t xml:space="preserve">Fld Ops Payroll!B7; Fld Eng Budget!B22</t>
        </is>
      </c>
    </row>
    <row r="58">
      <c r="A58" s="4" t="inlineStr">
        <is>
          <t xml:space="preserve">I-35</t>
        </is>
      </c>
      <c r="B58" s="4" t="inlineStr">
        <is>
          <t xml:space="preserve">upside</t>
        </is>
      </c>
      <c r="C58" s="4" t="inlineStr">
        <is>
          <t xml:space="preserve">PE HC r22 Head of Production and Delivery ('transfer?') leaves COO from Jan-27. 0 if the role moves to another COO department and is budgeted there once.</t>
        </is>
      </c>
      <c r="D58" s="5">
        <v>254784.73</v>
      </c>
      <c r="E58" s="5">
        <v>393816.57</v>
      </c>
      <c r="F58" s="4" t="inlineStr">
        <is>
          <t xml:space="preserve">'HC-PE'!A22, Z22; PE!AG67:AG69</t>
        </is>
      </c>
    </row>
    <row r="59">
      <c r="A59" s="4" t="inlineStr">
        <is>
          <t xml:space="preserve">I-36</t>
        </is>
      </c>
      <c r="B59" s="4" t="inlineStr">
        <is>
          <t xml:space="preserve">upside</t>
        </is>
      </c>
      <c r="C59" s="4" t="inlineStr">
        <is>
          <t xml:space="preserve">The Aug-27 Customer Support Specialist hire on Fld Eng Budget (not on FE HC) is not approved.</t>
        </is>
      </c>
      <c r="D59" s="5">
        <v>33967.27</v>
      </c>
      <c r="E59" s="5">
        <v>172999.11</v>
      </c>
      <c r="F59" s="4" t="inlineStr">
        <is>
          <t xml:space="preserve">Fld Eng Budget!B19:C19, row 65</t>
        </is>
      </c>
    </row>
    <row r="60">
      <c r="A60" s="4" t="inlineStr">
        <is>
          <t xml:space="preserve">I-39</t>
        </is>
      </c>
      <c r="B60" s="4" t="inlineStr">
        <is>
          <t xml:space="preserve">upside</t>
        </is>
      </c>
      <c r="C60" s="4" t="inlineStr">
        <is>
          <t xml:space="preserve">FE HC r35 Field Engineer Manager is an open seat (HC-FE 'Open Positions'), not an employee; COO book _2 leaves it out and Fld Eng Budget r20 costs it from Jan-27. If the seat stays open all of 2027 (salary + SD burden).</t>
        </is>
      </c>
      <c r="D60" s="5">
        <v>173773.6</v>
      </c>
      <c r="E60" s="5">
        <v>312805.44</v>
      </c>
      <c r="F60" s="4" t="inlineStr">
        <is>
          <t xml:space="preserve">'HC-FE'!B34:F35; Fld Eng Budget!A20:C20, row 66</t>
        </is>
      </c>
    </row>
    <row r="61">
      <c r="A61" s="4" t="inlineStr">
        <is>
          <t xml:space="preserve">A-14</t>
        </is>
      </c>
      <c r="B61" s="4" t="inlineStr">
        <is>
          <t xml:space="preserve">upside</t>
        </is>
      </c>
      <c r="C61" s="4" t="inlineStr">
        <is>
          <t xml:space="preserve">Depreciation convention: mid-month in the go-live month instead of a full month.</t>
        </is>
      </c>
      <c r="D61" s="5">
        <v>137416.52</v>
      </c>
      <c r="E61" s="5">
        <v>276448.36</v>
      </c>
      <c r="F61" s="4" t="inlineStr">
        <is>
          <t xml:space="preserve">'Depreciation Schedule'!B13</t>
        </is>
      </c>
    </row>
    <row r="62">
      <c r="A62" s="4" t="inlineStr">
        <is>
          <t xml:space="preserve">A-14</t>
        </is>
      </c>
      <c r="B62" s="4" t="inlineStr">
        <is>
          <t xml:space="preserve">upside</t>
        </is>
      </c>
      <c r="C62" s="4" t="inlineStr">
        <is>
          <t xml:space="preserve">Depreciation convention: start the month after go-live.</t>
        </is>
      </c>
      <c r="D62" s="5">
        <v>274833.04</v>
      </c>
      <c r="E62" s="5">
        <v>413864.88</v>
      </c>
      <c r="F62" s="4" t="inlineStr">
        <is>
          <t xml:space="preserve">'Depreciation Schedule'!B13 = 1</t>
        </is>
      </c>
    </row>
    <row r="63">
      <c r="A63" s="4" t="inlineStr">
        <is>
          <t xml:space="preserve">A-22</t>
        </is>
      </c>
      <c r="B63" s="4" t="inlineStr">
        <is>
          <t xml:space="preserve">downside</t>
        </is>
      </c>
      <c r="C63" s="4" t="inlineStr">
        <is>
          <t xml:space="preserve">Revenue rests on unsigned / forecast bookings (Sep-Dec 26 includes 2,264,000 unsigned at 100%). Revenue effect not determinable from the workbook.</t>
        </is>
      </c>
      <c r="D63" s="4" t="inlineStr">
        <is>
          <t xml:space="preserve">n/d</t>
        </is>
      </c>
      <c r="E63" s="4" t="inlineStr">
        <is>
          <t xml:space="preserve">n/d</t>
        </is>
      </c>
      <c r="F63" s="4" t="inlineStr">
        <is>
          <t xml:space="preserve">DeploySum!A49 (note 5), row 40</t>
        </is>
      </c>
    </row>
    <row r="64">
      <c r="A64" s="3" t="inlineStr">
        <is>
          <t xml:space="preserve">Sign-flip statement (computed, net increments, v7): The 2027 COO contribution of 139,032 changes sign on I-05 alone if production labour is expensed (139,032 - 1,962,389 = (1,823,358) at the 9-overlap; (1,963,470) at the 7-overlap), on I-17 alone ((197,498)) or on I-10 alone ((245,393)). If production labour is capitalised (Decision #1), I-05 alone leaves 74,297 (9-overlap) or 69,674 (7-overlap), or 139,032 if the unit cost already includes it; the sign does not flip. I-31 alone leaves 99,975.</t>
        </is>
      </c>
    </row>
    <row r="65">
      <c r="A65" s="3" t="inlineStr">
        <is>
          <t xml:space="preserve">Together, I-05 + I-17 (expensed, deduplicated) take it to (2,221,850) (9-overlap) or (2,299,999) (7-overlap); v6 showed (2,159,887), which took PO HC r20 out twice. I-10 with the I-31 shortfall gives (284,450).</t>
        </is>
      </c>
    </row>
    <row r="66">
      <c r="A66" s="3" t="inlineStr">
        <is>
          <t xml:space="preserve">Upside: I-32 can add up to 1,353,574 (contribution 1,492,606); the trend alternative adds 276,164 (415,196), or 403,624 (542,656) if the decline also ran through Oct-Dec 26. Smaller: I-28 +78,529 to +93,093, I-34 +109,539 (+76,600 if the FE tax rate is at least 7.65%), I-35 up to +254,785, I-36 +33,967, I-39 up to +173,774. With costs held fixed, revenue 139,032 (0.9%) below plan also takes the contribution to zero.</t>
        </is>
      </c>
    </row>
    <row r="67">
      <c r="A67" s="3" t="inlineStr">
        <is>
          <t xml:space="preserve">Range (v7): the range is asymmetric by construction. The lower end adds every quantified downside; the upper end adds only I-32 in full (the other upsides A-14, I-28, I-31 double count, I-33, I-34, I-35, I-36 and I-39 are listed, not added). Lower bound 1, all quantified downsides with I-05 expensed (I-05 + I-17 deduplicated at the 7-overlap, I-10, I-31 shortfall): (2,723,481); at the 9-overlap (2,645,332). Lower bound 2, excluding I-05 (production labour capitalised into the unit cost, or the ramp not adopted; I-17, I-10, I-31 shortfall): (620,980). With I-05 capitalised on top of the unit cost (depreciation only, 7-overlap): (690,337). Upper end: 1,492,606. I-37 (tax rates, unverified upper bound) is not in the range. v6 range: (2,583,369) to 1,492,606.</t>
        </is>
      </c>
    </row>
    <row r="68">
      <c r="A68" s="3" t="inlineStr">
        <is>
          <t xml:space="preserve">Conclusion: the sign of the 2027 COO contribution is not established by this budget, and Decision #1 moves it more than any other open item: expensed, I-05 alone takes it to (1,823,358) to (1,963,470); capitalised, the production ramp costs at most 69,357 of 2027 depreciation. Treat 139,032 as a point estimate inside (2,723,481) to 1,492,606 (lower bound 2: (620,980)) until Decisions #1, #6 and #2 (I-05, I-17, I-32) are answered.</t>
        </is>
      </c>
    </row>
    <row r="70">
      <c r="A70" s="2" t="inlineStr">
        <is>
          <t xml:space="preserve">Head of Service Delivery salary (I-26, RESOLVED in v5)</t>
        </is>
      </c>
    </row>
    <row r="71">
      <c r="A71" s="0" t="inlineStr">
        <is>
          <t xml:space="preserve">Input: Fld Eng Budget!B21 = 205,000 (annual salary, user-confirmed 2026-10-09: 'Head of Service delivery salary is $205k annually'). This is the only typed input that changed; no formula, label or other cell was edited.</t>
        </is>
      </c>
    </row>
    <row r="72">
      <c r="A72"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73">
      <c r="A73" s="0" t="inlineStr">
        <is>
          <t xml:space="preserve">Burden: payroll taxes 6.8% (B22 = Fld Ops Payroll B7) and benefits 16.4% (B23 = Fld Ops Payroll B8), applied to the salary rows total (rows 69-70).</t>
        </is>
      </c>
    </row>
    <row r="74">
      <c r="A74" s="0" t="inlineStr">
        <is>
          <t xml:space="preserve">2027 cost of the role: salary 206,538 + payroll tax 14,045 + benefits 33,872 = 254,454.</t>
        </is>
      </c>
    </row>
    <row r="75">
      <c r="A75" s="0" t="inlineStr">
        <is>
          <t xml:space="preserve">FE 2027 (AG): 6610 713,347 -&gt; 919,884 (+206,538); 6630 48,508 -&gt; 62,552 (+14,045); 6640 116,989 -&gt; 150,861 (+33,872). FE Total - Expense 931,334 -&gt; 1,185,788. COO P&amp;L rows 67-69 move by the same amounts.</t>
        </is>
      </c>
    </row>
    <row r="76">
      <c r="A76" s="0" t="inlineStr">
        <is>
          <t xml:space="preserve">2027 COO contribution (COO P&amp;L AG132): 393,486 (v4) -&gt; 139,032 (v5), (254,454). 2026 FE 6610 was 850,615; FE 6610 2027 is now 919,884 (8% vs 2026; v4 -16%).</t>
        </is>
      </c>
    </row>
    <row r="78">
      <c r="A78" s="2" t="inlineStr">
        <is>
          <t xml:space="preserve">Workbook text superseded by these notes</t>
        </is>
      </c>
    </row>
    <row r="79">
      <c r="A79"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81">
      <c r="A81" s="2" t="inlineStr">
        <is>
          <t xml:space="preserve">Source and build</t>
        </is>
      </c>
    </row>
    <row r="82">
      <c r="A82" s="0" t="inlineStr">
        <is>
          <t xml:space="preserve">Base: v6 collated workbook. v7 regenerates this sheet only (notes and presentation fixes for critic v6 B1-B3, O1-O8 and verifier v6 V1); every other part of the v6 file is copied byte for byte, so every other sheet has 0 formula and 0 value differences vs v6. No budget value changed.</t>
        </is>
      </c>
    </row>
    <row r="83">
      <c r="A83" s="0" t="inlineStr">
        <is>
          <t xml:space="preserve">Full notes: 02-build/02-build_notes_v7.md. New figures: figures_v7.py (B1, B2, O1, O2, O5, O6) and scen_v7.py (I-28 FO side by recalculation); numbers on this sheet are live formulas (headline) or values computed by those scripts, recon_v6.py and report_v7.py.</t>
        </is>
      </c>
    </row>
    <row r="85">
      <c r="A85" s="2" t="inlineStr">
        <is>
          <t xml:space="preserve">Changes from v6</t>
        </is>
      </c>
    </row>
    <row r="86">
      <c r="A86" s="3" t="inlineStr">
        <is>
          <t xml:space="preserve">Item</t>
        </is>
      </c>
      <c r="B86" s="3" t="inlineStr">
        <is>
          <t xml:space="preserve">Point</t>
        </is>
      </c>
      <c r="C86" s="3" t="inlineStr">
        <is>
          <t xml:space="preserve">What v7 did</t>
        </is>
      </c>
      <c r="D86" s="3" t="inlineStr">
        <is>
          <t xml:space="preserve">Where</t>
        </is>
      </c>
    </row>
    <row r="87">
      <c r="A87" s="4" t="inlineStr">
        <is>
          <t xml:space="preserve">Budget values</t>
        </is>
      </c>
      <c r="B87" s="4" t="inlineStr">
        <is>
          <t xml:space="preserve">Unchanged</t>
        </is>
      </c>
      <c r="C87" s="4" t="inlineStr">
        <is>
          <t xml:space="preserve">Collation Notes regenerated; every other part of the v6 workbook copied byte for byte; 0 formula and 0 value differences vs v6 on every other sheet.</t>
        </is>
      </c>
      <c r="D87" s="4" t="inlineStr">
        <is>
          <t xml:space="preserve">v6 -&gt; v7 diff</t>
        </is>
      </c>
    </row>
    <row r="88">
      <c r="A88" s="4" t="inlineStr">
        <is>
          <t xml:space="preserve">B1</t>
        </is>
      </c>
      <c r="B88" s="4" t="inlineStr">
        <is>
          <t xml:space="preserve">Capitalisation not tested</t>
        </is>
      </c>
      <c r="C88" s="4" t="inlineStr">
        <is>
          <t xml:space="preserve">Decision #1 added (expensed or capitalised into the 65,000 / 8,000 unit cost?), with the 2026 evidence and the contribution under each treatment: expensed (1,823,358) / (1,963,470); capitalised on top 74,297 / 69,674; inside the unit cost 139,032.</t>
        </is>
      </c>
      <c r="D88" s="4" t="inlineStr">
        <is>
          <t xml:space="preserve">Decisions pending #1; 'Production labour' section; caveat table; I-05</t>
        </is>
      </c>
    </row>
    <row r="89">
      <c r="A89" s="4" t="inlineStr">
        <is>
          <t xml:space="preserve">B2</t>
        </is>
      </c>
      <c r="B89" s="4" t="inlineStr">
        <is>
          <t xml:space="preserve">Overlap 9 by count vs 7 by role</t>
        </is>
      </c>
      <c r="C89" s="4" t="inlineStr">
        <is>
          <t xml:space="preserve">Both readings shown; I-05 at 7 of 9: 2,102,502. v6's combined 2,298,919 took PO HC r20 out twice; deduplicated 2,360,882 (9) / 2,439,031 (7). The v6 wording that no overlap was left between the two models is removed.</t>
        </is>
      </c>
      <c r="D89" s="4" t="inlineStr">
        <is>
          <t xml:space="preserve">'Prod Payroll overlap' section; caveat table; I-05, I-17; Decision #6</t>
        </is>
      </c>
    </row>
    <row r="90">
      <c r="A90" s="4" t="inlineStr">
        <is>
          <t xml:space="preserve">B3</t>
        </is>
      </c>
      <c r="B90" s="4" t="inlineStr">
        <is>
          <t xml:space="preserve">Ramp asymmetry not headlined</t>
        </is>
      </c>
      <c r="C90" s="4" t="inlineStr">
        <is>
          <t xml:space="preserve">Headline caveat: FO ramp 2,618,543 in the budget, PO ramp 1,962,389 not, same deployment plan; read with Decision #1.</t>
        </is>
      </c>
      <c r="D90" s="4" t="inlineStr">
        <is>
          <t xml:space="preserve">Headline</t>
        </is>
      </c>
    </row>
    <row r="91">
      <c r="A91" s="4" t="inlineStr">
        <is>
          <t xml:space="preserve">V1</t>
        </is>
      </c>
      <c r="B91" s="4" t="inlineStr">
        <is>
          <t xml:space="preserve">I-28 FO side</t>
        </is>
      </c>
      <c r="C91" s="4" t="inlineStr">
        <is>
          <t xml:space="preserve">+78,198 -&gt; +78,529 (Fld Maint Budget!B29 also reads Fld Ops Payroll!B11); after 217,230 -&gt; 217,561. Fixed in every place.</t>
        </is>
      </c>
      <c r="D91" s="4" t="inlineStr">
        <is>
          <t xml:space="preserve">Decision #7; caveat table; I-28; sign-flip</t>
        </is>
      </c>
    </row>
    <row r="92">
      <c r="A92" s="4" t="inlineStr">
        <is>
          <t xml:space="preserve">O1</t>
        </is>
      </c>
      <c r="B92" s="4" t="inlineStr">
        <is>
          <t xml:space="preserve">PO burden sensitivity</t>
        </is>
      </c>
      <c r="C92" s="4" t="inlineStr">
        <is>
          <t xml:space="preserve">+141,924 on I-05 at PO HC rates.</t>
        </is>
      </c>
      <c r="D92" s="4" t="inlineStr">
        <is>
          <t xml:space="preserve">caveat table; I-05</t>
        </is>
      </c>
    </row>
    <row r="93">
      <c r="A93" s="4" t="inlineStr">
        <is>
          <t xml:space="preserve">O2</t>
        </is>
      </c>
      <c r="B93" s="4" t="inlineStr">
        <is>
          <t xml:space="preserve">Stale model hires</t>
        </is>
      </c>
      <c r="C93" s="4" t="inlineStr">
        <is>
          <t xml:space="preserve">Question on the model date; new I-38.</t>
        </is>
      </c>
      <c r="D93" s="4" t="inlineStr">
        <is>
          <t xml:space="preserve">I-38</t>
        </is>
      </c>
    </row>
    <row r="94">
      <c r="A94" s="4" t="inlineStr">
        <is>
          <t xml:space="preserve">O3</t>
        </is>
      </c>
      <c r="B94" s="4" t="inlineStr">
        <is>
          <t xml:space="preserve">Duplicate wording</t>
        </is>
      </c>
      <c r="C94" s="4" t="inlineStr">
        <is>
          <t xml:space="preserve">'Probable duplicate (name match only; title/salary differ; likely FO-&gt;FE move)'; pro rata note.</t>
        </is>
      </c>
      <c r="D94" s="4" t="inlineStr">
        <is>
          <t xml:space="preserve">I-28; Decision #7; duplicate scan</t>
        </is>
      </c>
    </row>
    <row r="95">
      <c r="A95" s="4" t="inlineStr">
        <is>
          <t xml:space="preserve">O4</t>
        </is>
      </c>
      <c r="B95" s="4" t="inlineStr">
        <is>
          <t xml:space="preserve">FO knock-ons</t>
        </is>
      </c>
      <c r="C95" s="4" t="inlineStr">
        <is>
          <t xml:space="preserve">Recomputed by recalculation (V1): 5330 +331; supervisor ratio unchanged.</t>
        </is>
      </c>
      <c r="D95" s="4" t="inlineStr">
        <is>
          <t xml:space="preserve">I-28</t>
        </is>
      </c>
    </row>
    <row r="96">
      <c r="A96" s="4" t="inlineStr">
        <is>
          <t xml:space="preserve">O5</t>
        </is>
      </c>
      <c r="B96" s="4" t="inlineStr">
        <is>
          <t xml:space="preserve">FE HC r35 open seat</t>
        </is>
      </c>
      <c r="C96" s="4" t="inlineStr">
        <is>
          <t xml:space="preserve">A-29 amended; new I-39 (sources disagree on whether the seat is filled).</t>
        </is>
      </c>
      <c r="D96" s="4" t="inlineStr">
        <is>
          <t xml:space="preserve">A-29; I-39; FE section</t>
        </is>
      </c>
    </row>
    <row r="97">
      <c r="A97" s="4" t="inlineStr">
        <is>
          <t xml:space="preserve">O6</t>
        </is>
      </c>
      <c r="B97" s="4" t="inlineStr">
        <is>
          <t xml:space="preserve">T&amp;B rates below FICA</t>
        </is>
      </c>
      <c r="C97" s="4" t="inlineStr">
        <is>
          <t xml:space="preserve">I-34 caveated (+76,600 at 7.65%); new I-37 for PO/CO/PE under-budget risk (up to 77,882).</t>
        </is>
      </c>
      <c r="D97" s="4" t="inlineStr">
        <is>
          <t xml:space="preserve">I-34; I-37; HC tabs section</t>
        </is>
      </c>
    </row>
    <row r="98">
      <c r="A98" s="4" t="inlineStr">
        <is>
          <t xml:space="preserve">O7</t>
        </is>
      </c>
      <c r="B98" s="4" t="inlineStr">
        <is>
          <t xml:space="preserve">Asymmetric range</t>
        </is>
      </c>
      <c r="C98" s="4" t="inlineStr">
        <is>
          <t xml:space="preserve">Stated; second lower bound excluding I-05: (620,980).</t>
        </is>
      </c>
      <c r="D98" s="4" t="inlineStr">
        <is>
          <t xml:space="preserve">Sign-flip statement</t>
        </is>
      </c>
    </row>
    <row r="99">
      <c r="A99" s="4" t="inlineStr">
        <is>
          <t xml:space="preserve">O8</t>
        </is>
      </c>
      <c r="B99" s="4" t="inlineStr">
        <is>
          <t xml:space="preserve">Privacy</t>
        </is>
      </c>
      <c r="C99" s="4" t="inlineStr">
        <is>
          <t xml:space="preserve">Banner on the md and Collation Notes; per-person amounts rounded to $5k in the md; scratch name lists deleted after the build.</t>
        </is>
      </c>
      <c r="D99" s="4" t="inlineStr">
        <is>
          <t xml:space="preserve">top of md; Collation Notes</t>
        </is>
      </c>
    </row>
    <row r="101">
      <c r="A101" s="2" t="inlineStr">
        <is>
          <t xml:space="preserve">Decision #1 evidence: production labour expensed or capitalised (B1)</t>
        </is>
      </c>
    </row>
    <row r="102">
      <c r="A102" s="3" t="inlineStr">
        <is>
          <t xml:space="preserve">Item</t>
        </is>
      </c>
      <c r="B102" s="3" t="inlineStr">
        <is>
          <t xml:space="preserve">Value</t>
        </is>
      </c>
      <c r="C102" s="3" t="inlineStr">
        <is>
          <t xml:space="preserve">Source</t>
        </is>
      </c>
    </row>
    <row r="103">
      <c r="A103" s="4" t="inlineStr">
        <is>
          <t xml:space="preserve">DeploySum unit-cost label</t>
        </is>
      </c>
      <c r="B103" s="4" t="inlineStr">
        <is>
          <t xml:space="preserve">'3. Unit cost (CapEx): SlipLift $65,000 + $4,138 peripherals, SlipTray $8,000, SlipBot $36,000. Freight $5,000 per deployment (expensed).'</t>
        </is>
      </c>
      <c r="C103" s="4" t="inlineStr">
        <is>
          <t xml:space="preserve">DeploySum!A47</t>
        </is>
      </c>
    </row>
    <row r="104">
      <c r="A104" s="4" t="inlineStr">
        <is>
          <t xml:space="preserve">PO 6000 Labour - SG&amp;A, 2026</t>
        </is>
      </c>
      <c r="B104" s="4" t="inlineStr">
        <is>
          <t xml:space="preserve">(309,871) (6610 (308,059): Jan (142,291), Feb (165,768))</t>
        </is>
      </c>
      <c r="C104" s="4" t="inlineStr">
        <is>
          <t xml:space="preserve">PO!N67, N73; B67:M67</t>
        </is>
      </c>
    </row>
    <row r="105">
      <c r="A105" s="4" t="inlineStr">
        <is>
          <t xml:space="preserve">PE 5140 Benefits - Production, 2026</t>
        </is>
      </c>
      <c r="B105" s="4" t="inlineStr">
        <is>
          <t xml:space="preserve">(56,264) (Jan (54,671), Mar (1,593))</t>
        </is>
      </c>
      <c r="C105" s="4" t="inlineStr">
        <is>
          <t xml:space="preserve">PE!N35; B35:M35</t>
        </is>
      </c>
    </row>
    <row r="106">
      <c r="A106" s="4" t="inlineStr">
        <is>
          <t xml:space="preserve">COO 5100 Labour - Production: 2026 / 2027 budget / 2027 with the ramp expensed</t>
        </is>
      </c>
      <c r="B106" s="4" t="inlineStr">
        <is>
          <t xml:space="preserve">208,574 / 652,820 (3.1x) / 2,615,209 (12.5x)</t>
        </is>
      </c>
      <c r="C106" s="4" t="inlineStr">
        <is>
          <t xml:space="preserve">COO P&amp;L!N36, AG36; + I-05 net</t>
        </is>
      </c>
    </row>
    <row r="107">
      <c r="A107" s="4" t="inlineStr">
        <is>
          <t xml:space="preserve">7200 Contractors, 2026 (2027 budget)</t>
        </is>
      </c>
      <c r="B107" s="4" t="inlineStr">
        <is>
          <t xml:space="preserve">214,591 (0): FO 59,734, FE 154,857, PO 0</t>
        </is>
      </c>
      <c r="C107" s="4" t="inlineStr">
        <is>
          <t xml:space="preserve">COO P&amp;L!N91; FO!N91; FE!N91; PO!N91</t>
        </is>
      </c>
    </row>
    <row r="108">
      <c r="A108" s="4" t="inlineStr">
        <is>
          <t xml:space="preserve">Ramp by model (9-overlap)</t>
        </is>
      </c>
      <c r="B108" s="4" t="inlineStr">
        <is>
          <t xml:space="preserve">lift 1,132,479, tray 588,617, supervisors 241,294 = 1,962,389</t>
        </is>
      </c>
      <c r="C108" s="4" t="inlineStr">
        <is>
          <t xml:space="preserve">Prod Payroll rows 41, 62, 79 less current staff</t>
        </is>
      </c>
    </row>
    <row r="109">
      <c r="A109" s="4" t="inlineStr">
        <is>
          <t xml:space="preserve">Allocated to units (A-32)</t>
        </is>
      </c>
      <c r="B109" s="4" t="inlineStr">
        <is>
          <t xml:space="preserve">lifts 1,291,250 / 312 built = 4,139 per lift (6.4% of 65,000); trays 671,139 / 1,355 = 495 per tray (6.2% of 8,000)</t>
        </is>
      </c>
      <c r="C109" s="4" t="inlineStr">
        <is>
          <t xml:space="preserve">DeploySum!R24:R25</t>
        </is>
      </c>
    </row>
    <row r="110">
      <c r="A110" s="4" t="inlineStr">
        <is>
          <t xml:space="preserve">2027 depreciation of capitalised ramp (9 / 7-overlap)</t>
        </is>
      </c>
      <c r="B110" s="4" t="inlineStr">
        <is>
          <t xml:space="preserve">64,735 (lifts 47,693, trays 17,043) / 69,357</t>
        </is>
      </c>
      <c r="C110" s="4" t="inlineStr">
        <is>
          <t xml:space="preserve">go-live vintages 3-12 of 2027 ('Depreciation Schedule' rows 40-49, 53-62)</t>
        </is>
      </c>
    </row>
    <row r="111">
      <c r="A111" s="4" t="inlineStr">
        <is>
          <t xml:space="preserve">Model-total split check (handoff fallback)</t>
        </is>
      </c>
      <c r="B111" s="4" t="inlineStr">
        <is>
          <t xml:space="preserve">lift share 69.0%: depreciation 65,458</t>
        </is>
      </c>
      <c r="C111" s="4" t="inlineStr">
        <is>
          <t xml:space="preserve">Prod Payroll S41, S62, S79</t>
        </is>
      </c>
    </row>
    <row r="112">
      <c r="A112" s="4" t="inlineStr">
        <is>
          <t xml:space="preserve">On the balance sheet at Dec-27 (9-overlap)</t>
        </is>
      </c>
      <c r="B112" s="4" t="inlineStr">
        <is>
          <t xml:space="preserve">1,897,654</t>
        </is>
      </c>
      <c r="C112" s="4" t="inlineStr">
        <is>
          <t xml:space="preserve">capitalised less 2027 depreciation</t>
        </is>
      </c>
    </row>
    <row r="114">
      <c r="A114" s="2" t="inlineStr">
        <is>
          <t xml:space="preserve">2027 COO contribution under each treatment (9-overlap / 7-overlap)</t>
        </is>
      </c>
    </row>
    <row r="115">
      <c r="A115" s="3" t="inlineStr">
        <is>
          <t xml:space="preserve">Treatment of the production ramp</t>
        </is>
      </c>
      <c r="B115" s="3" t="inlineStr">
        <is>
          <t xml:space="preserve">9-overlap</t>
        </is>
      </c>
      <c r="C115" s="3" t="inlineStr">
        <is>
          <t xml:space="preserve">7-overlap</t>
        </is>
      </c>
      <c r="D115" s="3" t="inlineStr">
        <is>
          <t xml:space="preserve">Effect</t>
        </is>
      </c>
    </row>
    <row r="116">
      <c r="A116" s="4" t="inlineStr">
        <is>
          <t xml:space="preserve">Budget as built (ramp not in the budget)</t>
        </is>
      </c>
      <c r="B116" s="4" t="inlineStr">
        <is>
          <t xml:space="preserve">139,032</t>
        </is>
      </c>
      <c r="C116" s="4" t="inlineStr">
        <is>
          <t xml:space="preserve">139,032</t>
        </is>
      </c>
      <c r="D116" s="4" t="inlineStr">
        <is>
          <t xml:space="preserve">-</t>
        </is>
      </c>
    </row>
    <row r="117">
      <c r="A117" s="4" t="inlineStr">
        <is>
          <t xml:space="preserve">Ramp expensed</t>
        </is>
      </c>
      <c r="B117" s="4" t="inlineStr">
        <is>
          <t xml:space="preserve">(1,823,358)</t>
        </is>
      </c>
      <c r="C117" s="4" t="inlineStr">
        <is>
          <t xml:space="preserve">(1,963,470)</t>
        </is>
      </c>
      <c r="D117" s="4" t="inlineStr">
        <is>
          <t xml:space="preserve">I-05 (1,962,389) / (2,102,502)</t>
        </is>
      </c>
    </row>
    <row r="118">
      <c r="A118" s="4" t="inlineStr">
        <is>
          <t xml:space="preserve">Ramp capitalised on top of the 65,000 / 8,000 unit cost (depreciation only)</t>
        </is>
      </c>
      <c r="B118" s="4" t="inlineStr">
        <is>
          <t xml:space="preserve">74,297</t>
        </is>
      </c>
      <c r="C118" s="4" t="inlineStr">
        <is>
          <t xml:space="preserve">69,674</t>
        </is>
      </c>
      <c r="D118" s="4" t="inlineStr">
        <is>
          <t xml:space="preserve">(64,735) / (69,357)</t>
        </is>
      </c>
    </row>
    <row r="119">
      <c r="A119" s="4" t="inlineStr">
        <is>
          <t xml:space="preserve">Ramp capitalised, already inside the unit cost</t>
        </is>
      </c>
      <c r="B119" s="4" t="inlineStr">
        <is>
          <t xml:space="preserve">139,032</t>
        </is>
      </c>
      <c r="C119" s="4" t="inlineStr">
        <is>
          <t xml:space="preserve">139,032</t>
        </is>
      </c>
      <c r="D119" s="4" t="inlineStr">
        <is>
          <t xml:space="preserve">0</t>
        </is>
      </c>
    </row>
    <row r="121">
      <c r="A121" s="2" t="inlineStr">
        <is>
          <t xml:space="preserve">Prod Payroll overlap with PO HC: two readings (B2)</t>
        </is>
      </c>
    </row>
    <row r="122">
      <c r="A122" s="3" t="inlineStr">
        <is>
          <t xml:space="preserve">Reading</t>
        </is>
      </c>
      <c r="B122" s="3" t="inlineStr">
        <is>
          <t xml:space="preserve">Who overlaps</t>
        </is>
      </c>
      <c r="C122" s="3" t="inlineStr">
        <is>
          <t xml:space="preserve">I-05 net</t>
        </is>
      </c>
      <c r="D122" s="3" t="inlineStr">
        <is>
          <t xml:space="preserve">I-17 net</t>
        </is>
      </c>
      <c r="E122" s="3" t="inlineStr">
        <is>
          <t xml:space="preserve">I-05 + I-17</t>
        </is>
      </c>
    </row>
    <row r="123">
      <c r="A123" s="4" t="inlineStr">
        <is>
          <t xml:space="preserve">9 of 9 by count (v6)</t>
        </is>
      </c>
      <c r="B123" s="4" t="inlineStr">
        <is>
          <t xml:space="preserve">all 9 PO HC people = Prod Payroll's 9 current staff (7 lift + 2 tray, no names in the model)</t>
        </is>
      </c>
      <c r="C123" s="4" t="inlineStr">
        <is>
          <t xml:space="preserve">1,962,389</t>
        </is>
      </c>
      <c r="D123" s="4" t="inlineStr">
        <is>
          <t xml:space="preserve">336,530</t>
        </is>
      </c>
      <c r="E123" s="4" t="inlineStr">
        <is>
          <t xml:space="preserve">2,298,919 as shipped in v6: PO HC r20 taken out twice (in I-05 by count, in I-17 as MH-01 by name). Deduplicated, MH-01 counts as a new seat: 2,360,882</t>
        </is>
      </c>
    </row>
    <row r="124">
      <c r="A124" s="4" t="inlineStr">
        <is>
          <t xml:space="preserve">7 of 9 by role (critic B2)</t>
        </is>
      </c>
      <c r="B124" s="4" t="inlineStr">
        <is>
          <t xml:space="preserve">the 7 production staff (2 Team Lead, 2 Senior Production Technician, 1 Production Technician, 2 Production Associate) are Prod Payroll current staff; r20 Material Handler = MH-01 (name) and r16 Material Handling Team Lead (backfilled by MH-02) belong with Logistics&amp;WH</t>
        </is>
      </c>
      <c r="C124" s="4" t="inlineStr">
        <is>
          <t xml:space="preserve">2,102,502 (+140,112: 2 model seats at 70,056 each)</t>
        </is>
      </c>
      <c r="D124" s="4" t="inlineStr">
        <is>
          <t xml:space="preserve">336,530</t>
        </is>
      </c>
      <c r="E124" s="4" t="inlineStr">
        <is>
          <t xml:space="preserve">2,439,031 (no seat taken out twice)</t>
        </is>
      </c>
    </row>
    <row r="126">
      <c r="A126" s="2" t="inlineStr">
        <is>
          <t xml:space="preserve">Other v7 checks (critic v6 O1-O8, verifier V1)</t>
        </is>
      </c>
    </row>
    <row r="127">
      <c r="A127" s="3" t="inlineStr">
        <is>
          <t xml:space="preserve">Item</t>
        </is>
      </c>
      <c r="B127" s="3" t="inlineStr">
        <is>
          <t xml:space="preserve">Point</t>
        </is>
      </c>
      <c r="C127" s="3" t="inlineStr">
        <is>
          <t xml:space="preserve">Finding</t>
        </is>
      </c>
      <c r="D127" s="3" t="inlineStr">
        <is>
          <t xml:space="preserve">Source</t>
        </is>
      </c>
    </row>
    <row r="128">
      <c r="A128" s="4" t="inlineStr">
        <is>
          <t xml:space="preserve">O1</t>
        </is>
      </c>
      <c r="B128" s="4" t="inlineStr">
        <is>
          <t xml:space="preserve">I-05 at PO HC burden rates</t>
        </is>
      </c>
      <c r="C128" s="4" t="inlineStr">
        <is>
          <t xml:space="preserve">PO HC 24.3% of salary vs the model's 15.6%: +141,924; ramp 2,104,313 (9-overlap)</t>
        </is>
      </c>
      <c r="D128" s="4" t="inlineStr">
        <is>
          <t xml:space="preserve">'HC-PO'!D6:D7; Prod Payroll B6:C7, H6:H7</t>
        </is>
      </c>
    </row>
    <row r="129">
      <c r="A129" s="4" t="inlineStr">
        <is>
          <t xml:space="preserve">O2</t>
        </is>
      </c>
      <c r="B129" s="4" t="inlineStr">
        <is>
          <t xml:space="preserve">SD models may be older than the roster</t>
        </is>
      </c>
      <c r="C129" s="4" t="inlineStr">
        <is>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is>
      </c>
      <c r="D129" s="4" t="inlineStr">
        <is>
          <t xml:space="preserve">Prod Payroll rows 31, 52, 71; HC tabs</t>
        </is>
      </c>
    </row>
    <row r="130">
      <c r="A130" s="4" t="inlineStr">
        <is>
          <t xml:space="preserve">O3</t>
        </is>
      </c>
      <c r="B130" s="4" t="inlineStr">
        <is>
          <t xml:space="preserve">FO/FE person</t>
        </is>
      </c>
      <c r="C130" s="4" t="inlineStr">
        <is>
          <t xml:space="preserve">Probable duplicate (name match only; title/salary differ; likely FO-&gt;FE move); upside pro rata to the months after the move (about 6,544 per month on the FO side)</t>
        </is>
      </c>
      <c r="D130" s="4" t="inlineStr">
        <is>
          <t xml:space="preserve">I-28; Decision #7</t>
        </is>
      </c>
    </row>
    <row r="131">
      <c r="A131" s="4" t="inlineStr">
        <is>
          <t xml:space="preserve">O4 / V1</t>
        </is>
      </c>
      <c r="B131" s="4" t="inlineStr">
        <is>
          <t xml:space="preserve">I-28 FO side with knock-ons</t>
        </is>
      </c>
      <c r="C131" s="4" t="inlineStr">
        <is>
          <t xml:space="preserve">Fld Ops Payroll B11 14 -&gt; 13, LibreOffice recalculation: +78,529.08 = payroll +78,198.12 + 5330 +330.96 (Fld Maint Budget!B29); supervisor headcount unchanged (True); after 217,561 (v6: +78,198, 217,230)</t>
        </is>
      </c>
      <c r="D131" s="4" t="inlineStr">
        <is>
          <t xml:space="preserve">scen_v7.py; COO P&amp;L!AG46, AG52:AG54</t>
        </is>
      </c>
    </row>
    <row r="132">
      <c r="A132" s="4" t="inlineStr">
        <is>
          <t xml:space="preserve">O5</t>
        </is>
      </c>
      <c r="B132" s="4" t="inlineStr">
        <is>
          <t xml:space="preserve">FE HC r35 is an open seat</t>
        </is>
      </c>
      <c r="C132" s="4" t="inlineStr">
        <is>
          <t xml:space="preserve">'Open Positions' (HC-FE row 34), no employee; A-29 amended (start relaxed); _2 excludes it, SD costs it from Jan-27: up to +173,774 (I-39)</t>
        </is>
      </c>
      <c r="D132" s="4" t="inlineStr">
        <is>
          <t xml:space="preserve">'HC-FE'!B34:F35; Fld Eng Budget r20</t>
        </is>
      </c>
    </row>
    <row r="133">
      <c r="A133" s="4" t="inlineStr">
        <is>
          <t xml:space="preserve">O6</t>
        </is>
      </c>
      <c r="B133" s="4" t="inlineStr">
        <is>
          <t xml:space="preserve">HC T&amp;B tax rates below FICA</t>
        </is>
      </c>
      <c r="C133" s="4" t="inlineStr">
        <is>
          <t xml:space="preserve">all five below 7.65% (3.57%-6.85%); PO/CO/PE up to (77,882); I-34 +76,600 if FE tax at 7.65% (I-37)</t>
        </is>
      </c>
      <c r="D133" s="4" t="inlineStr">
        <is>
          <t xml:space="preserve">'HC-*'!D6</t>
        </is>
      </c>
    </row>
    <row r="134">
      <c r="A134" s="4" t="inlineStr">
        <is>
          <t xml:space="preserve">O7</t>
        </is>
      </c>
      <c r="B134" s="4" t="inlineStr">
        <is>
          <t xml:space="preserve">Range asymmetry</t>
        </is>
      </c>
      <c r="C134" s="4" t="inlineStr">
        <is>
          <t xml:space="preserve">lower bound 1 (2,723,481) (9-overlap (2,645,332)); lower bound 2 (excl. I-05) (620,980); I-05 capitalised on top (690,337); upper 1,492,606</t>
        </is>
      </c>
      <c r="D134" s="4" t="inlineStr">
        <is>
          <t xml:space="preserve">Sign-flip statement</t>
        </is>
      </c>
    </row>
    <row r="135">
      <c r="A135" s="4" t="inlineStr">
        <is>
          <t xml:space="preserve">O8</t>
        </is>
      </c>
      <c r="B135" s="4" t="inlineStr">
        <is>
          <t xml:space="preserve">Privacy</t>
        </is>
      </c>
      <c r="C135" s="4" t="inlineStr">
        <is>
          <t xml:space="preserve">CONFIDENTIAL banner (md and Collation Notes); per-person amounts rounded to $5k in the md (A-35); no per-person CSV written in v7; scratch name lists deleted</t>
        </is>
      </c>
      <c r="D135" s="4" t="inlineStr">
        <is>
          <t xml:space="preserve">md; Collation Notes; run_build_v7.sh</t>
        </is>
      </c>
    </row>
    <row r="137">
      <c r="A137" s="2" t="inlineStr">
        <is>
          <t xml:space="preserve">Payroll reconciliation (v6): HC roster vs P&amp;L payroll lines (2027, salary + tax + benefits)</t>
        </is>
      </c>
    </row>
    <row r="138">
      <c r="A138" s="0" t="inlineStr">
        <is>
          <t xml:space="preserve">FO: SD Fld Ops Payroll = current 16 (= FO HC 16: 14 techs by count, coordinator and manager by name) 1,338,696 + ramp 2,618,543 = 3,957,239 (FO 5510-5540). Current salary 1,086,604 vs FO HC / COO book 5510 1,088,252 ((1,648): model average tech salary).</t>
        </is>
      </c>
    </row>
    <row r="139">
      <c r="A139" s="0" t="inlineStr">
        <is>
          <t xml:space="preserve">PO: PO HC 9 = PO 5110-5140 (652,820). Of the 9, 9 match Prod Payroll's current staff by headcount, 1 (r20) is Logistics&amp;WH MH-01 by name. Net increments not in the budget: Prod Payroll ramp 1,962,389 (I-05), Logistics&amp;WH 7 seats 336,530 (I-17); together 2,298,919 as summed in v6, which takes PO HC r20 out twice; deduplicated 2,360,882 (9 of 9 by count) or 2,439,031 (7 of 9 by role; I-05 2,102,502), v7 B2.</t>
        </is>
      </c>
    </row>
    <row r="140">
      <c r="A140" s="0" t="inlineStr">
        <is>
          <t xml:space="preserve">Net ramp headcount Jan..Dec 27 (Prod Payroll + Logistics&amp;WH): 17, 24, 25, 25, 25, 26, 32, 32, 38, 41, 49, 52.</t>
        </is>
      </c>
    </row>
    <row r="141">
      <c r="A141" s="0" t="inlineStr">
        <is>
          <t xml:space="preserve">CO: CO HC 5 = CO 6610-6640. PE: PE HC 9 = PE 6610-6640; r22 'transfer?' 254,785 (I-35). FE: budget = Fld Eng Budget; FE HC + r15 (I-28) + Aug-27 hire (I-36); burden +109,539 vs FE HC rates (I-34).</t>
        </is>
      </c>
    </row>
    <row r="142">
      <c r="A142" s="3" t="inlineStr">
        <is>
          <t xml:space="preserve">Dept</t>
        </is>
      </c>
      <c r="B142" s="3" t="inlineStr">
        <is>
          <t xml:space="preserve">GL</t>
        </is>
      </c>
      <c r="C142" s="3" t="inlineStr">
        <is>
          <t xml:space="preserve">HC people</t>
        </is>
      </c>
      <c r="D142" s="3" t="inlineStr">
        <is>
          <t xml:space="preserve">HC roster total</t>
        </is>
      </c>
      <c r="E142" s="3" t="inlineStr">
        <is>
          <t xml:space="preserve">v6 P&amp;L (= v5)</t>
        </is>
      </c>
      <c r="F142" s="3" t="inlineStr">
        <is>
          <t xml:space="preserve">COO book _2</t>
        </is>
      </c>
    </row>
    <row r="143">
      <c r="A143" s="4" t="inlineStr">
        <is>
          <t xml:space="preserve">FO</t>
        </is>
      </c>
      <c r="B143" s="4" t="inlineStr">
        <is>
          <t xml:space="preserve">5510/5530/5540</t>
        </is>
      </c>
      <c r="C143" s="5">
        <v>16</v>
      </c>
      <c r="D143" s="5">
        <v>1341297.54</v>
      </c>
      <c r="E143" s="5">
        <v>3957238.64</v>
      </c>
      <c r="F143" s="5">
        <v>1341297.54</v>
      </c>
    </row>
    <row r="144">
      <c r="A144" s="4" t="inlineStr">
        <is>
          <t xml:space="preserve">PO</t>
        </is>
      </c>
      <c r="B144" s="4" t="inlineStr">
        <is>
          <t xml:space="preserve">5110/5130/5140</t>
        </is>
      </c>
      <c r="C144" s="5">
        <v>9</v>
      </c>
      <c r="D144" s="5">
        <v>652819.95</v>
      </c>
      <c r="E144" s="5">
        <v>652819.95</v>
      </c>
      <c r="F144" s="5">
        <v>652819.95</v>
      </c>
    </row>
    <row r="145">
      <c r="A145" s="4" t="inlineStr">
        <is>
          <t xml:space="preserve">CO</t>
        </is>
      </c>
      <c r="B145" s="4" t="inlineStr">
        <is>
          <t xml:space="preserve">6610/6630/6640</t>
        </is>
      </c>
      <c r="C145" s="5">
        <v>5</v>
      </c>
      <c r="D145" s="5">
        <v>618961.22</v>
      </c>
      <c r="E145" s="5">
        <v>618961.22</v>
      </c>
      <c r="F145" s="5">
        <v>618961.22</v>
      </c>
    </row>
    <row r="146">
      <c r="A146" s="4" t="inlineStr">
        <is>
          <t xml:space="preserve">FE</t>
        </is>
      </c>
      <c r="B146" s="4" t="inlineStr">
        <is>
          <t xml:space="preserve">6610/6630/6640</t>
        </is>
      </c>
      <c r="C146" s="5">
        <v>7</v>
      </c>
      <c r="D146" s="5">
        <v>908979.5</v>
      </c>
      <c r="E146" s="5">
        <v>1133297.54</v>
      </c>
      <c r="F146" s="5">
        <v>752001.97</v>
      </c>
    </row>
    <row r="147">
      <c r="A147" s="4" t="inlineStr">
        <is>
          <t xml:space="preserve">PE</t>
        </is>
      </c>
      <c r="B147" s="4" t="inlineStr">
        <is>
          <t xml:space="preserve">6610/6630/6640</t>
        </is>
      </c>
      <c r="C147" s="5">
        <v>9</v>
      </c>
      <c r="D147" s="5">
        <v>1211637.29</v>
      </c>
      <c r="E147" s="5">
        <v>1211637.29</v>
      </c>
      <c r="F147" s="5">
        <v>1211637.29</v>
      </c>
    </row>
    <row r="149">
      <c r="A149" s="2" t="inlineStr">
        <is>
          <t xml:space="preserve">Duplicate scan (I-28): person matches across rosters (names not shown)</t>
        </is>
      </c>
    </row>
    <row r="150">
      <c r="A150" s="3" t="inlineStr">
        <is>
          <t xml:space="preserve">Person A</t>
        </is>
      </c>
      <c r="B150" s="3" t="inlineStr">
        <is>
          <t xml:space="preserve">Person B</t>
        </is>
      </c>
      <c r="C150" s="3" t="inlineStr">
        <is>
          <t xml:space="preserve">Match basis</t>
        </is>
      </c>
      <c r="D150" s="3" t="inlineStr">
        <is>
          <t xml:space="preserve">Classification</t>
        </is>
      </c>
    </row>
    <row r="151">
      <c r="A151" s="4" t="inlineStr">
        <is>
          <t xml:space="preserve">FO HC r15 Field Technician</t>
        </is>
      </c>
      <c r="B151" s="4" t="inlineStr">
        <is>
          <t xml:space="preserve">Fld Eng Budget r15 Field Engineer</t>
        </is>
      </c>
      <c r="C151" s="4" t="inlineStr">
        <is>
          <t xml:space="preserve">name</t>
        </is>
      </c>
      <c r="D151" s="4" t="inlineStr">
        <is>
          <t xml:space="preserve">PROBABLE DUPLICATE (name match only; title and salary differ; likely FO-&gt;FE move) across P&amp;L sources: FO 5510-5540 (Fld Ops Payroll current techs, by count) and FE 6610-6640 (Fld Eng Budget)</t>
        </is>
      </c>
    </row>
    <row r="152">
      <c r="A152" s="4" t="inlineStr">
        <is>
          <t xml:space="preserve">FO HC r21 Operations Coordinator</t>
        </is>
      </c>
      <c r="B152" s="4" t="inlineStr">
        <is>
          <t xml:space="preserve">Fld Ops Payroll r76 Operations Coordinator</t>
        </is>
      </c>
      <c r="C152" s="4" t="inlineStr">
        <is>
          <t xml:space="preserve">name</t>
        </is>
      </c>
      <c r="D152" s="4" t="inlineStr">
        <is>
          <t xml:space="preserve">same person, one P&amp;L source (FO 5510-5540 via Fld Ops Payroll)</t>
        </is>
      </c>
    </row>
    <row r="153">
      <c r="A153" s="4" t="inlineStr">
        <is>
          <t xml:space="preserve">FO HC r25 Field Maintenance Manager</t>
        </is>
      </c>
      <c r="B153" s="4" t="inlineStr">
        <is>
          <t xml:space="preserve">Fld Ops Payroll r77 Manager</t>
        </is>
      </c>
      <c r="C153" s="4" t="inlineStr">
        <is>
          <t xml:space="preserve">name</t>
        </is>
      </c>
      <c r="D153" s="4" t="inlineStr">
        <is>
          <t xml:space="preserve">same person, one P&amp;L source (FO 5510-5540 via Fld Ops Payroll)</t>
        </is>
      </c>
    </row>
    <row r="154">
      <c r="A154" s="4" t="inlineStr">
        <is>
          <t xml:space="preserve">PO HC r20 Material Handler</t>
        </is>
      </c>
      <c r="B154" s="4" t="inlineStr">
        <is>
          <t xml:space="preserve">Logistics&amp;WH MH-01 Material Handler</t>
        </is>
      </c>
      <c r="C154" s="4" t="inlineStr">
        <is>
          <t xml:space="preserve">name</t>
        </is>
      </c>
      <c r="D154" s="4" t="inlineStr">
        <is>
          <t xml:space="preserve">duplicate if the Logistics&amp;WH model is adopted (model not carried); excluded from the I-17 net increment</t>
        </is>
      </c>
    </row>
    <row r="155">
      <c r="A155" s="4" t="inlineStr">
        <is>
          <t xml:space="preserve">CO HC r17 Field Logistics Manager</t>
        </is>
      </c>
      <c r="B155" s="4" t="inlineStr">
        <is>
          <t xml:space="preserve">Logistics&amp;WH LOG-01 Logistics Manager</t>
        </is>
      </c>
      <c r="C155" s="4" t="inlineStr">
        <is>
          <t xml:space="preserve">name</t>
        </is>
      </c>
      <c r="D155" s="4" t="inlineStr">
        <is>
          <t xml:space="preserve">duplicate if the Logistics&amp;WH model is adopted (model not carried); excluded from the I-17 net increment</t>
        </is>
      </c>
    </row>
    <row r="156">
      <c r="A156" s="4" t="inlineStr">
        <is>
          <t xml:space="preserve">FE HC r14 Senior Field Robotics Engineer</t>
        </is>
      </c>
      <c r="B156" s="4" t="inlineStr">
        <is>
          <t xml:space="preserve">Fld Eng Budget r13 Field Engineer</t>
        </is>
      </c>
      <c r="C156" s="4" t="inlineStr">
        <is>
          <t xml:space="preserve">name</t>
        </is>
      </c>
      <c r="D156" s="4" t="inlineStr">
        <is>
          <t xml:space="preserve">same person, one P&amp;L source (FE 6610-6640 via Fld Eng Budget; FE HC is the roster, not costed separately)</t>
        </is>
      </c>
    </row>
    <row r="157">
      <c r="A157" s="4" t="inlineStr">
        <is>
          <t xml:space="preserve">FE HC r15 Associate Field Robotics Engineer</t>
        </is>
      </c>
      <c r="B157" s="4" t="inlineStr">
        <is>
          <t xml:space="preserve">Fld Eng Budget r14 Field Engineer</t>
        </is>
      </c>
      <c r="C157" s="4" t="inlineStr">
        <is>
          <t xml:space="preserve">name</t>
        </is>
      </c>
      <c r="D157" s="4" t="inlineStr">
        <is>
          <t xml:space="preserve">same person, one P&amp;L source (FE 6610-6640 via Fld Eng Budget; FE HC is the roster, not costed separately)</t>
        </is>
      </c>
    </row>
    <row r="158">
      <c r="A158" s="4" t="inlineStr">
        <is>
          <t xml:space="preserve">FE HC r16 Head of Service Delivery</t>
        </is>
      </c>
      <c r="B158" s="4" t="inlineStr">
        <is>
          <t xml:space="preserve">Fld Eng Budget r21 Head of Service Delivery</t>
        </is>
      </c>
      <c r="C158" s="4" t="inlineStr">
        <is>
          <t xml:space="preserve">name</t>
        </is>
      </c>
      <c r="D158" s="4" t="inlineStr">
        <is>
          <t xml:space="preserve">same person, one P&amp;L source (FE 6610-6640 via Fld Eng Budget; FE HC is the roster, not costed separately)</t>
        </is>
      </c>
    </row>
    <row r="159">
      <c r="A159" s="4" t="inlineStr">
        <is>
          <t xml:space="preserve">FE HC r17 Customer Support Manager</t>
        </is>
      </c>
      <c r="B159" s="4" t="inlineStr">
        <is>
          <t xml:space="preserve">Fld Eng Budget r17 Customer Support Manager</t>
        </is>
      </c>
      <c r="C159" s="4" t="inlineStr">
        <is>
          <t xml:space="preserve">name</t>
        </is>
      </c>
      <c r="D159" s="4" t="inlineStr">
        <is>
          <t xml:space="preserve">same person, one P&amp;L source (FE 6610-6640 via Fld Eng Budget; FE HC is the roster, not costed separately)</t>
        </is>
      </c>
    </row>
    <row r="160">
      <c r="A160" s="4" t="inlineStr">
        <is>
          <t xml:space="preserve">FE HC r18 Customer Support Specialist</t>
        </is>
      </c>
      <c r="B160" s="4" t="inlineStr">
        <is>
          <t xml:space="preserve">Fld Eng Budget r18 Customer Support Specialist</t>
        </is>
      </c>
      <c r="C160" s="4" t="inlineStr">
        <is>
          <t xml:space="preserve">name</t>
        </is>
      </c>
      <c r="D160" s="4" t="inlineStr">
        <is>
          <t xml:space="preserve">same person, one P&amp;L source (FE 6610-6640 via Fld Eng Budget; FE HC is the roster, not costed separately)</t>
        </is>
      </c>
    </row>
    <row r="161">
      <c r="A161" s="4" t="inlineStr">
        <is>
          <t xml:space="preserve">FE HC r19 Associate Field Robotics Engineer</t>
        </is>
      </c>
      <c r="B161" s="4" t="inlineStr">
        <is>
          <t xml:space="preserve">Fld Eng Budget r16 Field Engineer</t>
        </is>
      </c>
      <c r="C161" s="4" t="inlineStr">
        <is>
          <t xml:space="preserve">name</t>
        </is>
      </c>
      <c r="D161" s="4" t="inlineStr">
        <is>
          <t xml:space="preserve">same person, one P&amp;L source (FE 6610-6640 via Fld Eng Budget; FE HC is the roster, not costed separately)</t>
        </is>
      </c>
    </row>
    <row r="162">
      <c r="A162" s="4" t="inlineStr">
        <is>
          <t xml:space="preserve">FE HC r35 Field Engineer Manager</t>
        </is>
      </c>
      <c r="B162" s="4" t="inlineStr">
        <is>
          <t xml:space="preserve">Fld Eng Budget r20 Field Engineering Manager</t>
        </is>
      </c>
      <c r="C162" s="4" t="inlineStr">
        <is>
          <t xml:space="preserve">title + salary (start Dec-26 vs Jan-27)</t>
        </is>
      </c>
      <c r="D162" s="4" t="inlineStr">
        <is>
          <t xml:space="preserve">same seat (open position, no employee; start month relaxed, A-29), one P&amp;L source (FE 6610-6640 via Fld Eng Budget)</t>
        </is>
      </c>
    </row>
    <row r="164">
      <c r="A164" s="2" t="inlineStr">
        <is>
          <t xml:space="preserve">HC tabs: external-link formulas in the workfile, stored as cached values</t>
        </is>
      </c>
    </row>
    <row r="165">
      <c r="A165" s="3" t="inlineStr">
        <is>
          <t xml:space="preserve">Tab</t>
        </is>
      </c>
      <c r="B165" s="3" t="inlineStr">
        <is>
          <t xml:space="preserve">Cell</t>
        </is>
      </c>
      <c r="C165" s="3" t="inlineStr">
        <is>
          <t xml:space="preserve">Original formula (text)</t>
        </is>
      </c>
      <c r="D165" s="3" t="inlineStr">
        <is>
          <t xml:space="preserve">Stored value</t>
        </is>
      </c>
    </row>
    <row r="166">
      <c r="A166" s="4" t="inlineStr">
        <is>
          <t xml:space="preserve">HC-FO</t>
        </is>
      </c>
      <c r="B166" s="4" t="inlineStr">
        <is>
          <t xml:space="preserve">D6</t>
        </is>
      </c>
      <c r="C166" s="4" t="inlineStr">
        <is>
          <t xml:space="preserve">INDEX('[1]T&amp;B'!$S$13:$S$122,MATCH("FO",'[1]T&amp;B'!$R$13:$R$122,0))</t>
        </is>
      </c>
      <c r="D166" s="5">
        <v>0.06847090843043674</v>
      </c>
    </row>
    <row r="167">
      <c r="A167" s="4" t="inlineStr">
        <is>
          <t xml:space="preserve">HC-FO</t>
        </is>
      </c>
      <c r="B167" s="4" t="inlineStr">
        <is>
          <t xml:space="preserve">D7</t>
        </is>
      </c>
      <c r="C167" s="4" t="inlineStr">
        <is>
          <t xml:space="preserve">INDEX('[1]T&amp;B'!$T$13:$T$122,MATCH("FO",'[1]T&amp;B'!$R$13:$R$122,0))</t>
        </is>
      </c>
      <c r="D167" s="5">
        <v>0.1640537075149925</v>
      </c>
    </row>
    <row r="168">
      <c r="A168" s="4" t="inlineStr">
        <is>
          <t xml:space="preserve">HC-PO</t>
        </is>
      </c>
      <c r="B168" s="4" t="inlineStr">
        <is>
          <t xml:space="preserve">D6</t>
        </is>
      </c>
      <c r="C168" s="4" t="inlineStr">
        <is>
          <t xml:space="preserve">INDEX('[1]T&amp;B'!$S$13:$S$122,MATCH("PO",'[1]T&amp;B'!$R$13:$R$122,0))</t>
        </is>
      </c>
      <c r="D168" s="5">
        <v>0.0363688968844175</v>
      </c>
    </row>
    <row r="169">
      <c r="A169" s="4" t="inlineStr">
        <is>
          <t xml:space="preserve">HC-PO</t>
        </is>
      </c>
      <c r="B169" s="4" t="inlineStr">
        <is>
          <t xml:space="preserve">D7</t>
        </is>
      </c>
      <c r="C169" s="4" t="inlineStr">
        <is>
          <t xml:space="preserve">INDEX('[1]T&amp;B'!$T$13:$T$122,MATCH("PO",'[1]T&amp;B'!$R$13:$R$122,0))</t>
        </is>
      </c>
      <c r="D169" s="5">
        <v>0.2063626870194415</v>
      </c>
    </row>
    <row r="170">
      <c r="A170" s="4" t="inlineStr">
        <is>
          <t xml:space="preserve">HC-CO</t>
        </is>
      </c>
      <c r="B170" s="4" t="inlineStr">
        <is>
          <t xml:space="preserve">D6</t>
        </is>
      </c>
      <c r="C170" s="4" t="inlineStr">
        <is>
          <t xml:space="preserve">INDEX('[1]T&amp;B'!$S$13:$S$122,MATCH("CO",'[1]T&amp;B'!$R$13:$R$122,0))</t>
        </is>
      </c>
      <c r="D170" s="5">
        <v>0.05221456081868095</v>
      </c>
    </row>
    <row r="171">
      <c r="A171" s="4" t="inlineStr">
        <is>
          <t xml:space="preserve">HC-CO</t>
        </is>
      </c>
      <c r="B171" s="4" t="inlineStr">
        <is>
          <t xml:space="preserve">D7</t>
        </is>
      </c>
      <c r="C171" s="4" t="inlineStr">
        <is>
          <t xml:space="preserve">INDEX('[1]T&amp;B'!$T$13:$T$122,MATCH("CO",'[1]T&amp;B'!$R$13:$R$122,0))</t>
        </is>
      </c>
      <c r="D171" s="5">
        <v>0.11905805336231291</v>
      </c>
    </row>
    <row r="172">
      <c r="A172" s="4" t="inlineStr">
        <is>
          <t xml:space="preserve">HC-FE</t>
        </is>
      </c>
      <c r="B172" s="4" t="inlineStr">
        <is>
          <t xml:space="preserve">D6</t>
        </is>
      </c>
      <c r="C172" s="4" t="inlineStr">
        <is>
          <t xml:space="preserve">INDEX('[1]T&amp;B'!$S$13:$S$122,MATCH("FE",'[1]T&amp;B'!$R$13:$R$122,0))</t>
        </is>
      </c>
      <c r="D172" s="5">
        <v>0.04069206916139072</v>
      </c>
    </row>
    <row r="173">
      <c r="A173" s="4" t="inlineStr">
        <is>
          <t xml:space="preserve">HC-FE</t>
        </is>
      </c>
      <c r="B173" s="4" t="inlineStr">
        <is>
          <t xml:space="preserve">D7</t>
        </is>
      </c>
      <c r="C173" s="4" t="inlineStr">
        <is>
          <t xml:space="preserve">INDEX('[1]T&amp;B'!$T$13:$T$122,MATCH("FE",'[1]T&amp;B'!$R$13:$R$122,0))</t>
        </is>
      </c>
      <c r="D173" s="5">
        <v>0.07222908537898412</v>
      </c>
    </row>
    <row r="174">
      <c r="A174" s="4" t="inlineStr">
        <is>
          <t xml:space="preserve">HC-PE</t>
        </is>
      </c>
      <c r="B174" s="4" t="inlineStr">
        <is>
          <t xml:space="preserve">D6</t>
        </is>
      </c>
      <c r="C174" s="4" t="inlineStr">
        <is>
          <t xml:space="preserve">INDEX('[1]T&amp;B'!$S$13:$S$122,MATCH("PE",'[1]T&amp;B'!$R$13:$R$122,0))</t>
        </is>
      </c>
      <c r="D174" s="5">
        <v>0.03571466207894362</v>
      </c>
    </row>
    <row r="175">
      <c r="A175" s="4" t="inlineStr">
        <is>
          <t xml:space="preserve">HC-PE</t>
        </is>
      </c>
      <c r="B175" s="4" t="inlineStr">
        <is>
          <t xml:space="preserve">D7</t>
        </is>
      </c>
      <c r="C175" s="4" t="inlineStr">
        <is>
          <t xml:space="preserve">INDEX('[1]T&amp;B'!$T$13:$T$122,MATCH("PE",'[1]T&amp;B'!$R$13:$R$122,0))</t>
        </is>
      </c>
      <c r="D175" s="5">
        <v>0.08823232679686793</v>
      </c>
    </row>
    <row r="177">
      <c r="A177" s="2" t="inlineStr">
        <is>
          <t xml:space="preserve">Assumptions register</t>
        </is>
      </c>
    </row>
    <row r="178">
      <c r="A178" s="3" t="inlineStr">
        <is>
          <t xml:space="preserve">ID</t>
        </is>
      </c>
      <c r="B178" s="3" t="inlineStr">
        <is>
          <t xml:space="preserve">Assumption</t>
        </is>
      </c>
      <c r="C178" s="3" t="inlineStr">
        <is>
          <t xml:space="preserve">Value / effect</t>
        </is>
      </c>
      <c r="D178" s="3" t="inlineStr">
        <is>
          <t xml:space="preserve">Where</t>
        </is>
      </c>
      <c r="E178" s="3" t="inlineStr">
        <is>
          <t xml:space="preserve">Source</t>
        </is>
      </c>
    </row>
    <row r="179">
      <c r="A179" s="4" t="inlineStr">
        <is>
          <t xml:space="preserve">A-01</t>
        </is>
      </c>
      <c r="B179" s="4" t="inlineStr">
        <is>
          <t xml:space="preserve">2027 revenue = DeploySum recognized revenue Jan-Dec 27</t>
        </is>
      </c>
      <c r="C179" s="4" t="inlineStr">
        <is>
          <t xml:space="preserve">15,563,646</t>
        </is>
      </c>
      <c r="D179" s="4" t="inlineStr">
        <is>
          <t xml:space="preserve">PO!U12:AF12 &lt;- DeploySum!F40:Q40</t>
        </is>
      </c>
      <c r="E179" s="4" t="inlineStr">
        <is>
          <t xml:space="preserve">DeploySum 9/30/26 (row 39 in that file)</t>
        </is>
      </c>
    </row>
    <row r="180">
      <c r="A180" s="4" t="inlineStr">
        <is>
          <t xml:space="preserve">A-02</t>
        </is>
      </c>
      <c r="B180" s="4" t="inlineStr">
        <is>
          <t xml:space="preserve">All 2027 revenue maps to 4100 Subscription/Platform Fees</t>
        </is>
      </c>
      <c r="C180" s="4" t="inlineStr">
        <is>
          <t xml:space="preserve">4100 = 100%</t>
        </is>
      </c>
      <c r="D180" s="4" t="inlineStr">
        <is>
          <t xml:space="preserve">PO row 12</t>
        </is>
      </c>
      <c r="E180" s="4" t="inlineStr">
        <is>
          <t xml:space="preserve">orchestrator assumption (brief v3)</t>
        </is>
      </c>
    </row>
    <row r="181">
      <c r="A181" s="4" t="inlineStr">
        <is>
          <t xml:space="preserve">A-03</t>
        </is>
      </c>
      <c r="B181" s="4" t="inlineStr">
        <is>
          <t xml:space="preserve">4500 Implementation and 4900 One-Time revenue stay 0 in 2027</t>
        </is>
      </c>
      <c r="C181" s="4" t="inlineStr">
        <is>
          <t xml:space="preserve">0</t>
        </is>
      </c>
      <c r="D181" s="4" t="inlineStr">
        <is>
          <t xml:space="preserve">PO rows 13, 15 (unchanged)</t>
        </is>
      </c>
      <c r="E181" s="4" t="inlineStr">
        <is>
          <t xml:space="preserve">orchestrator assumption (brief v3: source does not split them)</t>
        </is>
      </c>
    </row>
    <row r="182">
      <c r="A182" s="4" t="inlineStr">
        <is>
          <t xml:space="preserve">A-04</t>
        </is>
      </c>
      <c r="B182" s="4" t="inlineStr">
        <is>
          <t xml:space="preserve">Straight-line depreciation, no salvage</t>
        </is>
      </c>
      <c r="C182" s="4" t="inlineStr">
        <is>
          <t xml:space="preserve">salvage 0%</t>
        </is>
      </c>
      <c r="D182" s="4" t="inlineStr">
        <is>
          <t xml:space="preserve">'Depreciation Schedule'!B12</t>
        </is>
      </c>
      <c r="E182" s="4" t="inlineStr">
        <is>
          <t xml:space="preserve">user-confirmed 2026-10-09</t>
        </is>
      </c>
    </row>
    <row r="183">
      <c r="A183" s="4" t="inlineStr">
        <is>
          <t xml:space="preserve">A-05</t>
        </is>
      </c>
      <c r="B183" s="4" t="inlineStr">
        <is>
          <t xml:space="preserve">SlipLift useful life</t>
        </is>
      </c>
      <c r="C183" s="4" t="inlineStr">
        <is>
          <t xml:space="preserve">84 months</t>
        </is>
      </c>
      <c r="D183" s="4" t="inlineStr">
        <is>
          <t xml:space="preserve">'Depreciation Schedule'!B9</t>
        </is>
      </c>
      <c r="E183" s="4" t="inlineStr">
        <is>
          <t xml:space="preserve">user-confirmed 2026-10-09</t>
        </is>
      </c>
    </row>
    <row r="184">
      <c r="A184" s="4" t="inlineStr">
        <is>
          <t xml:space="preserve">A-06</t>
        </is>
      </c>
      <c r="B184" s="4" t="inlineStr">
        <is>
          <t xml:space="preserve">SlipTray useful life</t>
        </is>
      </c>
      <c r="C184" s="4" t="inlineStr">
        <is>
          <t xml:space="preserve">120 months</t>
        </is>
      </c>
      <c r="D184" s="4" t="inlineStr">
        <is>
          <t xml:space="preserve">'Depreciation Schedule'!B10</t>
        </is>
      </c>
      <c r="E184" s="4" t="inlineStr">
        <is>
          <t xml:space="preserve">user-confirmed 2026-10-09</t>
        </is>
      </c>
    </row>
    <row r="185">
      <c r="A185" s="4" t="inlineStr">
        <is>
          <t xml:space="preserve">A-07</t>
        </is>
      </c>
      <c r="B185" s="4" t="inlineStr">
        <is>
          <t xml:space="preserve">SlipLift unit cost</t>
        </is>
      </c>
      <c r="C185" s="4" t="inlineStr">
        <is>
          <t xml:space="preserve">65,000</t>
        </is>
      </c>
      <c r="D185" s="4" t="inlineStr">
        <is>
          <t xml:space="preserve">'Depreciation Schedule'!B6</t>
        </is>
      </c>
      <c r="E185" s="4" t="inlineStr">
        <is>
          <t xml:space="preserve">source: DeploySum!A46 note 3</t>
        </is>
      </c>
    </row>
    <row r="186">
      <c r="A186" s="4" t="inlineStr">
        <is>
          <t xml:space="preserve">A-08</t>
        </is>
      </c>
      <c r="B186" s="4" t="inlineStr">
        <is>
          <t xml:space="preserve">SlipTray unit cost</t>
        </is>
      </c>
      <c r="C186" s="4" t="inlineStr">
        <is>
          <t xml:space="preserve">8,000</t>
        </is>
      </c>
      <c r="D186" s="4" t="inlineStr">
        <is>
          <t xml:space="preserve">'Depreciation Schedule'!B8</t>
        </is>
      </c>
      <c r="E186" s="4" t="inlineStr">
        <is>
          <t xml:space="preserve">source: DeploySum!A46 note 3</t>
        </is>
      </c>
    </row>
    <row r="187">
      <c r="A187" s="4" t="inlineStr">
        <is>
          <t xml:space="preserve">A-09</t>
        </is>
      </c>
      <c r="B187" s="4" t="inlineStr">
        <is>
          <t xml:space="preserve">SlipLift peripherals cost per lift</t>
        </is>
      </c>
      <c r="C187" s="4" t="inlineStr">
        <is>
          <t xml:space="preserve">4,137.50</t>
        </is>
      </c>
      <c r="D187" s="4" t="inlineStr">
        <is>
          <t xml:space="preserve">'Depreciation Schedule'!B7 (formula)</t>
        </is>
      </c>
      <c r="E187" s="4" t="inlineStr">
        <is>
          <t xml:space="preserve">source: derived from DeploySum R29/R24/R25; reconciles every month (note shows $4,138 rounded)</t>
        </is>
      </c>
    </row>
    <row r="188">
      <c r="A188" s="4" t="inlineStr">
        <is>
          <t xml:space="preserve">A-10</t>
        </is>
      </c>
      <c r="B188" s="4" t="inlineStr">
        <is>
          <t xml:space="preserve">Peripherals life = SlipLift life</t>
        </is>
      </c>
      <c r="C188" s="4" t="inlineStr">
        <is>
          <t xml:space="preserve">84 months</t>
        </is>
      </c>
      <c r="D188" s="4" t="inlineStr">
        <is>
          <t xml:space="preserve">'Depreciation Schedule'!B11</t>
        </is>
      </c>
      <c r="E188" s="4" t="inlineStr">
        <is>
          <t xml:space="preserve">builder assumption (I-33)</t>
        </is>
      </c>
    </row>
    <row r="189">
      <c r="A189" s="4" t="inlineStr">
        <is>
          <t xml:space="preserve">A-11</t>
        </is>
      </c>
      <c r="B189" s="4" t="inlineStr">
        <is>
          <t xml:space="preserve">Peripherals GL</t>
        </is>
      </c>
      <c r="C189" s="4" t="inlineStr">
        <is>
          <t xml:space="preserve">5020 Robot Peripherals</t>
        </is>
      </c>
      <c r="D189" s="4" t="inlineStr">
        <is>
          <t xml:space="preserve">'Depreciation Schedule'!B16</t>
        </is>
      </c>
      <c r="E189" s="4" t="inlineStr">
        <is>
          <t xml:space="preserve">builder assumption (I-33); alternative 5011</t>
        </is>
      </c>
    </row>
    <row r="190">
      <c r="A190" s="4" t="inlineStr">
        <is>
          <t xml:space="preserve">A-12</t>
        </is>
      </c>
      <c r="B190" s="4" t="inlineStr">
        <is>
          <t xml:space="preserve">SlipLift GL</t>
        </is>
      </c>
      <c r="C190" s="4" t="inlineStr">
        <is>
          <t xml:space="preserve">5011 SlipLift Depreciation</t>
        </is>
      </c>
      <c r="D190" s="4" t="inlineStr">
        <is>
          <t xml:space="preserve">'Depreciation Schedule'!B14</t>
        </is>
      </c>
      <c r="E190" s="4" t="inlineStr">
        <is>
          <t xml:space="preserve">user-confirmed (handoff)</t>
        </is>
      </c>
    </row>
    <row r="191">
      <c r="A191" s="4" t="inlineStr">
        <is>
          <t xml:space="preserve">A-13</t>
        </is>
      </c>
      <c r="B191" s="4" t="inlineStr">
        <is>
          <t xml:space="preserve">SlipTray GL</t>
        </is>
      </c>
      <c r="C191" s="4" t="inlineStr">
        <is>
          <t xml:space="preserve">5012 SlipCarrier Depreciation</t>
        </is>
      </c>
      <c r="D191" s="4" t="inlineStr">
        <is>
          <t xml:space="preserve">'Depreciation Schedule'!B15</t>
        </is>
      </c>
      <c r="E191" s="4" t="inlineStr">
        <is>
          <t xml:space="preserve">user-confirmed 2026-10-09 ('Trays = carriers')</t>
        </is>
      </c>
    </row>
    <row r="192">
      <c r="A192" s="4" t="inlineStr">
        <is>
          <t xml:space="preserve">A-14</t>
        </is>
      </c>
      <c r="B192" s="4" t="inlineStr">
        <is>
          <t xml:space="preserve">In-service = go-live month (DeploySum rows 19/20); full month of depreciation in that month</t>
        </is>
      </c>
      <c r="C192" s="4" t="inlineStr">
        <is>
          <t xml:space="preserve">start delay 0; sensitivity: 1-month delay lowers 2027 depreciation by 274,833; mid-month convention lowers it by 137,417</t>
        </is>
      </c>
      <c r="D192" s="4" t="inlineStr">
        <is>
          <t xml:space="preserve">'Depreciation Schedule'!B13</t>
        </is>
      </c>
      <c r="E192" s="4" t="inlineStr">
        <is>
          <t xml:space="preserve">brief v3 convention (orchestrator; labelled; user may change)</t>
        </is>
      </c>
    </row>
    <row r="193">
      <c r="A193" s="4" t="inlineStr">
        <is>
          <t xml:space="preserve">A-15</t>
        </is>
      </c>
      <c r="B193" s="4" t="inlineStr">
        <is>
          <t xml:space="preserve">Units built in 2027 for 2028 go-lives are not depreciated in 2027</t>
        </is>
      </c>
      <c r="C193" s="4" t="inlineStr">
        <is>
          <t xml:space="preserve">CapEx 9,446,375 excluded</t>
        </is>
      </c>
      <c r="D193" s="4" t="inlineStr">
        <is>
          <t xml:space="preserve">'Depreciation Schedule' section 7</t>
        </is>
      </c>
      <c r="E193" s="4" t="inlineStr">
        <is>
          <t xml:space="preserve">follows A-14 (not in service)</t>
        </is>
      </c>
    </row>
    <row r="194">
      <c r="A194" s="4" t="inlineStr">
        <is>
          <t xml:space="preserve">A-16</t>
        </is>
      </c>
      <c r="B194" s="4" t="inlineStr">
        <is>
          <t xml:space="preserve">Existing fleet = PO Dec-26 monthly run rate</t>
        </is>
      </c>
      <c r="C194" s="4" t="inlineStr">
        <is>
          <t xml:space="preserve">159,270.72/month</t>
        </is>
      </c>
      <c r="D194" s="4" t="inlineStr">
        <is>
          <t xml:space="preserve">'Depreciation Schedule'!B21:B24 = PO!M19:M22</t>
        </is>
      </c>
      <c r="E194" s="4" t="inlineStr">
        <is>
          <t xml:space="preserve">orchestrator instruction (handoff)</t>
        </is>
      </c>
    </row>
    <row r="195">
      <c r="A195" s="4" t="inlineStr">
        <is>
          <t xml:space="preserve">A-17</t>
        </is>
      </c>
      <c r="B195" s="4" t="inlineStr">
        <is>
          <t xml:space="preserve">Existing run rates stay flat all of 2027 (no end-of-life, retirement or disposal)</t>
        </is>
      </c>
      <c r="C195" s="4" t="inlineStr">
        <is>
          <t xml:space="preserve">1,911,249; trend alternative on 5010 +276,164 to the contribution (+403,624 if the decline also ran through Oct-Dec 26)</t>
        </is>
      </c>
      <c r="D195" s="4" t="inlineStr">
        <is>
          <t xml:space="preserve">'Depreciation Schedule' rows 33-36</t>
        </is>
      </c>
      <c r="E195" s="4" t="inlineStr">
        <is>
          <t xml:space="preserve">builder assumption: no asset register in the files (I-32)</t>
        </is>
      </c>
    </row>
    <row r="196">
      <c r="A196" s="4" t="inlineStr">
        <is>
          <t xml:space="preserve">A-18</t>
        </is>
      </c>
      <c r="B196" s="4" t="inlineStr">
        <is>
          <t xml:space="preserve">Oct-Dec 26 go-lives covered by the PO run rate, not added explicitly; the risk runs both ways</t>
        </is>
      </c>
      <c r="C196" s="4" t="inlineStr">
        <is>
          <t xml:space="preserve">(39,057) if DeploySum's Q4 counts are right; +37,457 if PO's Dec-26 step-ups are Jan-27 units</t>
        </is>
      </c>
      <c r="D196" s="4" t="inlineStr">
        <is>
          <t xml:space="preserve">'Depreciation Schedule'!B17, section 5</t>
        </is>
      </c>
      <c r="E196" s="4" t="inlineStr">
        <is>
          <t xml:space="preserve">builder decision between the brief's two options; PO owner to confirm what the step-ups are (I-31)</t>
        </is>
      </c>
    </row>
    <row r="197">
      <c r="A197" s="4" t="inlineStr">
        <is>
          <t xml:space="preserve">A-19</t>
        </is>
      </c>
      <c r="B197" s="4" t="inlineStr">
        <is>
          <t xml:space="preserve">SlipBot 5010 continues at the Dec-26 run rate; no new SlipBots</t>
        </is>
      </c>
      <c r="C197" s="4" t="inlineStr">
        <is>
          <t xml:space="preserve">1,353,574</t>
        </is>
      </c>
      <c r="D197" s="4" t="inlineStr">
        <is>
          <t xml:space="preserve">'Depreciation Schedule'!B21</t>
        </is>
      </c>
      <c r="E197" s="4" t="inlineStr">
        <is>
          <t xml:space="preserve">builder assumption (flat carry, A-17); status user to confirm (I-32); no builds per DeploySum note 4</t>
        </is>
      </c>
    </row>
    <row r="198">
      <c r="A198" s="4" t="inlineStr">
        <is>
          <t xml:space="preserve">A-20</t>
        </is>
      </c>
      <c r="B198" s="4" t="inlineStr">
        <is>
          <t xml:space="preserve">'$000s' labels on DeploySum hold dollars; relabelled to '$' with comments</t>
        </is>
      </c>
      <c r="C198" s="4" t="inlineStr">
        <is>
          <t xml:space="preserve">13 labels</t>
        </is>
      </c>
      <c r="D198" s="4" t="inlineStr">
        <is>
          <t xml:space="preserve">DeploySum col A</t>
        </is>
      </c>
      <c r="E198" s="4" t="inlineStr">
        <is>
          <t xml:space="preserve">orchestrator instruction; evidence in I-30</t>
        </is>
      </c>
    </row>
    <row r="199">
      <c r="A199" s="4" t="inlineStr">
        <is>
          <t xml:space="preserve">A-21</t>
        </is>
      </c>
      <c r="B199" s="4" t="inlineStr">
        <is>
          <t xml:space="preserve">ARR row (39) kept empty to keep the SD row map</t>
        </is>
      </c>
      <c r="C199" s="4" t="inlineStr">
        <is>
          <t xml:space="preserve">no data</t>
        </is>
      </c>
      <c r="D199" s="4" t="inlineStr">
        <is>
          <t xml:space="preserve">DeploySum row 39</t>
        </is>
      </c>
      <c r="E199" s="4" t="inlineStr">
        <is>
          <t xml:space="preserve">brief v2 item 1</t>
        </is>
      </c>
    </row>
    <row r="200">
      <c r="A200" s="4" t="inlineStr">
        <is>
          <t xml:space="preserve">A-22</t>
        </is>
      </c>
      <c r="B200" s="4" t="inlineStr">
        <is>
          <t xml:space="preserve">Revenue includes unsigned and forecast bookings, taken at 100%</t>
        </is>
      </c>
      <c r="C200" s="4" t="inlineStr">
        <is>
          <t xml:space="preserve">Sep-Dec 26 bookings 3,544,300 incl. 2,264,000 unsigned; FY27 bookings 29,452,766 all forecast</t>
        </is>
      </c>
      <c r="D200" s="4" t="inlineStr">
        <is>
          <t xml:space="preserve">DeploySum!A49 (note 5); DeploySum rows 7-13, 40</t>
        </is>
      </c>
      <c r="E200" s="4" t="inlineStr">
        <is>
          <t xml:space="preserve">source: 9/30/26 sales plan; no probability weighting applied (builder: taken as given)</t>
        </is>
      </c>
    </row>
    <row r="201">
      <c r="A201" s="4" t="inlineStr">
        <is>
          <t xml:space="preserve">A-23</t>
        </is>
      </c>
      <c r="B201" s="4" t="inlineStr">
        <is>
          <t xml:space="preserve">Existing-fleet base is the PO Dec-26 forecast, not an actual</t>
        </is>
      </c>
      <c r="C201" s="4" t="inlineStr">
        <is>
          <t xml:space="preserve">159,270.72/month (PO!M19:M22; Sep-Dec 26 are forecast columns J:M; actuals run to Aug-26)</t>
        </is>
      </c>
      <c r="D201" s="4" t="inlineStr">
        <is>
          <t xml:space="preserve">'Depreciation Schedule'!B21:B24</t>
        </is>
      </c>
      <c r="E201" s="4" t="inlineStr">
        <is>
          <t xml:space="preserve">builder note (PO 2026 file); refresh when Q4-26 actuals close</t>
        </is>
      </c>
    </row>
    <row r="202">
      <c r="A202" s="4" t="inlineStr">
        <is>
          <t xml:space="preserve">A-24</t>
        </is>
      </c>
      <c r="B202" s="4" t="inlineStr">
        <is>
          <t xml:space="preserve">DeploySum F40:Q40 (2027 revenue) are static cached values from the 9/30/26 file, not live links</t>
        </is>
      </c>
      <c r="C202" s="4" t="inlineStr">
        <is>
          <t xml:space="preserve">12 of 12 months static; PO!U12:AF12 link to them (formulas)</t>
        </is>
      </c>
      <c r="D202" s="4" t="inlineStr">
        <is>
          <t xml:space="preserve">DeploySum!F40:Q40 -&gt; PO!U12:AF12</t>
        </is>
      </c>
      <c r="E202" s="4" t="inlineStr">
        <is>
          <t xml:space="preserve">build v3 (external workbook [1] not supplied); a plan change needs a new resolved export</t>
        </is>
      </c>
    </row>
    <row r="203">
      <c r="A203" s="4" t="inlineStr">
        <is>
          <t xml:space="preserve">A-25</t>
        </is>
      </c>
      <c r="B203" s="4" t="inlineStr">
        <is>
          <t xml:space="preserve">Revenue start timing vs go-live: revenue follows the plan's own recognition timing; depreciation starts in the go-live month (A-14)</t>
        </is>
      </c>
      <c r="C203" s="4" t="inlineStr">
        <is>
          <t xml:space="preserve">not determinable: the workbook cannot show whether revenue starts in the go-live month</t>
        </is>
      </c>
      <c r="D203" s="4" t="inlineStr">
        <is>
          <t xml:space="preserve">DeploySum row 40 vs rows 19/20; 'Depreciation Schedule'!B13</t>
        </is>
      </c>
      <c r="E203" s="4" t="inlineStr">
        <is>
          <t xml:space="preserve">builder note; plan owner to confirm (Revenue Roll-up not supplied)</t>
        </is>
      </c>
    </row>
    <row r="204">
      <c r="A204" s="4" t="inlineStr">
        <is>
          <t xml:space="preserve">A-26</t>
        </is>
      </c>
      <c r="B204" s="4" t="inlineStr">
        <is>
          <t xml:space="preserve">Head of Service Delivery annual salary (current employee), entered in v5</t>
        </is>
      </c>
      <c r="C204" s="4" t="inlineStr">
        <is>
          <t xml:space="preserve">205,000/year in B21; model: full year from 2027-01-01, +3% from 2027-10-01, tax 6.8%, benefits 16.4%: 2027 cost 254,454</t>
        </is>
      </c>
      <c r="D204" s="4" t="inlineStr">
        <is>
          <t xml:space="preserve">Fld Eng Budget!B21 -&gt; rows 67-71, 78-80 -&gt; FE rows 67-69</t>
        </is>
      </c>
      <c r="E204" s="4" t="inlineStr">
        <is>
          <t xml:space="preserve">user-confirmed 2026-10-09 ('Head of Service delivery salary is $205k annually'); treatment = existing workbook logic</t>
        </is>
      </c>
    </row>
    <row r="205">
      <c r="A205" s="4" t="inlineStr">
        <is>
          <t xml:space="preserve">A-27</t>
        </is>
      </c>
      <c r="B205" s="4" t="inlineStr">
        <is>
          <t xml:space="preserve">Net increment of an SD payroll model = model 2027 total less the model's own cost of the people already on an HC roster (same model rates)</t>
        </is>
      </c>
      <c r="C205" s="4" t="inlineStr">
        <is>
          <t xml:space="preserve">I-05 1,962,389; I-17 336,530</t>
        </is>
      </c>
      <c r="D205" s="4" t="inlineStr">
        <is>
          <t xml:space="preserve">Prod Payroll; SD Logistics&amp;WH Payroll</t>
        </is>
      </c>
      <c r="E205" s="4" t="inlineStr">
        <is>
          <t xml:space="preserve">builder definition (v6, handoff: 'model total minus the overlap already in PO')</t>
        </is>
      </c>
    </row>
    <row r="206">
      <c r="A206" s="4" t="inlineStr">
        <is>
          <t xml:space="preserve">A-28</t>
        </is>
      </c>
      <c r="B206" s="4" t="inlineStr">
        <is>
          <t xml:space="preserve">Prod Payroll tray and supervisor rows evaluated by replacing XLOOKUP (match_mode 1) with an equivalent SMALL/COUNTIF formula in a scratch copy only</t>
        </is>
      </c>
      <c r="C206" s="4" t="inlineStr">
        <is>
          <t xml:space="preserve">model 2027 2,592,894; Python replica agrees to 5e-10</t>
        </is>
      </c>
      <c r="D206" s="4" t="inlineStr">
        <is>
          <t xml:space="preserve">Prod Payroll!B48:Q48 (workbook unchanged)</t>
        </is>
      </c>
      <c r="E206" s="4" t="inlineStr">
        <is>
          <t xml:space="preserve">builder method (v6)</t>
        </is>
      </c>
    </row>
    <row r="207">
      <c r="A207" s="4" t="inlineStr">
        <is>
          <t xml:space="preserve">A-29</t>
        </is>
      </c>
      <c r="B207" s="4" t="inlineStr">
        <is>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is>
      </c>
      <c r="C207" s="4" t="inlineStr">
        <is>
          <t xml:space="preserve">12 pairs; anonymous model rows (Prod Payroll current staff, Fld Ops Payroll current techs) matched by headcount only</t>
        </is>
      </c>
      <c r="D207" s="4" t="inlineStr">
        <is>
          <t xml:space="preserve">recon_v6.py</t>
        </is>
      </c>
      <c r="E207" s="4" t="inlineStr">
        <is>
          <t xml:space="preserve">handoff rule</t>
        </is>
      </c>
    </row>
    <row r="208">
      <c r="A208" s="4" t="inlineStr">
        <is>
          <t xml:space="preserve">A-30</t>
        </is>
      </c>
      <c r="B208" s="4" t="inlineStr">
        <is>
          <t xml:space="preserve">HC tab tax/benefit rates (D6:D7) linked to an external T&amp;B workbook are kept as the workfile's cached values</t>
        </is>
      </c>
      <c r="C208" s="4" t="inlineStr">
        <is>
          <t xml:space="preserve">10 cells</t>
        </is>
      </c>
      <c r="D208" s="4" t="inlineStr">
        <is>
          <t xml:space="preserve">'HC-*'!D6:D7</t>
        </is>
      </c>
      <c r="E208" s="4" t="inlineStr">
        <is>
          <t xml:space="preserve">builder (as DeploySum in v3)</t>
        </is>
      </c>
    </row>
    <row r="209">
      <c r="A209" s="4" t="inlineStr">
        <is>
          <t xml:space="preserve">A-31</t>
        </is>
      </c>
      <c r="B209" s="4" t="inlineStr">
        <is>
          <t xml:space="preserve">Employer FICA reference rate 7.65% (6.2% Social Security + 1.45% Medicare), used only to test the HC T&amp;B tax rates (I-37)</t>
        </is>
      </c>
      <c r="C209" s="4" t="inlineStr">
        <is>
          <t xml:space="preserve">PO/CO/PE gap up to 77,882; FO/FE up to 34,169</t>
        </is>
      </c>
      <c r="D209" s="4" t="inlineStr">
        <is>
          <t xml:space="preserve">figures_v7.py</t>
        </is>
      </c>
      <c r="E209" s="4" t="inlineStr">
        <is>
          <t xml:space="preserve">statutory rates; wage base not modelled (upper bound)</t>
        </is>
      </c>
    </row>
    <row r="210">
      <c r="A210" s="4" t="inlineStr">
        <is>
          <t xml:space="preserve">A-32</t>
        </is>
      </c>
      <c r="B210" s="4" t="inlineStr">
        <is>
          <t xml:space="preserve">Capitalised case (Decision #1): ramp split to lifts and trays from the model (lift / tray ramp = model total less its current-staff cost); supervisors allocated pro rata to the lift : tray ramp cost</t>
        </is>
      </c>
      <c r="C210" s="4" t="inlineStr">
        <is>
          <t xml:space="preserve">lift 1,291,250, tray 671,139 (supervisors 65.8% to lifts); check with the model-total split: depreciation 65,458 vs 64,735</t>
        </is>
      </c>
      <c r="D210" s="4" t="inlineStr">
        <is>
          <t xml:space="preserve">Prod Payroll rows 41, 62, 79</t>
        </is>
      </c>
      <c r="E210" s="4" t="inlineStr">
        <is>
          <t xml:space="preserve">builder assumption (v7, handoff fallback shown)</t>
        </is>
      </c>
    </row>
    <row r="211">
      <c r="A211" s="4" t="inlineStr">
        <is>
          <t xml:space="preserve">A-33</t>
        </is>
      </c>
      <c r="B211" s="4" t="inlineStr">
        <is>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t>
        </is>
      </c>
      <c r="C211" s="4" t="inlineStr">
        <is>
          <t xml:space="preserve">units built 312 lifts / 1355 trays; live in 2027 222 / 952; depreciation 64,735 (9) / 69,357 (7)</t>
        </is>
      </c>
      <c r="D211" s="4" t="inlineStr">
        <is>
          <t xml:space="preserve">DeploySum rows 19-20, 24-25, 33-34; 'Depreciation Schedule' rows 38-62</t>
        </is>
      </c>
      <c r="E211" s="4" t="inlineStr">
        <is>
          <t xml:space="preserve">builder assumption (v7); lag checked on the DeploySum rows (DeploySum note 1)</t>
        </is>
      </c>
    </row>
    <row r="212">
      <c r="A212" s="4" t="inlineStr">
        <is>
          <t xml:space="preserve">A-34</t>
        </is>
      </c>
      <c r="B212" s="4" t="inlineStr">
        <is>
          <t xml:space="preserve">7-overlap reading (B2): the 2 Prod Payroll current seats no PO HC production person fills are costed at the model's average current cost per head; capitalised case keeps the 9-overlap lift / tray mix</t>
        </is>
      </c>
      <c r="C212" s="4" t="inlineStr">
        <is>
          <t xml:space="preserve">+140,112 (139,984 to 140,560 as tray or lift seats)</t>
        </is>
      </c>
      <c r="D212" s="4" t="inlineStr">
        <is>
          <t xml:space="preserve">Prod Payroll B9, C9, H10; 'HC-PO'!C14:C22</t>
        </is>
      </c>
      <c r="E212" s="4" t="inlineStr">
        <is>
          <t xml:space="preserve">builder assumption (v7)</t>
        </is>
      </c>
    </row>
    <row r="213">
      <c r="A213" s="4" t="inlineStr">
        <is>
          <t xml:space="preserve">A-35</t>
        </is>
      </c>
      <c r="B213" s="4" t="inlineStr">
        <is>
          <t xml:space="preserve">md privacy: per-person amounts for identified employees rounded to the nearest $5k ('~'); Collation Notes keeps exact figures (restricted workbook)</t>
        </is>
      </c>
      <c r="C213" s="4" t="inlineStr">
        <is>
          <t xml:space="preserve">md only</t>
        </is>
      </c>
      <c r="D213" s="4" t="inlineStr">
        <is>
          <t xml:space="preserve">paylist_v7.py</t>
        </is>
      </c>
      <c r="E213" s="4" t="inlineStr">
        <is>
          <t xml:space="preserve">critic v6 O8 / handoff</t>
        </is>
      </c>
    </row>
    <row r="215">
      <c r="A215" s="2" t="inlineStr">
        <is>
          <t xml:space="preserve">Issues (v7) - severity: HIGH = blocks sign-off or &gt; $250k; MED = $50k-250k or owner confirmation; LOW = &lt; $50k or hygiene; RESOLVED = closed by a user answer</t>
        </is>
      </c>
    </row>
    <row r="216">
      <c r="A216" s="3" t="inlineStr">
        <is>
          <t xml:space="preserve">ID</t>
        </is>
      </c>
      <c r="B216" s="3" t="inlineStr">
        <is>
          <t xml:space="preserve">Sev</t>
        </is>
      </c>
      <c r="C216" s="3" t="inlineStr">
        <is>
          <t xml:space="preserve">Location</t>
        </is>
      </c>
      <c r="D216" s="3" t="inlineStr">
        <is>
          <t xml:space="preserve">Finding</t>
        </is>
      </c>
      <c r="E216" s="3" t="inlineStr">
        <is>
          <t xml:space="preserve">Evidence</t>
        </is>
      </c>
      <c r="F216" s="3" t="inlineStr">
        <is>
          <t xml:space="preserve">2027 impact</t>
        </is>
      </c>
      <c r="G216" s="3" t="inlineStr">
        <is>
          <t xml:space="preserve">Basis</t>
        </is>
      </c>
      <c r="H216" s="3" t="inlineStr">
        <is>
          <t xml:space="preserve">Recommended action</t>
        </is>
      </c>
    </row>
    <row r="217">
      <c r="A217" s="4" t="inlineStr">
        <is>
          <t xml:space="preserve">I-01</t>
        </is>
      </c>
      <c r="B217" s="4" t="inlineStr">
        <is>
          <t xml:space="preserve">MED</t>
        </is>
      </c>
      <c r="C217" s="4" t="inlineStr">
        <is>
          <t xml:space="preserve">PO!U12:AF12; PO!R12; PO!U13:AF13; PO!U15:AF15; DeploySum!F40:Q40</t>
        </is>
      </c>
      <c r="D217"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217"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217" s="4" t="inlineStr">
        <is>
          <t xml:space="preserve">not determinable (2026 4500+4900 = 1,060,861)</t>
        </is>
      </c>
      <c r="G217" s="4" t="inlineStr">
        <is>
          <t xml:space="preserve">impact not determinable; owner confirmation needed</t>
        </is>
      </c>
      <c r="H217" s="4" t="inlineStr">
        <is>
          <t xml:space="preserve">Finance/PO owner to confirm the 4100 mapping and whether 2027 implementation or one-time revenue should be budgeted on 4500/4900.</t>
        </is>
      </c>
    </row>
    <row r="218">
      <c r="A218" s="4" t="inlineStr">
        <is>
          <t xml:space="preserve">I-02</t>
        </is>
      </c>
      <c r="B218" s="4" t="inlineStr">
        <is>
          <t xml:space="preserve">HIGH</t>
        </is>
      </c>
      <c r="C218" s="4" t="inlineStr">
        <is>
          <t xml:space="preserve">FO!AG63; FO!AG116; FE!AG63; FE!AG116; COO P&amp;L!AG132</t>
        </is>
      </c>
      <c r="D218"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218"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218" s="4" t="inlineStr">
        <is>
          <t xml:space="preserve">(6,828,802) on the contribution</t>
        </is>
      </c>
      <c r="G218" s="4" t="inlineStr">
        <is>
          <t xml:space="preserve">impact (6,828,802)</t>
        </is>
      </c>
      <c r="H218" s="4" t="inlineStr">
        <is>
          <t xml:space="preserve">COO and SD owner to review the FO/FE 2027 drivers (headcount, spare parts, deployment freight) before sign-off.</t>
        </is>
      </c>
    </row>
    <row r="219">
      <c r="A219" s="4" t="inlineStr">
        <is>
          <t xml:space="preserve">I-03</t>
        </is>
      </c>
      <c r="B219" s="4" t="inlineStr">
        <is>
          <t xml:space="preserve">LOW</t>
        </is>
      </c>
      <c r="C219" s="4" t="inlineStr">
        <is>
          <t xml:space="preserve">DeploySum!A3:R49 (Collation Notes lists the formulas)</t>
        </is>
      </c>
      <c r="D219"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219" s="4" t="inlineStr">
        <is>
          <t xml:space="preserve">DeploySum errors: v2 {'#REF!': 463, '#N/A': 35}, v3 none (498 resolved). Every mapped cell B:R equals the 9/30/26 cached value (mismatches: 0). New-file sha256 645e31303dcbbbd6...</t>
        </is>
      </c>
      <c r="F219" s="4" t="inlineStr">
        <is>
          <t xml:space="preserve">0</t>
        </is>
      </c>
      <c r="G219" s="4" t="inlineStr">
        <is>
          <t xml:space="preserve">hygiene</t>
        </is>
      </c>
      <c r="H219" s="4" t="inlineStr">
        <is>
          <t xml:space="preserve">Refresh DeploySum from a new resolved export when the plan changes. Keep the row map (ARR row 39 kept).</t>
        </is>
      </c>
    </row>
    <row r="220">
      <c r="A220" s="4" t="inlineStr">
        <is>
          <t xml:space="preserve">I-04</t>
        </is>
      </c>
      <c r="B220" s="4" t="inlineStr">
        <is>
          <t xml:space="preserve">LOW</t>
        </is>
      </c>
      <c r="C220" s="4" t="inlineStr">
        <is>
          <t xml:space="preserve">DeploySum!B53:R66; DeploySum!A69:R76 (v3 check block)</t>
        </is>
      </c>
      <c r="D220"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220"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220" s="4" t="inlineStr">
        <is>
          <t xml:space="preserve">0</t>
        </is>
      </c>
      <c r="G220" s="4" t="inlineStr">
        <is>
          <t xml:space="preserve">hygiene</t>
        </is>
      </c>
      <c r="H220" s="4" t="inlineStr">
        <is>
          <t xml:space="preserve">Optional: replace rows 54-64 with formulas (or document the source) so they update with the plan.</t>
        </is>
      </c>
    </row>
    <row r="221">
      <c r="A221" s="4" t="inlineStr">
        <is>
          <t xml:space="preserve">I-05</t>
        </is>
      </c>
      <c r="B221" s="4" t="inlineStr">
        <is>
          <t xml:space="preserve">HIGH</t>
        </is>
      </c>
      <c r="C221" s="4" t="inlineStr">
        <is>
          <t xml:space="preserve">Prod Payroll!B24:S81 (hidden); Prod Payroll!S41, S62, S79, S81; PO!AG33:AG36; 'HC-PO'!B14:Z22, Z67:Z70</t>
        </is>
      </c>
      <c r="D221" s="4" t="inlineStr">
        <is>
          <t xml:space="preserve">PO 5110-5140 (652,820) is the 9 current staff on PO HC, flat all year with no hires ('HC-PO' rows 14-22; PO!U33:AF35 equal 'HC-PO'!M67:X69). The production payroll model holds the same 9 as its current staff (7 lift + 2 tray on payroll Sep-26; the model has no names or titles, so the match is by headcount) and adds the hires the build plan needs. v6 evaluates the whole model, tray and supervisor rows included (A-28): 2,592,894 for 2027 (lift 1,622,423, tray 729,177, supervisors 241,294). Of that, 630,504 is the model's cost of the 9 current staff, already in PO. Net increment that PO lacks: 1,962,389 (ramp hires only). It is larger than the v5 gap (969,603) because v5 compared lift payroll only. The model also hires 9 lift, 4 tray and 2 supervisor staff in Sep-Dec 26, which PO HC does not show either. v7 (B1, Decision #1): the net increment assumes the ramp is EXPENSED. DeploySum labels the unit costs 'Unit cost (CapEx)' (A47), and 2026 has credits that fit capitalised labour (PO 6000 (309,871), PE 5140 (56,264); I-23). If production labour is capitalised, 2027 carries only its depreciation: (64,735) at the 9-overlap, (69,357) at the 7-overlap, or 0 if the 65,000 / 8,000 unit cost already includes it. v7 (B2): the 9 are a count match; by role only 7 PO HC people are production staff (the other 2 are material handling, tied to Logistics&amp;WH: r20 = MH-01 by name, r16 backfilled by MH-02). At 7 of 9 the net increment is 2,102,502 (+140,112 for 2 model seats at the model's average current cost).</t>
        </is>
      </c>
      <c r="E221" s="4" t="inlineStr">
        <is>
          <t xml:space="preserve">Ramp headcount Jan..Dec 27: 15, 21, 21, 21, 21, 21, 25, 25, 31, 34, 42, 45 (plus the 9 current staff). Hires in 2027: lift 19, tray 9, supervisors 2. Ramp cost: salary 1,591,611, absence coverage 85,268, payroll tax 125,766, benefits 121,745, new-hire cost 38,000. Model cost of the 9 vs PO 5100: 630,504 vs 652,820 ((22,315): model average salary 57,200.05 vs PO HC 57,933.33; model tax 7.5%, benefits 7.5% / 8.0% plus absence coverage vs PO HC 3.64% / 20.64%). Python replica of the model vs LibreOffice: max difference 4.9e-10. 2026 base: COO 5100 208,574 (PO 197,323, PE 11,473); 2027 budget 652,820 (3.1x); with the ramp expensed 2,615,209 (12.5x). 2026 7200 Contractors 214,591 sits in FO (59,734) and FE (154,857), PO 0. Sensitivity (O1): at PO HC burden rates the 9-overlap ramp is 2,104,313 (+141,924). The model's 15 Sep-Dec 26 hires are on no HC roster (I-38).</t>
        </is>
      </c>
      <c r="F221" s="4" t="inlineStr">
        <is>
          <t xml:space="preserve">(1,962,389) expensed at the 9-overlap; (2,102,502) at the 7-overlap; (64,735) to (69,357) if capitalised on top of the unit cost; 0 if inside it</t>
        </is>
      </c>
      <c r="G221" s="4" t="inlineStr">
        <is>
          <t xml:space="preserve">impact 1,962,389 (&gt; $250k; on its own turns the contribution negative)</t>
        </is>
      </c>
      <c r="H221" s="4" t="inlineStr">
        <is>
          <t xml:space="preserve">User / Finance: answer Decision #1 (expensed or capitalised) first. PO owner / user: is PO 2027 payroll the 9 current staff only (as budgeted) or the build-plan staffing in Prod Payroll? If the model is right, add the ramp (net increment), not the model total, to PO 5110-5140. Severity raised from MED (v5) because the net amount is now quantified.</t>
        </is>
      </c>
    </row>
    <row r="222">
      <c r="A222" s="4" t="inlineStr">
        <is>
          <t xml:space="preserve">I-06</t>
        </is>
      </c>
      <c r="B222" s="4" t="inlineStr">
        <is>
          <t xml:space="preserve">LOW</t>
        </is>
      </c>
      <c r="C222" s="4" t="inlineStr">
        <is>
          <t xml:space="preserve">Fld Maint Budget!B30 (comment); Fld Ops Payroll!B11; FO!AG44; FO!AG52</t>
        </is>
      </c>
      <c r="D222"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222"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222" s="4" t="inlineStr">
        <is>
          <t xml:space="preserve">0</t>
        </is>
      </c>
      <c r="G222" s="4" t="inlineStr">
        <is>
          <t xml:space="preserve">impact 0</t>
        </is>
      </c>
      <c r="H222" s="4" t="inlineStr">
        <is>
          <t xml:space="preserve">SD owner to confirm and delete the stale CONFIRM comment on Fld Maint Budget!B30.</t>
        </is>
      </c>
    </row>
    <row r="223">
      <c r="A223" s="4" t="inlineStr">
        <is>
          <t xml:space="preserve">I-07</t>
        </is>
      </c>
      <c r="B223" s="4" t="inlineStr">
        <is>
          <t xml:space="preserve">MED</t>
        </is>
      </c>
      <c r="C223" s="4" t="inlineStr">
        <is>
          <t xml:space="preserve">PO!U19:AF22; 'Depreciation Schedule'!A1:S126; COO P&amp;L!AG19:AG22</t>
        </is>
      </c>
      <c r="D223"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223"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is>
      </c>
      <c r="F223" s="4" t="inlineStr">
        <is>
          <t xml:space="preserve">not determinable (component decisions in I-31..I-33)</t>
        </is>
      </c>
      <c r="G223" s="4" t="inlineStr">
        <is>
          <t xml:space="preserve">impact not determinable; owner confirmation needed</t>
        </is>
      </c>
      <c r="H223" s="4" t="inlineStr">
        <is>
          <t xml:space="preserve">PO owner/Finance to confirm the run-rate approach against the fixed-asset register, and resolve I-31..I-33.</t>
        </is>
      </c>
    </row>
    <row r="224">
      <c r="A224" s="4" t="inlineStr">
        <is>
          <t xml:space="preserve">I-08</t>
        </is>
      </c>
      <c r="B224" s="4" t="inlineStr">
        <is>
          <t xml:space="preserve">LOW</t>
        </is>
      </c>
      <c r="C224" s="4" t="inlineStr">
        <is>
          <t xml:space="preserve">PO!U28; PO!Y28; PO!AD28; PO!U38; PO!U42</t>
        </is>
      </c>
      <c r="D224" s="4" t="inlineStr">
        <is>
          <t xml:space="preserve">Typed plugs are added onto the driver formula in 2027 month cells (+15,000, +5,000). They are not visible in the method columns R:T.</t>
        </is>
      </c>
      <c r="E224" s="4" t="inlineStr">
        <is>
          <t xml:space="preserve">PO!U28 +5,000; PO!Y28 +5,000; PO!AD28 +5,000; PO!U38 +15,000; PO!U42 +15,000. Total plugs 45,000.</t>
        </is>
      </c>
      <c r="F224" s="4" t="inlineStr">
        <is>
          <t xml:space="preserve">45,000</t>
        </is>
      </c>
      <c r="G224" s="4" t="inlineStr">
        <is>
          <t xml:space="preserve">impact 45,000</t>
        </is>
      </c>
      <c r="H224" s="4" t="inlineStr">
        <is>
          <t xml:space="preserve">PO owner to move these amounts into a documented input (column S or a manual row), or remove them.</t>
        </is>
      </c>
    </row>
    <row r="225">
      <c r="A225" s="4" t="inlineStr">
        <is>
          <t xml:space="preserve">I-09</t>
        </is>
      </c>
      <c r="B225" s="4" t="inlineStr">
        <is>
          <t xml:space="preserve">LOW</t>
        </is>
      </c>
      <c r="C225" s="4" t="inlineStr">
        <is>
          <t xml:space="preserve">PE!W74:AF74; PE!W76</t>
        </is>
      </c>
      <c r="D225" s="4" t="inlineStr">
        <is>
          <t xml:space="preserve">Typed numbers overwrite the driver formula in some 2027 months (manual overrides inside a formula row).</t>
        </is>
      </c>
      <c r="E225" s="4" t="inlineStr">
        <is>
          <t xml:space="preserve">PE!W74=1,500, PE!X74=1,500, PE!Y74=2,000, PE!Z74=2,000, PE!AA74=2,500, PE!AB74=2,500, PE!AC74=3,000, PE!AD74=3,000, PE!AE74=3,500, PE!AF74=4,000, PE!W76=300. Total typed 25,800.</t>
        </is>
      </c>
      <c r="F225" s="4" t="inlineStr">
        <is>
          <t xml:space="preserve">25,800</t>
        </is>
      </c>
      <c r="G225" s="4" t="inlineStr">
        <is>
          <t xml:space="preserve">impact 25,800</t>
        </is>
      </c>
      <c r="H225" s="4" t="inlineStr">
        <is>
          <t xml:space="preserve">PE owner to confirm the overrides, or set the row method to Manual.</t>
        </is>
      </c>
    </row>
    <row r="226">
      <c r="A226" s="4" t="inlineStr">
        <is>
          <t xml:space="preserve">I-10</t>
        </is>
      </c>
      <c r="B226" s="4" t="inlineStr">
        <is>
          <t xml:space="preserve">MED</t>
        </is>
      </c>
      <c r="C226" s="4" t="inlineStr">
        <is>
          <t xml:space="preserve">FO!AG58; FO!AG67; FO!AG91; FE!AG91; FO!AG116</t>
        </is>
      </c>
      <c r="D226"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226"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226" s="4" t="inlineStr">
        <is>
          <t xml:space="preserve">not determinable (2026 base 384,425)</t>
        </is>
      </c>
      <c r="G226" s="4" t="inlineStr">
        <is>
          <t xml:space="preserve">impact not determinable; owner confirmation needed</t>
        </is>
      </c>
      <c r="H226" s="4" t="inlineStr">
        <is>
          <t xml:space="preserve">SD owner to confirm whether these costs stop in 2027 or are budgeted elsewhere.</t>
        </is>
      </c>
    </row>
    <row r="227">
      <c r="A227" s="4" t="inlineStr">
        <is>
          <t xml:space="preserve">I-11</t>
        </is>
      </c>
      <c r="B227" s="4" t="inlineStr">
        <is>
          <t xml:space="preserve">MED</t>
        </is>
      </c>
      <c r="C227" s="4" t="inlineStr">
        <is>
          <t xml:space="preserve">COO P&amp;L!AG12; COO P&amp;L!AG52; COO P&amp;L!AG19; COO P&amp;L!AG47 (+ variance table)</t>
        </is>
      </c>
      <c r="D227" s="4" t="inlineStr">
        <is>
          <t xml:space="preserve">98 rows have a 2027 budget that differs from 2026 by more than 50% and more than $50k (v3 values; list below).</t>
        </is>
      </c>
      <c r="E227" s="4" t="inlineStr">
        <is>
          <t xml:space="preserve">v3 values: 98 rows (v2: 98). Largest COO P&amp;L GL moves: COO P&amp;L!N12 6,363,078 -&gt; AG12 15,563,646; COO P&amp;L!N52 887,966 -&gt; AG52 3,238,031; COO P&amp;L!N47 319,694 -&gt; AG47 1,554,365; COO P&amp;L!N20 100,360 -&gt; AG20 1,248,196.</t>
        </is>
      </c>
      <c r="F227" s="4" t="inlineStr">
        <is>
          <t xml:space="preserve">not determinable</t>
        </is>
      </c>
      <c r="G227" s="4" t="inlineStr">
        <is>
          <t xml:space="preserve">impact not determinable; owner confirmation needed</t>
        </is>
      </c>
      <c r="H227" s="4" t="inlineStr">
        <is>
          <t xml:space="preserve">Each dept owner to comment on their rows in the variance table.</t>
        </is>
      </c>
    </row>
    <row r="228">
      <c r="A228" s="4" t="inlineStr">
        <is>
          <t xml:space="preserve">I-12</t>
        </is>
      </c>
      <c r="B228" s="4" t="inlineStr">
        <is>
          <t xml:space="preserve">MED</t>
        </is>
      </c>
      <c r="C228" s="4" t="inlineStr">
        <is>
          <t xml:space="preserve">Fld Maint Budget!B8; Fld Maint Budget!B78:M78; FO!AG46</t>
        </is>
      </c>
      <c r="D228" s="4" t="inlineStr">
        <is>
          <t xml:space="preserve">Site setup kit cost is flagged as a placeholder (Fld Maint Budget!D8: 'PLACEHOLDER – update when the kit list is priced (Spare Parts, Tool Kits, 5S for'). It feeds FO 5330.</t>
        </is>
      </c>
      <c r="E228" s="4" t="inlineStr">
        <is>
          <t xml:space="preserve">Fld Maint Budget!B8 = 4,500 $/new site; 'Site setup kits' 2027 (B78:M78) = 274,500. FO!N46 23,121 -&gt; AG46 288,069.</t>
        </is>
      </c>
      <c r="F228" s="4" t="inlineStr">
        <is>
          <t xml:space="preserve">not determinable (exposure 274,500)</t>
        </is>
      </c>
      <c r="G228" s="4" t="inlineStr">
        <is>
          <t xml:space="preserve">impact not determinable; owner confirmation needed</t>
        </is>
      </c>
      <c r="H228" s="4" t="inlineStr">
        <is>
          <t xml:space="preserve">SD owner to price the kit list and replace B8.</t>
        </is>
      </c>
    </row>
    <row r="229">
      <c r="A229" s="4" t="inlineStr">
        <is>
          <t xml:space="preserve">I-13</t>
        </is>
      </c>
      <c r="B229" s="4" t="inlineStr">
        <is>
          <t xml:space="preserve">MED</t>
        </is>
      </c>
      <c r="C229" s="4" t="inlineStr">
        <is>
          <t xml:space="preserve">Fld Ops Payroll!M11; Fld Ops Payroll!B12; Fld Ops Payroll!M14</t>
        </is>
      </c>
      <c r="D229"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229" s="4" t="inlineStr">
        <is>
          <t xml:space="preserve">M11 = 40, B12 = 0.6, M14 = 'No'. Expansion tech payroll 2027 (Fld Ops Payroll!F47:Q47) = 337,514.</t>
        </is>
      </c>
      <c r="F229" s="4" t="inlineStr">
        <is>
          <t xml:space="preserve">not determinable (exposure 337,514)</t>
        </is>
      </c>
      <c r="G229" s="4" t="inlineStr">
        <is>
          <t xml:space="preserve">impact not determinable; owner confirmation needed</t>
        </is>
      </c>
      <c r="H229" s="4" t="inlineStr">
        <is>
          <t xml:space="preserve">SD owner to confirm or replace B12; M11 matters only if M14 is set to Yes.</t>
        </is>
      </c>
    </row>
    <row r="230">
      <c r="A230" s="4" t="inlineStr">
        <is>
          <t xml:space="preserve">I-14</t>
        </is>
      </c>
      <c r="B230" s="4" t="inlineStr">
        <is>
          <t xml:space="preserve">MED</t>
        </is>
      </c>
      <c r="C230" s="4" t="inlineStr">
        <is>
          <t xml:space="preserve">Prod Payroll!M7; Prod Payroll!B9; Prod Payroll!A33; Fld Ops Payroll!B9; Old Draft!B142 (SD, not carried)</t>
        </is>
      </c>
      <c r="D230" s="4" t="inlineStr">
        <is>
          <t xml:space="preserve">More placeholder inputs: Prod Payroll new-hire cost, current headcount and absence factors (no budget effect while Prod Payroll is broken), and the Fld Ops Payroll new-hire cost per tech, which hidden Old Draft!B142 says overlaps an onboarding line.</t>
        </is>
      </c>
      <c r="E230"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230" s="4" t="inlineStr">
        <is>
          <t xml:space="preserve">not determinable (exposure 138,000)</t>
        </is>
      </c>
      <c r="G230" s="4" t="inlineStr">
        <is>
          <t xml:space="preserve">impact not determinable; owner confirmation needed</t>
        </is>
      </c>
      <c r="H230" s="4" t="inlineStr">
        <is>
          <t xml:space="preserve">SD owner to confirm B9 (and that onboarding is not also budgeted elsewhere).</t>
        </is>
      </c>
    </row>
    <row r="231">
      <c r="A231" s="4" t="inlineStr">
        <is>
          <t xml:space="preserve">I-15</t>
        </is>
      </c>
      <c r="B231" s="4" t="inlineStr">
        <is>
          <t xml:space="preserve">LOW</t>
        </is>
      </c>
      <c r="C231" s="4" t="inlineStr">
        <is>
          <t xml:space="preserve">Fld Maint Budget!B12 (comment); Fld Maint Budget!B11; Fld Ops Payroll!H11; Fld Ops Payroll!E12</t>
        </is>
      </c>
      <c r="D231"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231" s="4" t="inlineStr">
        <is>
          <t xml:space="preserve">MeLi supervisor in 5310 2027 = 104,448 (Fld Maint Budget!B11 = 8,704/month x B12 = 1). FO HC r25 Field Maintenance Manager (Fld Ops Payroll row 77) 2027 = 120,900; incremental supervisors (row 73) 2027 = 193,632.</t>
        </is>
      </c>
      <c r="F231" s="4" t="inlineStr">
        <is>
          <t xml:space="preserve">0</t>
        </is>
      </c>
      <c r="G231" s="4" t="inlineStr">
        <is>
          <t xml:space="preserve">impact 0</t>
        </is>
      </c>
      <c r="H231" s="4" t="inlineStr">
        <is>
          <t xml:space="preserve">SD owner to confirm and delete the stale comment.</t>
        </is>
      </c>
    </row>
    <row r="232">
      <c r="A232" s="4" t="inlineStr">
        <is>
          <t xml:space="preserve">I-16</t>
        </is>
      </c>
      <c r="B232" s="4" t="inlineStr">
        <is>
          <t xml:space="preserve">LOW</t>
        </is>
      </c>
      <c r="C232" s="4" t="inlineStr">
        <is>
          <t xml:space="preserve">Fld Maint T&amp;E Data!M5:M388 (SD, hidden, not carried)</t>
        </is>
      </c>
      <c r="D232"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232" s="4" t="inlineStr">
        <is>
          <t xml:space="preserve">Top booked-&gt;budget GL pairs: 5050-&gt;5360 x34, 6100-&gt;5360 x16, 5360-&gt;5050 x14, 7550-&gt;5330 x12, 6100-&gt;5050 x8.</t>
        </is>
      </c>
      <c r="F232" s="4" t="inlineStr">
        <is>
          <t xml:space="preserve">27,804</t>
        </is>
      </c>
      <c r="G232" s="4" t="inlineStr">
        <is>
          <t xml:space="preserve">impact 27,804</t>
        </is>
      </c>
      <c r="H232" s="4" t="inlineStr">
        <is>
          <t xml:space="preserve">Finance to post the reclasses (or confirm none are needed).</t>
        </is>
      </c>
    </row>
    <row r="233">
      <c r="A233" s="4" t="inlineStr">
        <is>
          <t xml:space="preserve">I-17</t>
        </is>
      </c>
      <c r="B233" s="4" t="inlineStr">
        <is>
          <t xml:space="preserve">HIGH</t>
        </is>
      </c>
      <c r="C233" s="4" t="inlineStr">
        <is>
          <t xml:space="preserve">Logistics&amp;WH Payroll!A14:S51 (SD, not carried); PO!AG33:AG36; 'HC-PO'!B16:C20; 'HC-CO'!B17:C17</t>
        </is>
      </c>
      <c r="D233" s="4" t="inlineStr">
        <is>
          <t xml:space="preserve">The SD Logistics &amp; Warehouse payroll model (547,441 for 2027, referenced by no formula) names two people who are already on HC rosters: its Logistics Manager seat (LOG-01) is CO HC r17 Field Logistics Manager (costed in CO 6610-6640; the model's own note classifies the seat as Central Operations) and its first Material Handler seat (MH-01) is PO HC r20 Material Handler (costed in PO 5110-5140). Net of those two seats (210,912 at model rates), the model adds 336,530 that no roster or P&amp;L line carries: 7 seats (INV-01, TL-01, TL-02, MH-02, MH-06, MH-03, MH-04), all hires from Oct-26 on. MH-02 is described as the backfill for PO HC r16 Material Handling Team Lead, who stays on PO HC for all of 2027. v7 (B2): v6's combined I-05 + I-17 (2,298,919) took PO HC r20 out twice (inside I-05 by count, inside I-17 as MH-01 by name). Deduplicated: 2,360,882 (9-overlap; MH-01 then counts as a new seat, +61,963) or 2,439,031 (7-overlap). Logistics&amp;WH seats TL-01 (Dec-26) and MH-02 (Oct-26) are dated before the roster file and are not on it (I-38).</t>
        </is>
      </c>
      <c r="E233" s="4" t="inlineStr">
        <is>
          <t xml:space="preserve">Seats (2027 cost at model rates, start): LOG-01 Logistics Manager 148,949 (on payroll); INV-01 Inventory Control Specialist 55,652 (Feb-27); TL-01 Material Handling Team Lead 64,544 (Dec-26); TL-02 Material Handling Team Lead 33,032 (Jul-27); MH-01 Material Handler 61,963 (on payroll); MH-02 Material Handler 61,963 (Oct-26); MH-06 Material Handler 31,751 (Jul-27); MH-03 Material Handler 52,712 (Mar-27); MH-04 Material Handler 36,876 (Jun-27). Net seats headcount Jan..Dec 27: 2, 3, 4, 4, 4, 5, 7, 7, 7, 7, 7, 7. The two overlapping people cost 204,109 on their HC rosters (already in the budget). Seats the model itself excludes: LOG-02 (= FO HC r21, budgeted in FO) and MH-05 (in no model, I-27). PO HC r16 2027 cost 72,061 at PO rates.</t>
        </is>
      </c>
      <c r="F233" s="4" t="inlineStr">
        <is>
          <t xml:space="preserve">(336,530) on the contribution (net); v5 showed the gross 547,441</t>
        </is>
      </c>
      <c r="G233" s="4" t="inlineStr">
        <is>
          <t xml:space="preserve">impact 336,530 (&gt; $250k)</t>
        </is>
      </c>
      <c r="H233" s="4" t="inlineStr">
        <is>
          <t xml:space="preserve">PO owner to confirm the warehouse team plan. If adopted, add the 7 new seats (336,530), not the model total. Confirm whether PO HC r16 leaves the role MH-02 backfills; if so PO HC is overstated by up to 72,061.</t>
        </is>
      </c>
    </row>
    <row r="234">
      <c r="A234" s="4" t="inlineStr">
        <is>
          <t xml:space="preserve">I-18</t>
        </is>
      </c>
      <c r="B234" s="4" t="inlineStr">
        <is>
          <t xml:space="preserve">LOW</t>
        </is>
      </c>
      <c r="C234" s="4" t="inlineStr">
        <is>
          <t xml:space="preserve">Fld Ops Payroll!B10; Fld Ops Payroll!B15; Fld Ops Payroll!B16</t>
        </is>
      </c>
      <c r="D234" s="4" t="inlineStr">
        <is>
          <t xml:space="preserve">The hiring horizon ends at Dec-27 (DeploySum row 54). Hires for Jan-28 go-lives use an Oct-Dec 27 average default rather than a forecast (documented by the author).</t>
        </is>
      </c>
      <c r="E234" s="4" t="inlineStr">
        <is>
          <t xml:space="preserve">B10 = 1; B15 = =ROUND(AVERAGE(DeploySum!O54:Q54),0) = 7; B16 = =ROUND(AVERAGE(DeploySum!O57:Q57),0) = 2; cell notes on B10/B15/B16.</t>
        </is>
      </c>
      <c r="F234" s="4" t="inlineStr">
        <is>
          <t xml:space="preserve">not determinable</t>
        </is>
      </c>
      <c r="G234" s="4" t="inlineStr">
        <is>
          <t xml:space="preserve">hygiene</t>
        </is>
      </c>
      <c r="H234" s="4" t="inlineStr">
        <is>
          <t xml:space="preserve">Overwrite B15/B16 if a 2028 go-live forecast exists.</t>
        </is>
      </c>
    </row>
    <row r="235">
      <c r="A235" s="4" t="inlineStr">
        <is>
          <t xml:space="preserve">I-19</t>
        </is>
      </c>
      <c r="B235" s="4" t="inlineStr">
        <is>
          <t xml:space="preserve">LOW</t>
        </is>
      </c>
      <c r="C235" s="4" t="inlineStr">
        <is>
          <t xml:space="preserve">FE!U30:AF75 (rows 30-31, 67-69, 74-75); Fld Eng Budget rows 28-33, 85-91</t>
        </is>
      </c>
      <c r="D235" s="4" t="inlineStr">
        <is>
          <t xml:space="preserve">FE and Fld Eng Budget link in both directions: Fld Eng Budget reads FE 2026 columns, and FE 2027 rows read Fld Eng Budget. LibreOffice recalculated with no errors (no cell-level circularity), but the structure is easy to break.</t>
        </is>
      </c>
      <c r="E235" s="4" t="inlineStr">
        <is>
          <t xml:space="preserve">Fld Eng Budget has 68 references to FE; FE has 84 references to Fld Eng Budget.</t>
        </is>
      </c>
      <c r="F235" s="4" t="inlineStr">
        <is>
          <t xml:space="preserve">not determinable</t>
        </is>
      </c>
      <c r="G235" s="4" t="inlineStr">
        <is>
          <t xml:space="preserve">hygiene</t>
        </is>
      </c>
      <c r="H235" s="4" t="inlineStr">
        <is>
          <t xml:space="preserve">Check Fld Eng Budget before editing the FE 2026 columns it reads.</t>
        </is>
      </c>
    </row>
    <row r="236">
      <c r="A236" s="4" t="inlineStr">
        <is>
          <t xml:space="preserve">I-20</t>
        </is>
      </c>
      <c r="B236" s="4" t="inlineStr">
        <is>
          <t xml:space="preserve">LOW</t>
        </is>
      </c>
      <c r="C236" s="4" t="inlineStr">
        <is>
          <t xml:space="preserve">SD sheets Prod Payroll, Old Draft, Fld Maint T&amp;E Data (hidden); DeploySum!A41:A42 (hidden rows 41-42)</t>
        </is>
      </c>
      <c r="D236" s="4" t="inlineStr">
        <is>
          <t xml:space="preserve">SD has 3 hidden sheets; Prod Payroll is carried and kept hidden, the others are not carried (FO/FE do not depend on them). DeploySum row visibility for rows 3-49 now follows the 9/30/26 file.</t>
        </is>
      </c>
      <c r="E236" s="4" t="inlineStr">
        <is>
          <t xml:space="preserve">Hidden in output: ['Prod Payroll']. DeploySum hidden rows v2 [30, 32, 33, 34, 35, 36, 40, 41, 42] -&gt; v3 [41, 42] (rows 30, 32-36 and recognized revenue row 40 are now visible, as in the 9/30/26 file).</t>
        </is>
      </c>
      <c r="F236" s="4" t="inlineStr">
        <is>
          <t xml:space="preserve">not determinable</t>
        </is>
      </c>
      <c r="G236" s="4" t="inlineStr">
        <is>
          <t xml:space="preserve">hygiene</t>
        </is>
      </c>
      <c r="H236" s="4" t="inlineStr">
        <is>
          <t xml:space="preserve">None, unless reviewers want Old Draft / T&amp;E Data in the pack.</t>
        </is>
      </c>
    </row>
    <row r="237">
      <c r="A237" s="4" t="inlineStr">
        <is>
          <t xml:space="preserve">I-21</t>
        </is>
      </c>
      <c r="B237" s="4" t="inlineStr">
        <is>
          <t xml:space="preserve">LOW</t>
        </is>
      </c>
      <c r="C237" s="4" t="inlineStr">
        <is>
          <t xml:space="preserve">Fld Maint T&amp;E Data!Q26 (SD)</t>
        </is>
      </c>
      <c r="D237" s="4" t="inlineStr">
        <is>
          <t xml:space="preserve">Old Draft dependence is contained: 1 cell(s) outside Old Draft read it, none in the FO/FE chain, so the output has 0 references to it.</t>
        </is>
      </c>
      <c r="E237" s="4" t="inlineStr">
        <is>
          <t xml:space="preserve">SD Fld Maint T&amp;E Data: 1 cell(s) e.g. Q26: ='Old Draft'!B28*'Old Draft'!B23. SD dependency map: Old Draft -&gt; {'Fld Maint T&amp;E Data': 458, 'Fld Ops Payroll': 131, 'DeploySum': 112}.</t>
        </is>
      </c>
      <c r="F237" s="4" t="inlineStr">
        <is>
          <t xml:space="preserve">not determinable</t>
        </is>
      </c>
      <c r="G237" s="4" t="inlineStr">
        <is>
          <t xml:space="preserve">hygiene</t>
        </is>
      </c>
      <c r="H237" s="4" t="inlineStr">
        <is>
          <t xml:space="preserve">None for the budget. Consider deleting Old Draft once the reference is re-pointed.</t>
        </is>
      </c>
    </row>
    <row r="238">
      <c r="A238" s="4" t="inlineStr">
        <is>
          <t xml:space="preserve">I-22</t>
        </is>
      </c>
      <c r="B238" s="4" t="inlineStr">
        <is>
          <t xml:space="preserve">LOW</t>
        </is>
      </c>
      <c r="C238" s="4" t="inlineStr">
        <is>
          <t xml:space="preserve">COO P&amp;L!A23:A24, B27, B37 (same rows on FO, PO, CO, FE, PE)</t>
        </is>
      </c>
      <c r="D238"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238" s="4" t="inlineStr">
        <is>
          <t xml:space="preserve">Subtotal scan on 6 sheets: 0 skipped lines with values. Non-empty cells on row 23 by tab: {COO P&amp;L: 0, FO: 0, PO: 0, CO: 0, FE: 0, PE: 0}. COO P&amp;L dept-sum formulas omitting a dept: 0.</t>
        </is>
      </c>
      <c r="F238" s="4" t="inlineStr">
        <is>
          <t xml:space="preserve">not determinable</t>
        </is>
      </c>
      <c r="G238" s="4" t="inlineStr">
        <is>
          <t xml:space="preserve">hygiene</t>
        </is>
      </c>
      <c r="H238" s="4" t="inlineStr">
        <is>
          <t xml:space="preserve">Optionally relabel row 23 as a header, or lock it.</t>
        </is>
      </c>
    </row>
    <row r="239">
      <c r="A239" s="4" t="inlineStr">
        <is>
          <t xml:space="preserve">I-23</t>
        </is>
      </c>
      <c r="B239" s="4" t="inlineStr">
        <is>
          <t xml:space="preserve">LOW</t>
        </is>
      </c>
      <c r="C239" s="4" t="inlineStr">
        <is>
          <t xml:space="preserve">COO P&amp;L!B65:M65; COO P&amp;L!C141</t>
        </is>
      </c>
      <c r="D239"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239" s="4" t="inlineStr">
        <is>
          <t xml:space="preserve">COO P&amp;L!C141 = -14.33 (ratio). PO!N67 (308,059) -&gt; AG67 0; PE!N35 (56,264) -&gt; AG35 0.</t>
        </is>
      </c>
      <c r="F239" s="4" t="inlineStr">
        <is>
          <t xml:space="preserve">not determinable</t>
        </is>
      </c>
      <c r="G239" s="4" t="inlineStr">
        <is>
          <t xml:space="preserve">hygiene</t>
        </is>
      </c>
      <c r="H239" s="4" t="inlineStr">
        <is>
          <t xml:space="preserve">Label row 65. Finance to explain the negative 2026 payroll postings in PO 6610 and PE 5140. v7: the PO 6610 and PE 5140 credits are also evidence for Decision #1 (production labour capitalised, B1); Finance's answer settles both.</t>
        </is>
      </c>
    </row>
    <row r="240">
      <c r="A240" s="4" t="inlineStr">
        <is>
          <t xml:space="preserve">I-24</t>
        </is>
      </c>
      <c r="B240" s="4" t="inlineStr">
        <is>
          <t xml:space="preserve">LOW</t>
        </is>
      </c>
      <c r="C240" s="4" t="inlineStr">
        <is>
          <t xml:space="preserve">Workbook defined names (xl/workbook.xml &lt;definedNames&gt;, workbook scope, no cell); list in 02-build_pruned_names_v2.csv</t>
        </is>
      </c>
      <c r="D240"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240"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240" s="4" t="inlineStr">
        <is>
          <t xml:space="preserve">not determinable</t>
        </is>
      </c>
      <c r="G240" s="4" t="inlineStr">
        <is>
          <t xml:space="preserve">hygiene</t>
        </is>
      </c>
      <c r="H240" s="4" t="inlineStr">
        <is>
          <t xml:space="preserve">Optional: purge the remaining constant-valued legacy names in Name Manager.</t>
        </is>
      </c>
    </row>
    <row r="241">
      <c r="A241" s="4" t="inlineStr">
        <is>
          <t xml:space="preserve">I-25</t>
        </is>
      </c>
      <c r="B241" s="4" t="inlineStr">
        <is>
          <t xml:space="preserve">LOW</t>
        </is>
      </c>
      <c r="C241" s="4" t="inlineStr">
        <is>
          <t xml:space="preserve">Prod Payroll!B24:S81; DeploySum!A1 (notes)</t>
        </is>
      </c>
      <c r="D241"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is>
      </c>
      <c r="E241" s="4" t="inlineStr">
        <is>
          <t xml:space="preserve">Errors v2 -&gt; v3: DeploySum {'#REF!': 463, '#N/A': 35} -&gt; none; Prod Payroll {'#REF!': 796} -&gt; {'#NAME?': 430}. New errors: 0.</t>
        </is>
      </c>
      <c r="F241" s="4" t="inlineStr">
        <is>
          <t xml:space="preserve">not determinable</t>
        </is>
      </c>
      <c r="G241" s="4" t="inlineStr">
        <is>
          <t xml:space="preserve">hygiene</t>
        </is>
      </c>
      <c r="H241" s="4" t="inlineStr">
        <is>
          <t xml:space="preserve">None; disclosed for reviewers.</t>
        </is>
      </c>
    </row>
    <row r="242">
      <c r="A242" s="4" t="inlineStr">
        <is>
          <t xml:space="preserve">I-26</t>
        </is>
      </c>
      <c r="B242" s="4" t="inlineStr">
        <is>
          <t xml:space="preserve">RESOLVED</t>
        </is>
      </c>
      <c r="C242" s="4" t="inlineStr">
        <is>
          <t xml:space="preserve">Fld Eng Budget!B21; Fld Eng Budget!B67:M67; FE!AG67</t>
        </is>
      </c>
      <c r="D242"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242"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242" s="4" t="inlineStr">
        <is>
          <t xml:space="preserve">(254,454) on the contribution (in the v5 headline)</t>
        </is>
      </c>
      <c r="G242" s="4" t="inlineStr">
        <is>
          <t xml:space="preserve">resolved; was MED (owner confirmation)</t>
        </is>
      </c>
      <c r="H242" s="4" t="inlineStr">
        <is>
          <t xml:space="preserve">None. v6: the Head of Service Delivery is on FE HC r16 and Fld Eng Budget r21 only, not on CO HC or PE HC (I-28).</t>
        </is>
      </c>
    </row>
    <row r="243">
      <c r="A243" s="4" t="inlineStr">
        <is>
          <t xml:space="preserve">I-27</t>
        </is>
      </c>
      <c r="B243" s="4" t="inlineStr">
        <is>
          <t xml:space="preserve">LOW</t>
        </is>
      </c>
      <c r="C243" s="4" t="inlineStr">
        <is>
          <t xml:space="preserve">Logistics&amp;WH Payroll!B56 (SD, not carried); FO!U52:AF52</t>
        </is>
      </c>
      <c r="D243"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243"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243" s="4" t="inlineStr">
        <is>
          <t xml:space="preserve">38,133 base pay missing (before burden)</t>
        </is>
      </c>
      <c r="G243" s="4" t="inlineStr">
        <is>
          <t xml:space="preserve">impact 38,133</t>
        </is>
      </c>
      <c r="H243" s="4" t="inlineStr">
        <is>
          <t xml:space="preserve">SD/PO owners to decide where MH-05 is budgeted and add it.</t>
        </is>
      </c>
    </row>
    <row r="244">
      <c r="A244" s="4" t="inlineStr">
        <is>
          <t xml:space="preserve">I-28</t>
        </is>
      </c>
      <c r="B244" s="4" t="inlineStr">
        <is>
          <t xml:space="preserve">MED</t>
        </is>
      </c>
      <c r="C244" s="4" t="inlineStr">
        <is>
          <t xml:space="preserve">'HC-FO'!B15:D15; Fld Eng Budget!A15:C15, row 61; Fld Ops Payroll!B11; 'HC-FE'!B41:D41; 'HC-CO'; 'HC-PE'</t>
        </is>
      </c>
      <c r="D244"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244" s="4" t="inlineStr">
        <is>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is>
      </c>
      <c r="F244" s="4" t="inlineStr">
        <is>
          <t xml:space="preserve">+78,529 to +93,093 (budget overstated by one person if the duplicate is confirmed; pro rata if the move happens mid-year)</t>
        </is>
      </c>
      <c r="G244" s="4" t="inlineStr">
        <is>
          <t xml:space="preserve">impact 93,093 ($50k-250k)</t>
        </is>
      </c>
      <c r="H244" s="4" t="inlineStr">
        <is>
          <t xml:space="preserve">SD / FO owners: confirm whether this person moved from FO to FE. Then remove them from one side (Fld Ops Payroll B11 14 -&gt; 13, or Fld Eng Budget row 15) and, if the move is real, give FE HC r41 the salary and start month. No budget value changed in v6 or v7.</t>
        </is>
      </c>
    </row>
    <row r="245">
      <c r="A245" s="4" t="inlineStr">
        <is>
          <t xml:space="preserve">I-29</t>
        </is>
      </c>
      <c r="B245" s="4" t="inlineStr">
        <is>
          <t xml:space="preserve">LOW</t>
        </is>
      </c>
      <c r="C245" s="4" t="inlineStr">
        <is>
          <t xml:space="preserve">Prod Payroll!M9; Fld Ops Payroll!M7; Fld Eng Budget!B59 (row formula); PO!AD33; PO!AD34; PO!AD35; CO!AD67; CO!AD68; CO!AD69; PE!AD67; PE!AD68; PE!AD69</t>
        </is>
      </c>
      <c r="D245"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245" s="4" t="inlineStr">
        <is>
          <t xml:space="preserve">Prod Payroll!M5 = 0.03, M6 = 2027-10-01, M9 = 6. Steps found in typed rows: PO!AD33 3.00%; PO!AD34 3.00%; PO!AD35 3.00%; CO!AD67 3.00%; CO!AD68 3.00%; CO!AD69 3.00%; PE!AD67 3.00%; PE!AD68 3.00%; PE!AD69 3.00%; FE!AD67 3.00%; FE!AD68 3.00%; FE!AD69 3.00%.</t>
        </is>
      </c>
      <c r="F245" s="4" t="inlineStr">
        <is>
          <t xml:space="preserve">not determinable</t>
        </is>
      </c>
      <c r="G245" s="4" t="inlineStr">
        <is>
          <t xml:space="preserve">hygiene</t>
        </is>
      </c>
      <c r="H245" s="4" t="inlineStr">
        <is>
          <t xml:space="preserve">Payroll owners to confirm whether the eligibility rule should apply to all departments.</t>
        </is>
      </c>
    </row>
    <row r="246">
      <c r="A246" s="4" t="inlineStr">
        <is>
          <t xml:space="preserve">I-30</t>
        </is>
      </c>
      <c r="B246" s="4" t="inlineStr">
        <is>
          <t xml:space="preserve">LOW</t>
        </is>
      </c>
      <c r="C246" s="4" t="inlineStr">
        <is>
          <t xml:space="preserve">DeploySum!A2, A7, A9, A11, A13, A29, A30, A35, A38, A39, A40, A41, A42</t>
        </is>
      </c>
      <c r="D246"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246" s="4" t="inlineStr">
        <is>
          <t xml:space="preserve">E.g. DeploySum!R13 total bookings 29,452,766 and R29 Production CapEx 32,410,900 are dollars: CapEx = units x unit cost in dollars (section 'Unit-cost reconciliation'), and recognized revenue is the same order as PO's 2026 revenue in dollars.</t>
        </is>
      </c>
      <c r="F246" s="4" t="inlineStr">
        <is>
          <t xml:space="preserve">0</t>
        </is>
      </c>
      <c r="G246" s="4" t="inlineStr">
        <is>
          <t xml:space="preserve">hygiene</t>
        </is>
      </c>
      <c r="H246" s="4" t="inlineStr">
        <is>
          <t xml:space="preserve">Plan owner to fix the labels in the source (Revenue Roll-up / Deploy) so the next export is right.</t>
        </is>
      </c>
    </row>
    <row r="247">
      <c r="A247" s="4" t="inlineStr">
        <is>
          <t xml:space="preserve">I-31</t>
        </is>
      </c>
      <c r="B247" s="4" t="inlineStr">
        <is>
          <t xml:space="preserve">LOW</t>
        </is>
      </c>
      <c r="C247" s="4" t="inlineStr">
        <is>
          <t xml:space="preserve">'Depreciation Schedule'!A88:D97; PO!J20:M22; DeploySum!C19:E20</t>
        </is>
      </c>
      <c r="D247"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247"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247" s="4" t="inlineStr">
        <is>
          <t xml:space="preserve">(39,057) to +37,457 (5020 Dec step: up to +12,300 more)</t>
        </is>
      </c>
      <c r="G247" s="4" t="inlineStr">
        <is>
          <t xml:space="preserve">impact 39,057 (&lt; $50k)</t>
        </is>
      </c>
      <c r="H247" s="4" t="inlineStr">
        <is>
          <t xml:space="preserve">PO owner to say what the Oct/Nov/Dec-26 step-ups on PO rows 20-22 are (which go-lives, which month). Then the user chooses: keep the PO run rate (current), or Sep-26 run rate + DeploySum Oct-Dec 26 vintages. Do not do both.</t>
        </is>
      </c>
    </row>
    <row r="248">
      <c r="A248" s="4" t="inlineStr">
        <is>
          <t xml:space="preserve">I-32</t>
        </is>
      </c>
      <c r="B248" s="4" t="inlineStr">
        <is>
          <t xml:space="preserve">HIGH</t>
        </is>
      </c>
      <c r="C248" s="4" t="inlineStr">
        <is>
          <t xml:space="preserve">'Depreciation Schedule'!B21:B24; PO!M19:M22; PO!U19:AF19</t>
        </is>
      </c>
      <c r="D248"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248" s="4" t="inlineStr">
        <is>
          <t xml:space="preserve">Dec-26 run rates (PO!M): 5010 112,797.85, 5011 20,444.90, 5012 6,502.64, 5020 19,525.33; 2027 existing total 1,911,249. 5010 2026 actuals Jan-Aug 141,122.35 -&gt; 127,510.00, forecast Sep-Dec flat 112,797.85; 2026 total 1,492,329.</t>
        </is>
      </c>
      <c r="F248" s="4" t="inlineStr">
        <is>
          <t xml:space="preserve">up to +1,353,574 (5010 = 0); trend +276,164 (continued from Sep-26: +403,624); 5020 base up to +98,543</t>
        </is>
      </c>
      <c r="G248" s="4" t="inlineStr">
        <is>
          <t xml:space="preserve">impact 1,353,574</t>
        </is>
      </c>
      <c r="H248" s="4" t="inlineStr">
        <is>
          <t xml:space="preserve">USER DECISION: confirm SlipBot fleet status (fully depreciated / retired / ongoing / declining as in 2026) and the end-of-life month for any existing asset group. Change the section 2 input on the schedule if the run rate stops.</t>
        </is>
      </c>
    </row>
    <row r="249">
      <c r="A249" s="4" t="inlineStr">
        <is>
          <t xml:space="preserve">I-33</t>
        </is>
      </c>
      <c r="B249" s="4" t="inlineStr">
        <is>
          <t xml:space="preserve">MED</t>
        </is>
      </c>
      <c r="C249" s="4" t="inlineStr">
        <is>
          <t xml:space="preserve">'Depreciation Schedule'!B7, B11, B16; PO!U22:AF22</t>
        </is>
      </c>
      <c r="D249"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249" s="4" t="inlineStr">
        <is>
          <t xml:space="preserve">2027 new-peripheral depreciation 63,836 (Dec-27 12,313.99/month). Moving it to 5011 changes the GL split only, not the total. A different life changes the amount in proportion (e.g. 60 months: 89,370).</t>
        </is>
      </c>
      <c r="F249" s="4" t="inlineStr">
        <is>
          <t xml:space="preserve">63,836</t>
        </is>
      </c>
      <c r="G249" s="4" t="inlineStr">
        <is>
          <t xml:space="preserve">impact 63,836</t>
        </is>
      </c>
      <c r="H249" s="4" t="inlineStr">
        <is>
          <t xml:space="preserve">User to confirm the peripherals GL (5020 or 5011) and life; both are input cells.</t>
        </is>
      </c>
    </row>
    <row r="250">
      <c r="A250" s="4" t="inlineStr">
        <is>
          <t xml:space="preserve">I-34</t>
        </is>
      </c>
      <c r="B250" s="4" t="inlineStr">
        <is>
          <t xml:space="preserve">MED</t>
        </is>
      </c>
      <c r="C250" s="4" t="inlineStr">
        <is>
          <t xml:space="preserve">Fld Eng Budget!B22:B23; Fld Ops Payroll!B7:B8; 'HC-FE'!D6:D7; FE!AG68:AG69</t>
        </is>
      </c>
      <c r="D250"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is>
      </c>
      <c r="E250"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250" s="4" t="inlineStr">
        <is>
          <t xml:space="preserve">+109,539 if the FE HC rates are right; +76,600 if the FE tax rate is at least 7.65%</t>
        </is>
      </c>
      <c r="G250" s="4" t="inlineStr">
        <is>
          <t xml:space="preserve">impact 109,539 ($50k-250k)</t>
        </is>
      </c>
      <c r="H250" s="4" t="inlineStr">
        <is>
          <t xml:space="preserve">User / Finance: choose the FE burden rates (FE HC T&amp;B rates or the SD field rates). If FE HC, set Fld Eng Budget B22:B23 to the FE rates.</t>
        </is>
      </c>
    </row>
    <row r="251">
      <c r="A251" s="4" t="inlineStr">
        <is>
          <t xml:space="preserve">I-35</t>
        </is>
      </c>
      <c r="B251" s="4" t="inlineStr">
        <is>
          <t xml:space="preserve">MED</t>
        </is>
      </c>
      <c r="C251" s="4" t="inlineStr">
        <is>
          <t xml:space="preserve">'HC-PE'!A22:Z22; PE!AG67:AG69</t>
        </is>
      </c>
      <c r="D251"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251" s="4" t="inlineStr">
        <is>
          <t xml:space="preserve">2027 cost: salary 226,688 + payroll tax 8,096 (3.57%) + benefits 20,001 (8.82%) = 254,785. The HC tabs have Transfers In/Out blocks (rows 51-64) for such moves; none is filled.</t>
        </is>
      </c>
      <c r="F251" s="4" t="inlineStr">
        <is>
          <t xml:space="preserve">up to +254,785 (leaves COO from Jan-27); 0 if it moves within COO and is budgeted once</t>
        </is>
      </c>
      <c r="G251" s="4" t="inlineStr">
        <is>
          <t xml:space="preserve">impact not determinable; owner confirmation needed (exposure 254,785)</t>
        </is>
      </c>
      <c r="H251" s="4" t="inlineStr">
        <is>
          <t xml:space="preserve">PE owner to confirm the transfer, the month and the receiving department; record it in the Transfers Out / In blocks so it is budgeted once.</t>
        </is>
      </c>
    </row>
    <row r="252">
      <c r="A252" s="4" t="inlineStr">
        <is>
          <t xml:space="preserve">I-36</t>
        </is>
      </c>
      <c r="B252" s="4" t="inlineStr">
        <is>
          <t xml:space="preserve">LOW</t>
        </is>
      </c>
      <c r="C252" s="4" t="inlineStr">
        <is>
          <t xml:space="preserve">Fld Eng Budget!A15:C15, A19:C19; 'HC-FE'!B41:F41; FE!AG67</t>
        </is>
      </c>
      <c r="D252"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is>
      </c>
      <c r="E252" s="4" t="inlineStr">
        <is>
          <t xml:space="preserve">Gap 103,133 = r15 75,562.50 + r19 27,570.83. Matched people: 2027 monthly salary identical (max difference 0.00). The COO book's FE 6610 (675,701) is FE HC less FE HC r35 Field Engineer Manager (141,050, from Dec-26).</t>
        </is>
      </c>
      <c r="F252" s="4" t="inlineStr">
        <is>
          <t xml:space="preserve">+33,967 if the Aug-27 hire is not approved (salary 27,571 + SD burden)</t>
        </is>
      </c>
      <c r="G252" s="4" t="inlineStr">
        <is>
          <t xml:space="preserve">impact 33,967 (&lt; $50k)</t>
        </is>
      </c>
      <c r="H252" s="4" t="inlineStr">
        <is>
          <t xml:space="preserve">FE owner to confirm the Aug-27 Customer Support Specialist hire and add it to FE HC if approved; the r15 row is handled under I-28.</t>
        </is>
      </c>
    </row>
    <row r="253">
      <c r="A253" s="4" t="inlineStr">
        <is>
          <t xml:space="preserve">I-37</t>
        </is>
      </c>
      <c r="B253" s="4" t="inlineStr">
        <is>
          <t xml:space="preserve">MED</t>
        </is>
      </c>
      <c r="C253" s="4" t="inlineStr">
        <is>
          <t xml:space="preserve">'HC-FO'!D6; 'HC-PO'!D6; 'HC-CO'!D6; 'HC-FE'!D6; 'HC-PE'!D6; PO!AG34; CO!AG68; PE!AG68; Fld Ops Payroll!B7; Fld Eng Budget!B22</t>
        </is>
      </c>
      <c r="D253" s="4" t="inlineStr">
        <is>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t>
        </is>
      </c>
      <c r="E253" s="4" t="inlineStr">
        <is>
          <t xml:space="preserve">At 7.65% on every 2027 salary dollar (upper bound): PO +21,081, CO +12,834, PE +43,967 = +77,882 of tax; FO +26,350 and FE +7,819 against the SD 6.8%. I-34 at an FE tax rate of 7.65%: +76,600 instead of +109,539.</t>
        </is>
      </c>
      <c r="F253" s="4" t="inlineStr">
        <is>
          <t xml:space="preserve">up to (77,882) PO/CO/PE; up to (34,169) FO/FE</t>
        </is>
      </c>
      <c r="G253" s="4" t="inlineStr">
        <is>
          <t xml:space="preserve">impact 77,882 ($50k-250k)</t>
        </is>
      </c>
      <c r="H253" s="4" t="inlineStr">
        <is>
          <t xml:space="preserve">Finance: confirm what the T&amp;B tax rates include (FICA, FUTA/SUTA, wage-base caps) and the rate to budget per department. Then reset 'HC-*'!D6 and, if needed, Fld Ops Payroll!B7 / Fld Eng Budget!B22.</t>
        </is>
      </c>
    </row>
    <row r="254">
      <c r="A254" s="4" t="inlineStr">
        <is>
          <t xml:space="preserve">I-38</t>
        </is>
      </c>
      <c r="B254" s="4" t="inlineStr">
        <is>
          <t xml:space="preserve">MED</t>
        </is>
      </c>
      <c r="C254" s="4" t="inlineStr">
        <is>
          <t xml:space="preserve">Prod Payroll!B31:E31, B52:E52, B71:E71; Logistics&amp;WH Payroll (SD, not carried) TL-01, MH-02; 'HC-PO'</t>
        </is>
      </c>
      <c r="D254" s="4" t="inlineStr">
        <is>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t>
        </is>
      </c>
      <c r="E254" s="4" t="inlineStr">
        <is>
          <t xml:space="preserve">Workfile saved 2026-10-07 (file properties); the SD book's properties show 2026-10-09 (a re-save, not the model date). The models' Sep-Dec 26 hires set the 2027 opening ramp (Prod Payroll: 15 ramp staff in Jan-27).</t>
        </is>
      </c>
      <c r="F254" s="4" t="inlineStr">
        <is>
          <t xml:space="preserve">not determinable</t>
        </is>
      </c>
      <c r="G254" s="4" t="inlineStr">
        <is>
          <t xml:space="preserve">impact not determinable; owner confirmation needed</t>
        </is>
      </c>
      <c r="H254" s="4" t="inlineStr">
        <is>
          <t xml:space="preserve">SD / PO owners: when were Prod Payroll and Logistics&amp;WH Payroll last updated? Were the Sep-Dec 26 hires made, deferred or dropped? Refresh the models before Decision #6.</t>
        </is>
      </c>
    </row>
    <row r="255">
      <c r="A255" s="4" t="inlineStr">
        <is>
          <t xml:space="preserve">I-39</t>
        </is>
      </c>
      <c r="B255" s="4" t="inlineStr">
        <is>
          <t xml:space="preserve">MED</t>
        </is>
      </c>
      <c r="C255" s="4" t="inlineStr">
        <is>
          <t xml:space="preserve">'HC-FE'!B34:F35; Fld Eng Budget!A20:C20, row 66; FE!AG67</t>
        </is>
      </c>
      <c r="D255" s="4" t="inlineStr">
        <is>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is>
      </c>
      <c r="E255" s="4" t="inlineStr">
        <is>
          <t xml:space="preserve">2027 cost in the budget (salary + SD burden): 173,774; COO book _2 gap vs FE HC: 141,050 of salary.</t>
        </is>
      </c>
      <c r="F255" s="4" t="inlineStr">
        <is>
          <t xml:space="preserve">up to +173,774 if the seat stays open all of 2027</t>
        </is>
      </c>
      <c r="G255" s="4" t="inlineStr">
        <is>
          <t xml:space="preserve">impact 173,774 ($50k-250k)</t>
        </is>
      </c>
      <c r="H255" s="4" t="inlineStr">
        <is>
          <t xml:space="preserve">FE owner: is the Field Engineer Manager seat filled, and from when? Set Fld Eng Budget!C20 to the start month.</t>
        </is>
      </c>
    </row>
    <row r="257">
      <c r="A257" s="2" t="inlineStr">
        <is>
          <t xml:space="preserve">'$000s' relabel (DeploySum)</t>
        </is>
      </c>
    </row>
    <row r="258">
      <c r="A258" s="3" t="inlineStr">
        <is>
          <t xml:space="preserve">Cell</t>
        </is>
      </c>
      <c r="B258" s="3" t="inlineStr">
        <is>
          <t xml:space="preserve">Source label</t>
        </is>
      </c>
      <c r="C258" s="3" t="inlineStr">
        <is>
          <t xml:space="preserve">v3 label</t>
        </is>
      </c>
    </row>
    <row r="259">
      <c r="A259" s="4" t="inlineStr">
        <is>
          <t xml:space="preserve">A2</t>
        </is>
      </c>
      <c r="B259" s="4" t="inlineStr">
        <is>
          <t xml:space="preserve">Bookings, deployments and production by month (base case). Dollars in $000s. Sep–Dec 26 = remaining 2026 (existing + forecast contracts); FY2027 = Jan–Dec 27.</t>
        </is>
      </c>
      <c r="C259" s="4" t="inlineStr">
        <is>
          <t xml:space="preserve">Bookings, deployments and production by month (base case). Dollars in $ (relabelled in v3; the source said $000s). Sep–Dec 26 = remaining 2026 (existing + forecast contracts); FY2027 = Jan–Dec 27.</t>
        </is>
      </c>
    </row>
    <row r="260">
      <c r="A260" s="4" t="inlineStr">
        <is>
          <t xml:space="preserve">A7</t>
        </is>
      </c>
      <c r="B260" s="4" t="inlineStr">
        <is>
          <t xml:space="preserve">New logos – bookings ($000s)</t>
        </is>
      </c>
      <c r="C260" s="4" t="inlineStr">
        <is>
          <t xml:space="preserve">New logos – bookings ($)</t>
        </is>
      </c>
    </row>
    <row r="261">
      <c r="A261" s="4" t="inlineStr">
        <is>
          <t xml:space="preserve">A9</t>
        </is>
      </c>
      <c r="B261" s="4" t="inlineStr">
        <is>
          <t xml:space="preserve">Expansion – bookings ($000s)</t>
        </is>
      </c>
      <c r="C261" s="4" t="inlineStr">
        <is>
          <t xml:space="preserve">Expansion – bookings ($)</t>
        </is>
      </c>
    </row>
    <row r="262">
      <c r="A262" s="4" t="inlineStr">
        <is>
          <t xml:space="preserve">A11</t>
        </is>
      </c>
      <c r="B262" s="4" t="inlineStr">
        <is>
          <t xml:space="preserve">Existing &amp; forecast contracts – bookings ($000s)</t>
        </is>
      </c>
      <c r="C262" s="4" t="inlineStr">
        <is>
          <t xml:space="preserve">Existing &amp; forecast contracts – bookings ($)</t>
        </is>
      </c>
    </row>
    <row r="263">
      <c r="A263" s="4" t="inlineStr">
        <is>
          <t xml:space="preserve">A13</t>
        </is>
      </c>
      <c r="B263" s="4" t="inlineStr">
        <is>
          <t xml:space="preserve">Total bookings ($000s)</t>
        </is>
      </c>
      <c r="C263" s="4" t="inlineStr">
        <is>
          <t xml:space="preserve">Total bookings ($)</t>
        </is>
      </c>
    </row>
    <row r="264">
      <c r="A264" s="4" t="inlineStr">
        <is>
          <t xml:space="preserve">A29</t>
        </is>
      </c>
      <c r="B264" s="4" t="inlineStr">
        <is>
          <t xml:space="preserve">Production CapEx ($000s)</t>
        </is>
      </c>
      <c r="C264" s="4" t="inlineStr">
        <is>
          <t xml:space="preserve">Production CapEx ($)</t>
        </is>
      </c>
    </row>
    <row r="265">
      <c r="A265" s="4" t="inlineStr">
        <is>
          <t xml:space="preserve">A30</t>
        </is>
      </c>
      <c r="B265" s="4" t="inlineStr">
        <is>
          <t xml:space="preserve">Deployment freight – expensed ($000s)</t>
        </is>
      </c>
      <c r="C265" s="4" t="inlineStr">
        <is>
          <t xml:space="preserve">Deployment freight – expensed ($)</t>
        </is>
      </c>
    </row>
    <row r="266">
      <c r="A266" s="4" t="inlineStr">
        <is>
          <t xml:space="preserve">A35</t>
        </is>
      </c>
      <c r="B266" s="4" t="inlineStr">
        <is>
          <t xml:space="preserve">CapEx for 2028 go-lives – estimate ($000s)</t>
        </is>
      </c>
      <c r="C266" s="4" t="inlineStr">
        <is>
          <t xml:space="preserve">CapEx for 2028 go-lives – estimate ($)</t>
        </is>
      </c>
    </row>
    <row r="267">
      <c r="A267" s="4" t="inlineStr">
        <is>
          <t xml:space="preserve">A38</t>
        </is>
      </c>
      <c r="B267" s="4" t="inlineStr">
        <is>
          <t xml:space="preserve">CARR – end of period ($000s)</t>
        </is>
      </c>
      <c r="C267" s="4" t="inlineStr">
        <is>
          <t xml:space="preserve">CARR – end of period ($)</t>
        </is>
      </c>
    </row>
    <row r="268">
      <c r="A268" s="4" t="inlineStr">
        <is>
          <t xml:space="preserve">A39</t>
        </is>
      </c>
      <c r="B268" s="4" t="inlineStr">
        <is>
          <t xml:space="preserve">ARR – end of period ($000s)</t>
        </is>
      </c>
      <c r="C268" s="4" t="inlineStr">
        <is>
          <t xml:space="preserve">ARR – end of period ($)</t>
        </is>
      </c>
    </row>
    <row r="269">
      <c r="A269" s="4" t="inlineStr">
        <is>
          <t xml:space="preserve">A40</t>
        </is>
      </c>
      <c r="B269" s="4" t="inlineStr">
        <is>
          <t xml:space="preserve">Recognized revenue ($000s)</t>
        </is>
      </c>
      <c r="C269" s="4" t="inlineStr">
        <is>
          <t xml:space="preserve">Recognized revenue ($)</t>
        </is>
      </c>
    </row>
    <row r="270">
      <c r="A270" s="4" t="inlineStr">
        <is>
          <t xml:space="preserve">A41</t>
        </is>
      </c>
      <c r="B270" s="4" t="inlineStr">
        <is>
          <t xml:space="preserve">Billings ($000s)</t>
        </is>
      </c>
      <c r="C270" s="4" t="inlineStr">
        <is>
          <t xml:space="preserve">Billings ($)</t>
        </is>
      </c>
    </row>
    <row r="271">
      <c r="A271" s="4" t="inlineStr">
        <is>
          <t xml:space="preserve">A42</t>
        </is>
      </c>
      <c r="B271" s="4" t="inlineStr">
        <is>
          <t xml:space="preserve">Deferred revenue – end of period ($000s)</t>
        </is>
      </c>
      <c r="C271" s="4" t="inlineStr">
        <is>
          <t xml:space="preserve">Deferred revenue – end of period ($)</t>
        </is>
      </c>
    </row>
    <row r="273">
      <c r="A273" s="2" t="inlineStr">
        <is>
          <t xml:space="preserve">DeploySum external-link formulas in the 9/30/26 file, stored as cached values</t>
        </is>
      </c>
    </row>
    <row r="274">
      <c r="A274" s="3" t="inlineStr">
        <is>
          <t xml:space="preserve">v3 cell</t>
        </is>
      </c>
      <c r="B274" s="3" t="inlineStr">
        <is>
          <t xml:space="preserve">New-file cell</t>
        </is>
      </c>
      <c r="C274" s="3" t="inlineStr">
        <is>
          <t xml:space="preserve">Original formula (text)</t>
        </is>
      </c>
      <c r="D274" s="3" t="inlineStr">
        <is>
          <t xml:space="preserve">Stored value</t>
        </is>
      </c>
    </row>
    <row r="275">
      <c r="A275" s="4" t="inlineStr">
        <is>
          <t xml:space="preserve">A3</t>
        </is>
      </c>
      <c r="B275" s="4" t="inlineStr">
        <is>
          <t xml:space="preserve">A3</t>
        </is>
      </c>
      <c r="C275"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275" s="4" t="inlineStr">
        <is>
          <t xml:space="preserve">Tie-out to Deploy Detail (bookings $, deployments, production): OK</t>
        </is>
      </c>
    </row>
    <row r="276">
      <c r="A276" s="4" t="inlineStr">
        <is>
          <t xml:space="preserve">B4</t>
        </is>
      </c>
      <c r="B276" s="4" t="inlineStr">
        <is>
          <t xml:space="preserve">B4</t>
        </is>
      </c>
      <c r="C276" s="4" t="inlineStr">
        <is>
          <t xml:space="preserve">'[1]Revenue Roll-up'!D17</t>
        </is>
      </c>
      <c r="D276" s="4" t="inlineStr">
        <is>
          <t xml:space="preserve">2026-09-30 00:00:00</t>
        </is>
      </c>
    </row>
    <row r="277">
      <c r="A277" s="4" t="inlineStr">
        <is>
          <t xml:space="preserve">C4</t>
        </is>
      </c>
      <c r="B277" s="4" t="inlineStr">
        <is>
          <t xml:space="preserve">C4</t>
        </is>
      </c>
      <c r="C277" s="4" t="inlineStr">
        <is>
          <t xml:space="preserve">'[1]Revenue Roll-up'!E17</t>
        </is>
      </c>
      <c r="D277" s="4" t="inlineStr">
        <is>
          <t xml:space="preserve">2026-10-31 00:00:00</t>
        </is>
      </c>
    </row>
    <row r="278">
      <c r="A278" s="4" t="inlineStr">
        <is>
          <t xml:space="preserve">D4</t>
        </is>
      </c>
      <c r="B278" s="4" t="inlineStr">
        <is>
          <t xml:space="preserve">D4</t>
        </is>
      </c>
      <c r="C278" s="4" t="inlineStr">
        <is>
          <t xml:space="preserve">'[1]Revenue Roll-up'!F17</t>
        </is>
      </c>
      <c r="D278" s="4" t="inlineStr">
        <is>
          <t xml:space="preserve">2026-11-30 00:00:00</t>
        </is>
      </c>
    </row>
    <row r="279">
      <c r="A279" s="4" t="inlineStr">
        <is>
          <t xml:space="preserve">E4</t>
        </is>
      </c>
      <c r="B279" s="4" t="inlineStr">
        <is>
          <t xml:space="preserve">E4</t>
        </is>
      </c>
      <c r="C279" s="4" t="inlineStr">
        <is>
          <t xml:space="preserve">'[1]Revenue Roll-up'!G17</t>
        </is>
      </c>
      <c r="D279" s="4" t="inlineStr">
        <is>
          <t xml:space="preserve">2026-12-31 00:00:00</t>
        </is>
      </c>
    </row>
    <row r="280">
      <c r="A280" s="4" t="inlineStr">
        <is>
          <t xml:space="preserve">F4</t>
        </is>
      </c>
      <c r="B280" s="4" t="inlineStr">
        <is>
          <t xml:space="preserve">F4</t>
        </is>
      </c>
      <c r="C280" s="4" t="inlineStr">
        <is>
          <t xml:space="preserve">'[1]Revenue Roll-up'!H17</t>
        </is>
      </c>
      <c r="D280" s="4" t="inlineStr">
        <is>
          <t xml:space="preserve">2027-01-31 00:00:00</t>
        </is>
      </c>
    </row>
    <row r="281">
      <c r="A281" s="4" t="inlineStr">
        <is>
          <t xml:space="preserve">G4</t>
        </is>
      </c>
      <c r="B281" s="4" t="inlineStr">
        <is>
          <t xml:space="preserve">G4</t>
        </is>
      </c>
      <c r="C281" s="4" t="inlineStr">
        <is>
          <t xml:space="preserve">'[1]Revenue Roll-up'!I17</t>
        </is>
      </c>
      <c r="D281" s="4" t="inlineStr">
        <is>
          <t xml:space="preserve">2027-02-28 00:00:00</t>
        </is>
      </c>
    </row>
    <row r="282">
      <c r="A282" s="4" t="inlineStr">
        <is>
          <t xml:space="preserve">H4</t>
        </is>
      </c>
      <c r="B282" s="4" t="inlineStr">
        <is>
          <t xml:space="preserve">H4</t>
        </is>
      </c>
      <c r="C282" s="4" t="inlineStr">
        <is>
          <t xml:space="preserve">'[1]Revenue Roll-up'!J17</t>
        </is>
      </c>
      <c r="D282" s="4" t="inlineStr">
        <is>
          <t xml:space="preserve">2027-03-31 00:00:00</t>
        </is>
      </c>
    </row>
    <row r="283">
      <c r="A283" s="4" t="inlineStr">
        <is>
          <t xml:space="preserve">I4</t>
        </is>
      </c>
      <c r="B283" s="4" t="inlineStr">
        <is>
          <t xml:space="preserve">I4</t>
        </is>
      </c>
      <c r="C283" s="4" t="inlineStr">
        <is>
          <t xml:space="preserve">'[1]Revenue Roll-up'!K17</t>
        </is>
      </c>
      <c r="D283" s="4" t="inlineStr">
        <is>
          <t xml:space="preserve">2027-04-30 00:00:00</t>
        </is>
      </c>
    </row>
    <row r="284">
      <c r="A284" s="4" t="inlineStr">
        <is>
          <t xml:space="preserve">J4</t>
        </is>
      </c>
      <c r="B284" s="4" t="inlineStr">
        <is>
          <t xml:space="preserve">J4</t>
        </is>
      </c>
      <c r="C284" s="4" t="inlineStr">
        <is>
          <t xml:space="preserve">'[1]Revenue Roll-up'!L17</t>
        </is>
      </c>
      <c r="D284" s="4" t="inlineStr">
        <is>
          <t xml:space="preserve">2027-05-31 00:00:00</t>
        </is>
      </c>
    </row>
    <row r="285">
      <c r="A285" s="4" t="inlineStr">
        <is>
          <t xml:space="preserve">K4</t>
        </is>
      </c>
      <c r="B285" s="4" t="inlineStr">
        <is>
          <t xml:space="preserve">K4</t>
        </is>
      </c>
      <c r="C285" s="4" t="inlineStr">
        <is>
          <t xml:space="preserve">'[1]Revenue Roll-up'!M17</t>
        </is>
      </c>
      <c r="D285" s="4" t="inlineStr">
        <is>
          <t xml:space="preserve">2027-06-30 00:00:00</t>
        </is>
      </c>
    </row>
    <row r="286">
      <c r="A286" s="4" t="inlineStr">
        <is>
          <t xml:space="preserve">L4</t>
        </is>
      </c>
      <c r="B286" s="4" t="inlineStr">
        <is>
          <t xml:space="preserve">L4</t>
        </is>
      </c>
      <c r="C286" s="4" t="inlineStr">
        <is>
          <t xml:space="preserve">'[1]Revenue Roll-up'!N17</t>
        </is>
      </c>
      <c r="D286" s="4" t="inlineStr">
        <is>
          <t xml:space="preserve">2027-07-31 00:00:00</t>
        </is>
      </c>
    </row>
    <row r="287">
      <c r="A287" s="4" t="inlineStr">
        <is>
          <t xml:space="preserve">M4</t>
        </is>
      </c>
      <c r="B287" s="4" t="inlineStr">
        <is>
          <t xml:space="preserve">M4</t>
        </is>
      </c>
      <c r="C287" s="4" t="inlineStr">
        <is>
          <t xml:space="preserve">'[1]Revenue Roll-up'!O17</t>
        </is>
      </c>
      <c r="D287" s="4" t="inlineStr">
        <is>
          <t xml:space="preserve">2027-08-31 00:00:00</t>
        </is>
      </c>
    </row>
    <row r="288">
      <c r="A288" s="4" t="inlineStr">
        <is>
          <t xml:space="preserve">N4</t>
        </is>
      </c>
      <c r="B288" s="4" t="inlineStr">
        <is>
          <t xml:space="preserve">N4</t>
        </is>
      </c>
      <c r="C288" s="4" t="inlineStr">
        <is>
          <t xml:space="preserve">'[1]Revenue Roll-up'!P17</t>
        </is>
      </c>
      <c r="D288" s="4" t="inlineStr">
        <is>
          <t xml:space="preserve">2027-09-30 00:00:00</t>
        </is>
      </c>
    </row>
    <row r="289">
      <c r="A289" s="4" t="inlineStr">
        <is>
          <t xml:space="preserve">O4</t>
        </is>
      </c>
      <c r="B289" s="4" t="inlineStr">
        <is>
          <t xml:space="preserve">O4</t>
        </is>
      </c>
      <c r="C289" s="4" t="inlineStr">
        <is>
          <t xml:space="preserve">'[1]Revenue Roll-up'!Q17</t>
        </is>
      </c>
      <c r="D289" s="4" t="inlineStr">
        <is>
          <t xml:space="preserve">2027-10-31 00:00:00</t>
        </is>
      </c>
    </row>
    <row r="290">
      <c r="A290" s="4" t="inlineStr">
        <is>
          <t xml:space="preserve">P4</t>
        </is>
      </c>
      <c r="B290" s="4" t="inlineStr">
        <is>
          <t xml:space="preserve">P4</t>
        </is>
      </c>
      <c r="C290" s="4" t="inlineStr">
        <is>
          <t xml:space="preserve">'[1]Revenue Roll-up'!R17</t>
        </is>
      </c>
      <c r="D290" s="4" t="inlineStr">
        <is>
          <t xml:space="preserve">2027-11-30 00:00:00</t>
        </is>
      </c>
    </row>
    <row r="291">
      <c r="A291" s="4" t="inlineStr">
        <is>
          <t xml:space="preserve">Q4</t>
        </is>
      </c>
      <c r="B291" s="4" t="inlineStr">
        <is>
          <t xml:space="preserve">Q4</t>
        </is>
      </c>
      <c r="C291" s="4" t="inlineStr">
        <is>
          <t xml:space="preserve">'[1]Revenue Roll-up'!S17</t>
        </is>
      </c>
      <c r="D291" s="4" t="inlineStr">
        <is>
          <t xml:space="preserve">2027-12-31 00:00:00</t>
        </is>
      </c>
    </row>
    <row r="292">
      <c r="A292" s="4" t="inlineStr">
        <is>
          <t xml:space="preserve">B6</t>
        </is>
      </c>
      <c r="B292" s="4" t="inlineStr">
        <is>
          <t xml:space="preserve">B6</t>
        </is>
      </c>
      <c r="C292" s="4" t="inlineStr">
        <is>
          <t xml:space="preserve">'[1]Revenue Roll-up'!D51</t>
        </is>
      </c>
      <c r="D292" s="5">
        <v>0</v>
      </c>
    </row>
    <row r="293">
      <c r="A293" s="4" t="inlineStr">
        <is>
          <t xml:space="preserve">C6</t>
        </is>
      </c>
      <c r="B293" s="4" t="inlineStr">
        <is>
          <t xml:space="preserve">C6</t>
        </is>
      </c>
      <c r="C293" s="4" t="inlineStr">
        <is>
          <t xml:space="preserve">'[1]Revenue Roll-up'!E51</t>
        </is>
      </c>
      <c r="D293" s="5">
        <v>0</v>
      </c>
    </row>
    <row r="294">
      <c r="A294" s="4" t="inlineStr">
        <is>
          <t xml:space="preserve">D6</t>
        </is>
      </c>
      <c r="B294" s="4" t="inlineStr">
        <is>
          <t xml:space="preserve">D6</t>
        </is>
      </c>
      <c r="C294" s="4" t="inlineStr">
        <is>
          <t xml:space="preserve">'[1]Revenue Roll-up'!F51</t>
        </is>
      </c>
      <c r="D294" s="5">
        <v>0</v>
      </c>
    </row>
    <row r="295">
      <c r="A295" s="4" t="inlineStr">
        <is>
          <t xml:space="preserve">E6</t>
        </is>
      </c>
      <c r="B295" s="4" t="inlineStr">
        <is>
          <t xml:space="preserve">E6</t>
        </is>
      </c>
      <c r="C295" s="4" t="inlineStr">
        <is>
          <t xml:space="preserve">'[1]Revenue Roll-up'!G51</t>
        </is>
      </c>
      <c r="D295" s="5">
        <v>0</v>
      </c>
    </row>
    <row r="296">
      <c r="A296" s="4" t="inlineStr">
        <is>
          <t xml:space="preserve">F6</t>
        </is>
      </c>
      <c r="B296" s="4" t="inlineStr">
        <is>
          <t xml:space="preserve">F6</t>
        </is>
      </c>
      <c r="C296" s="4" t="inlineStr">
        <is>
          <t xml:space="preserve">'[1]Revenue Roll-up'!H51</t>
        </is>
      </c>
      <c r="D296" s="5">
        <v>3</v>
      </c>
    </row>
    <row r="297">
      <c r="A297" s="4" t="inlineStr">
        <is>
          <t xml:space="preserve">G6</t>
        </is>
      </c>
      <c r="B297" s="4" t="inlineStr">
        <is>
          <t xml:space="preserve">G6</t>
        </is>
      </c>
      <c r="C297" s="4" t="inlineStr">
        <is>
          <t xml:space="preserve">'[1]Revenue Roll-up'!I51</t>
        </is>
      </c>
      <c r="D297" s="5">
        <v>3</v>
      </c>
    </row>
    <row r="298">
      <c r="A298" s="4" t="inlineStr">
        <is>
          <t xml:space="preserve">H6</t>
        </is>
      </c>
      <c r="B298" s="4" t="inlineStr">
        <is>
          <t xml:space="preserve">H6</t>
        </is>
      </c>
      <c r="C298" s="4" t="inlineStr">
        <is>
          <t xml:space="preserve">'[1]Revenue Roll-up'!J51</t>
        </is>
      </c>
      <c r="D298" s="5">
        <v>4</v>
      </c>
    </row>
    <row r="299">
      <c r="A299" s="4" t="inlineStr">
        <is>
          <t xml:space="preserve">I6</t>
        </is>
      </c>
      <c r="B299" s="4" t="inlineStr">
        <is>
          <t xml:space="preserve">I6</t>
        </is>
      </c>
      <c r="C299" s="4" t="inlineStr">
        <is>
          <t xml:space="preserve">'[1]Revenue Roll-up'!K51</t>
        </is>
      </c>
      <c r="D299" s="5">
        <v>4</v>
      </c>
    </row>
    <row r="300">
      <c r="A300" s="4" t="inlineStr">
        <is>
          <t xml:space="preserve">J6</t>
        </is>
      </c>
      <c r="B300" s="4" t="inlineStr">
        <is>
          <t xml:space="preserve">J6</t>
        </is>
      </c>
      <c r="C300" s="4" t="inlineStr">
        <is>
          <t xml:space="preserve">'[1]Revenue Roll-up'!L51</t>
        </is>
      </c>
      <c r="D300" s="5">
        <v>5</v>
      </c>
    </row>
    <row r="301">
      <c r="A301" s="4" t="inlineStr">
        <is>
          <t xml:space="preserve">K6</t>
        </is>
      </c>
      <c r="B301" s="4" t="inlineStr">
        <is>
          <t xml:space="preserve">K6</t>
        </is>
      </c>
      <c r="C301" s="4" t="inlineStr">
        <is>
          <t xml:space="preserve">'[1]Revenue Roll-up'!M51</t>
        </is>
      </c>
      <c r="D301" s="5">
        <v>6</v>
      </c>
    </row>
    <row r="302">
      <c r="A302" s="4" t="inlineStr">
        <is>
          <t xml:space="preserve">L6</t>
        </is>
      </c>
      <c r="B302" s="4" t="inlineStr">
        <is>
          <t xml:space="preserve">L6</t>
        </is>
      </c>
      <c r="C302" s="4" t="inlineStr">
        <is>
          <t xml:space="preserve">'[1]Revenue Roll-up'!N51</t>
        </is>
      </c>
      <c r="D302" s="5">
        <v>6</v>
      </c>
    </row>
    <row r="303">
      <c r="A303" s="4" t="inlineStr">
        <is>
          <t xml:space="preserve">M6</t>
        </is>
      </c>
      <c r="B303" s="4" t="inlineStr">
        <is>
          <t xml:space="preserve">M6</t>
        </is>
      </c>
      <c r="C303" s="4" t="inlineStr">
        <is>
          <t xml:space="preserve">'[1]Revenue Roll-up'!O51</t>
        </is>
      </c>
      <c r="D303" s="5">
        <v>7</v>
      </c>
    </row>
    <row r="304">
      <c r="A304" s="4" t="inlineStr">
        <is>
          <t xml:space="preserve">N6</t>
        </is>
      </c>
      <c r="B304" s="4" t="inlineStr">
        <is>
          <t xml:space="preserve">N6</t>
        </is>
      </c>
      <c r="C304" s="4" t="inlineStr">
        <is>
          <t xml:space="preserve">'[1]Revenue Roll-up'!P51</t>
        </is>
      </c>
      <c r="D304" s="5">
        <v>8</v>
      </c>
    </row>
    <row r="305">
      <c r="A305" s="4" t="inlineStr">
        <is>
          <t xml:space="preserve">O6</t>
        </is>
      </c>
      <c r="B305" s="4" t="inlineStr">
        <is>
          <t xml:space="preserve">O6</t>
        </is>
      </c>
      <c r="C305" s="4" t="inlineStr">
        <is>
          <t xml:space="preserve">'[1]Revenue Roll-up'!Q51</t>
        </is>
      </c>
      <c r="D305" s="5">
        <v>9</v>
      </c>
    </row>
    <row r="306">
      <c r="A306" s="4" t="inlineStr">
        <is>
          <t xml:space="preserve">P6</t>
        </is>
      </c>
      <c r="B306" s="4" t="inlineStr">
        <is>
          <t xml:space="preserve">P6</t>
        </is>
      </c>
      <c r="C306" s="4" t="inlineStr">
        <is>
          <t xml:space="preserve">'[1]Revenue Roll-up'!R51</t>
        </is>
      </c>
      <c r="D306" s="5">
        <v>10</v>
      </c>
    </row>
    <row r="307">
      <c r="A307" s="4" t="inlineStr">
        <is>
          <t xml:space="preserve">Q6</t>
        </is>
      </c>
      <c r="B307" s="4" t="inlineStr">
        <is>
          <t xml:space="preserve">Q6</t>
        </is>
      </c>
      <c r="C307" s="4" t="inlineStr">
        <is>
          <t xml:space="preserve">'[1]Revenue Roll-up'!S51</t>
        </is>
      </c>
      <c r="D307" s="5">
        <v>11</v>
      </c>
    </row>
    <row r="308">
      <c r="A308" s="4" t="inlineStr">
        <is>
          <t xml:space="preserve">R6</t>
        </is>
      </c>
      <c r="B308" s="4" t="inlineStr">
        <is>
          <t xml:space="preserve">R6</t>
        </is>
      </c>
      <c r="C308" s="4" t="inlineStr">
        <is>
          <t xml:space="preserve">'[1]Revenue Roll-up'!U51</t>
        </is>
      </c>
      <c r="D308" s="5">
        <v>76</v>
      </c>
    </row>
    <row r="309">
      <c r="A309" s="4" t="inlineStr">
        <is>
          <t xml:space="preserve">B7</t>
        </is>
      </c>
      <c r="B309" s="4" t="inlineStr">
        <is>
          <t xml:space="preserve">B7</t>
        </is>
      </c>
      <c r="C309" s="4" t="inlineStr">
        <is>
          <t xml:space="preserve">'[1]Revenue Roll-up'!D50</t>
        </is>
      </c>
      <c r="D309" s="5">
        <v>0</v>
      </c>
    </row>
    <row r="310">
      <c r="A310" s="4" t="inlineStr">
        <is>
          <t xml:space="preserve">C7</t>
        </is>
      </c>
      <c r="B310" s="4" t="inlineStr">
        <is>
          <t xml:space="preserve">C7</t>
        </is>
      </c>
      <c r="C310" s="4" t="inlineStr">
        <is>
          <t xml:space="preserve">'[1]Revenue Roll-up'!E50</t>
        </is>
      </c>
      <c r="D310" s="5">
        <v>0</v>
      </c>
    </row>
    <row r="311">
      <c r="A311" s="4" t="inlineStr">
        <is>
          <t xml:space="preserve">D7</t>
        </is>
      </c>
      <c r="B311" s="4" t="inlineStr">
        <is>
          <t xml:space="preserve">D7</t>
        </is>
      </c>
      <c r="C311" s="4" t="inlineStr">
        <is>
          <t xml:space="preserve">'[1]Revenue Roll-up'!F50</t>
        </is>
      </c>
      <c r="D311" s="5">
        <v>0</v>
      </c>
    </row>
    <row r="312">
      <c r="A312" s="4" t="inlineStr">
        <is>
          <t xml:space="preserve">E7</t>
        </is>
      </c>
      <c r="B312" s="4" t="inlineStr">
        <is>
          <t xml:space="preserve">E7</t>
        </is>
      </c>
      <c r="C312" s="4" t="inlineStr">
        <is>
          <t xml:space="preserve">'[1]Revenue Roll-up'!G50</t>
        </is>
      </c>
      <c r="D312" s="5">
        <v>0</v>
      </c>
    </row>
    <row r="313">
      <c r="A313" s="4" t="inlineStr">
        <is>
          <t xml:space="preserve">F7</t>
        </is>
      </c>
      <c r="B313" s="4" t="inlineStr">
        <is>
          <t xml:space="preserve">F7</t>
        </is>
      </c>
      <c r="C313" s="4" t="inlineStr">
        <is>
          <t xml:space="preserve">'[1]Revenue Roll-up'!H50</t>
        </is>
      </c>
      <c r="D313" s="5">
        <v>948000</v>
      </c>
    </row>
    <row r="314">
      <c r="A314" s="4" t="inlineStr">
        <is>
          <t xml:space="preserve">G7</t>
        </is>
      </c>
      <c r="B314" s="4" t="inlineStr">
        <is>
          <t xml:space="preserve">G7</t>
        </is>
      </c>
      <c r="C314" s="4" t="inlineStr">
        <is>
          <t xml:space="preserve">'[1]Revenue Roll-up'!I50</t>
        </is>
      </c>
      <c r="D314" s="5">
        <v>948000</v>
      </c>
    </row>
    <row r="315">
      <c r="A315" s="4" t="inlineStr">
        <is>
          <t xml:space="preserve">H7</t>
        </is>
      </c>
      <c r="B315" s="4" t="inlineStr">
        <is>
          <t xml:space="preserve">H7</t>
        </is>
      </c>
      <c r="C315" s="4" t="inlineStr">
        <is>
          <t xml:space="preserve">'[1]Revenue Roll-up'!J50</t>
        </is>
      </c>
      <c r="D315" s="5">
        <v>1264000</v>
      </c>
    </row>
    <row r="316">
      <c r="A316" s="4" t="inlineStr">
        <is>
          <t xml:space="preserve">I7</t>
        </is>
      </c>
      <c r="B316" s="4" t="inlineStr">
        <is>
          <t xml:space="preserve">I7</t>
        </is>
      </c>
      <c r="C316" s="4" t="inlineStr">
        <is>
          <t xml:space="preserve">'[1]Revenue Roll-up'!K50</t>
        </is>
      </c>
      <c r="D316" s="5">
        <v>1264000</v>
      </c>
    </row>
    <row r="317">
      <c r="A317" s="4" t="inlineStr">
        <is>
          <t xml:space="preserve">J7</t>
        </is>
      </c>
      <c r="B317" s="4" t="inlineStr">
        <is>
          <t xml:space="preserve">J7</t>
        </is>
      </c>
      <c r="C317" s="4" t="inlineStr">
        <is>
          <t xml:space="preserve">'[1]Revenue Roll-up'!L50</t>
        </is>
      </c>
      <c r="D317" s="5">
        <v>1580000</v>
      </c>
    </row>
    <row r="318">
      <c r="A318" s="4" t="inlineStr">
        <is>
          <t xml:space="preserve">K7</t>
        </is>
      </c>
      <c r="B318" s="4" t="inlineStr">
        <is>
          <t xml:space="preserve">K7</t>
        </is>
      </c>
      <c r="C318" s="4" t="inlineStr">
        <is>
          <t xml:space="preserve">'[1]Revenue Roll-up'!M50</t>
        </is>
      </c>
      <c r="D318" s="5">
        <v>1896000</v>
      </c>
    </row>
    <row r="319">
      <c r="A319" s="4" t="inlineStr">
        <is>
          <t xml:space="preserve">L7</t>
        </is>
      </c>
      <c r="B319" s="4" t="inlineStr">
        <is>
          <t xml:space="preserve">L7</t>
        </is>
      </c>
      <c r="C319" s="4" t="inlineStr">
        <is>
          <t xml:space="preserve">'[1]Revenue Roll-up'!N50</t>
        </is>
      </c>
      <c r="D319" s="5">
        <v>1896000</v>
      </c>
    </row>
    <row r="320">
      <c r="A320" s="4" t="inlineStr">
        <is>
          <t xml:space="preserve">M7</t>
        </is>
      </c>
      <c r="B320" s="4" t="inlineStr">
        <is>
          <t xml:space="preserve">M7</t>
        </is>
      </c>
      <c r="C320" s="4" t="inlineStr">
        <is>
          <t xml:space="preserve">'[1]Revenue Roll-up'!O50</t>
        </is>
      </c>
      <c r="D320" s="5">
        <v>2212000</v>
      </c>
    </row>
    <row r="321">
      <c r="A321" s="4" t="inlineStr">
        <is>
          <t xml:space="preserve">N7</t>
        </is>
      </c>
      <c r="B321" s="4" t="inlineStr">
        <is>
          <t xml:space="preserve">N7</t>
        </is>
      </c>
      <c r="C321" s="4" t="inlineStr">
        <is>
          <t xml:space="preserve">'[1]Revenue Roll-up'!P50</t>
        </is>
      </c>
      <c r="D321" s="5">
        <v>2528000</v>
      </c>
    </row>
    <row r="322">
      <c r="A322" s="4" t="inlineStr">
        <is>
          <t xml:space="preserve">O7</t>
        </is>
      </c>
      <c r="B322" s="4" t="inlineStr">
        <is>
          <t xml:space="preserve">O7</t>
        </is>
      </c>
      <c r="C322" s="4" t="inlineStr">
        <is>
          <t xml:space="preserve">'[1]Revenue Roll-up'!Q50</t>
        </is>
      </c>
      <c r="D322" s="5">
        <v>2844000</v>
      </c>
    </row>
    <row r="323">
      <c r="A323" s="4" t="inlineStr">
        <is>
          <t xml:space="preserve">P7</t>
        </is>
      </c>
      <c r="B323" s="4" t="inlineStr">
        <is>
          <t xml:space="preserve">P7</t>
        </is>
      </c>
      <c r="C323" s="4" t="inlineStr">
        <is>
          <t xml:space="preserve">'[1]Revenue Roll-up'!R50</t>
        </is>
      </c>
      <c r="D323" s="5">
        <v>3160000</v>
      </c>
    </row>
    <row r="324">
      <c r="A324" s="4" t="inlineStr">
        <is>
          <t xml:space="preserve">Q7</t>
        </is>
      </c>
      <c r="B324" s="4" t="inlineStr">
        <is>
          <t xml:space="preserve">Q7</t>
        </is>
      </c>
      <c r="C324" s="4" t="inlineStr">
        <is>
          <t xml:space="preserve">'[1]Revenue Roll-up'!S50</t>
        </is>
      </c>
      <c r="D324" s="5">
        <v>3476000</v>
      </c>
    </row>
    <row r="325">
      <c r="A325" s="4" t="inlineStr">
        <is>
          <t xml:space="preserve">R7</t>
        </is>
      </c>
      <c r="B325" s="4" t="inlineStr">
        <is>
          <t xml:space="preserve">R7</t>
        </is>
      </c>
      <c r="C325" s="4" t="inlineStr">
        <is>
          <t xml:space="preserve">'[1]Revenue Roll-up'!U50</t>
        </is>
      </c>
      <c r="D325" s="5">
        <v>24016000</v>
      </c>
    </row>
    <row r="326">
      <c r="A326" s="4" t="inlineStr">
        <is>
          <t xml:space="preserve">B8</t>
        </is>
      </c>
      <c r="B326" s="4" t="inlineStr">
        <is>
          <t xml:space="preserve">B8</t>
        </is>
      </c>
      <c r="C326" s="4" t="inlineStr">
        <is>
          <t xml:space="preserve">'[1]Revenue Roll-up'!D65</t>
        </is>
      </c>
      <c r="D326" s="5">
        <v>0</v>
      </c>
    </row>
    <row r="327">
      <c r="A327" s="4" t="inlineStr">
        <is>
          <t xml:space="preserve">C8</t>
        </is>
      </c>
      <c r="B327" s="4" t="inlineStr">
        <is>
          <t xml:space="preserve">C8</t>
        </is>
      </c>
      <c r="C327" s="4" t="inlineStr">
        <is>
          <t xml:space="preserve">'[1]Revenue Roll-up'!E65</t>
        </is>
      </c>
      <c r="D327" s="5">
        <v>0</v>
      </c>
    </row>
    <row r="328">
      <c r="A328" s="4" t="inlineStr">
        <is>
          <t xml:space="preserve">D8</t>
        </is>
      </c>
      <c r="B328" s="4" t="inlineStr">
        <is>
          <t xml:space="preserve">D8</t>
        </is>
      </c>
      <c r="C328" s="4" t="inlineStr">
        <is>
          <t xml:space="preserve">'[1]Revenue Roll-up'!F65</t>
        </is>
      </c>
      <c r="D328" s="5">
        <v>0</v>
      </c>
    </row>
    <row r="329">
      <c r="A329" s="4" t="inlineStr">
        <is>
          <t xml:space="preserve">E8</t>
        </is>
      </c>
      <c r="B329" s="4" t="inlineStr">
        <is>
          <t xml:space="preserve">E8</t>
        </is>
      </c>
      <c r="C329" s="4" t="inlineStr">
        <is>
          <t xml:space="preserve">'[1]Revenue Roll-up'!G65</t>
        </is>
      </c>
      <c r="D329" s="5">
        <v>0</v>
      </c>
    </row>
    <row r="330">
      <c r="A330" s="4" t="inlineStr">
        <is>
          <t xml:space="preserve">F8</t>
        </is>
      </c>
      <c r="B330" s="4" t="inlineStr">
        <is>
          <t xml:space="preserve">F8</t>
        </is>
      </c>
      <c r="C330" s="4" t="inlineStr">
        <is>
          <t xml:space="preserve">'[1]Revenue Roll-up'!H65</t>
        </is>
      </c>
      <c r="D330" s="5">
        <v>1</v>
      </c>
    </row>
    <row r="331">
      <c r="A331" s="4" t="inlineStr">
        <is>
          <t xml:space="preserve">G8</t>
        </is>
      </c>
      <c r="B331" s="4" t="inlineStr">
        <is>
          <t xml:space="preserve">G8</t>
        </is>
      </c>
      <c r="C331" s="4" t="inlineStr">
        <is>
          <t xml:space="preserve">'[1]Revenue Roll-up'!I65</t>
        </is>
      </c>
      <c r="D331" s="5">
        <v>1</v>
      </c>
    </row>
    <row r="332">
      <c r="A332" s="4" t="inlineStr">
        <is>
          <t xml:space="preserve">H8</t>
        </is>
      </c>
      <c r="B332" s="4" t="inlineStr">
        <is>
          <t xml:space="preserve">H8</t>
        </is>
      </c>
      <c r="C332" s="4" t="inlineStr">
        <is>
          <t xml:space="preserve">'[1]Revenue Roll-up'!J65</t>
        </is>
      </c>
      <c r="D332" s="5">
        <v>2</v>
      </c>
    </row>
    <row r="333">
      <c r="A333" s="4" t="inlineStr">
        <is>
          <t xml:space="preserve">I8</t>
        </is>
      </c>
      <c r="B333" s="4" t="inlineStr">
        <is>
          <t xml:space="preserve">I8</t>
        </is>
      </c>
      <c r="C333" s="4" t="inlineStr">
        <is>
          <t xml:space="preserve">'[1]Revenue Roll-up'!K65</t>
        </is>
      </c>
      <c r="D333" s="5">
        <v>1</v>
      </c>
    </row>
    <row r="334">
      <c r="A334" s="4" t="inlineStr">
        <is>
          <t xml:space="preserve">J8</t>
        </is>
      </c>
      <c r="B334" s="4" t="inlineStr">
        <is>
          <t xml:space="preserve">J8</t>
        </is>
      </c>
      <c r="C334" s="4" t="inlineStr">
        <is>
          <t xml:space="preserve">'[1]Revenue Roll-up'!L65</t>
        </is>
      </c>
      <c r="D334" s="5">
        <v>1</v>
      </c>
    </row>
    <row r="335">
      <c r="A335" s="4" t="inlineStr">
        <is>
          <t xml:space="preserve">K8</t>
        </is>
      </c>
      <c r="B335" s="4" t="inlineStr">
        <is>
          <t xml:space="preserve">K8</t>
        </is>
      </c>
      <c r="C335" s="4" t="inlineStr">
        <is>
          <t xml:space="preserve">'[1]Revenue Roll-up'!M65</t>
        </is>
      </c>
      <c r="D335" s="5">
        <v>2</v>
      </c>
    </row>
    <row r="336">
      <c r="A336" s="4" t="inlineStr">
        <is>
          <t xml:space="preserve">L8</t>
        </is>
      </c>
      <c r="B336" s="4" t="inlineStr">
        <is>
          <t xml:space="preserve">L8</t>
        </is>
      </c>
      <c r="C336" s="4" t="inlineStr">
        <is>
          <t xml:space="preserve">'[1]Revenue Roll-up'!N65</t>
        </is>
      </c>
      <c r="D336" s="5">
        <v>2</v>
      </c>
    </row>
    <row r="337">
      <c r="A337" s="4" t="inlineStr">
        <is>
          <t xml:space="preserve">M8</t>
        </is>
      </c>
      <c r="B337" s="4" t="inlineStr">
        <is>
          <t xml:space="preserve">M8</t>
        </is>
      </c>
      <c r="C337" s="4" t="inlineStr">
        <is>
          <t xml:space="preserve">'[1]Revenue Roll-up'!O65</t>
        </is>
      </c>
      <c r="D337" s="5">
        <v>3</v>
      </c>
    </row>
    <row r="338">
      <c r="A338" s="4" t="inlineStr">
        <is>
          <t xml:space="preserve">N8</t>
        </is>
      </c>
      <c r="B338" s="4" t="inlineStr">
        <is>
          <t xml:space="preserve">N8</t>
        </is>
      </c>
      <c r="C338" s="4" t="inlineStr">
        <is>
          <t xml:space="preserve">'[1]Revenue Roll-up'!P65</t>
        </is>
      </c>
      <c r="D338" s="5">
        <v>2</v>
      </c>
    </row>
    <row r="339">
      <c r="A339" s="4" t="inlineStr">
        <is>
          <t xml:space="preserve">O8</t>
        </is>
      </c>
      <c r="B339" s="4" t="inlineStr">
        <is>
          <t xml:space="preserve">O8</t>
        </is>
      </c>
      <c r="C339" s="4" t="inlineStr">
        <is>
          <t xml:space="preserve">'[1]Revenue Roll-up'!Q65</t>
        </is>
      </c>
      <c r="D339" s="5">
        <v>3</v>
      </c>
    </row>
    <row r="340">
      <c r="A340" s="4" t="inlineStr">
        <is>
          <t xml:space="preserve">P8</t>
        </is>
      </c>
      <c r="B340" s="4" t="inlineStr">
        <is>
          <t xml:space="preserve">P8</t>
        </is>
      </c>
      <c r="C340" s="4" t="inlineStr">
        <is>
          <t xml:space="preserve">'[1]Revenue Roll-up'!R65</t>
        </is>
      </c>
      <c r="D340" s="5">
        <v>4</v>
      </c>
    </row>
    <row r="341">
      <c r="A341" s="4" t="inlineStr">
        <is>
          <t xml:space="preserve">Q8</t>
        </is>
      </c>
      <c r="B341" s="4" t="inlineStr">
        <is>
          <t xml:space="preserve">Q8</t>
        </is>
      </c>
      <c r="C341" s="4" t="inlineStr">
        <is>
          <t xml:space="preserve">'[1]Revenue Roll-up'!S65</t>
        </is>
      </c>
      <c r="D341" s="5">
        <v>3</v>
      </c>
    </row>
    <row r="342">
      <c r="A342" s="4" t="inlineStr">
        <is>
          <t xml:space="preserve">R8</t>
        </is>
      </c>
      <c r="B342" s="4" t="inlineStr">
        <is>
          <t xml:space="preserve">R8</t>
        </is>
      </c>
      <c r="C342" s="4" t="inlineStr">
        <is>
          <t xml:space="preserve">'[1]Revenue Roll-up'!U65</t>
        </is>
      </c>
      <c r="D342" s="5">
        <v>25</v>
      </c>
    </row>
    <row r="343">
      <c r="A343" s="4" t="inlineStr">
        <is>
          <t xml:space="preserve">B9</t>
        </is>
      </c>
      <c r="B343" s="4" t="inlineStr">
        <is>
          <t xml:space="preserve">B9</t>
        </is>
      </c>
      <c r="C343" s="4" t="inlineStr">
        <is>
          <t xml:space="preserve">'[1]Revenue Roll-up'!D64</t>
        </is>
      </c>
      <c r="D343" s="5">
        <v>0</v>
      </c>
    </row>
    <row r="344">
      <c r="A344" s="4" t="inlineStr">
        <is>
          <t xml:space="preserve">C9</t>
        </is>
      </c>
      <c r="B344" s="4" t="inlineStr">
        <is>
          <t xml:space="preserve">C9</t>
        </is>
      </c>
      <c r="C344" s="4" t="inlineStr">
        <is>
          <t xml:space="preserve">'[1]Revenue Roll-up'!E64</t>
        </is>
      </c>
      <c r="D344" s="5">
        <v>0</v>
      </c>
    </row>
    <row r="345">
      <c r="A345" s="4" t="inlineStr">
        <is>
          <t xml:space="preserve">D9</t>
        </is>
      </c>
      <c r="B345" s="4" t="inlineStr">
        <is>
          <t xml:space="preserve">D9</t>
        </is>
      </c>
      <c r="C345" s="4" t="inlineStr">
        <is>
          <t xml:space="preserve">'[1]Revenue Roll-up'!F64</t>
        </is>
      </c>
      <c r="D345" s="5">
        <v>0</v>
      </c>
    </row>
    <row r="346">
      <c r="A346" s="4" t="inlineStr">
        <is>
          <t xml:space="preserve">E9</t>
        </is>
      </c>
      <c r="B346" s="4" t="inlineStr">
        <is>
          <t xml:space="preserve">E9</t>
        </is>
      </c>
      <c r="C346" s="4" t="inlineStr">
        <is>
          <t xml:space="preserve">'[1]Revenue Roll-up'!G64</t>
        </is>
      </c>
      <c r="D346" s="5">
        <v>0</v>
      </c>
    </row>
    <row r="347">
      <c r="A347" s="4" t="inlineStr">
        <is>
          <t xml:space="preserve">F9</t>
        </is>
      </c>
      <c r="B347" s="4" t="inlineStr">
        <is>
          <t xml:space="preserve">F9</t>
        </is>
      </c>
      <c r="C347" s="4" t="inlineStr">
        <is>
          <t xml:space="preserve">'[1]Revenue Roll-up'!H64</t>
        </is>
      </c>
      <c r="D347" s="5">
        <v>255142.5</v>
      </c>
    </row>
    <row r="348">
      <c r="A348" s="4" t="inlineStr">
        <is>
          <t xml:space="preserve">G9</t>
        </is>
      </c>
      <c r="B348" s="4" t="inlineStr">
        <is>
          <t xml:space="preserve">G9</t>
        </is>
      </c>
      <c r="C348" s="4" t="inlineStr">
        <is>
          <t xml:space="preserve">'[1]Revenue Roll-up'!I64</t>
        </is>
      </c>
      <c r="D348" s="5">
        <v>255142.5</v>
      </c>
    </row>
    <row r="349">
      <c r="A349" s="4" t="inlineStr">
        <is>
          <t xml:space="preserve">H9</t>
        </is>
      </c>
      <c r="B349" s="4" t="inlineStr">
        <is>
          <t xml:space="preserve">H9</t>
        </is>
      </c>
      <c r="C349" s="4" t="inlineStr">
        <is>
          <t xml:space="preserve">'[1]Revenue Roll-up'!J64</t>
        </is>
      </c>
      <c r="D349" s="5">
        <v>255142.5</v>
      </c>
    </row>
    <row r="350">
      <c r="A350" s="4" t="inlineStr">
        <is>
          <t xml:space="preserve">I9</t>
        </is>
      </c>
      <c r="B350" s="4" t="inlineStr">
        <is>
          <t xml:space="preserve">I9</t>
        </is>
      </c>
      <c r="C350" s="4" t="inlineStr">
        <is>
          <t xml:space="preserve">'[1]Revenue Roll-up'!K64</t>
        </is>
      </c>
      <c r="D350" s="5">
        <v>255142.5</v>
      </c>
    </row>
    <row r="351">
      <c r="A351" s="4" t="inlineStr">
        <is>
          <t xml:space="preserve">J9</t>
        </is>
      </c>
      <c r="B351" s="4" t="inlineStr">
        <is>
          <t xml:space="preserve">J9</t>
        </is>
      </c>
      <c r="C351" s="4" t="inlineStr">
        <is>
          <t xml:space="preserve">'[1]Revenue Roll-up'!L64</t>
        </is>
      </c>
      <c r="D351" s="5">
        <v>321502.5</v>
      </c>
    </row>
    <row r="352">
      <c r="A352" s="4" t="inlineStr">
        <is>
          <t xml:space="preserve">K9</t>
        </is>
      </c>
      <c r="B352" s="4" t="inlineStr">
        <is>
          <t xml:space="preserve">K9</t>
        </is>
      </c>
      <c r="C352" s="4" t="inlineStr">
        <is>
          <t xml:space="preserve">'[1]Revenue Roll-up'!M64</t>
        </is>
      </c>
      <c r="D352" s="5">
        <v>387862.5</v>
      </c>
    </row>
    <row r="353">
      <c r="A353" s="4" t="inlineStr">
        <is>
          <t xml:space="preserve">L9</t>
        </is>
      </c>
      <c r="B353" s="4" t="inlineStr">
        <is>
          <t xml:space="preserve">L9</t>
        </is>
      </c>
      <c r="C353" s="4" t="inlineStr">
        <is>
          <t xml:space="preserve">'[1]Revenue Roll-up'!N64</t>
        </is>
      </c>
      <c r="D353" s="5">
        <v>476342.5</v>
      </c>
    </row>
    <row r="354">
      <c r="A354" s="4" t="inlineStr">
        <is>
          <t xml:space="preserve">M9</t>
        </is>
      </c>
      <c r="B354" s="4" t="inlineStr">
        <is>
          <t xml:space="preserve">M9</t>
        </is>
      </c>
      <c r="C354" s="4" t="inlineStr">
        <is>
          <t xml:space="preserve">'[1]Revenue Roll-up'!O64</t>
        </is>
      </c>
      <c r="D354" s="5">
        <v>515526.5</v>
      </c>
    </row>
    <row r="355">
      <c r="A355" s="4" t="inlineStr">
        <is>
          <t xml:space="preserve">N9</t>
        </is>
      </c>
      <c r="B355" s="4" t="inlineStr">
        <is>
          <t xml:space="preserve">N9</t>
        </is>
      </c>
      <c r="C355" s="4" t="inlineStr">
        <is>
          <t xml:space="preserve">'[1]Revenue Roll-up'!P64</t>
        </is>
      </c>
      <c r="D355" s="5">
        <v>576830.5</v>
      </c>
    </row>
    <row r="356">
      <c r="A356" s="4" t="inlineStr">
        <is>
          <t xml:space="preserve">O9</t>
        </is>
      </c>
      <c r="B356" s="4" t="inlineStr">
        <is>
          <t xml:space="preserve">O9</t>
        </is>
      </c>
      <c r="C356" s="4" t="inlineStr">
        <is>
          <t xml:space="preserve">'[1]Revenue Roll-up'!Q64</t>
        </is>
      </c>
      <c r="D356" s="5">
        <v>643822.5</v>
      </c>
    </row>
    <row r="357">
      <c r="A357" s="4" t="inlineStr">
        <is>
          <t xml:space="preserve">P9</t>
        </is>
      </c>
      <c r="B357" s="4" t="inlineStr">
        <is>
          <t xml:space="preserve">P9</t>
        </is>
      </c>
      <c r="C357" s="4" t="inlineStr">
        <is>
          <t xml:space="preserve">'[1]Revenue Roll-up'!R64</t>
        </is>
      </c>
      <c r="D357" s="5">
        <v>710814.5</v>
      </c>
    </row>
    <row r="358">
      <c r="A358" s="4" t="inlineStr">
        <is>
          <t xml:space="preserve">Q9</t>
        </is>
      </c>
      <c r="B358" s="4" t="inlineStr">
        <is>
          <t xml:space="preserve">Q9</t>
        </is>
      </c>
      <c r="C358" s="4" t="inlineStr">
        <is>
          <t xml:space="preserve">'[1]Revenue Roll-up'!S64</t>
        </is>
      </c>
      <c r="D358" s="5">
        <v>783494.5</v>
      </c>
    </row>
    <row r="359">
      <c r="A359" s="4" t="inlineStr">
        <is>
          <t xml:space="preserve">R9</t>
        </is>
      </c>
      <c r="B359" s="4" t="inlineStr">
        <is>
          <t xml:space="preserve">R9</t>
        </is>
      </c>
      <c r="C359" s="4" t="inlineStr">
        <is>
          <t xml:space="preserve">'[1]Revenue Roll-up'!U64</t>
        </is>
      </c>
      <c r="D359" s="5">
        <v>5436766</v>
      </c>
    </row>
    <row r="360">
      <c r="A360" s="4" t="inlineStr">
        <is>
          <t xml:space="preserve">B10</t>
        </is>
      </c>
      <c r="B360" s="4" t="inlineStr">
        <is>
          <t xml:space="preserve">B10</t>
        </is>
      </c>
      <c r="C360" s="4" t="inlineStr">
        <is>
          <t xml:space="preserve">COUNTIF('[1]Deploy Detail'!K21:K62,"&gt;0")</t>
        </is>
      </c>
      <c r="D360" s="5">
        <v>3</v>
      </c>
    </row>
    <row r="361">
      <c r="A361" s="4" t="inlineStr">
        <is>
          <t xml:space="preserve">C10</t>
        </is>
      </c>
      <c r="B361" s="4" t="inlineStr">
        <is>
          <t xml:space="preserve">C10</t>
        </is>
      </c>
      <c r="C361" s="4" t="inlineStr">
        <is>
          <t xml:space="preserve">COUNTIF('[1]Deploy Detail'!L21:L62,"&gt;0")</t>
        </is>
      </c>
      <c r="D361" s="5">
        <v>0</v>
      </c>
    </row>
    <row r="362">
      <c r="A362" s="4" t="inlineStr">
        <is>
          <t xml:space="preserve">D10</t>
        </is>
      </c>
      <c r="B362" s="4" t="inlineStr">
        <is>
          <t xml:space="preserve">D10</t>
        </is>
      </c>
      <c r="C362" s="4" t="inlineStr">
        <is>
          <t xml:space="preserve">COUNTIF('[1]Deploy Detail'!M21:M62,"&gt;0")</t>
        </is>
      </c>
      <c r="D362" s="5">
        <v>3</v>
      </c>
    </row>
    <row r="363">
      <c r="A363" s="4" t="inlineStr">
        <is>
          <t xml:space="preserve">E10</t>
        </is>
      </c>
      <c r="B363" s="4" t="inlineStr">
        <is>
          <t xml:space="preserve">E10</t>
        </is>
      </c>
      <c r="C363" s="4" t="inlineStr">
        <is>
          <t xml:space="preserve">COUNTIF('[1]Deploy Detail'!N21:N62,"&gt;0")</t>
        </is>
      </c>
      <c r="D363" s="5">
        <v>2</v>
      </c>
    </row>
    <row r="364">
      <c r="A364" s="4" t="inlineStr">
        <is>
          <t xml:space="preserve">F10</t>
        </is>
      </c>
      <c r="B364" s="4" t="inlineStr">
        <is>
          <t xml:space="preserve">F10</t>
        </is>
      </c>
      <c r="C364" s="4" t="inlineStr">
        <is>
          <t xml:space="preserve">COUNTIF('[1]Deploy Detail'!O21:O62,"&gt;0")</t>
        </is>
      </c>
      <c r="D364" s="5">
        <v>0</v>
      </c>
    </row>
    <row r="365">
      <c r="A365" s="4" t="inlineStr">
        <is>
          <t xml:space="preserve">G10</t>
        </is>
      </c>
      <c r="B365" s="4" t="inlineStr">
        <is>
          <t xml:space="preserve">G10</t>
        </is>
      </c>
      <c r="C365" s="4" t="inlineStr">
        <is>
          <t xml:space="preserve">COUNTIF('[1]Deploy Detail'!P21:P62,"&gt;0")</t>
        </is>
      </c>
      <c r="D365" s="5">
        <v>0</v>
      </c>
    </row>
    <row r="366">
      <c r="A366" s="4" t="inlineStr">
        <is>
          <t xml:space="preserve">H10</t>
        </is>
      </c>
      <c r="B366" s="4" t="inlineStr">
        <is>
          <t xml:space="preserve">H10</t>
        </is>
      </c>
      <c r="C366" s="4" t="inlineStr">
        <is>
          <t xml:space="preserve">COUNTIF('[1]Deploy Detail'!Q21:Q62,"&gt;0")</t>
        </is>
      </c>
      <c r="D366" s="5">
        <v>0</v>
      </c>
    </row>
    <row r="367">
      <c r="A367" s="4" t="inlineStr">
        <is>
          <t xml:space="preserve">I10</t>
        </is>
      </c>
      <c r="B367" s="4" t="inlineStr">
        <is>
          <t xml:space="preserve">I10</t>
        </is>
      </c>
      <c r="C367" s="4" t="inlineStr">
        <is>
          <t xml:space="preserve">COUNTIF('[1]Deploy Detail'!R21:R62,"&gt;0")</t>
        </is>
      </c>
      <c r="D367" s="5">
        <v>0</v>
      </c>
    </row>
    <row r="368">
      <c r="A368" s="4" t="inlineStr">
        <is>
          <t xml:space="preserve">J10</t>
        </is>
      </c>
      <c r="B368" s="4" t="inlineStr">
        <is>
          <t xml:space="preserve">J10</t>
        </is>
      </c>
      <c r="C368" s="4" t="inlineStr">
        <is>
          <t xml:space="preserve">COUNTIF('[1]Deploy Detail'!S21:S62,"&gt;0")</t>
        </is>
      </c>
      <c r="D368" s="5">
        <v>0</v>
      </c>
    </row>
    <row r="369">
      <c r="A369" s="4" t="inlineStr">
        <is>
          <t xml:space="preserve">K10</t>
        </is>
      </c>
      <c r="B369" s="4" t="inlineStr">
        <is>
          <t xml:space="preserve">K10</t>
        </is>
      </c>
      <c r="C369" s="4" t="inlineStr">
        <is>
          <t xml:space="preserve">COUNTIF('[1]Deploy Detail'!T21:T62,"&gt;0")</t>
        </is>
      </c>
      <c r="D369" s="5">
        <v>0</v>
      </c>
    </row>
    <row r="370">
      <c r="A370" s="4" t="inlineStr">
        <is>
          <t xml:space="preserve">L10</t>
        </is>
      </c>
      <c r="B370" s="4" t="inlineStr">
        <is>
          <t xml:space="preserve">L10</t>
        </is>
      </c>
      <c r="C370" s="4" t="inlineStr">
        <is>
          <t xml:space="preserve">COUNTIF('[1]Deploy Detail'!U21:U62,"&gt;0")</t>
        </is>
      </c>
      <c r="D370" s="5">
        <v>0</v>
      </c>
    </row>
    <row r="371">
      <c r="A371" s="4" t="inlineStr">
        <is>
          <t xml:space="preserve">M10</t>
        </is>
      </c>
      <c r="B371" s="4" t="inlineStr">
        <is>
          <t xml:space="preserve">M10</t>
        </is>
      </c>
      <c r="C371" s="4" t="inlineStr">
        <is>
          <t xml:space="preserve">COUNTIF('[1]Deploy Detail'!V21:V62,"&gt;0")</t>
        </is>
      </c>
      <c r="D371" s="5">
        <v>0</v>
      </c>
    </row>
    <row r="372">
      <c r="A372" s="4" t="inlineStr">
        <is>
          <t xml:space="preserve">N10</t>
        </is>
      </c>
      <c r="B372" s="4" t="inlineStr">
        <is>
          <t xml:space="preserve">N10</t>
        </is>
      </c>
      <c r="C372" s="4" t="inlineStr">
        <is>
          <t xml:space="preserve">COUNTIF('[1]Deploy Detail'!W21:W62,"&gt;0")</t>
        </is>
      </c>
      <c r="D372" s="5">
        <v>0</v>
      </c>
    </row>
    <row r="373">
      <c r="A373" s="4" t="inlineStr">
        <is>
          <t xml:space="preserve">O10</t>
        </is>
      </c>
      <c r="B373" s="4" t="inlineStr">
        <is>
          <t xml:space="preserve">O10</t>
        </is>
      </c>
      <c r="C373" s="4" t="inlineStr">
        <is>
          <t xml:space="preserve">COUNTIF('[1]Deploy Detail'!X21:X62,"&gt;0")</t>
        </is>
      </c>
      <c r="D373" s="5">
        <v>0</v>
      </c>
    </row>
    <row r="374">
      <c r="A374" s="4" t="inlineStr">
        <is>
          <t xml:space="preserve">P10</t>
        </is>
      </c>
      <c r="B374" s="4" t="inlineStr">
        <is>
          <t xml:space="preserve">P10</t>
        </is>
      </c>
      <c r="C374" s="4" t="inlineStr">
        <is>
          <t xml:space="preserve">COUNTIF('[1]Deploy Detail'!Y21:Y62,"&gt;0")</t>
        </is>
      </c>
      <c r="D374" s="5">
        <v>0</v>
      </c>
    </row>
    <row r="375">
      <c r="A375" s="4" t="inlineStr">
        <is>
          <t xml:space="preserve">Q10</t>
        </is>
      </c>
      <c r="B375" s="4" t="inlineStr">
        <is>
          <t xml:space="preserve">Q10</t>
        </is>
      </c>
      <c r="C375" s="4" t="inlineStr">
        <is>
          <t xml:space="preserve">COUNTIF('[1]Deploy Detail'!Z21:Z62,"&gt;0")</t>
        </is>
      </c>
      <c r="D375" s="5">
        <v>0</v>
      </c>
    </row>
    <row r="376">
      <c r="A376" s="4" t="inlineStr">
        <is>
          <t xml:space="preserve">B11</t>
        </is>
      </c>
      <c r="B376" s="4" t="inlineStr">
        <is>
          <t xml:space="preserve">B11</t>
        </is>
      </c>
      <c r="C376" s="4" t="inlineStr">
        <is>
          <t xml:space="preserve">'[1]Deploy Detail'!K63</t>
        </is>
      </c>
      <c r="D376" s="5">
        <v>1280300</v>
      </c>
    </row>
    <row r="377">
      <c r="A377" s="4" t="inlineStr">
        <is>
          <t xml:space="preserve">C11</t>
        </is>
      </c>
      <c r="B377" s="4" t="inlineStr">
        <is>
          <t xml:space="preserve">C11</t>
        </is>
      </c>
      <c r="C377" s="4" t="inlineStr">
        <is>
          <t xml:space="preserve">'[1]Deploy Detail'!L63</t>
        </is>
      </c>
      <c r="D377" s="5">
        <v>0</v>
      </c>
    </row>
    <row r="378">
      <c r="A378" s="4" t="inlineStr">
        <is>
          <t xml:space="preserve">D11</t>
        </is>
      </c>
      <c r="B378" s="4" t="inlineStr">
        <is>
          <t xml:space="preserve">D11</t>
        </is>
      </c>
      <c r="C378" s="4" t="inlineStr">
        <is>
          <t xml:space="preserve">'[1]Deploy Detail'!M63</t>
        </is>
      </c>
      <c r="D378" s="5">
        <v>1632000</v>
      </c>
    </row>
    <row r="379">
      <c r="A379" s="4" t="inlineStr">
        <is>
          <t xml:space="preserve">E11</t>
        </is>
      </c>
      <c r="B379" s="4" t="inlineStr">
        <is>
          <t xml:space="preserve">E11</t>
        </is>
      </c>
      <c r="C379" s="4" t="inlineStr">
        <is>
          <t xml:space="preserve">'[1]Deploy Detail'!N63</t>
        </is>
      </c>
      <c r="D379" s="5">
        <v>632000</v>
      </c>
    </row>
    <row r="380">
      <c r="A380" s="4" t="inlineStr">
        <is>
          <t xml:space="preserve">F11</t>
        </is>
      </c>
      <c r="B380" s="4" t="inlineStr">
        <is>
          <t xml:space="preserve">F11</t>
        </is>
      </c>
      <c r="C380" s="4" t="inlineStr">
        <is>
          <t xml:space="preserve">'[1]Deploy Detail'!O63</t>
        </is>
      </c>
      <c r="D380" s="5">
        <v>0</v>
      </c>
    </row>
    <row r="381">
      <c r="A381" s="4" t="inlineStr">
        <is>
          <t xml:space="preserve">G11</t>
        </is>
      </c>
      <c r="B381" s="4" t="inlineStr">
        <is>
          <t xml:space="preserve">G11</t>
        </is>
      </c>
      <c r="C381" s="4" t="inlineStr">
        <is>
          <t xml:space="preserve">'[1]Deploy Detail'!P63</t>
        </is>
      </c>
      <c r="D381" s="5">
        <v>0</v>
      </c>
    </row>
    <row r="382">
      <c r="A382" s="4" t="inlineStr">
        <is>
          <t xml:space="preserve">H11</t>
        </is>
      </c>
      <c r="B382" s="4" t="inlineStr">
        <is>
          <t xml:space="preserve">H11</t>
        </is>
      </c>
      <c r="C382" s="4" t="inlineStr">
        <is>
          <t xml:space="preserve">'[1]Deploy Detail'!Q63</t>
        </is>
      </c>
      <c r="D382" s="5">
        <v>0</v>
      </c>
    </row>
    <row r="383">
      <c r="A383" s="4" t="inlineStr">
        <is>
          <t xml:space="preserve">I11</t>
        </is>
      </c>
      <c r="B383" s="4" t="inlineStr">
        <is>
          <t xml:space="preserve">I11</t>
        </is>
      </c>
      <c r="C383" s="4" t="inlineStr">
        <is>
          <t xml:space="preserve">'[1]Deploy Detail'!R63</t>
        </is>
      </c>
      <c r="D383" s="5">
        <v>0</v>
      </c>
    </row>
    <row r="384">
      <c r="A384" s="4" t="inlineStr">
        <is>
          <t xml:space="preserve">J11</t>
        </is>
      </c>
      <c r="B384" s="4" t="inlineStr">
        <is>
          <t xml:space="preserve">J11</t>
        </is>
      </c>
      <c r="C384" s="4" t="inlineStr">
        <is>
          <t xml:space="preserve">'[1]Deploy Detail'!S63</t>
        </is>
      </c>
      <c r="D384" s="5">
        <v>0</v>
      </c>
    </row>
    <row r="385">
      <c r="A385" s="4" t="inlineStr">
        <is>
          <t xml:space="preserve">K11</t>
        </is>
      </c>
      <c r="B385" s="4" t="inlineStr">
        <is>
          <t xml:space="preserve">K11</t>
        </is>
      </c>
      <c r="C385" s="4" t="inlineStr">
        <is>
          <t xml:space="preserve">'[1]Deploy Detail'!T63</t>
        </is>
      </c>
      <c r="D385" s="5">
        <v>0</v>
      </c>
    </row>
    <row r="386">
      <c r="A386" s="4" t="inlineStr">
        <is>
          <t xml:space="preserve">L11</t>
        </is>
      </c>
      <c r="B386" s="4" t="inlineStr">
        <is>
          <t xml:space="preserve">L11</t>
        </is>
      </c>
      <c r="C386" s="4" t="inlineStr">
        <is>
          <t xml:space="preserve">'[1]Deploy Detail'!U63</t>
        </is>
      </c>
      <c r="D386" s="5">
        <v>0</v>
      </c>
    </row>
    <row r="387">
      <c r="A387" s="4" t="inlineStr">
        <is>
          <t xml:space="preserve">M11</t>
        </is>
      </c>
      <c r="B387" s="4" t="inlineStr">
        <is>
          <t xml:space="preserve">M11</t>
        </is>
      </c>
      <c r="C387" s="4" t="inlineStr">
        <is>
          <t xml:space="preserve">'[1]Deploy Detail'!V63</t>
        </is>
      </c>
      <c r="D387" s="5">
        <v>0</v>
      </c>
    </row>
    <row r="388">
      <c r="A388" s="4" t="inlineStr">
        <is>
          <t xml:space="preserve">N11</t>
        </is>
      </c>
      <c r="B388" s="4" t="inlineStr">
        <is>
          <t xml:space="preserve">N11</t>
        </is>
      </c>
      <c r="C388" s="4" t="inlineStr">
        <is>
          <t xml:space="preserve">'[1]Deploy Detail'!W63</t>
        </is>
      </c>
      <c r="D388" s="5">
        <v>0</v>
      </c>
    </row>
    <row r="389">
      <c r="A389" s="4" t="inlineStr">
        <is>
          <t xml:space="preserve">O11</t>
        </is>
      </c>
      <c r="B389" s="4" t="inlineStr">
        <is>
          <t xml:space="preserve">O11</t>
        </is>
      </c>
      <c r="C389" s="4" t="inlineStr">
        <is>
          <t xml:space="preserve">'[1]Deploy Detail'!X63</t>
        </is>
      </c>
      <c r="D389" s="5">
        <v>0</v>
      </c>
    </row>
    <row r="390">
      <c r="A390" s="4" t="inlineStr">
        <is>
          <t xml:space="preserve">P11</t>
        </is>
      </c>
      <c r="B390" s="4" t="inlineStr">
        <is>
          <t xml:space="preserve">P11</t>
        </is>
      </c>
      <c r="C390" s="4" t="inlineStr">
        <is>
          <t xml:space="preserve">'[1]Deploy Detail'!Y63</t>
        </is>
      </c>
      <c r="D390" s="5">
        <v>0</v>
      </c>
    </row>
    <row r="391">
      <c r="A391" s="4" t="inlineStr">
        <is>
          <t xml:space="preserve">Q11</t>
        </is>
      </c>
      <c r="B391" s="4" t="inlineStr">
        <is>
          <t xml:space="preserve">Q11</t>
        </is>
      </c>
      <c r="C391" s="4" t="inlineStr">
        <is>
          <t xml:space="preserve">'[1]Deploy Detail'!Z63</t>
        </is>
      </c>
      <c r="D391" s="5">
        <v>0</v>
      </c>
    </row>
    <row r="392">
      <c r="A392" s="4" t="inlineStr">
        <is>
          <t xml:space="preserve">R11</t>
        </is>
      </c>
      <c r="B392" s="4" t="inlineStr">
        <is>
          <t xml:space="preserve">R11</t>
        </is>
      </c>
      <c r="C392" s="4" t="inlineStr">
        <is>
          <t xml:space="preserve">'[1]Deploy Detail'!AB63</t>
        </is>
      </c>
      <c r="D392" s="5">
        <v>0</v>
      </c>
    </row>
    <row r="393">
      <c r="A393" s="4" t="inlineStr">
        <is>
          <t xml:space="preserve">B16</t>
        </is>
      </c>
      <c r="B393" s="4" t="inlineStr">
        <is>
          <t xml:space="preserve">B16</t>
        </is>
      </c>
      <c r="C393" s="4" t="inlineStr">
        <is>
          <t xml:space="preserve">COUNTIFS('[1]2026 Exist New'!$U$9:$U$50,"Yes",'[1]2026 Exist New'!$E$9:$E$50,"SlipLift",'[1]2026 Exist New'!$I$9:$I$50,"&gt;"&amp;EOMONTH(B$4,-1),'[1]2026 Exist New'!$I$9:$I$50,"&lt;="&amp;B$4)+[1]Deploy!D36+[1]Deploy!D41</t>
        </is>
      </c>
      <c r="D393" s="5">
        <v>0</v>
      </c>
    </row>
    <row r="394">
      <c r="A394" s="4" t="inlineStr">
        <is>
          <t xml:space="preserve">C16</t>
        </is>
      </c>
      <c r="B394" s="4" t="inlineStr">
        <is>
          <t xml:space="preserve">C16</t>
        </is>
      </c>
      <c r="C394" s="4" t="inlineStr">
        <is>
          <t xml:space="preserve">COUNTIFS('[1]2026 Exist New'!$U$9:$U$50,"Yes",'[1]2026 Exist New'!$E$9:$E$50,"SlipLift",'[1]2026 Exist New'!$I$9:$I$50,"&gt;"&amp;EOMONTH(C$4,-1),'[1]2026 Exist New'!$I$9:$I$50,"&lt;="&amp;C$4)+[1]Deploy!E36+[1]Deploy!E41</t>
        </is>
      </c>
      <c r="D394" s="5">
        <v>2</v>
      </c>
    </row>
    <row r="395">
      <c r="A395" s="4" t="inlineStr">
        <is>
          <t xml:space="preserve">D16</t>
        </is>
      </c>
      <c r="B395" s="4" t="inlineStr">
        <is>
          <t xml:space="preserve">D16</t>
        </is>
      </c>
      <c r="C395" s="4" t="inlineStr">
        <is>
          <t xml:space="preserve">COUNTIFS('[1]2026 Exist New'!$U$9:$U$50,"Yes",'[1]2026 Exist New'!$E$9:$E$50,"SlipLift",'[1]2026 Exist New'!$I$9:$I$50,"&gt;"&amp;EOMONTH(D$4,-1),'[1]2026 Exist New'!$I$9:$I$50,"&lt;="&amp;D$4)+[1]Deploy!F36+[1]Deploy!F41</t>
        </is>
      </c>
      <c r="D395" s="5">
        <v>2</v>
      </c>
    </row>
    <row r="396">
      <c r="A396" s="4" t="inlineStr">
        <is>
          <t xml:space="preserve">E16</t>
        </is>
      </c>
      <c r="B396" s="4" t="inlineStr">
        <is>
          <t xml:space="preserve">E16</t>
        </is>
      </c>
      <c r="C396" s="4" t="inlineStr">
        <is>
          <t xml:space="preserve">COUNTIFS('[1]2026 Exist New'!$U$9:$U$50,"Yes",'[1]2026 Exist New'!$E$9:$E$50,"SlipLift",'[1]2026 Exist New'!$I$9:$I$50,"&gt;"&amp;EOMONTH(E$4,-1),'[1]2026 Exist New'!$I$9:$I$50,"&lt;="&amp;E$4)+[1]Deploy!G36+[1]Deploy!G41</t>
        </is>
      </c>
      <c r="D396" s="5">
        <v>0</v>
      </c>
    </row>
    <row r="397">
      <c r="A397" s="4" t="inlineStr">
        <is>
          <t xml:space="preserve">F16</t>
        </is>
      </c>
      <c r="B397" s="4" t="inlineStr">
        <is>
          <t xml:space="preserve">F16</t>
        </is>
      </c>
      <c r="C397" s="4" t="inlineStr">
        <is>
          <t xml:space="preserve">COUNTIFS('[1]2026 Exist New'!$U$9:$U$50,"Yes",'[1]2026 Exist New'!$E$9:$E$50,"SlipLift",'[1]2026 Exist New'!$I$9:$I$50,"&gt;"&amp;EOMONTH(F$4,-1),'[1]2026 Exist New'!$I$9:$I$50,"&lt;="&amp;F$4)+[1]Deploy!H36+[1]Deploy!H41</t>
        </is>
      </c>
      <c r="D397" s="5">
        <v>3</v>
      </c>
    </row>
    <row r="398">
      <c r="A398" s="4" t="inlineStr">
        <is>
          <t xml:space="preserve">G16</t>
        </is>
      </c>
      <c r="B398" s="4" t="inlineStr">
        <is>
          <t xml:space="preserve">G16</t>
        </is>
      </c>
      <c r="C398" s="4" t="inlineStr">
        <is>
          <t xml:space="preserve">COUNTIFS('[1]2026 Exist New'!$U$9:$U$50,"Yes",'[1]2026 Exist New'!$E$9:$E$50,"SlipLift",'[1]2026 Exist New'!$I$9:$I$50,"&gt;"&amp;EOMONTH(G$4,-1),'[1]2026 Exist New'!$I$9:$I$50,"&lt;="&amp;G$4)+[1]Deploy!I36+[1]Deploy!I41</t>
        </is>
      </c>
      <c r="D398" s="5">
        <v>2</v>
      </c>
    </row>
    <row r="399">
      <c r="A399" s="4" t="inlineStr">
        <is>
          <t xml:space="preserve">H16</t>
        </is>
      </c>
      <c r="B399" s="4" t="inlineStr">
        <is>
          <t xml:space="preserve">H16</t>
        </is>
      </c>
      <c r="C399" s="4" t="inlineStr">
        <is>
          <t xml:space="preserve">COUNTIFS('[1]2026 Exist New'!$U$9:$U$50,"Yes",'[1]2026 Exist New'!$E$9:$E$50,"SlipLift",'[1]2026 Exist New'!$I$9:$I$50,"&gt;"&amp;EOMONTH(H$4,-1),'[1]2026 Exist New'!$I$9:$I$50,"&lt;="&amp;H$4)+[1]Deploy!J36+[1]Deploy!J41</t>
        </is>
      </c>
      <c r="D399" s="5">
        <v>0</v>
      </c>
    </row>
    <row r="400">
      <c r="A400" s="4" t="inlineStr">
        <is>
          <t xml:space="preserve">I16</t>
        </is>
      </c>
      <c r="B400" s="4" t="inlineStr">
        <is>
          <t xml:space="preserve">I16</t>
        </is>
      </c>
      <c r="C400" s="4" t="inlineStr">
        <is>
          <t xml:space="preserve">COUNTIFS('[1]2026 Exist New'!$U$9:$U$50,"Yes",'[1]2026 Exist New'!$E$9:$E$50,"SlipLift",'[1]2026 Exist New'!$I$9:$I$50,"&gt;"&amp;EOMONTH(I$4,-1),'[1]2026 Exist New'!$I$9:$I$50,"&lt;="&amp;I$4)+[1]Deploy!K36+[1]Deploy!K41</t>
        </is>
      </c>
      <c r="D400" s="5">
        <v>5</v>
      </c>
    </row>
    <row r="401">
      <c r="A401" s="4" t="inlineStr">
        <is>
          <t xml:space="preserve">J16</t>
        </is>
      </c>
      <c r="B401" s="4" t="inlineStr">
        <is>
          <t xml:space="preserve">J16</t>
        </is>
      </c>
      <c r="C401" s="4" t="inlineStr">
        <is>
          <t xml:space="preserve">COUNTIFS('[1]2026 Exist New'!$U$9:$U$50,"Yes",'[1]2026 Exist New'!$E$9:$E$50,"SlipLift",'[1]2026 Exist New'!$I$9:$I$50,"&gt;"&amp;EOMONTH(J$4,-1),'[1]2026 Exist New'!$I$9:$I$50,"&lt;="&amp;J$4)+[1]Deploy!L36+[1]Deploy!L41</t>
        </is>
      </c>
      <c r="D401" s="5">
        <v>4</v>
      </c>
    </row>
    <row r="402">
      <c r="A402" s="4" t="inlineStr">
        <is>
          <t xml:space="preserve">K16</t>
        </is>
      </c>
      <c r="B402" s="4" t="inlineStr">
        <is>
          <t xml:space="preserve">K16</t>
        </is>
      </c>
      <c r="C402" s="4" t="inlineStr">
        <is>
          <t xml:space="preserve">COUNTIFS('[1]2026 Exist New'!$U$9:$U$50,"Yes",'[1]2026 Exist New'!$E$9:$E$50,"SlipLift",'[1]2026 Exist New'!$I$9:$I$50,"&gt;"&amp;EOMONTH(K$4,-1),'[1]2026 Exist New'!$I$9:$I$50,"&lt;="&amp;K$4)+[1]Deploy!M36+[1]Deploy!M41</t>
        </is>
      </c>
      <c r="D402" s="5">
        <v>6</v>
      </c>
    </row>
    <row r="403">
      <c r="A403" s="4" t="inlineStr">
        <is>
          <t xml:space="preserve">L16</t>
        </is>
      </c>
      <c r="B403" s="4" t="inlineStr">
        <is>
          <t xml:space="preserve">L16</t>
        </is>
      </c>
      <c r="C403" s="4" t="inlineStr">
        <is>
          <t xml:space="preserve">COUNTIFS('[1]2026 Exist New'!$U$9:$U$50,"Yes",'[1]2026 Exist New'!$E$9:$E$50,"SlipLift",'[1]2026 Exist New'!$I$9:$I$50,"&gt;"&amp;EOMONTH(L$4,-1),'[1]2026 Exist New'!$I$9:$I$50,"&lt;="&amp;L$4)+[1]Deploy!N36+[1]Deploy!N41</t>
        </is>
      </c>
      <c r="D403" s="5">
        <v>5</v>
      </c>
    </row>
    <row r="404">
      <c r="A404" s="4" t="inlineStr">
        <is>
          <t xml:space="preserve">M16</t>
        </is>
      </c>
      <c r="B404" s="4" t="inlineStr">
        <is>
          <t xml:space="preserve">M16</t>
        </is>
      </c>
      <c r="C404" s="4" t="inlineStr">
        <is>
          <t xml:space="preserve">COUNTIFS('[1]2026 Exist New'!$U$9:$U$50,"Yes",'[1]2026 Exist New'!$E$9:$E$50,"SlipLift",'[1]2026 Exist New'!$I$9:$I$50,"&gt;"&amp;EOMONTH(M$4,-1),'[1]2026 Exist New'!$I$9:$I$50,"&lt;="&amp;M$4)+[1]Deploy!O36+[1]Deploy!O41</t>
        </is>
      </c>
      <c r="D404" s="5">
        <v>6</v>
      </c>
    </row>
    <row r="405">
      <c r="A405" s="4" t="inlineStr">
        <is>
          <t xml:space="preserve">N16</t>
        </is>
      </c>
      <c r="B405" s="4" t="inlineStr">
        <is>
          <t xml:space="preserve">N16</t>
        </is>
      </c>
      <c r="C405" s="4" t="inlineStr">
        <is>
          <t xml:space="preserve">COUNTIFS('[1]2026 Exist New'!$U$9:$U$50,"Yes",'[1]2026 Exist New'!$E$9:$E$50,"SlipLift",'[1]2026 Exist New'!$I$9:$I$50,"&gt;"&amp;EOMONTH(N$4,-1),'[1]2026 Exist New'!$I$9:$I$50,"&lt;="&amp;N$4)+[1]Deploy!P36+[1]Deploy!P41</t>
        </is>
      </c>
      <c r="D405" s="5">
        <v>8</v>
      </c>
    </row>
    <row r="406">
      <c r="A406" s="4" t="inlineStr">
        <is>
          <t xml:space="preserve">O16</t>
        </is>
      </c>
      <c r="B406" s="4" t="inlineStr">
        <is>
          <t xml:space="preserve">O16</t>
        </is>
      </c>
      <c r="C406" s="4" t="inlineStr">
        <is>
          <t xml:space="preserve">COUNTIFS('[1]2026 Exist New'!$U$9:$U$50,"Yes",'[1]2026 Exist New'!$E$9:$E$50,"SlipLift",'[1]2026 Exist New'!$I$9:$I$50,"&gt;"&amp;EOMONTH(O$4,-1),'[1]2026 Exist New'!$I$9:$I$50,"&lt;="&amp;O$4)+[1]Deploy!Q36+[1]Deploy!Q41</t>
        </is>
      </c>
      <c r="D406" s="5">
        <v>8</v>
      </c>
    </row>
    <row r="407">
      <c r="A407" s="4" t="inlineStr">
        <is>
          <t xml:space="preserve">P16</t>
        </is>
      </c>
      <c r="B407" s="4" t="inlineStr">
        <is>
          <t xml:space="preserve">P16</t>
        </is>
      </c>
      <c r="C407" s="4" t="inlineStr">
        <is>
          <t xml:space="preserve">COUNTIFS('[1]2026 Exist New'!$U$9:$U$50,"Yes",'[1]2026 Exist New'!$E$9:$E$50,"SlipLift",'[1]2026 Exist New'!$I$9:$I$50,"&gt;"&amp;EOMONTH(P$4,-1),'[1]2026 Exist New'!$I$9:$I$50,"&lt;="&amp;P$4)+[1]Deploy!R36+[1]Deploy!R41</t>
        </is>
      </c>
      <c r="D407" s="5">
        <v>10</v>
      </c>
    </row>
    <row r="408">
      <c r="A408" s="4" t="inlineStr">
        <is>
          <t xml:space="preserve">Q16</t>
        </is>
      </c>
      <c r="B408" s="4" t="inlineStr">
        <is>
          <t xml:space="preserve">Q16</t>
        </is>
      </c>
      <c r="C408" s="4" t="inlineStr">
        <is>
          <t xml:space="preserve">COUNTIFS('[1]2026 Exist New'!$U$9:$U$50,"Yes",'[1]2026 Exist New'!$E$9:$E$50,"SlipLift",'[1]2026 Exist New'!$I$9:$I$50,"&gt;"&amp;EOMONTH(Q$4,-1),'[1]2026 Exist New'!$I$9:$I$50,"&lt;="&amp;Q$4)+[1]Deploy!S36+[1]Deploy!S41</t>
        </is>
      </c>
      <c r="D408" s="5">
        <v>10</v>
      </c>
    </row>
    <row r="409">
      <c r="A409" s="4" t="inlineStr">
        <is>
          <t xml:space="preserve">R16</t>
        </is>
      </c>
      <c r="B409" s="4" t="inlineStr">
        <is>
          <t xml:space="preserve">R16</t>
        </is>
      </c>
      <c r="C409" s="4" t="inlineStr">
        <is>
          <t xml:space="preserve">COUNTIFS('[1]2026 Exist New'!$U$9:$U$50,"Yes",'[1]2026 Exist New'!$E$9:$E$50,"SlipLift",'[1]2026 Exist New'!$I$9:$I$50,"&gt;"&amp;EOMONTH($F$4,-1),'[1]2026 Exist New'!$I$9:$I$50,"&lt;="&amp;$Q$4)+[1]Deploy!U36+[1]Deploy!U41</t>
        </is>
      </c>
      <c r="D409" s="5">
        <v>67</v>
      </c>
    </row>
    <row r="410">
      <c r="A410" s="4" t="inlineStr">
        <is>
          <t xml:space="preserve">B17</t>
        </is>
      </c>
      <c r="B410" s="4" t="inlineStr">
        <is>
          <t xml:space="preserve">B17</t>
        </is>
      </c>
      <c r="C410" s="4" t="inlineStr">
        <is>
          <t xml:space="preserve">COUNTIFS('[1]2026 Exist New'!$U$9:$U$50,"Yes",'[1]2026 Exist New'!$E$9:$E$50,"SlipBot",'[1]2026 Exist New'!$I$9:$I$50,"&gt;"&amp;EOMONTH(B$4,-1),'[1]2026 Exist New'!$I$9:$I$50,"&lt;="&amp;B$4)</t>
        </is>
      </c>
      <c r="D410" s="5">
        <v>0</v>
      </c>
    </row>
    <row r="411">
      <c r="A411" s="4" t="inlineStr">
        <is>
          <t xml:space="preserve">C17</t>
        </is>
      </c>
      <c r="B411" s="4" t="inlineStr">
        <is>
          <t xml:space="preserve">C17</t>
        </is>
      </c>
      <c r="C411" s="4" t="inlineStr">
        <is>
          <t xml:space="preserve">COUNTIFS('[1]2026 Exist New'!$U$9:$U$50,"Yes",'[1]2026 Exist New'!$E$9:$E$50,"SlipBot",'[1]2026 Exist New'!$I$9:$I$50,"&gt;"&amp;EOMONTH(C$4,-1),'[1]2026 Exist New'!$I$9:$I$50,"&lt;="&amp;C$4)</t>
        </is>
      </c>
      <c r="D411" s="5">
        <v>0</v>
      </c>
    </row>
    <row r="412">
      <c r="A412" s="4" t="inlineStr">
        <is>
          <t xml:space="preserve">D17</t>
        </is>
      </c>
      <c r="B412" s="4" t="inlineStr">
        <is>
          <t xml:space="preserve">D17</t>
        </is>
      </c>
      <c r="C412" s="4" t="inlineStr">
        <is>
          <t xml:space="preserve">COUNTIFS('[1]2026 Exist New'!$U$9:$U$50,"Yes",'[1]2026 Exist New'!$E$9:$E$50,"SlipBot",'[1]2026 Exist New'!$I$9:$I$50,"&gt;"&amp;EOMONTH(D$4,-1),'[1]2026 Exist New'!$I$9:$I$50,"&lt;="&amp;D$4)</t>
        </is>
      </c>
      <c r="D412" s="5">
        <v>0</v>
      </c>
    </row>
    <row r="413">
      <c r="A413" s="4" t="inlineStr">
        <is>
          <t xml:space="preserve">E17</t>
        </is>
      </c>
      <c r="B413" s="4" t="inlineStr">
        <is>
          <t xml:space="preserve">E17</t>
        </is>
      </c>
      <c r="C413" s="4" t="inlineStr">
        <is>
          <t xml:space="preserve">COUNTIFS('[1]2026 Exist New'!$U$9:$U$50,"Yes",'[1]2026 Exist New'!$E$9:$E$50,"SlipBot",'[1]2026 Exist New'!$I$9:$I$50,"&gt;"&amp;EOMONTH(E$4,-1),'[1]2026 Exist New'!$I$9:$I$50,"&lt;="&amp;E$4)</t>
        </is>
      </c>
      <c r="D413" s="5">
        <v>0</v>
      </c>
    </row>
    <row r="414">
      <c r="A414" s="4" t="inlineStr">
        <is>
          <t xml:space="preserve">F17</t>
        </is>
      </c>
      <c r="B414" s="4" t="inlineStr">
        <is>
          <t xml:space="preserve">F17</t>
        </is>
      </c>
      <c r="C414" s="4" t="inlineStr">
        <is>
          <t xml:space="preserve">COUNTIFS('[1]2026 Exist New'!$U$9:$U$50,"Yes",'[1]2026 Exist New'!$E$9:$E$50,"SlipBot",'[1]2026 Exist New'!$I$9:$I$50,"&gt;"&amp;EOMONTH(F$4,-1),'[1]2026 Exist New'!$I$9:$I$50,"&lt;="&amp;F$4)</t>
        </is>
      </c>
      <c r="D414" s="5">
        <v>0</v>
      </c>
    </row>
    <row r="415">
      <c r="A415" s="4" t="inlineStr">
        <is>
          <t xml:space="preserve">G17</t>
        </is>
      </c>
      <c r="B415" s="4" t="inlineStr">
        <is>
          <t xml:space="preserve">G17</t>
        </is>
      </c>
      <c r="C415" s="4" t="inlineStr">
        <is>
          <t xml:space="preserve">COUNTIFS('[1]2026 Exist New'!$U$9:$U$50,"Yes",'[1]2026 Exist New'!$E$9:$E$50,"SlipBot",'[1]2026 Exist New'!$I$9:$I$50,"&gt;"&amp;EOMONTH(G$4,-1),'[1]2026 Exist New'!$I$9:$I$50,"&lt;="&amp;G$4)</t>
        </is>
      </c>
      <c r="D415" s="5">
        <v>0</v>
      </c>
    </row>
    <row r="416">
      <c r="A416" s="4" t="inlineStr">
        <is>
          <t xml:space="preserve">H17</t>
        </is>
      </c>
      <c r="B416" s="4" t="inlineStr">
        <is>
          <t xml:space="preserve">H17</t>
        </is>
      </c>
      <c r="C416" s="4" t="inlineStr">
        <is>
          <t xml:space="preserve">COUNTIFS('[1]2026 Exist New'!$U$9:$U$50,"Yes",'[1]2026 Exist New'!$E$9:$E$50,"SlipBot",'[1]2026 Exist New'!$I$9:$I$50,"&gt;"&amp;EOMONTH(H$4,-1),'[1]2026 Exist New'!$I$9:$I$50,"&lt;="&amp;H$4)</t>
        </is>
      </c>
      <c r="D416" s="5">
        <v>0</v>
      </c>
    </row>
    <row r="417">
      <c r="A417" s="4" t="inlineStr">
        <is>
          <t xml:space="preserve">I17</t>
        </is>
      </c>
      <c r="B417" s="4" t="inlineStr">
        <is>
          <t xml:space="preserve">I17</t>
        </is>
      </c>
      <c r="C417" s="4" t="inlineStr">
        <is>
          <t xml:space="preserve">COUNTIFS('[1]2026 Exist New'!$U$9:$U$50,"Yes",'[1]2026 Exist New'!$E$9:$E$50,"SlipBot",'[1]2026 Exist New'!$I$9:$I$50,"&gt;"&amp;EOMONTH(I$4,-1),'[1]2026 Exist New'!$I$9:$I$50,"&lt;="&amp;I$4)</t>
        </is>
      </c>
      <c r="D417" s="5">
        <v>0</v>
      </c>
    </row>
    <row r="418">
      <c r="A418" s="4" t="inlineStr">
        <is>
          <t xml:space="preserve">J17</t>
        </is>
      </c>
      <c r="B418" s="4" t="inlineStr">
        <is>
          <t xml:space="preserve">J17</t>
        </is>
      </c>
      <c r="C418" s="4" t="inlineStr">
        <is>
          <t xml:space="preserve">COUNTIFS('[1]2026 Exist New'!$U$9:$U$50,"Yes",'[1]2026 Exist New'!$E$9:$E$50,"SlipBot",'[1]2026 Exist New'!$I$9:$I$50,"&gt;"&amp;EOMONTH(J$4,-1),'[1]2026 Exist New'!$I$9:$I$50,"&lt;="&amp;J$4)</t>
        </is>
      </c>
      <c r="D418" s="5">
        <v>0</v>
      </c>
    </row>
    <row r="419">
      <c r="A419" s="4" t="inlineStr">
        <is>
          <t xml:space="preserve">K17</t>
        </is>
      </c>
      <c r="B419" s="4" t="inlineStr">
        <is>
          <t xml:space="preserve">K17</t>
        </is>
      </c>
      <c r="C419" s="4" t="inlineStr">
        <is>
          <t xml:space="preserve">COUNTIFS('[1]2026 Exist New'!$U$9:$U$50,"Yes",'[1]2026 Exist New'!$E$9:$E$50,"SlipBot",'[1]2026 Exist New'!$I$9:$I$50,"&gt;"&amp;EOMONTH(K$4,-1),'[1]2026 Exist New'!$I$9:$I$50,"&lt;="&amp;K$4)</t>
        </is>
      </c>
      <c r="D419" s="5">
        <v>0</v>
      </c>
    </row>
    <row r="420">
      <c r="A420" s="4" t="inlineStr">
        <is>
          <t xml:space="preserve">L17</t>
        </is>
      </c>
      <c r="B420" s="4" t="inlineStr">
        <is>
          <t xml:space="preserve">L17</t>
        </is>
      </c>
      <c r="C420" s="4" t="inlineStr">
        <is>
          <t xml:space="preserve">COUNTIFS('[1]2026 Exist New'!$U$9:$U$50,"Yes",'[1]2026 Exist New'!$E$9:$E$50,"SlipBot",'[1]2026 Exist New'!$I$9:$I$50,"&gt;"&amp;EOMONTH(L$4,-1),'[1]2026 Exist New'!$I$9:$I$50,"&lt;="&amp;L$4)</t>
        </is>
      </c>
      <c r="D420" s="5">
        <v>0</v>
      </c>
    </row>
    <row r="421">
      <c r="A421" s="4" t="inlineStr">
        <is>
          <t xml:space="preserve">M17</t>
        </is>
      </c>
      <c r="B421" s="4" t="inlineStr">
        <is>
          <t xml:space="preserve">M17</t>
        </is>
      </c>
      <c r="C421" s="4" t="inlineStr">
        <is>
          <t xml:space="preserve">COUNTIFS('[1]2026 Exist New'!$U$9:$U$50,"Yes",'[1]2026 Exist New'!$E$9:$E$50,"SlipBot",'[1]2026 Exist New'!$I$9:$I$50,"&gt;"&amp;EOMONTH(M$4,-1),'[1]2026 Exist New'!$I$9:$I$50,"&lt;="&amp;M$4)</t>
        </is>
      </c>
      <c r="D421" s="5">
        <v>0</v>
      </c>
    </row>
    <row r="422">
      <c r="A422" s="4" t="inlineStr">
        <is>
          <t xml:space="preserve">N17</t>
        </is>
      </c>
      <c r="B422" s="4" t="inlineStr">
        <is>
          <t xml:space="preserve">N17</t>
        </is>
      </c>
      <c r="C422" s="4" t="inlineStr">
        <is>
          <t xml:space="preserve">COUNTIFS('[1]2026 Exist New'!$U$9:$U$50,"Yes",'[1]2026 Exist New'!$E$9:$E$50,"SlipBot",'[1]2026 Exist New'!$I$9:$I$50,"&gt;"&amp;EOMONTH(N$4,-1),'[1]2026 Exist New'!$I$9:$I$50,"&lt;="&amp;N$4)</t>
        </is>
      </c>
      <c r="D422" s="5">
        <v>0</v>
      </c>
    </row>
    <row r="423">
      <c r="A423" s="4" t="inlineStr">
        <is>
          <t xml:space="preserve">O17</t>
        </is>
      </c>
      <c r="B423" s="4" t="inlineStr">
        <is>
          <t xml:space="preserve">O17</t>
        </is>
      </c>
      <c r="C423" s="4" t="inlineStr">
        <is>
          <t xml:space="preserve">COUNTIFS('[1]2026 Exist New'!$U$9:$U$50,"Yes",'[1]2026 Exist New'!$E$9:$E$50,"SlipBot",'[1]2026 Exist New'!$I$9:$I$50,"&gt;"&amp;EOMONTH(O$4,-1),'[1]2026 Exist New'!$I$9:$I$50,"&lt;="&amp;O$4)</t>
        </is>
      </c>
      <c r="D423" s="5">
        <v>0</v>
      </c>
    </row>
    <row r="424">
      <c r="A424" s="4" t="inlineStr">
        <is>
          <t xml:space="preserve">P17</t>
        </is>
      </c>
      <c r="B424" s="4" t="inlineStr">
        <is>
          <t xml:space="preserve">P17</t>
        </is>
      </c>
      <c r="C424" s="4" t="inlineStr">
        <is>
          <t xml:space="preserve">COUNTIFS('[1]2026 Exist New'!$U$9:$U$50,"Yes",'[1]2026 Exist New'!$E$9:$E$50,"SlipBot",'[1]2026 Exist New'!$I$9:$I$50,"&gt;"&amp;EOMONTH(P$4,-1),'[1]2026 Exist New'!$I$9:$I$50,"&lt;="&amp;P$4)</t>
        </is>
      </c>
      <c r="D424" s="5">
        <v>0</v>
      </c>
    </row>
    <row r="425">
      <c r="A425" s="4" t="inlineStr">
        <is>
          <t xml:space="preserve">Q17</t>
        </is>
      </c>
      <c r="B425" s="4" t="inlineStr">
        <is>
          <t xml:space="preserve">Q17</t>
        </is>
      </c>
      <c r="C425" s="4" t="inlineStr">
        <is>
          <t xml:space="preserve">COUNTIFS('[1]2026 Exist New'!$U$9:$U$50,"Yes",'[1]2026 Exist New'!$E$9:$E$50,"SlipBot",'[1]2026 Exist New'!$I$9:$I$50,"&gt;"&amp;EOMONTH(Q$4,-1),'[1]2026 Exist New'!$I$9:$I$50,"&lt;="&amp;Q$4)</t>
        </is>
      </c>
      <c r="D425" s="5">
        <v>0</v>
      </c>
    </row>
    <row r="426">
      <c r="A426" s="4" t="inlineStr">
        <is>
          <t xml:space="preserve">R17</t>
        </is>
      </c>
      <c r="B426" s="4" t="inlineStr">
        <is>
          <t xml:space="preserve">R17</t>
        </is>
      </c>
      <c r="C426" s="4" t="inlineStr">
        <is>
          <t xml:space="preserve">COUNTIFS('[1]2026 Exist New'!$U$9:$U$50,"Yes",'[1]2026 Exist New'!$E$9:$E$50,"SlipBot",'[1]2026 Exist New'!$I$9:$I$50,"&gt;"&amp;EOMONTH($F$4,-1),'[1]2026 Exist New'!$I$9:$I$50,"&lt;="&amp;$Q$4)</t>
        </is>
      </c>
      <c r="D426" s="5">
        <v>0</v>
      </c>
    </row>
    <row r="427">
      <c r="A427" s="4" t="inlineStr">
        <is>
          <t xml:space="preserve">B19</t>
        </is>
      </c>
      <c r="B427" s="4" t="inlineStr">
        <is>
          <t xml:space="preserve">B19</t>
        </is>
      </c>
      <c r="C427" s="4" t="inlineStr">
        <is>
          <t xml:space="preserve">[1]Deploy!D47</t>
        </is>
      </c>
      <c r="D427" s="5">
        <v>0</v>
      </c>
    </row>
    <row r="428">
      <c r="A428" s="4" t="inlineStr">
        <is>
          <t xml:space="preserve">C19</t>
        </is>
      </c>
      <c r="B428" s="4" t="inlineStr">
        <is>
          <t xml:space="preserve">C19</t>
        </is>
      </c>
      <c r="C428" s="4" t="inlineStr">
        <is>
          <t xml:space="preserve">[1]Deploy!E47</t>
        </is>
      </c>
      <c r="D428" s="5">
        <v>9</v>
      </c>
    </row>
    <row r="429">
      <c r="A429" s="4" t="inlineStr">
        <is>
          <t xml:space="preserve">D19</t>
        </is>
      </c>
      <c r="B429" s="4" t="inlineStr">
        <is>
          <t xml:space="preserve">D19</t>
        </is>
      </c>
      <c r="C429" s="4" t="inlineStr">
        <is>
          <t xml:space="preserve">[1]Deploy!F47</t>
        </is>
      </c>
      <c r="D429" s="5">
        <v>9</v>
      </c>
    </row>
    <row r="430">
      <c r="A430" s="4" t="inlineStr">
        <is>
          <t xml:space="preserve">E19</t>
        </is>
      </c>
      <c r="B430" s="4" t="inlineStr">
        <is>
          <t xml:space="preserve">E19</t>
        </is>
      </c>
      <c r="C430" s="4" t="inlineStr">
        <is>
          <t xml:space="preserve">[1]Deploy!G47</t>
        </is>
      </c>
      <c r="D430" s="5">
        <v>0</v>
      </c>
    </row>
    <row r="431">
      <c r="A431" s="4" t="inlineStr">
        <is>
          <t xml:space="preserve">F19</t>
        </is>
      </c>
      <c r="B431" s="4" t="inlineStr">
        <is>
          <t xml:space="preserve">F19</t>
        </is>
      </c>
      <c r="C431" s="4" t="inlineStr">
        <is>
          <t xml:space="preserve">[1]Deploy!H47</t>
        </is>
      </c>
      <c r="D431" s="5">
        <v>20</v>
      </c>
    </row>
    <row r="432">
      <c r="A432" s="4" t="inlineStr">
        <is>
          <t xml:space="preserve">G19</t>
        </is>
      </c>
      <c r="B432" s="4" t="inlineStr">
        <is>
          <t xml:space="preserve">G19</t>
        </is>
      </c>
      <c r="C432" s="4" t="inlineStr">
        <is>
          <t xml:space="preserve">[1]Deploy!I47</t>
        </is>
      </c>
      <c r="D432" s="5">
        <v>8</v>
      </c>
    </row>
    <row r="433">
      <c r="A433" s="4" t="inlineStr">
        <is>
          <t xml:space="preserve">H19</t>
        </is>
      </c>
      <c r="B433" s="4" t="inlineStr">
        <is>
          <t xml:space="preserve">H19</t>
        </is>
      </c>
      <c r="C433" s="4" t="inlineStr">
        <is>
          <t xml:space="preserve">[1]Deploy!J47</t>
        </is>
      </c>
      <c r="D433" s="5">
        <v>0</v>
      </c>
    </row>
    <row r="434">
      <c r="A434" s="4" t="inlineStr">
        <is>
          <t xml:space="preserve">I19</t>
        </is>
      </c>
      <c r="B434" s="4" t="inlineStr">
        <is>
          <t xml:space="preserve">I19</t>
        </is>
      </c>
      <c r="C434" s="4" t="inlineStr">
        <is>
          <t xml:space="preserve">[1]Deploy!K47</t>
        </is>
      </c>
      <c r="D434" s="5">
        <v>22</v>
      </c>
    </row>
    <row r="435">
      <c r="A435" s="4" t="inlineStr">
        <is>
          <t xml:space="preserve">J19</t>
        </is>
      </c>
      <c r="B435" s="4" t="inlineStr">
        <is>
          <t xml:space="preserve">J19</t>
        </is>
      </c>
      <c r="C435" s="4" t="inlineStr">
        <is>
          <t xml:space="preserve">[1]Deploy!L47</t>
        </is>
      </c>
      <c r="D435" s="5">
        <v>14</v>
      </c>
    </row>
    <row r="436">
      <c r="A436" s="4" t="inlineStr">
        <is>
          <t xml:space="preserve">K19</t>
        </is>
      </c>
      <c r="B436" s="4" t="inlineStr">
        <is>
          <t xml:space="preserve">K19</t>
        </is>
      </c>
      <c r="C436" s="4" t="inlineStr">
        <is>
          <t xml:space="preserve">[1]Deploy!M47</t>
        </is>
      </c>
      <c r="D436" s="5">
        <v>20</v>
      </c>
    </row>
    <row r="437">
      <c r="A437" s="4" t="inlineStr">
        <is>
          <t xml:space="preserve">L19</t>
        </is>
      </c>
      <c r="B437" s="4" t="inlineStr">
        <is>
          <t xml:space="preserve">L19</t>
        </is>
      </c>
      <c r="C437" s="4" t="inlineStr">
        <is>
          <t xml:space="preserve">[1]Deploy!N47</t>
        </is>
      </c>
      <c r="D437" s="5">
        <v>18</v>
      </c>
    </row>
    <row r="438">
      <c r="A438" s="4" t="inlineStr">
        <is>
          <t xml:space="preserve">M19</t>
        </is>
      </c>
      <c r="B438" s="4" t="inlineStr">
        <is>
          <t xml:space="preserve">M19</t>
        </is>
      </c>
      <c r="C438" s="4" t="inlineStr">
        <is>
          <t xml:space="preserve">[1]Deploy!O47</t>
        </is>
      </c>
      <c r="D438" s="5">
        <v>22</v>
      </c>
    </row>
    <row r="439">
      <c r="A439" s="4" t="inlineStr">
        <is>
          <t xml:space="preserve">N19</t>
        </is>
      </c>
      <c r="B439" s="4" t="inlineStr">
        <is>
          <t xml:space="preserve">N19</t>
        </is>
      </c>
      <c r="C439" s="4" t="inlineStr">
        <is>
          <t xml:space="preserve">[1]Deploy!P47</t>
        </is>
      </c>
      <c r="D439" s="5">
        <v>28</v>
      </c>
    </row>
    <row r="440">
      <c r="A440" s="4" t="inlineStr">
        <is>
          <t xml:space="preserve">O19</t>
        </is>
      </c>
      <c r="B440" s="4" t="inlineStr">
        <is>
          <t xml:space="preserve">O19</t>
        </is>
      </c>
      <c r="C440" s="4" t="inlineStr">
        <is>
          <t xml:space="preserve">[1]Deploy!Q47</t>
        </is>
      </c>
      <c r="D440" s="5">
        <v>28</v>
      </c>
    </row>
    <row r="441">
      <c r="A441" s="4" t="inlineStr">
        <is>
          <t xml:space="preserve">P19</t>
        </is>
      </c>
      <c r="B441" s="4" t="inlineStr">
        <is>
          <t xml:space="preserve">P19</t>
        </is>
      </c>
      <c r="C441" s="4" t="inlineStr">
        <is>
          <t xml:space="preserve">[1]Deploy!R47</t>
        </is>
      </c>
      <c r="D441" s="5">
        <v>34</v>
      </c>
    </row>
    <row r="442">
      <c r="A442" s="4" t="inlineStr">
        <is>
          <t xml:space="preserve">Q19</t>
        </is>
      </c>
      <c r="B442" s="4" t="inlineStr">
        <is>
          <t xml:space="preserve">Q19</t>
        </is>
      </c>
      <c r="C442" s="4" t="inlineStr">
        <is>
          <t xml:space="preserve">[1]Deploy!S47</t>
        </is>
      </c>
      <c r="D442" s="5">
        <v>36</v>
      </c>
    </row>
    <row r="443">
      <c r="A443" s="4" t="inlineStr">
        <is>
          <t xml:space="preserve">R19</t>
        </is>
      </c>
      <c r="B443" s="4" t="inlineStr">
        <is>
          <t xml:space="preserve">R19</t>
        </is>
      </c>
      <c r="C443" s="4" t="inlineStr">
        <is>
          <t xml:space="preserve">[1]Deploy!U47</t>
        </is>
      </c>
      <c r="D443" s="5">
        <v>250</v>
      </c>
    </row>
    <row r="444">
      <c r="A444" s="4" t="inlineStr">
        <is>
          <t xml:space="preserve">B20</t>
        </is>
      </c>
      <c r="B444" s="4" t="inlineStr">
        <is>
          <t xml:space="preserve">B20</t>
        </is>
      </c>
      <c r="C444" s="4" t="inlineStr">
        <is>
          <t xml:space="preserve">[1]Deploy!D48</t>
        </is>
      </c>
      <c r="D444" s="5">
        <v>0</v>
      </c>
    </row>
    <row r="445">
      <c r="A445" s="4" t="inlineStr">
        <is>
          <t xml:space="preserve">C20</t>
        </is>
      </c>
      <c r="B445" s="4" t="inlineStr">
        <is>
          <t xml:space="preserve">C20</t>
        </is>
      </c>
      <c r="C445" s="4" t="inlineStr">
        <is>
          <t xml:space="preserve">[1]Deploy!E48</t>
        </is>
      </c>
      <c r="D445" s="5">
        <v>35</v>
      </c>
    </row>
    <row r="446">
      <c r="A446" s="4" t="inlineStr">
        <is>
          <t xml:space="preserve">D20</t>
        </is>
      </c>
      <c r="B446" s="4" t="inlineStr">
        <is>
          <t xml:space="preserve">D20</t>
        </is>
      </c>
      <c r="C446" s="4" t="inlineStr">
        <is>
          <t xml:space="preserve">[1]Deploy!F48</t>
        </is>
      </c>
      <c r="D446" s="5">
        <v>32</v>
      </c>
    </row>
    <row r="447">
      <c r="A447" s="4" t="inlineStr">
        <is>
          <t xml:space="preserve">E20</t>
        </is>
      </c>
      <c r="B447" s="4" t="inlineStr">
        <is>
          <t xml:space="preserve">E20</t>
        </is>
      </c>
      <c r="C447" s="4" t="inlineStr">
        <is>
          <t xml:space="preserve">[1]Deploy!G48</t>
        </is>
      </c>
      <c r="D447" s="5">
        <v>0</v>
      </c>
    </row>
    <row r="448">
      <c r="A448" s="4" t="inlineStr">
        <is>
          <t xml:space="preserve">F20</t>
        </is>
      </c>
      <c r="B448" s="4" t="inlineStr">
        <is>
          <t xml:space="preserve">F20</t>
        </is>
      </c>
      <c r="C448" s="4" t="inlineStr">
        <is>
          <t xml:space="preserve">[1]Deploy!H48</t>
        </is>
      </c>
      <c r="D448" s="5">
        <v>60</v>
      </c>
    </row>
    <row r="449">
      <c r="A449" s="4" t="inlineStr">
        <is>
          <t xml:space="preserve">G20</t>
        </is>
      </c>
      <c r="B449" s="4" t="inlineStr">
        <is>
          <t xml:space="preserve">G20</t>
        </is>
      </c>
      <c r="C449" s="4" t="inlineStr">
        <is>
          <t xml:space="preserve">[1]Deploy!I48</t>
        </is>
      </c>
      <c r="D449" s="5">
        <v>24</v>
      </c>
    </row>
    <row r="450">
      <c r="A450" s="4" t="inlineStr">
        <is>
          <t xml:space="preserve">H20</t>
        </is>
      </c>
      <c r="B450" s="4" t="inlineStr">
        <is>
          <t xml:space="preserve">H20</t>
        </is>
      </c>
      <c r="C450" s="4" t="inlineStr">
        <is>
          <t xml:space="preserve">[1]Deploy!J48</t>
        </is>
      </c>
      <c r="D450" s="5">
        <v>0</v>
      </c>
    </row>
    <row r="451">
      <c r="A451" s="4" t="inlineStr">
        <is>
          <t xml:space="preserve">I20</t>
        </is>
      </c>
      <c r="B451" s="4" t="inlineStr">
        <is>
          <t xml:space="preserve">I20</t>
        </is>
      </c>
      <c r="C451" s="4" t="inlineStr">
        <is>
          <t xml:space="preserve">[1]Deploy!K48</t>
        </is>
      </c>
      <c r="D451" s="5">
        <v>86</v>
      </c>
    </row>
    <row r="452">
      <c r="A452" s="4" t="inlineStr">
        <is>
          <t xml:space="preserve">J20</t>
        </is>
      </c>
      <c r="B452" s="4" t="inlineStr">
        <is>
          <t xml:space="preserve">J20</t>
        </is>
      </c>
      <c r="C452" s="4" t="inlineStr">
        <is>
          <t xml:space="preserve">[1]Deploy!L48</t>
        </is>
      </c>
      <c r="D452" s="5">
        <v>61</v>
      </c>
    </row>
    <row r="453">
      <c r="A453" s="4" t="inlineStr">
        <is>
          <t xml:space="preserve">K20</t>
        </is>
      </c>
      <c r="B453" s="4" t="inlineStr">
        <is>
          <t xml:space="preserve">K20</t>
        </is>
      </c>
      <c r="C453" s="4" t="inlineStr">
        <is>
          <t xml:space="preserve">[1]Deploy!M48</t>
        </is>
      </c>
      <c r="D453" s="5">
        <v>98</v>
      </c>
    </row>
    <row r="454">
      <c r="A454" s="4" t="inlineStr">
        <is>
          <t xml:space="preserve">L20</t>
        </is>
      </c>
      <c r="B454" s="4" t="inlineStr">
        <is>
          <t xml:space="preserve">L20</t>
        </is>
      </c>
      <c r="C454" s="4" t="inlineStr">
        <is>
          <t xml:space="preserve">[1]Deploy!N48</t>
        </is>
      </c>
      <c r="D454" s="5">
        <v>73</v>
      </c>
    </row>
    <row r="455">
      <c r="A455" s="4" t="inlineStr">
        <is>
          <t xml:space="preserve">M20</t>
        </is>
      </c>
      <c r="B455" s="4" t="inlineStr">
        <is>
          <t xml:space="preserve">M20</t>
        </is>
      </c>
      <c r="C455" s="4" t="inlineStr">
        <is>
          <t xml:space="preserve">[1]Deploy!O48</t>
        </is>
      </c>
      <c r="D455" s="5">
        <v>85</v>
      </c>
    </row>
    <row r="456">
      <c r="A456" s="4" t="inlineStr">
        <is>
          <t xml:space="preserve">N20</t>
        </is>
      </c>
      <c r="B456" s="4" t="inlineStr">
        <is>
          <t xml:space="preserve">N20</t>
        </is>
      </c>
      <c r="C456" s="4" t="inlineStr">
        <is>
          <t xml:space="preserve">[1]Deploy!P48</t>
        </is>
      </c>
      <c r="D456" s="5">
        <v>122</v>
      </c>
    </row>
    <row r="457">
      <c r="A457" s="4" t="inlineStr">
        <is>
          <t xml:space="preserve">O20</t>
        </is>
      </c>
      <c r="B457" s="4" t="inlineStr">
        <is>
          <t xml:space="preserve">O20</t>
        </is>
      </c>
      <c r="C457" s="4" t="inlineStr">
        <is>
          <t xml:space="preserve">[1]Deploy!Q48</t>
        </is>
      </c>
      <c r="D457" s="5">
        <v>122</v>
      </c>
    </row>
    <row r="458">
      <c r="A458" s="4" t="inlineStr">
        <is>
          <t xml:space="preserve">P20</t>
        </is>
      </c>
      <c r="B458" s="4" t="inlineStr">
        <is>
          <t xml:space="preserve">P20</t>
        </is>
      </c>
      <c r="C458" s="4" t="inlineStr">
        <is>
          <t xml:space="preserve">[1]Deploy!R48</t>
        </is>
      </c>
      <c r="D458" s="5">
        <v>159</v>
      </c>
    </row>
    <row r="459">
      <c r="A459" s="4" t="inlineStr">
        <is>
          <t xml:space="preserve">Q20</t>
        </is>
      </c>
      <c r="B459" s="4" t="inlineStr">
        <is>
          <t xml:space="preserve">Q20</t>
        </is>
      </c>
      <c r="C459" s="4" t="inlineStr">
        <is>
          <t xml:space="preserve">[1]Deploy!S48</t>
        </is>
      </c>
      <c r="D459" s="5">
        <v>146</v>
      </c>
    </row>
    <row r="460">
      <c r="A460" s="4" t="inlineStr">
        <is>
          <t xml:space="preserve">R20</t>
        </is>
      </c>
      <c r="B460" s="4" t="inlineStr">
        <is>
          <t xml:space="preserve">R20</t>
        </is>
      </c>
      <c r="C460" s="4" t="inlineStr">
        <is>
          <t xml:space="preserve">[1]Deploy!U48</t>
        </is>
      </c>
      <c r="D460" s="5">
        <v>1036</v>
      </c>
    </row>
    <row r="461">
      <c r="A461" s="4" t="inlineStr">
        <is>
          <t xml:space="preserve">B21</t>
        </is>
      </c>
      <c r="B461" s="4" t="inlineStr">
        <is>
          <t xml:space="preserve">B21</t>
        </is>
      </c>
      <c r="C461" s="4" t="inlineStr">
        <is>
          <t xml:space="preserve">[1]Deploy!D49</t>
        </is>
      </c>
      <c r="D461" s="5">
        <v>0</v>
      </c>
    </row>
    <row r="462">
      <c r="A462" s="4" t="inlineStr">
        <is>
          <t xml:space="preserve">C21</t>
        </is>
      </c>
      <c r="B462" s="4" t="inlineStr">
        <is>
          <t xml:space="preserve">C21</t>
        </is>
      </c>
      <c r="C462" s="4" t="inlineStr">
        <is>
          <t xml:space="preserve">[1]Deploy!E49</t>
        </is>
      </c>
      <c r="D462" s="5">
        <v>0</v>
      </c>
    </row>
    <row r="463">
      <c r="A463" s="4" t="inlineStr">
        <is>
          <t xml:space="preserve">D21</t>
        </is>
      </c>
      <c r="B463" s="4" t="inlineStr">
        <is>
          <t xml:space="preserve">D21</t>
        </is>
      </c>
      <c r="C463" s="4" t="inlineStr">
        <is>
          <t xml:space="preserve">[1]Deploy!F49</t>
        </is>
      </c>
      <c r="D463" s="5">
        <v>0</v>
      </c>
    </row>
    <row r="464">
      <c r="A464" s="4" t="inlineStr">
        <is>
          <t xml:space="preserve">E21</t>
        </is>
      </c>
      <c r="B464" s="4" t="inlineStr">
        <is>
          <t xml:space="preserve">E21</t>
        </is>
      </c>
      <c r="C464" s="4" t="inlineStr">
        <is>
          <t xml:space="preserve">[1]Deploy!G49</t>
        </is>
      </c>
      <c r="D464" s="5">
        <v>0</v>
      </c>
    </row>
    <row r="465">
      <c r="A465" s="4" t="inlineStr">
        <is>
          <t xml:space="preserve">F21</t>
        </is>
      </c>
      <c r="B465" s="4" t="inlineStr">
        <is>
          <t xml:space="preserve">F21</t>
        </is>
      </c>
      <c r="C465" s="4" t="inlineStr">
        <is>
          <t xml:space="preserve">[1]Deploy!H49</t>
        </is>
      </c>
      <c r="D465" s="5">
        <v>0</v>
      </c>
    </row>
    <row r="466">
      <c r="A466" s="4" t="inlineStr">
        <is>
          <t xml:space="preserve">G21</t>
        </is>
      </c>
      <c r="B466" s="4" t="inlineStr">
        <is>
          <t xml:space="preserve">G21</t>
        </is>
      </c>
      <c r="C466" s="4" t="inlineStr">
        <is>
          <t xml:space="preserve">[1]Deploy!I49</t>
        </is>
      </c>
      <c r="D466" s="5">
        <v>0</v>
      </c>
    </row>
    <row r="467">
      <c r="A467" s="4" t="inlineStr">
        <is>
          <t xml:space="preserve">H21</t>
        </is>
      </c>
      <c r="B467" s="4" t="inlineStr">
        <is>
          <t xml:space="preserve">H21</t>
        </is>
      </c>
      <c r="C467" s="4" t="inlineStr">
        <is>
          <t xml:space="preserve">[1]Deploy!J49</t>
        </is>
      </c>
      <c r="D467" s="5">
        <v>0</v>
      </c>
    </row>
    <row r="468">
      <c r="A468" s="4" t="inlineStr">
        <is>
          <t xml:space="preserve">I21</t>
        </is>
      </c>
      <c r="B468" s="4" t="inlineStr">
        <is>
          <t xml:space="preserve">I21</t>
        </is>
      </c>
      <c r="C468" s="4" t="inlineStr">
        <is>
          <t xml:space="preserve">[1]Deploy!K49</t>
        </is>
      </c>
      <c r="D468" s="5">
        <v>0</v>
      </c>
    </row>
    <row r="469">
      <c r="A469" s="4" t="inlineStr">
        <is>
          <t xml:space="preserve">J21</t>
        </is>
      </c>
      <c r="B469" s="4" t="inlineStr">
        <is>
          <t xml:space="preserve">J21</t>
        </is>
      </c>
      <c r="C469" s="4" t="inlineStr">
        <is>
          <t xml:space="preserve">[1]Deploy!L49</t>
        </is>
      </c>
      <c r="D469" s="5">
        <v>0</v>
      </c>
    </row>
    <row r="470">
      <c r="A470" s="4" t="inlineStr">
        <is>
          <t xml:space="preserve">K21</t>
        </is>
      </c>
      <c r="B470" s="4" t="inlineStr">
        <is>
          <t xml:space="preserve">K21</t>
        </is>
      </c>
      <c r="C470" s="4" t="inlineStr">
        <is>
          <t xml:space="preserve">[1]Deploy!M49</t>
        </is>
      </c>
      <c r="D470" s="5">
        <v>0</v>
      </c>
    </row>
    <row r="471">
      <c r="A471" s="4" t="inlineStr">
        <is>
          <t xml:space="preserve">L21</t>
        </is>
      </c>
      <c r="B471" s="4" t="inlineStr">
        <is>
          <t xml:space="preserve">L21</t>
        </is>
      </c>
      <c r="C471" s="4" t="inlineStr">
        <is>
          <t xml:space="preserve">[1]Deploy!N49</t>
        </is>
      </c>
      <c r="D471" s="5">
        <v>0</v>
      </c>
    </row>
    <row r="472">
      <c r="A472" s="4" t="inlineStr">
        <is>
          <t xml:space="preserve">M21</t>
        </is>
      </c>
      <c r="B472" s="4" t="inlineStr">
        <is>
          <t xml:space="preserve">M21</t>
        </is>
      </c>
      <c r="C472" s="4" t="inlineStr">
        <is>
          <t xml:space="preserve">[1]Deploy!O49</t>
        </is>
      </c>
      <c r="D472" s="5">
        <v>0</v>
      </c>
    </row>
    <row r="473">
      <c r="A473" s="4" t="inlineStr">
        <is>
          <t xml:space="preserve">N21</t>
        </is>
      </c>
      <c r="B473" s="4" t="inlineStr">
        <is>
          <t xml:space="preserve">N21</t>
        </is>
      </c>
      <c r="C473" s="4" t="inlineStr">
        <is>
          <t xml:space="preserve">[1]Deploy!P49</t>
        </is>
      </c>
      <c r="D473" s="5">
        <v>0</v>
      </c>
    </row>
    <row r="474">
      <c r="A474" s="4" t="inlineStr">
        <is>
          <t xml:space="preserve">O21</t>
        </is>
      </c>
      <c r="B474" s="4" t="inlineStr">
        <is>
          <t xml:space="preserve">O21</t>
        </is>
      </c>
      <c r="C474" s="4" t="inlineStr">
        <is>
          <t xml:space="preserve">[1]Deploy!Q49</t>
        </is>
      </c>
      <c r="D474" s="5">
        <v>0</v>
      </c>
    </row>
    <row r="475">
      <c r="A475" s="4" t="inlineStr">
        <is>
          <t xml:space="preserve">P21</t>
        </is>
      </c>
      <c r="B475" s="4" t="inlineStr">
        <is>
          <t xml:space="preserve">P21</t>
        </is>
      </c>
      <c r="C475" s="4" t="inlineStr">
        <is>
          <t xml:space="preserve">[1]Deploy!R49</t>
        </is>
      </c>
      <c r="D475" s="5">
        <v>0</v>
      </c>
    </row>
    <row r="476">
      <c r="A476" s="4" t="inlineStr">
        <is>
          <t xml:space="preserve">Q21</t>
        </is>
      </c>
      <c r="B476" s="4" t="inlineStr">
        <is>
          <t xml:space="preserve">Q21</t>
        </is>
      </c>
      <c r="C476" s="4" t="inlineStr">
        <is>
          <t xml:space="preserve">[1]Deploy!S49</t>
        </is>
      </c>
      <c r="D476" s="5">
        <v>0</v>
      </c>
    </row>
    <row r="477">
      <c r="A477" s="4" t="inlineStr">
        <is>
          <t xml:space="preserve">R21</t>
        </is>
      </c>
      <c r="B477" s="4" t="inlineStr">
        <is>
          <t xml:space="preserve">R21</t>
        </is>
      </c>
      <c r="C477" s="4" t="inlineStr">
        <is>
          <t xml:space="preserve">[1]Deploy!U49</t>
        </is>
      </c>
      <c r="D477" s="5">
        <v>0</v>
      </c>
    </row>
    <row r="478">
      <c r="A478" s="4" t="inlineStr">
        <is>
          <t xml:space="preserve">B24</t>
        </is>
      </c>
      <c r="B478" s="4" t="inlineStr">
        <is>
          <t xml:space="preserve">B24</t>
        </is>
      </c>
      <c r="C478" s="4" t="inlineStr">
        <is>
          <t xml:space="preserve">[1]Deploy!D53</t>
        </is>
      </c>
      <c r="D478" s="5">
        <v>9</v>
      </c>
    </row>
    <row r="479">
      <c r="A479" s="4" t="inlineStr">
        <is>
          <t xml:space="preserve">C24</t>
        </is>
      </c>
      <c r="B479" s="4" t="inlineStr">
        <is>
          <t xml:space="preserve">C24</t>
        </is>
      </c>
      <c r="C479" s="4" t="inlineStr">
        <is>
          <t xml:space="preserve">[1]Deploy!E53</t>
        </is>
      </c>
      <c r="D479" s="5">
        <v>0</v>
      </c>
    </row>
    <row r="480">
      <c r="A480" s="4" t="inlineStr">
        <is>
          <t xml:space="preserve">D24</t>
        </is>
      </c>
      <c r="B480" s="4" t="inlineStr">
        <is>
          <t xml:space="preserve">D24</t>
        </is>
      </c>
      <c r="C480" s="4" t="inlineStr">
        <is>
          <t xml:space="preserve">[1]Deploy!F53</t>
        </is>
      </c>
      <c r="D480" s="5">
        <v>20</v>
      </c>
    </row>
    <row r="481">
      <c r="A481" s="4" t="inlineStr">
        <is>
          <t xml:space="preserve">E24</t>
        </is>
      </c>
      <c r="B481" s="4" t="inlineStr">
        <is>
          <t xml:space="preserve">E24</t>
        </is>
      </c>
      <c r="C481" s="4" t="inlineStr">
        <is>
          <t xml:space="preserve">[1]Deploy!G53</t>
        </is>
      </c>
      <c r="D481" s="5">
        <v>8</v>
      </c>
    </row>
    <row r="482">
      <c r="A482" s="4" t="inlineStr">
        <is>
          <t xml:space="preserve">F24</t>
        </is>
      </c>
      <c r="B482" s="4" t="inlineStr">
        <is>
          <t xml:space="preserve">F24</t>
        </is>
      </c>
      <c r="C482" s="4" t="inlineStr">
        <is>
          <t xml:space="preserve">[1]Deploy!H53</t>
        </is>
      </c>
      <c r="D482" s="5">
        <v>0</v>
      </c>
    </row>
    <row r="483">
      <c r="A483" s="4" t="inlineStr">
        <is>
          <t xml:space="preserve">G24</t>
        </is>
      </c>
      <c r="B483" s="4" t="inlineStr">
        <is>
          <t xml:space="preserve">G24</t>
        </is>
      </c>
      <c r="C483" s="4" t="inlineStr">
        <is>
          <t xml:space="preserve">[1]Deploy!I53</t>
        </is>
      </c>
      <c r="D483" s="5">
        <v>22</v>
      </c>
    </row>
    <row r="484">
      <c r="A484" s="4" t="inlineStr">
        <is>
          <t xml:space="preserve">H24</t>
        </is>
      </c>
      <c r="B484" s="4" t="inlineStr">
        <is>
          <t xml:space="preserve">H24</t>
        </is>
      </c>
      <c r="C484" s="4" t="inlineStr">
        <is>
          <t xml:space="preserve">[1]Deploy!J53</t>
        </is>
      </c>
      <c r="D484" s="5">
        <v>14</v>
      </c>
    </row>
    <row r="485">
      <c r="A485" s="4" t="inlineStr">
        <is>
          <t xml:space="preserve">I24</t>
        </is>
      </c>
      <c r="B485" s="4" t="inlineStr">
        <is>
          <t xml:space="preserve">I24</t>
        </is>
      </c>
      <c r="C485" s="4" t="inlineStr">
        <is>
          <t xml:space="preserve">[1]Deploy!K53</t>
        </is>
      </c>
      <c r="D485" s="5">
        <v>20</v>
      </c>
    </row>
    <row r="486">
      <c r="A486" s="4" t="inlineStr">
        <is>
          <t xml:space="preserve">J24</t>
        </is>
      </c>
      <c r="B486" s="4" t="inlineStr">
        <is>
          <t xml:space="preserve">J24</t>
        </is>
      </c>
      <c r="C486" s="4" t="inlineStr">
        <is>
          <t xml:space="preserve">[1]Deploy!L53</t>
        </is>
      </c>
      <c r="D486" s="5">
        <v>18</v>
      </c>
    </row>
    <row r="487">
      <c r="A487" s="4" t="inlineStr">
        <is>
          <t xml:space="preserve">K24</t>
        </is>
      </c>
      <c r="B487" s="4" t="inlineStr">
        <is>
          <t xml:space="preserve">K24</t>
        </is>
      </c>
      <c r="C487" s="4" t="inlineStr">
        <is>
          <t xml:space="preserve">[1]Deploy!M53</t>
        </is>
      </c>
      <c r="D487" s="5">
        <v>22</v>
      </c>
    </row>
    <row r="488">
      <c r="A488" s="4" t="inlineStr">
        <is>
          <t xml:space="preserve">L24</t>
        </is>
      </c>
      <c r="B488" s="4" t="inlineStr">
        <is>
          <t xml:space="preserve">L24</t>
        </is>
      </c>
      <c r="C488" s="4" t="inlineStr">
        <is>
          <t xml:space="preserve">[1]Deploy!N53</t>
        </is>
      </c>
      <c r="D488" s="5">
        <v>28</v>
      </c>
    </row>
    <row r="489">
      <c r="A489" s="4" t="inlineStr">
        <is>
          <t xml:space="preserve">M24</t>
        </is>
      </c>
      <c r="B489" s="4" t="inlineStr">
        <is>
          <t xml:space="preserve">M24</t>
        </is>
      </c>
      <c r="C489" s="4" t="inlineStr">
        <is>
          <t xml:space="preserve">[1]Deploy!O53</t>
        </is>
      </c>
      <c r="D489" s="5">
        <v>28</v>
      </c>
    </row>
    <row r="490">
      <c r="A490" s="4" t="inlineStr">
        <is>
          <t xml:space="preserve">N24</t>
        </is>
      </c>
      <c r="B490" s="4" t="inlineStr">
        <is>
          <t xml:space="preserve">N24</t>
        </is>
      </c>
      <c r="C490" s="4" t="inlineStr">
        <is>
          <t xml:space="preserve">[1]Deploy!P53</t>
        </is>
      </c>
      <c r="D490" s="5">
        <v>34</v>
      </c>
    </row>
    <row r="491">
      <c r="A491" s="4" t="inlineStr">
        <is>
          <t xml:space="preserve">O24</t>
        </is>
      </c>
      <c r="B491" s="4" t="inlineStr">
        <is>
          <t xml:space="preserve">O24</t>
        </is>
      </c>
      <c r="C491" s="4" t="inlineStr">
        <is>
          <t xml:space="preserve">[1]Deploy!Q53</t>
        </is>
      </c>
      <c r="D491" s="5">
        <v>36</v>
      </c>
    </row>
    <row r="492">
      <c r="A492" s="4" t="inlineStr">
        <is>
          <t xml:space="preserve">P24</t>
        </is>
      </c>
      <c r="B492" s="4" t="inlineStr">
        <is>
          <t xml:space="preserve">P24</t>
        </is>
      </c>
      <c r="C492" s="4" t="inlineStr">
        <is>
          <t xml:space="preserve">[1]Deploy!R53</t>
        </is>
      </c>
      <c r="D492" s="5">
        <v>42</v>
      </c>
    </row>
    <row r="493">
      <c r="A493" s="4" t="inlineStr">
        <is>
          <t xml:space="preserve">Q24</t>
        </is>
      </c>
      <c r="B493" s="4" t="inlineStr">
        <is>
          <t xml:space="preserve">Q24</t>
        </is>
      </c>
      <c r="C493" s="4" t="inlineStr">
        <is>
          <t xml:space="preserve">[1]Deploy!S53</t>
        </is>
      </c>
      <c r="D493" s="5">
        <v>48</v>
      </c>
    </row>
    <row r="494">
      <c r="A494" s="4" t="inlineStr">
        <is>
          <t xml:space="preserve">R24</t>
        </is>
      </c>
      <c r="B494" s="4" t="inlineStr">
        <is>
          <t xml:space="preserve">R24</t>
        </is>
      </c>
      <c r="C494" s="4" t="inlineStr">
        <is>
          <t xml:space="preserve">[1]Deploy!U53</t>
        </is>
      </c>
      <c r="D494" s="5">
        <v>312</v>
      </c>
    </row>
    <row r="495">
      <c r="A495" s="4" t="inlineStr">
        <is>
          <t xml:space="preserve">B25</t>
        </is>
      </c>
      <c r="B495" s="4" t="inlineStr">
        <is>
          <t xml:space="preserve">B25</t>
        </is>
      </c>
      <c r="C495" s="4" t="inlineStr">
        <is>
          <t xml:space="preserve">[1]Deploy!D54</t>
        </is>
      </c>
      <c r="D495" s="5">
        <v>32</v>
      </c>
    </row>
    <row r="496">
      <c r="A496" s="4" t="inlineStr">
        <is>
          <t xml:space="preserve">C25</t>
        </is>
      </c>
      <c r="B496" s="4" t="inlineStr">
        <is>
          <t xml:space="preserve">C25</t>
        </is>
      </c>
      <c r="C496" s="4" t="inlineStr">
        <is>
          <t xml:space="preserve">[1]Deploy!E54</t>
        </is>
      </c>
      <c r="D496" s="5">
        <v>0</v>
      </c>
    </row>
    <row r="497">
      <c r="A497" s="4" t="inlineStr">
        <is>
          <t xml:space="preserve">D25</t>
        </is>
      </c>
      <c r="B497" s="4" t="inlineStr">
        <is>
          <t xml:space="preserve">D25</t>
        </is>
      </c>
      <c r="C497" s="4" t="inlineStr">
        <is>
          <t xml:space="preserve">[1]Deploy!F54</t>
        </is>
      </c>
      <c r="D497" s="5">
        <v>60</v>
      </c>
    </row>
    <row r="498">
      <c r="A498" s="4" t="inlineStr">
        <is>
          <t xml:space="preserve">E25</t>
        </is>
      </c>
      <c r="B498" s="4" t="inlineStr">
        <is>
          <t xml:space="preserve">E25</t>
        </is>
      </c>
      <c r="C498" s="4" t="inlineStr">
        <is>
          <t xml:space="preserve">[1]Deploy!G54</t>
        </is>
      </c>
      <c r="D498" s="5">
        <v>24</v>
      </c>
    </row>
    <row r="499">
      <c r="A499" s="4" t="inlineStr">
        <is>
          <t xml:space="preserve">F25</t>
        </is>
      </c>
      <c r="B499" s="4" t="inlineStr">
        <is>
          <t xml:space="preserve">F25</t>
        </is>
      </c>
      <c r="C499" s="4" t="inlineStr">
        <is>
          <t xml:space="preserve">[1]Deploy!H54</t>
        </is>
      </c>
      <c r="D499" s="5">
        <v>0</v>
      </c>
    </row>
    <row r="500">
      <c r="A500" s="4" t="inlineStr">
        <is>
          <t xml:space="preserve">G25</t>
        </is>
      </c>
      <c r="B500" s="4" t="inlineStr">
        <is>
          <t xml:space="preserve">G25</t>
        </is>
      </c>
      <c r="C500" s="4" t="inlineStr">
        <is>
          <t xml:space="preserve">[1]Deploy!I54</t>
        </is>
      </c>
      <c r="D500" s="5">
        <v>86</v>
      </c>
    </row>
    <row r="501">
      <c r="A501" s="4" t="inlineStr">
        <is>
          <t xml:space="preserve">H25</t>
        </is>
      </c>
      <c r="B501" s="4" t="inlineStr">
        <is>
          <t xml:space="preserve">H25</t>
        </is>
      </c>
      <c r="C501" s="4" t="inlineStr">
        <is>
          <t xml:space="preserve">[1]Deploy!J54</t>
        </is>
      </c>
      <c r="D501" s="5">
        <v>61</v>
      </c>
    </row>
    <row r="502">
      <c r="A502" s="4" t="inlineStr">
        <is>
          <t xml:space="preserve">I25</t>
        </is>
      </c>
      <c r="B502" s="4" t="inlineStr">
        <is>
          <t xml:space="preserve">I25</t>
        </is>
      </c>
      <c r="C502" s="4" t="inlineStr">
        <is>
          <t xml:space="preserve">[1]Deploy!K54</t>
        </is>
      </c>
      <c r="D502" s="5">
        <v>98</v>
      </c>
    </row>
    <row r="503">
      <c r="A503" s="4" t="inlineStr">
        <is>
          <t xml:space="preserve">J25</t>
        </is>
      </c>
      <c r="B503" s="4" t="inlineStr">
        <is>
          <t xml:space="preserve">J25</t>
        </is>
      </c>
      <c r="C503" s="4" t="inlineStr">
        <is>
          <t xml:space="preserve">[1]Deploy!L54</t>
        </is>
      </c>
      <c r="D503" s="5">
        <v>73</v>
      </c>
    </row>
    <row r="504">
      <c r="A504" s="4" t="inlineStr">
        <is>
          <t xml:space="preserve">K25</t>
        </is>
      </c>
      <c r="B504" s="4" t="inlineStr">
        <is>
          <t xml:space="preserve">K25</t>
        </is>
      </c>
      <c r="C504" s="4" t="inlineStr">
        <is>
          <t xml:space="preserve">[1]Deploy!M54</t>
        </is>
      </c>
      <c r="D504" s="5">
        <v>85</v>
      </c>
    </row>
    <row r="505">
      <c r="A505" s="4" t="inlineStr">
        <is>
          <t xml:space="preserve">L25</t>
        </is>
      </c>
      <c r="B505" s="4" t="inlineStr">
        <is>
          <t xml:space="preserve">L25</t>
        </is>
      </c>
      <c r="C505" s="4" t="inlineStr">
        <is>
          <t xml:space="preserve">[1]Deploy!N54</t>
        </is>
      </c>
      <c r="D505" s="5">
        <v>122</v>
      </c>
    </row>
    <row r="506">
      <c r="A506" s="4" t="inlineStr">
        <is>
          <t xml:space="preserve">M25</t>
        </is>
      </c>
      <c r="B506" s="4" t="inlineStr">
        <is>
          <t xml:space="preserve">M25</t>
        </is>
      </c>
      <c r="C506" s="4" t="inlineStr">
        <is>
          <t xml:space="preserve">[1]Deploy!O54</t>
        </is>
      </c>
      <c r="D506" s="5">
        <v>122</v>
      </c>
    </row>
    <row r="507">
      <c r="A507" s="4" t="inlineStr">
        <is>
          <t xml:space="preserve">N25</t>
        </is>
      </c>
      <c r="B507" s="4" t="inlineStr">
        <is>
          <t xml:space="preserve">N25</t>
        </is>
      </c>
      <c r="C507" s="4" t="inlineStr">
        <is>
          <t xml:space="preserve">[1]Deploy!P54</t>
        </is>
      </c>
      <c r="D507" s="5">
        <v>159</v>
      </c>
    </row>
    <row r="508">
      <c r="A508" s="4" t="inlineStr">
        <is>
          <t xml:space="preserve">O25</t>
        </is>
      </c>
      <c r="B508" s="4" t="inlineStr">
        <is>
          <t xml:space="preserve">O25</t>
        </is>
      </c>
      <c r="C508" s="4" t="inlineStr">
        <is>
          <t xml:space="preserve">[1]Deploy!Q54</t>
        </is>
      </c>
      <c r="D508" s="5">
        <v>146</v>
      </c>
    </row>
    <row r="509">
      <c r="A509" s="4" t="inlineStr">
        <is>
          <t xml:space="preserve">P25</t>
        </is>
      </c>
      <c r="B509" s="4" t="inlineStr">
        <is>
          <t xml:space="preserve">P25</t>
        </is>
      </c>
      <c r="C509" s="4" t="inlineStr">
        <is>
          <t xml:space="preserve">[1]Deploy!R54</t>
        </is>
      </c>
      <c r="D509" s="5">
        <v>183</v>
      </c>
    </row>
    <row r="510">
      <c r="A510" s="4" t="inlineStr">
        <is>
          <t xml:space="preserve">Q25</t>
        </is>
      </c>
      <c r="B510" s="4" t="inlineStr">
        <is>
          <t xml:space="preserve">Q25</t>
        </is>
      </c>
      <c r="C510" s="4" t="inlineStr">
        <is>
          <t xml:space="preserve">[1]Deploy!S54</t>
        </is>
      </c>
      <c r="D510" s="5">
        <v>220</v>
      </c>
    </row>
    <row r="511">
      <c r="A511" s="4" t="inlineStr">
        <is>
          <t xml:space="preserve">R25</t>
        </is>
      </c>
      <c r="B511" s="4" t="inlineStr">
        <is>
          <t xml:space="preserve">R25</t>
        </is>
      </c>
      <c r="C511" s="4" t="inlineStr">
        <is>
          <t xml:space="preserve">[1]Deploy!U54</t>
        </is>
      </c>
      <c r="D511" s="5">
        <v>1355</v>
      </c>
    </row>
    <row r="512">
      <c r="A512" s="4" t="inlineStr">
        <is>
          <t xml:space="preserve">B26</t>
        </is>
      </c>
      <c r="B512" s="4" t="inlineStr">
        <is>
          <t xml:space="preserve">B26</t>
        </is>
      </c>
      <c r="C512" s="4" t="inlineStr">
        <is>
          <t xml:space="preserve">[1]Deploy!D55</t>
        </is>
      </c>
      <c r="D512" s="5">
        <v>0</v>
      </c>
    </row>
    <row r="513">
      <c r="A513" s="4" t="inlineStr">
        <is>
          <t xml:space="preserve">C26</t>
        </is>
      </c>
      <c r="B513" s="4" t="inlineStr">
        <is>
          <t xml:space="preserve">C26</t>
        </is>
      </c>
      <c r="C513" s="4" t="inlineStr">
        <is>
          <t xml:space="preserve">[1]Deploy!E55</t>
        </is>
      </c>
      <c r="D513" s="5">
        <v>0</v>
      </c>
    </row>
    <row r="514">
      <c r="A514" s="4" t="inlineStr">
        <is>
          <t xml:space="preserve">D26</t>
        </is>
      </c>
      <c r="B514" s="4" t="inlineStr">
        <is>
          <t xml:space="preserve">D26</t>
        </is>
      </c>
      <c r="C514" s="4" t="inlineStr">
        <is>
          <t xml:space="preserve">[1]Deploy!F55</t>
        </is>
      </c>
      <c r="D514" s="5">
        <v>0</v>
      </c>
    </row>
    <row r="515">
      <c r="A515" s="4" t="inlineStr">
        <is>
          <t xml:space="preserve">E26</t>
        </is>
      </c>
      <c r="B515" s="4" t="inlineStr">
        <is>
          <t xml:space="preserve">E26</t>
        </is>
      </c>
      <c r="C515" s="4" t="inlineStr">
        <is>
          <t xml:space="preserve">[1]Deploy!G55</t>
        </is>
      </c>
      <c r="D515" s="5">
        <v>0</v>
      </c>
    </row>
    <row r="516">
      <c r="A516" s="4" t="inlineStr">
        <is>
          <t xml:space="preserve">F26</t>
        </is>
      </c>
      <c r="B516" s="4" t="inlineStr">
        <is>
          <t xml:space="preserve">F26</t>
        </is>
      </c>
      <c r="C516" s="4" t="inlineStr">
        <is>
          <t xml:space="preserve">[1]Deploy!H55</t>
        </is>
      </c>
      <c r="D516" s="5">
        <v>0</v>
      </c>
    </row>
    <row r="517">
      <c r="A517" s="4" t="inlineStr">
        <is>
          <t xml:space="preserve">G26</t>
        </is>
      </c>
      <c r="B517" s="4" t="inlineStr">
        <is>
          <t xml:space="preserve">G26</t>
        </is>
      </c>
      <c r="C517" s="4" t="inlineStr">
        <is>
          <t xml:space="preserve">[1]Deploy!I55</t>
        </is>
      </c>
      <c r="D517" s="5">
        <v>0</v>
      </c>
    </row>
    <row r="518">
      <c r="A518" s="4" t="inlineStr">
        <is>
          <t xml:space="preserve">H26</t>
        </is>
      </c>
      <c r="B518" s="4" t="inlineStr">
        <is>
          <t xml:space="preserve">H26</t>
        </is>
      </c>
      <c r="C518" s="4" t="inlineStr">
        <is>
          <t xml:space="preserve">[1]Deploy!J55</t>
        </is>
      </c>
      <c r="D518" s="5">
        <v>0</v>
      </c>
    </row>
    <row r="519">
      <c r="A519" s="4" t="inlineStr">
        <is>
          <t xml:space="preserve">I26</t>
        </is>
      </c>
      <c r="B519" s="4" t="inlineStr">
        <is>
          <t xml:space="preserve">I26</t>
        </is>
      </c>
      <c r="C519" s="4" t="inlineStr">
        <is>
          <t xml:space="preserve">[1]Deploy!K55</t>
        </is>
      </c>
      <c r="D519" s="5">
        <v>0</v>
      </c>
    </row>
    <row r="520">
      <c r="A520" s="4" t="inlineStr">
        <is>
          <t xml:space="preserve">J26</t>
        </is>
      </c>
      <c r="B520" s="4" t="inlineStr">
        <is>
          <t xml:space="preserve">J26</t>
        </is>
      </c>
      <c r="C520" s="4" t="inlineStr">
        <is>
          <t xml:space="preserve">[1]Deploy!L55</t>
        </is>
      </c>
      <c r="D520" s="5">
        <v>0</v>
      </c>
    </row>
    <row r="521">
      <c r="A521" s="4" t="inlineStr">
        <is>
          <t xml:space="preserve">K26</t>
        </is>
      </c>
      <c r="B521" s="4" t="inlineStr">
        <is>
          <t xml:space="preserve">K26</t>
        </is>
      </c>
      <c r="C521" s="4" t="inlineStr">
        <is>
          <t xml:space="preserve">[1]Deploy!M55</t>
        </is>
      </c>
      <c r="D521" s="5">
        <v>0</v>
      </c>
    </row>
    <row r="522">
      <c r="A522" s="4" t="inlineStr">
        <is>
          <t xml:space="preserve">L26</t>
        </is>
      </c>
      <c r="B522" s="4" t="inlineStr">
        <is>
          <t xml:space="preserve">L26</t>
        </is>
      </c>
      <c r="C522" s="4" t="inlineStr">
        <is>
          <t xml:space="preserve">[1]Deploy!N55</t>
        </is>
      </c>
      <c r="D522" s="5">
        <v>0</v>
      </c>
    </row>
    <row r="523">
      <c r="A523" s="4" t="inlineStr">
        <is>
          <t xml:space="preserve">M26</t>
        </is>
      </c>
      <c r="B523" s="4" t="inlineStr">
        <is>
          <t xml:space="preserve">M26</t>
        </is>
      </c>
      <c r="C523" s="4" t="inlineStr">
        <is>
          <t xml:space="preserve">[1]Deploy!O55</t>
        </is>
      </c>
      <c r="D523" s="5">
        <v>0</v>
      </c>
    </row>
    <row r="524">
      <c r="A524" s="4" t="inlineStr">
        <is>
          <t xml:space="preserve">N26</t>
        </is>
      </c>
      <c r="B524" s="4" t="inlineStr">
        <is>
          <t xml:space="preserve">N26</t>
        </is>
      </c>
      <c r="C524" s="4" t="inlineStr">
        <is>
          <t xml:space="preserve">[1]Deploy!P55</t>
        </is>
      </c>
      <c r="D524" s="5">
        <v>0</v>
      </c>
    </row>
    <row r="525">
      <c r="A525" s="4" t="inlineStr">
        <is>
          <t xml:space="preserve">O26</t>
        </is>
      </c>
      <c r="B525" s="4" t="inlineStr">
        <is>
          <t xml:space="preserve">O26</t>
        </is>
      </c>
      <c r="C525" s="4" t="inlineStr">
        <is>
          <t xml:space="preserve">[1]Deploy!Q55</t>
        </is>
      </c>
      <c r="D525" s="5">
        <v>0</v>
      </c>
    </row>
    <row r="526">
      <c r="A526" s="4" t="inlineStr">
        <is>
          <t xml:space="preserve">P26</t>
        </is>
      </c>
      <c r="B526" s="4" t="inlineStr">
        <is>
          <t xml:space="preserve">P26</t>
        </is>
      </c>
      <c r="C526" s="4" t="inlineStr">
        <is>
          <t xml:space="preserve">[1]Deploy!R55</t>
        </is>
      </c>
      <c r="D526" s="5">
        <v>0</v>
      </c>
    </row>
    <row r="527">
      <c r="A527" s="4" t="inlineStr">
        <is>
          <t xml:space="preserve">Q26</t>
        </is>
      </c>
      <c r="B527" s="4" t="inlineStr">
        <is>
          <t xml:space="preserve">Q26</t>
        </is>
      </c>
      <c r="C527" s="4" t="inlineStr">
        <is>
          <t xml:space="preserve">[1]Deploy!S55</t>
        </is>
      </c>
      <c r="D527" s="5">
        <v>0</v>
      </c>
    </row>
    <row r="528">
      <c r="A528" s="4" t="inlineStr">
        <is>
          <t xml:space="preserve">R26</t>
        </is>
      </c>
      <c r="B528" s="4" t="inlineStr">
        <is>
          <t xml:space="preserve">R26</t>
        </is>
      </c>
      <c r="C528" s="4" t="inlineStr">
        <is>
          <t xml:space="preserve">[1]Deploy!U55</t>
        </is>
      </c>
      <c r="D528" s="5">
        <v>0</v>
      </c>
    </row>
    <row r="529">
      <c r="A529" s="4" t="inlineStr">
        <is>
          <t xml:space="preserve">B29</t>
        </is>
      </c>
      <c r="B529" s="4" t="inlineStr">
        <is>
          <t xml:space="preserve">B29</t>
        </is>
      </c>
      <c r="C529" s="4" t="inlineStr">
        <is>
          <t xml:space="preserve">[1]Deploy!D68</t>
        </is>
      </c>
      <c r="D529" s="5">
        <v>878237.5</v>
      </c>
    </row>
    <row r="530">
      <c r="A530" s="4" t="inlineStr">
        <is>
          <t xml:space="preserve">C29</t>
        </is>
      </c>
      <c r="B530" s="4" t="inlineStr">
        <is>
          <t xml:space="preserve">C29</t>
        </is>
      </c>
      <c r="C530" s="4" t="inlineStr">
        <is>
          <t xml:space="preserve">[1]Deploy!E68</t>
        </is>
      </c>
      <c r="D530" s="5">
        <v>0</v>
      </c>
    </row>
    <row r="531">
      <c r="A531" s="4" t="inlineStr">
        <is>
          <t xml:space="preserve">D29</t>
        </is>
      </c>
      <c r="B531" s="4" t="inlineStr">
        <is>
          <t xml:space="preserve">D29</t>
        </is>
      </c>
      <c r="C531" s="4" t="inlineStr">
        <is>
          <t xml:space="preserve">[1]Deploy!F68</t>
        </is>
      </c>
      <c r="D531" s="5">
        <v>1862750</v>
      </c>
    </row>
    <row r="532">
      <c r="A532" s="4" t="inlineStr">
        <is>
          <t xml:space="preserve">E29</t>
        </is>
      </c>
      <c r="B532" s="4" t="inlineStr">
        <is>
          <t xml:space="preserve">E29</t>
        </is>
      </c>
      <c r="C532" s="4" t="inlineStr">
        <is>
          <t xml:space="preserve">[1]Deploy!G68</t>
        </is>
      </c>
      <c r="D532" s="5">
        <v>745100</v>
      </c>
    </row>
    <row r="533">
      <c r="A533" s="4" t="inlineStr">
        <is>
          <t xml:space="preserve">F29</t>
        </is>
      </c>
      <c r="B533" s="4" t="inlineStr">
        <is>
          <t xml:space="preserve">F29</t>
        </is>
      </c>
      <c r="C533" s="4" t="inlineStr">
        <is>
          <t xml:space="preserve">[1]Deploy!H68</t>
        </is>
      </c>
      <c r="D533" s="5">
        <v>0</v>
      </c>
    </row>
    <row r="534">
      <c r="A534" s="4" t="inlineStr">
        <is>
          <t xml:space="preserve">G29</t>
        </is>
      </c>
      <c r="B534" s="4" t="inlineStr">
        <is>
          <t xml:space="preserve">G29</t>
        </is>
      </c>
      <c r="C534" s="4" t="inlineStr">
        <is>
          <t xml:space="preserve">[1]Deploy!I68</t>
        </is>
      </c>
      <c r="D534" s="5">
        <v>2209025</v>
      </c>
    </row>
    <row r="535">
      <c r="A535" s="4" t="inlineStr">
        <is>
          <t xml:space="preserve">H29</t>
        </is>
      </c>
      <c r="B535" s="4" t="inlineStr">
        <is>
          <t xml:space="preserve">H29</t>
        </is>
      </c>
      <c r="C535" s="4" t="inlineStr">
        <is>
          <t xml:space="preserve">[1]Deploy!J68</t>
        </is>
      </c>
      <c r="D535" s="5">
        <v>1455925</v>
      </c>
    </row>
    <row r="536">
      <c r="A536" s="4" t="inlineStr">
        <is>
          <t xml:space="preserve">I29</t>
        </is>
      </c>
      <c r="B536" s="4" t="inlineStr">
        <is>
          <t xml:space="preserve">I29</t>
        </is>
      </c>
      <c r="C536" s="4" t="inlineStr">
        <is>
          <t xml:space="preserve">[1]Deploy!K68</t>
        </is>
      </c>
      <c r="D536" s="5">
        <v>2166750</v>
      </c>
    </row>
    <row r="537">
      <c r="A537" s="4" t="inlineStr">
        <is>
          <t xml:space="preserve">J29</t>
        </is>
      </c>
      <c r="B537" s="4" t="inlineStr">
        <is>
          <t xml:space="preserve">J29</t>
        </is>
      </c>
      <c r="C537" s="4" t="inlineStr">
        <is>
          <t xml:space="preserve">[1]Deploy!L68</t>
        </is>
      </c>
      <c r="D537" s="5">
        <v>1828475</v>
      </c>
    </row>
    <row r="538">
      <c r="A538" s="4" t="inlineStr">
        <is>
          <t xml:space="preserve">K29</t>
        </is>
      </c>
      <c r="B538" s="4" t="inlineStr">
        <is>
          <t xml:space="preserve">K29</t>
        </is>
      </c>
      <c r="C538" s="4" t="inlineStr">
        <is>
          <t xml:space="preserve">[1]Deploy!M68</t>
        </is>
      </c>
      <c r="D538" s="5">
        <v>2201025</v>
      </c>
    </row>
    <row r="539">
      <c r="A539" s="4" t="inlineStr">
        <is>
          <t xml:space="preserve">L29</t>
        </is>
      </c>
      <c r="B539" s="4" t="inlineStr">
        <is>
          <t xml:space="preserve">L29</t>
        </is>
      </c>
      <c r="C539" s="4" t="inlineStr">
        <is>
          <t xml:space="preserve">[1]Deploy!N68</t>
        </is>
      </c>
      <c r="D539" s="5">
        <v>2911850</v>
      </c>
    </row>
    <row r="540">
      <c r="A540" s="4" t="inlineStr">
        <is>
          <t xml:space="preserve">M29</t>
        </is>
      </c>
      <c r="B540" s="4" t="inlineStr">
        <is>
          <t xml:space="preserve">M29</t>
        </is>
      </c>
      <c r="C540" s="4" t="inlineStr">
        <is>
          <t xml:space="preserve">[1]Deploy!O68</t>
        </is>
      </c>
      <c r="D540" s="5">
        <v>2911850</v>
      </c>
    </row>
    <row r="541">
      <c r="A541" s="4" t="inlineStr">
        <is>
          <t xml:space="preserve">N29</t>
        </is>
      </c>
      <c r="B541" s="4" t="inlineStr">
        <is>
          <t xml:space="preserve">N29</t>
        </is>
      </c>
      <c r="C541" s="4" t="inlineStr">
        <is>
          <t xml:space="preserve">[1]Deploy!P68</t>
        </is>
      </c>
      <c r="D541" s="5">
        <v>3622675</v>
      </c>
    </row>
    <row r="542">
      <c r="A542" s="4" t="inlineStr">
        <is>
          <t xml:space="preserve">O29</t>
        </is>
      </c>
      <c r="B542" s="4" t="inlineStr">
        <is>
          <t xml:space="preserve">O29</t>
        </is>
      </c>
      <c r="C542" s="4" t="inlineStr">
        <is>
          <t xml:space="preserve">[1]Deploy!Q68</t>
        </is>
      </c>
      <c r="D542" s="5">
        <v>3656950</v>
      </c>
    </row>
    <row r="543">
      <c r="A543" s="4" t="inlineStr">
        <is>
          <t xml:space="preserve">P29</t>
        </is>
      </c>
      <c r="B543" s="4" t="inlineStr">
        <is>
          <t xml:space="preserve">P29</t>
        </is>
      </c>
      <c r="C543" s="4" t="inlineStr">
        <is>
          <t xml:space="preserve">[1]Deploy!R68</t>
        </is>
      </c>
      <c r="D543" s="5">
        <v>4367775</v>
      </c>
    </row>
    <row r="544">
      <c r="A544" s="4" t="inlineStr">
        <is>
          <t xml:space="preserve">Q29</t>
        </is>
      </c>
      <c r="B544" s="4" t="inlineStr">
        <is>
          <t xml:space="preserve">Q29</t>
        </is>
      </c>
      <c r="C544" s="4" t="inlineStr">
        <is>
          <t xml:space="preserve">[1]Deploy!S68</t>
        </is>
      </c>
      <c r="D544" s="5">
        <v>5078600</v>
      </c>
    </row>
    <row r="545">
      <c r="A545" s="4" t="inlineStr">
        <is>
          <t xml:space="preserve">R29</t>
        </is>
      </c>
      <c r="B545" s="4" t="inlineStr">
        <is>
          <t xml:space="preserve">R29</t>
        </is>
      </c>
      <c r="C545" s="4" t="inlineStr">
        <is>
          <t xml:space="preserve">[1]Deploy!U68</t>
        </is>
      </c>
      <c r="D545" s="5">
        <v>32410900</v>
      </c>
    </row>
    <row r="546">
      <c r="A546" s="4" t="inlineStr">
        <is>
          <t xml:space="preserve">B30</t>
        </is>
      </c>
      <c r="B546" s="4" t="inlineStr">
        <is>
          <t xml:space="preserve">B30</t>
        </is>
      </c>
      <c r="C546" s="4" t="inlineStr">
        <is>
          <t xml:space="preserve">[1]Deploy!D69</t>
        </is>
      </c>
      <c r="D546" s="5">
        <v>0</v>
      </c>
    </row>
    <row r="547">
      <c r="A547" s="4" t="inlineStr">
        <is>
          <t xml:space="preserve">C30</t>
        </is>
      </c>
      <c r="B547" s="4" t="inlineStr">
        <is>
          <t xml:space="preserve">C30</t>
        </is>
      </c>
      <c r="C547" s="4" t="inlineStr">
        <is>
          <t xml:space="preserve">[1]Deploy!E69</t>
        </is>
      </c>
      <c r="D547" s="5">
        <v>10000</v>
      </c>
    </row>
    <row r="548">
      <c r="A548" s="4" t="inlineStr">
        <is>
          <t xml:space="preserve">D30</t>
        </is>
      </c>
      <c r="B548" s="4" t="inlineStr">
        <is>
          <t xml:space="preserve">D30</t>
        </is>
      </c>
      <c r="C548" s="4" t="inlineStr">
        <is>
          <t xml:space="preserve">[1]Deploy!F69</t>
        </is>
      </c>
      <c r="D548" s="5">
        <v>10000</v>
      </c>
    </row>
    <row r="549">
      <c r="A549" s="4" t="inlineStr">
        <is>
          <t xml:space="preserve">E30</t>
        </is>
      </c>
      <c r="B549" s="4" t="inlineStr">
        <is>
          <t xml:space="preserve">E30</t>
        </is>
      </c>
      <c r="C549" s="4" t="inlineStr">
        <is>
          <t xml:space="preserve">[1]Deploy!G69</t>
        </is>
      </c>
      <c r="D549" s="5">
        <v>0</v>
      </c>
    </row>
    <row r="550">
      <c r="A550" s="4" t="inlineStr">
        <is>
          <t xml:space="preserve">F30</t>
        </is>
      </c>
      <c r="B550" s="4" t="inlineStr">
        <is>
          <t xml:space="preserve">F30</t>
        </is>
      </c>
      <c r="C550" s="4" t="inlineStr">
        <is>
          <t xml:space="preserve">[1]Deploy!H69</t>
        </is>
      </c>
      <c r="D550" s="5">
        <v>15000</v>
      </c>
    </row>
    <row r="551">
      <c r="A551" s="4" t="inlineStr">
        <is>
          <t xml:space="preserve">G30</t>
        </is>
      </c>
      <c r="B551" s="4" t="inlineStr">
        <is>
          <t xml:space="preserve">G30</t>
        </is>
      </c>
      <c r="C551" s="4" t="inlineStr">
        <is>
          <t xml:space="preserve">[1]Deploy!I69</t>
        </is>
      </c>
      <c r="D551" s="5">
        <v>10000</v>
      </c>
    </row>
    <row r="552">
      <c r="A552" s="4" t="inlineStr">
        <is>
          <t xml:space="preserve">H30</t>
        </is>
      </c>
      <c r="B552" s="4" t="inlineStr">
        <is>
          <t xml:space="preserve">H30</t>
        </is>
      </c>
      <c r="C552" s="4" t="inlineStr">
        <is>
          <t xml:space="preserve">[1]Deploy!J69</t>
        </is>
      </c>
      <c r="D552" s="5">
        <v>0</v>
      </c>
    </row>
    <row r="553">
      <c r="A553" s="4" t="inlineStr">
        <is>
          <t xml:space="preserve">I30</t>
        </is>
      </c>
      <c r="B553" s="4" t="inlineStr">
        <is>
          <t xml:space="preserve">I30</t>
        </is>
      </c>
      <c r="C553" s="4" t="inlineStr">
        <is>
          <t xml:space="preserve">[1]Deploy!K69</t>
        </is>
      </c>
      <c r="D553" s="5">
        <v>25000</v>
      </c>
    </row>
    <row r="554">
      <c r="A554" s="4" t="inlineStr">
        <is>
          <t xml:space="preserve">J30</t>
        </is>
      </c>
      <c r="B554" s="4" t="inlineStr">
        <is>
          <t xml:space="preserve">J30</t>
        </is>
      </c>
      <c r="C554" s="4" t="inlineStr">
        <is>
          <t xml:space="preserve">[1]Deploy!L69</t>
        </is>
      </c>
      <c r="D554" s="5">
        <v>20000</v>
      </c>
    </row>
    <row r="555">
      <c r="A555" s="4" t="inlineStr">
        <is>
          <t xml:space="preserve">K30</t>
        </is>
      </c>
      <c r="B555" s="4" t="inlineStr">
        <is>
          <t xml:space="preserve">K30</t>
        </is>
      </c>
      <c r="C555" s="4" t="inlineStr">
        <is>
          <t xml:space="preserve">[1]Deploy!M69</t>
        </is>
      </c>
      <c r="D555" s="5">
        <v>30000</v>
      </c>
    </row>
    <row r="556">
      <c r="A556" s="4" t="inlineStr">
        <is>
          <t xml:space="preserve">L30</t>
        </is>
      </c>
      <c r="B556" s="4" t="inlineStr">
        <is>
          <t xml:space="preserve">L30</t>
        </is>
      </c>
      <c r="C556" s="4" t="inlineStr">
        <is>
          <t xml:space="preserve">[1]Deploy!N69</t>
        </is>
      </c>
      <c r="D556" s="5">
        <v>25000</v>
      </c>
    </row>
    <row r="557">
      <c r="A557" s="4" t="inlineStr">
        <is>
          <t xml:space="preserve">M30</t>
        </is>
      </c>
      <c r="B557" s="4" t="inlineStr">
        <is>
          <t xml:space="preserve">M30</t>
        </is>
      </c>
      <c r="C557" s="4" t="inlineStr">
        <is>
          <t xml:space="preserve">[1]Deploy!O69</t>
        </is>
      </c>
      <c r="D557" s="5">
        <v>30000</v>
      </c>
    </row>
    <row r="558">
      <c r="A558" s="4" t="inlineStr">
        <is>
          <t xml:space="preserve">N30</t>
        </is>
      </c>
      <c r="B558" s="4" t="inlineStr">
        <is>
          <t xml:space="preserve">N30</t>
        </is>
      </c>
      <c r="C558" s="4" t="inlineStr">
        <is>
          <t xml:space="preserve">[1]Deploy!P69</t>
        </is>
      </c>
      <c r="D558" s="5">
        <v>40000</v>
      </c>
    </row>
    <row r="559">
      <c r="A559" s="4" t="inlineStr">
        <is>
          <t xml:space="preserve">O30</t>
        </is>
      </c>
      <c r="B559" s="4" t="inlineStr">
        <is>
          <t xml:space="preserve">O30</t>
        </is>
      </c>
      <c r="C559" s="4" t="inlineStr">
        <is>
          <t xml:space="preserve">[1]Deploy!Q69</t>
        </is>
      </c>
      <c r="D559" s="5">
        <v>40000</v>
      </c>
    </row>
    <row r="560">
      <c r="A560" s="4" t="inlineStr">
        <is>
          <t xml:space="preserve">P30</t>
        </is>
      </c>
      <c r="B560" s="4" t="inlineStr">
        <is>
          <t xml:space="preserve">P30</t>
        </is>
      </c>
      <c r="C560" s="4" t="inlineStr">
        <is>
          <t xml:space="preserve">[1]Deploy!R69</t>
        </is>
      </c>
      <c r="D560" s="5">
        <v>50000</v>
      </c>
    </row>
    <row r="561">
      <c r="A561" s="4" t="inlineStr">
        <is>
          <t xml:space="preserve">Q30</t>
        </is>
      </c>
      <c r="B561" s="4" t="inlineStr">
        <is>
          <t xml:space="preserve">Q30</t>
        </is>
      </c>
      <c r="C561" s="4" t="inlineStr">
        <is>
          <t xml:space="preserve">[1]Deploy!S69</t>
        </is>
      </c>
      <c r="D561" s="5">
        <v>50000</v>
      </c>
    </row>
    <row r="562">
      <c r="A562" s="4" t="inlineStr">
        <is>
          <t xml:space="preserve">R30</t>
        </is>
      </c>
      <c r="B562" s="4" t="inlineStr">
        <is>
          <t xml:space="preserve">R30</t>
        </is>
      </c>
      <c r="C562" s="4" t="inlineStr">
        <is>
          <t xml:space="preserve">[1]Deploy!U69</t>
        </is>
      </c>
      <c r="D562" s="5">
        <v>335000</v>
      </c>
    </row>
    <row r="563">
      <c r="A563" s="4" t="inlineStr">
        <is>
          <t xml:space="preserve">B33</t>
        </is>
      </c>
      <c r="B563" s="4" t="inlineStr">
        <is>
          <t xml:space="preserve">B33</t>
        </is>
      </c>
      <c r="C563" s="4" t="inlineStr">
        <is>
          <t xml:space="preserve">SUMIFS('[1]Deploy Detail'!$G$225:$G$236,'[1]Deploy Detail'!$E$225:$E$236,B$4,'[1]Deploy Detail'!$D$225:$D$236,"&gt;"&amp;'[1]Deploy Detail'!$B$13)+SUMIFS('[1]Deploy Detail'!$G$239:$G$250,'[1]Deploy Detail'!$E$239:$E$250,B$4,'[1]Deploy Detail'!$D$239:$D$250,"&gt;"&amp;'[1]Deploy Detail'!$B$13)</t>
        </is>
      </c>
      <c r="D563" s="5">
        <v>0</v>
      </c>
    </row>
    <row r="564">
      <c r="A564" s="4" t="inlineStr">
        <is>
          <t xml:space="preserve">C33</t>
        </is>
      </c>
      <c r="B564" s="4" t="inlineStr">
        <is>
          <t xml:space="preserve">C33</t>
        </is>
      </c>
      <c r="C564" s="4" t="inlineStr">
        <is>
          <t xml:space="preserve">SUMIFS('[1]Deploy Detail'!$G$225:$G$236,'[1]Deploy Detail'!$E$225:$E$236,C$4,'[1]Deploy Detail'!$D$225:$D$236,"&gt;"&amp;'[1]Deploy Detail'!$B$13)+SUMIFS('[1]Deploy Detail'!$G$239:$G$250,'[1]Deploy Detail'!$E$239:$E$250,C$4,'[1]Deploy Detail'!$D$239:$D$250,"&gt;"&amp;'[1]Deploy Detail'!$B$13)</t>
        </is>
      </c>
      <c r="D564" s="5">
        <v>0</v>
      </c>
    </row>
    <row r="565">
      <c r="A565" s="4" t="inlineStr">
        <is>
          <t xml:space="preserve">D33</t>
        </is>
      </c>
      <c r="B565" s="4" t="inlineStr">
        <is>
          <t xml:space="preserve">D33</t>
        </is>
      </c>
      <c r="C565" s="4" t="inlineStr">
        <is>
          <t xml:space="preserve">SUMIFS('[1]Deploy Detail'!$G$225:$G$236,'[1]Deploy Detail'!$E$225:$E$236,D$4,'[1]Deploy Detail'!$D$225:$D$236,"&gt;"&amp;'[1]Deploy Detail'!$B$13)+SUMIFS('[1]Deploy Detail'!$G$239:$G$250,'[1]Deploy Detail'!$E$239:$E$250,D$4,'[1]Deploy Detail'!$D$239:$D$250,"&gt;"&amp;'[1]Deploy Detail'!$B$13)</t>
        </is>
      </c>
      <c r="D565" s="5">
        <v>0</v>
      </c>
    </row>
    <row r="566">
      <c r="A566" s="4" t="inlineStr">
        <is>
          <t xml:space="preserve">E33</t>
        </is>
      </c>
      <c r="B566" s="4" t="inlineStr">
        <is>
          <t xml:space="preserve">E33</t>
        </is>
      </c>
      <c r="C566" s="4" t="inlineStr">
        <is>
          <t xml:space="preserve">SUMIFS('[1]Deploy Detail'!$G$225:$G$236,'[1]Deploy Detail'!$E$225:$E$236,E$4,'[1]Deploy Detail'!$D$225:$D$236,"&gt;"&amp;'[1]Deploy Detail'!$B$13)+SUMIFS('[1]Deploy Detail'!$G$239:$G$250,'[1]Deploy Detail'!$E$239:$E$250,E$4,'[1]Deploy Detail'!$D$239:$D$250,"&gt;"&amp;'[1]Deploy Detail'!$B$13)</t>
        </is>
      </c>
      <c r="D566" s="5">
        <v>0</v>
      </c>
    </row>
    <row r="567">
      <c r="A567" s="4" t="inlineStr">
        <is>
          <t xml:space="preserve">F33</t>
        </is>
      </c>
      <c r="B567" s="4" t="inlineStr">
        <is>
          <t xml:space="preserve">F33</t>
        </is>
      </c>
      <c r="C567" s="4" t="inlineStr">
        <is>
          <t xml:space="preserve">SUMIFS('[1]Deploy Detail'!$G$225:$G$236,'[1]Deploy Detail'!$E$225:$E$236,F$4,'[1]Deploy Detail'!$D$225:$D$236,"&gt;"&amp;'[1]Deploy Detail'!$B$13)+SUMIFS('[1]Deploy Detail'!$G$239:$G$250,'[1]Deploy Detail'!$E$239:$E$250,F$4,'[1]Deploy Detail'!$D$239:$D$250,"&gt;"&amp;'[1]Deploy Detail'!$B$13)</t>
        </is>
      </c>
      <c r="D567" s="5">
        <v>0</v>
      </c>
    </row>
    <row r="568">
      <c r="A568" s="4" t="inlineStr">
        <is>
          <t xml:space="preserve">G33</t>
        </is>
      </c>
      <c r="B568" s="4" t="inlineStr">
        <is>
          <t xml:space="preserve">G33</t>
        </is>
      </c>
      <c r="C568" s="4" t="inlineStr">
        <is>
          <t xml:space="preserve">SUMIFS('[1]Deploy Detail'!$G$225:$G$236,'[1]Deploy Detail'!$E$225:$E$236,G$4,'[1]Deploy Detail'!$D$225:$D$236,"&gt;"&amp;'[1]Deploy Detail'!$B$13)+SUMIFS('[1]Deploy Detail'!$G$239:$G$250,'[1]Deploy Detail'!$E$239:$E$250,G$4,'[1]Deploy Detail'!$D$239:$D$250,"&gt;"&amp;'[1]Deploy Detail'!$B$13)</t>
        </is>
      </c>
      <c r="D568" s="5">
        <v>0</v>
      </c>
    </row>
    <row r="569">
      <c r="A569" s="4" t="inlineStr">
        <is>
          <t xml:space="preserve">H33</t>
        </is>
      </c>
      <c r="B569" s="4" t="inlineStr">
        <is>
          <t xml:space="preserve">H33</t>
        </is>
      </c>
      <c r="C569" s="4" t="inlineStr">
        <is>
          <t xml:space="preserve">SUMIFS('[1]Deploy Detail'!$G$225:$G$236,'[1]Deploy Detail'!$E$225:$E$236,H$4,'[1]Deploy Detail'!$D$225:$D$236,"&gt;"&amp;'[1]Deploy Detail'!$B$13)+SUMIFS('[1]Deploy Detail'!$G$239:$G$250,'[1]Deploy Detail'!$E$239:$E$250,H$4,'[1]Deploy Detail'!$D$239:$D$250,"&gt;"&amp;'[1]Deploy Detail'!$B$13)</t>
        </is>
      </c>
      <c r="D569" s="5">
        <v>0</v>
      </c>
    </row>
    <row r="570">
      <c r="A570" s="4" t="inlineStr">
        <is>
          <t xml:space="preserve">I33</t>
        </is>
      </c>
      <c r="B570" s="4" t="inlineStr">
        <is>
          <t xml:space="preserve">I33</t>
        </is>
      </c>
      <c r="C570" s="4" t="inlineStr">
        <is>
          <t xml:space="preserve">SUMIFS('[1]Deploy Detail'!$G$225:$G$236,'[1]Deploy Detail'!$E$225:$E$236,I$4,'[1]Deploy Detail'!$D$225:$D$236,"&gt;"&amp;'[1]Deploy Detail'!$B$13)+SUMIFS('[1]Deploy Detail'!$G$239:$G$250,'[1]Deploy Detail'!$E$239:$E$250,I$4,'[1]Deploy Detail'!$D$239:$D$250,"&gt;"&amp;'[1]Deploy Detail'!$B$13)</t>
        </is>
      </c>
      <c r="D570" s="5">
        <v>0</v>
      </c>
    </row>
    <row r="571">
      <c r="A571" s="4" t="inlineStr">
        <is>
          <t xml:space="preserve">J33</t>
        </is>
      </c>
      <c r="B571" s="4" t="inlineStr">
        <is>
          <t xml:space="preserve">J33</t>
        </is>
      </c>
      <c r="C571" s="4" t="inlineStr">
        <is>
          <t xml:space="preserve">SUMIFS('[1]Deploy Detail'!$G$225:$G$236,'[1]Deploy Detail'!$E$225:$E$236,J$4,'[1]Deploy Detail'!$D$225:$D$236,"&gt;"&amp;'[1]Deploy Detail'!$B$13)+SUMIFS('[1]Deploy Detail'!$G$239:$G$250,'[1]Deploy Detail'!$E$239:$E$250,J$4,'[1]Deploy Detail'!$D$239:$D$250,"&gt;"&amp;'[1]Deploy Detail'!$B$13)</t>
        </is>
      </c>
      <c r="D571" s="5">
        <v>0</v>
      </c>
    </row>
    <row r="572">
      <c r="A572" s="4" t="inlineStr">
        <is>
          <t xml:space="preserve">K33</t>
        </is>
      </c>
      <c r="B572" s="4" t="inlineStr">
        <is>
          <t xml:space="preserve">K33</t>
        </is>
      </c>
      <c r="C572" s="4" t="inlineStr">
        <is>
          <t xml:space="preserve">SUMIFS('[1]Deploy Detail'!$G$225:$G$236,'[1]Deploy Detail'!$E$225:$E$236,K$4,'[1]Deploy Detail'!$D$225:$D$236,"&gt;"&amp;'[1]Deploy Detail'!$B$13)+SUMIFS('[1]Deploy Detail'!$G$239:$G$250,'[1]Deploy Detail'!$E$239:$E$250,K$4,'[1]Deploy Detail'!$D$239:$D$250,"&gt;"&amp;'[1]Deploy Detail'!$B$13)</t>
        </is>
      </c>
      <c r="D572" s="5">
        <v>0</v>
      </c>
    </row>
    <row r="573">
      <c r="A573" s="4" t="inlineStr">
        <is>
          <t xml:space="preserve">L33</t>
        </is>
      </c>
      <c r="B573" s="4" t="inlineStr">
        <is>
          <t xml:space="preserve">L33</t>
        </is>
      </c>
      <c r="C573" s="4" t="inlineStr">
        <is>
          <t xml:space="preserve">SUMIFS('[1]Deploy Detail'!$G$225:$G$236,'[1]Deploy Detail'!$E$225:$E$236,L$4,'[1]Deploy Detail'!$D$225:$D$236,"&gt;"&amp;'[1]Deploy Detail'!$B$13)+SUMIFS('[1]Deploy Detail'!$G$239:$G$250,'[1]Deploy Detail'!$E$239:$E$250,L$4,'[1]Deploy Detail'!$D$239:$D$250,"&gt;"&amp;'[1]Deploy Detail'!$B$13)</t>
        </is>
      </c>
      <c r="D573" s="5">
        <v>0</v>
      </c>
    </row>
    <row r="574">
      <c r="A574" s="4" t="inlineStr">
        <is>
          <t xml:space="preserve">M33</t>
        </is>
      </c>
      <c r="B574" s="4" t="inlineStr">
        <is>
          <t xml:space="preserve">M33</t>
        </is>
      </c>
      <c r="C574" s="4" t="inlineStr">
        <is>
          <t xml:space="preserve">SUMIFS('[1]Deploy Detail'!$G$225:$G$236,'[1]Deploy Detail'!$E$225:$E$236,M$4,'[1]Deploy Detail'!$D$225:$D$236,"&gt;"&amp;'[1]Deploy Detail'!$B$13)+SUMIFS('[1]Deploy Detail'!$G$239:$G$250,'[1]Deploy Detail'!$E$239:$E$250,M$4,'[1]Deploy Detail'!$D$239:$D$250,"&gt;"&amp;'[1]Deploy Detail'!$B$13)</t>
        </is>
      </c>
      <c r="D574" s="5">
        <v>0</v>
      </c>
    </row>
    <row r="575">
      <c r="A575" s="4" t="inlineStr">
        <is>
          <t xml:space="preserve">N33</t>
        </is>
      </c>
      <c r="B575" s="4" t="inlineStr">
        <is>
          <t xml:space="preserve">N33</t>
        </is>
      </c>
      <c r="C575" s="4" t="inlineStr">
        <is>
          <t xml:space="preserve">SUMIFS('[1]Deploy Detail'!$G$225:$G$236,'[1]Deploy Detail'!$E$225:$E$236,N$4,'[1]Deploy Detail'!$D$225:$D$236,"&gt;"&amp;'[1]Deploy Detail'!$B$13)+SUMIFS('[1]Deploy Detail'!$G$239:$G$250,'[1]Deploy Detail'!$E$239:$E$250,N$4,'[1]Deploy Detail'!$D$239:$D$250,"&gt;"&amp;'[1]Deploy Detail'!$B$13)</t>
        </is>
      </c>
      <c r="D575" s="5">
        <v>0</v>
      </c>
    </row>
    <row r="576">
      <c r="A576" s="4" t="inlineStr">
        <is>
          <t xml:space="preserve">O33</t>
        </is>
      </c>
      <c r="B576" s="4" t="inlineStr">
        <is>
          <t xml:space="preserve">O33</t>
        </is>
      </c>
      <c r="C576" s="4" t="inlineStr">
        <is>
          <t xml:space="preserve">SUMIFS('[1]Deploy Detail'!$G$225:$G$236,'[1]Deploy Detail'!$E$225:$E$236,O$4,'[1]Deploy Detail'!$D$225:$D$236,"&gt;"&amp;'[1]Deploy Detail'!$B$13)+SUMIFS('[1]Deploy Detail'!$G$239:$G$250,'[1]Deploy Detail'!$E$239:$E$250,O$4,'[1]Deploy Detail'!$D$239:$D$250,"&gt;"&amp;'[1]Deploy Detail'!$B$13)</t>
        </is>
      </c>
      <c r="D576" s="5">
        <v>0</v>
      </c>
    </row>
    <row r="577">
      <c r="A577" s="4" t="inlineStr">
        <is>
          <t xml:space="preserve">P33</t>
        </is>
      </c>
      <c r="B577" s="4" t="inlineStr">
        <is>
          <t xml:space="preserve">P33</t>
        </is>
      </c>
      <c r="C577" s="4" t="inlineStr">
        <is>
          <t xml:space="preserve">SUMIFS('[1]Deploy Detail'!$G$225:$G$236,'[1]Deploy Detail'!$E$225:$E$236,P$4,'[1]Deploy Detail'!$D$225:$D$236,"&gt;"&amp;'[1]Deploy Detail'!$B$13)+SUMIFS('[1]Deploy Detail'!$G$239:$G$250,'[1]Deploy Detail'!$E$239:$E$250,P$4,'[1]Deploy Detail'!$D$239:$D$250,"&gt;"&amp;'[1]Deploy Detail'!$B$13)</t>
        </is>
      </c>
      <c r="D577" s="5">
        <v>42</v>
      </c>
    </row>
    <row r="578">
      <c r="A578" s="4" t="inlineStr">
        <is>
          <t xml:space="preserve">Q33</t>
        </is>
      </c>
      <c r="B578" s="4" t="inlineStr">
        <is>
          <t xml:space="preserve">Q33</t>
        </is>
      </c>
      <c r="C578" s="4" t="inlineStr">
        <is>
          <t xml:space="preserve">SUMIFS('[1]Deploy Detail'!$G$225:$G$236,'[1]Deploy Detail'!$E$225:$E$236,Q$4,'[1]Deploy Detail'!$D$225:$D$236,"&gt;"&amp;'[1]Deploy Detail'!$B$13)+SUMIFS('[1]Deploy Detail'!$G$239:$G$250,'[1]Deploy Detail'!$E$239:$E$250,Q$4,'[1]Deploy Detail'!$D$239:$D$250,"&gt;"&amp;'[1]Deploy Detail'!$B$13)</t>
        </is>
      </c>
      <c r="D578" s="5">
        <v>48</v>
      </c>
    </row>
    <row r="579">
      <c r="A579" s="4" t="inlineStr">
        <is>
          <t xml:space="preserve">B34</t>
        </is>
      </c>
      <c r="B579" s="4" t="inlineStr">
        <is>
          <t xml:space="preserve">B34</t>
        </is>
      </c>
      <c r="C579" s="4" t="inlineStr">
        <is>
          <t xml:space="preserve">SUMIFS('[1]Deploy Detail'!$H$225:$H$236,'[1]Deploy Detail'!$E$225:$E$236,B$4,'[1]Deploy Detail'!$D$225:$D$236,"&gt;"&amp;'[1]Deploy Detail'!$B$13)+SUMIFS('[1]Deploy Detail'!$H$239:$H$250,'[1]Deploy Detail'!$E$239:$E$250,B$4,'[1]Deploy Detail'!$D$239:$D$250,"&gt;"&amp;'[1]Deploy Detail'!$B$13)</t>
        </is>
      </c>
      <c r="D579" s="5">
        <v>0</v>
      </c>
    </row>
    <row r="580">
      <c r="A580" s="4" t="inlineStr">
        <is>
          <t xml:space="preserve">C34</t>
        </is>
      </c>
      <c r="B580" s="4" t="inlineStr">
        <is>
          <t xml:space="preserve">C34</t>
        </is>
      </c>
      <c r="C580" s="4" t="inlineStr">
        <is>
          <t xml:space="preserve">SUMIFS('[1]Deploy Detail'!$H$225:$H$236,'[1]Deploy Detail'!$E$225:$E$236,C$4,'[1]Deploy Detail'!$D$225:$D$236,"&gt;"&amp;'[1]Deploy Detail'!$B$13)+SUMIFS('[1]Deploy Detail'!$H$239:$H$250,'[1]Deploy Detail'!$E$239:$E$250,C$4,'[1]Deploy Detail'!$D$239:$D$250,"&gt;"&amp;'[1]Deploy Detail'!$B$13)</t>
        </is>
      </c>
      <c r="D580" s="5">
        <v>0</v>
      </c>
    </row>
    <row r="581">
      <c r="A581" s="4" t="inlineStr">
        <is>
          <t xml:space="preserve">D34</t>
        </is>
      </c>
      <c r="B581" s="4" t="inlineStr">
        <is>
          <t xml:space="preserve">D34</t>
        </is>
      </c>
      <c r="C581" s="4" t="inlineStr">
        <is>
          <t xml:space="preserve">SUMIFS('[1]Deploy Detail'!$H$225:$H$236,'[1]Deploy Detail'!$E$225:$E$236,D$4,'[1]Deploy Detail'!$D$225:$D$236,"&gt;"&amp;'[1]Deploy Detail'!$B$13)+SUMIFS('[1]Deploy Detail'!$H$239:$H$250,'[1]Deploy Detail'!$E$239:$E$250,D$4,'[1]Deploy Detail'!$D$239:$D$250,"&gt;"&amp;'[1]Deploy Detail'!$B$13)</t>
        </is>
      </c>
      <c r="D581" s="5">
        <v>0</v>
      </c>
    </row>
    <row r="582">
      <c r="A582" s="4" t="inlineStr">
        <is>
          <t xml:space="preserve">E34</t>
        </is>
      </c>
      <c r="B582" s="4" t="inlineStr">
        <is>
          <t xml:space="preserve">E34</t>
        </is>
      </c>
      <c r="C582" s="4" t="inlineStr">
        <is>
          <t xml:space="preserve">SUMIFS('[1]Deploy Detail'!$H$225:$H$236,'[1]Deploy Detail'!$E$225:$E$236,E$4,'[1]Deploy Detail'!$D$225:$D$236,"&gt;"&amp;'[1]Deploy Detail'!$B$13)+SUMIFS('[1]Deploy Detail'!$H$239:$H$250,'[1]Deploy Detail'!$E$239:$E$250,E$4,'[1]Deploy Detail'!$D$239:$D$250,"&gt;"&amp;'[1]Deploy Detail'!$B$13)</t>
        </is>
      </c>
      <c r="D582" s="5">
        <v>0</v>
      </c>
    </row>
    <row r="583">
      <c r="A583" s="4" t="inlineStr">
        <is>
          <t xml:space="preserve">F34</t>
        </is>
      </c>
      <c r="B583" s="4" t="inlineStr">
        <is>
          <t xml:space="preserve">F34</t>
        </is>
      </c>
      <c r="C583" s="4" t="inlineStr">
        <is>
          <t xml:space="preserve">SUMIFS('[1]Deploy Detail'!$H$225:$H$236,'[1]Deploy Detail'!$E$225:$E$236,F$4,'[1]Deploy Detail'!$D$225:$D$236,"&gt;"&amp;'[1]Deploy Detail'!$B$13)+SUMIFS('[1]Deploy Detail'!$H$239:$H$250,'[1]Deploy Detail'!$E$239:$E$250,F$4,'[1]Deploy Detail'!$D$239:$D$250,"&gt;"&amp;'[1]Deploy Detail'!$B$13)</t>
        </is>
      </c>
      <c r="D583" s="5">
        <v>0</v>
      </c>
    </row>
    <row r="584">
      <c r="A584" s="4" t="inlineStr">
        <is>
          <t xml:space="preserve">G34</t>
        </is>
      </c>
      <c r="B584" s="4" t="inlineStr">
        <is>
          <t xml:space="preserve">G34</t>
        </is>
      </c>
      <c r="C584" s="4" t="inlineStr">
        <is>
          <t xml:space="preserve">SUMIFS('[1]Deploy Detail'!$H$225:$H$236,'[1]Deploy Detail'!$E$225:$E$236,G$4,'[1]Deploy Detail'!$D$225:$D$236,"&gt;"&amp;'[1]Deploy Detail'!$B$13)+SUMIFS('[1]Deploy Detail'!$H$239:$H$250,'[1]Deploy Detail'!$E$239:$E$250,G$4,'[1]Deploy Detail'!$D$239:$D$250,"&gt;"&amp;'[1]Deploy Detail'!$B$13)</t>
        </is>
      </c>
      <c r="D584" s="5">
        <v>0</v>
      </c>
    </row>
    <row r="585">
      <c r="A585" s="4" t="inlineStr">
        <is>
          <t xml:space="preserve">H34</t>
        </is>
      </c>
      <c r="B585" s="4" t="inlineStr">
        <is>
          <t xml:space="preserve">H34</t>
        </is>
      </c>
      <c r="C585" s="4" t="inlineStr">
        <is>
          <t xml:space="preserve">SUMIFS('[1]Deploy Detail'!$H$225:$H$236,'[1]Deploy Detail'!$E$225:$E$236,H$4,'[1]Deploy Detail'!$D$225:$D$236,"&gt;"&amp;'[1]Deploy Detail'!$B$13)+SUMIFS('[1]Deploy Detail'!$H$239:$H$250,'[1]Deploy Detail'!$E$239:$E$250,H$4,'[1]Deploy Detail'!$D$239:$D$250,"&gt;"&amp;'[1]Deploy Detail'!$B$13)</t>
        </is>
      </c>
      <c r="D585" s="5">
        <v>0</v>
      </c>
    </row>
    <row r="586">
      <c r="A586" s="4" t="inlineStr">
        <is>
          <t xml:space="preserve">I34</t>
        </is>
      </c>
      <c r="B586" s="4" t="inlineStr">
        <is>
          <t xml:space="preserve">I34</t>
        </is>
      </c>
      <c r="C586" s="4" t="inlineStr">
        <is>
          <t xml:space="preserve">SUMIFS('[1]Deploy Detail'!$H$225:$H$236,'[1]Deploy Detail'!$E$225:$E$236,I$4,'[1]Deploy Detail'!$D$225:$D$236,"&gt;"&amp;'[1]Deploy Detail'!$B$13)+SUMIFS('[1]Deploy Detail'!$H$239:$H$250,'[1]Deploy Detail'!$E$239:$E$250,I$4,'[1]Deploy Detail'!$D$239:$D$250,"&gt;"&amp;'[1]Deploy Detail'!$B$13)</t>
        </is>
      </c>
      <c r="D586" s="5">
        <v>0</v>
      </c>
    </row>
    <row r="587">
      <c r="A587" s="4" t="inlineStr">
        <is>
          <t xml:space="preserve">J34</t>
        </is>
      </c>
      <c r="B587" s="4" t="inlineStr">
        <is>
          <t xml:space="preserve">J34</t>
        </is>
      </c>
      <c r="C587" s="4" t="inlineStr">
        <is>
          <t xml:space="preserve">SUMIFS('[1]Deploy Detail'!$H$225:$H$236,'[1]Deploy Detail'!$E$225:$E$236,J$4,'[1]Deploy Detail'!$D$225:$D$236,"&gt;"&amp;'[1]Deploy Detail'!$B$13)+SUMIFS('[1]Deploy Detail'!$H$239:$H$250,'[1]Deploy Detail'!$E$239:$E$250,J$4,'[1]Deploy Detail'!$D$239:$D$250,"&gt;"&amp;'[1]Deploy Detail'!$B$13)</t>
        </is>
      </c>
      <c r="D587" s="5">
        <v>0</v>
      </c>
    </row>
    <row r="588">
      <c r="A588" s="4" t="inlineStr">
        <is>
          <t xml:space="preserve">K34</t>
        </is>
      </c>
      <c r="B588" s="4" t="inlineStr">
        <is>
          <t xml:space="preserve">K34</t>
        </is>
      </c>
      <c r="C588" s="4" t="inlineStr">
        <is>
          <t xml:space="preserve">SUMIFS('[1]Deploy Detail'!$H$225:$H$236,'[1]Deploy Detail'!$E$225:$E$236,K$4,'[1]Deploy Detail'!$D$225:$D$236,"&gt;"&amp;'[1]Deploy Detail'!$B$13)+SUMIFS('[1]Deploy Detail'!$H$239:$H$250,'[1]Deploy Detail'!$E$239:$E$250,K$4,'[1]Deploy Detail'!$D$239:$D$250,"&gt;"&amp;'[1]Deploy Detail'!$B$13)</t>
        </is>
      </c>
      <c r="D588" s="5">
        <v>0</v>
      </c>
    </row>
    <row r="589">
      <c r="A589" s="4" t="inlineStr">
        <is>
          <t xml:space="preserve">L34</t>
        </is>
      </c>
      <c r="B589" s="4" t="inlineStr">
        <is>
          <t xml:space="preserve">L34</t>
        </is>
      </c>
      <c r="C589" s="4" t="inlineStr">
        <is>
          <t xml:space="preserve">SUMIFS('[1]Deploy Detail'!$H$225:$H$236,'[1]Deploy Detail'!$E$225:$E$236,L$4,'[1]Deploy Detail'!$D$225:$D$236,"&gt;"&amp;'[1]Deploy Detail'!$B$13)+SUMIFS('[1]Deploy Detail'!$H$239:$H$250,'[1]Deploy Detail'!$E$239:$E$250,L$4,'[1]Deploy Detail'!$D$239:$D$250,"&gt;"&amp;'[1]Deploy Detail'!$B$13)</t>
        </is>
      </c>
      <c r="D589" s="5">
        <v>0</v>
      </c>
    </row>
    <row r="590">
      <c r="A590" s="4" t="inlineStr">
        <is>
          <t xml:space="preserve">M34</t>
        </is>
      </c>
      <c r="B590" s="4" t="inlineStr">
        <is>
          <t xml:space="preserve">M34</t>
        </is>
      </c>
      <c r="C590" s="4" t="inlineStr">
        <is>
          <t xml:space="preserve">SUMIFS('[1]Deploy Detail'!$H$225:$H$236,'[1]Deploy Detail'!$E$225:$E$236,M$4,'[1]Deploy Detail'!$D$225:$D$236,"&gt;"&amp;'[1]Deploy Detail'!$B$13)+SUMIFS('[1]Deploy Detail'!$H$239:$H$250,'[1]Deploy Detail'!$E$239:$E$250,M$4,'[1]Deploy Detail'!$D$239:$D$250,"&gt;"&amp;'[1]Deploy Detail'!$B$13)</t>
        </is>
      </c>
      <c r="D590" s="5">
        <v>0</v>
      </c>
    </row>
    <row r="591">
      <c r="A591" s="4" t="inlineStr">
        <is>
          <t xml:space="preserve">N34</t>
        </is>
      </c>
      <c r="B591" s="4" t="inlineStr">
        <is>
          <t xml:space="preserve">N34</t>
        </is>
      </c>
      <c r="C591" s="4" t="inlineStr">
        <is>
          <t xml:space="preserve">SUMIFS('[1]Deploy Detail'!$H$225:$H$236,'[1]Deploy Detail'!$E$225:$E$236,N$4,'[1]Deploy Detail'!$D$225:$D$236,"&gt;"&amp;'[1]Deploy Detail'!$B$13)+SUMIFS('[1]Deploy Detail'!$H$239:$H$250,'[1]Deploy Detail'!$E$239:$E$250,N$4,'[1]Deploy Detail'!$D$239:$D$250,"&gt;"&amp;'[1]Deploy Detail'!$B$13)</t>
        </is>
      </c>
      <c r="D591" s="5">
        <v>0</v>
      </c>
    </row>
    <row r="592">
      <c r="A592" s="4" t="inlineStr">
        <is>
          <t xml:space="preserve">O34</t>
        </is>
      </c>
      <c r="B592" s="4" t="inlineStr">
        <is>
          <t xml:space="preserve">O34</t>
        </is>
      </c>
      <c r="C592" s="4" t="inlineStr">
        <is>
          <t xml:space="preserve">SUMIFS('[1]Deploy Detail'!$H$225:$H$236,'[1]Deploy Detail'!$E$225:$E$236,O$4,'[1]Deploy Detail'!$D$225:$D$236,"&gt;"&amp;'[1]Deploy Detail'!$B$13)+SUMIFS('[1]Deploy Detail'!$H$239:$H$250,'[1]Deploy Detail'!$E$239:$E$250,O$4,'[1]Deploy Detail'!$D$239:$D$250,"&gt;"&amp;'[1]Deploy Detail'!$B$13)</t>
        </is>
      </c>
      <c r="D592" s="5">
        <v>0</v>
      </c>
    </row>
    <row r="593">
      <c r="A593" s="4" t="inlineStr">
        <is>
          <t xml:space="preserve">P34</t>
        </is>
      </c>
      <c r="B593" s="4" t="inlineStr">
        <is>
          <t xml:space="preserve">P34</t>
        </is>
      </c>
      <c r="C593" s="4" t="inlineStr">
        <is>
          <t xml:space="preserve">SUMIFS('[1]Deploy Detail'!$H$225:$H$236,'[1]Deploy Detail'!$E$225:$E$236,P$4,'[1]Deploy Detail'!$D$225:$D$236,"&gt;"&amp;'[1]Deploy Detail'!$B$13)+SUMIFS('[1]Deploy Detail'!$H$239:$H$250,'[1]Deploy Detail'!$E$239:$E$250,P$4,'[1]Deploy Detail'!$D$239:$D$250,"&gt;"&amp;'[1]Deploy Detail'!$B$13)</t>
        </is>
      </c>
      <c r="D593" s="5">
        <v>183</v>
      </c>
    </row>
    <row r="594">
      <c r="A594" s="4" t="inlineStr">
        <is>
          <t xml:space="preserve">Q34</t>
        </is>
      </c>
      <c r="B594" s="4" t="inlineStr">
        <is>
          <t xml:space="preserve">Q34</t>
        </is>
      </c>
      <c r="C594" s="4" t="inlineStr">
        <is>
          <t xml:space="preserve">SUMIFS('[1]Deploy Detail'!$H$225:$H$236,'[1]Deploy Detail'!$E$225:$E$236,Q$4,'[1]Deploy Detail'!$D$225:$D$236,"&gt;"&amp;'[1]Deploy Detail'!$B$13)+SUMIFS('[1]Deploy Detail'!$H$239:$H$250,'[1]Deploy Detail'!$E$239:$E$250,Q$4,'[1]Deploy Detail'!$D$239:$D$250,"&gt;"&amp;'[1]Deploy Detail'!$B$13)</t>
        </is>
      </c>
      <c r="D594" s="5">
        <v>220</v>
      </c>
    </row>
    <row r="595">
      <c r="A595" s="4" t="inlineStr">
        <is>
          <t xml:space="preserve">B35</t>
        </is>
      </c>
      <c r="B595" s="4" t="inlineStr">
        <is>
          <t xml:space="preserve">B35</t>
        </is>
      </c>
      <c r="C595" s="4" t="inlineStr">
        <is>
          <t xml:space="preserve">B33*([1]Deploy!$B$7+[1]Deploy!$B$14)+B34*[1]Deploy!$B$8</t>
        </is>
      </c>
      <c r="D595" s="5">
        <v>0</v>
      </c>
    </row>
    <row r="596">
      <c r="A596" s="4" t="inlineStr">
        <is>
          <t xml:space="preserve">C35</t>
        </is>
      </c>
      <c r="B596" s="4" t="inlineStr">
        <is>
          <t xml:space="preserve">C35</t>
        </is>
      </c>
      <c r="C596" s="4" t="inlineStr">
        <is>
          <t xml:space="preserve">C33*([1]Deploy!$B$7+[1]Deploy!$B$14)+C34*[1]Deploy!$B$8</t>
        </is>
      </c>
      <c r="D596" s="5">
        <v>0</v>
      </c>
    </row>
    <row r="597">
      <c r="A597" s="4" t="inlineStr">
        <is>
          <t xml:space="preserve">D35</t>
        </is>
      </c>
      <c r="B597" s="4" t="inlineStr">
        <is>
          <t xml:space="preserve">D35</t>
        </is>
      </c>
      <c r="C597" s="4" t="inlineStr">
        <is>
          <t xml:space="preserve">D33*([1]Deploy!$B$7+[1]Deploy!$B$14)+D34*[1]Deploy!$B$8</t>
        </is>
      </c>
      <c r="D597" s="5">
        <v>0</v>
      </c>
    </row>
    <row r="598">
      <c r="A598" s="4" t="inlineStr">
        <is>
          <t xml:space="preserve">E35</t>
        </is>
      </c>
      <c r="B598" s="4" t="inlineStr">
        <is>
          <t xml:space="preserve">E35</t>
        </is>
      </c>
      <c r="C598" s="4" t="inlineStr">
        <is>
          <t xml:space="preserve">E33*([1]Deploy!$B$7+[1]Deploy!$B$14)+E34*[1]Deploy!$B$8</t>
        </is>
      </c>
      <c r="D598" s="5">
        <v>0</v>
      </c>
    </row>
    <row r="599">
      <c r="A599" s="4" t="inlineStr">
        <is>
          <t xml:space="preserve">F35</t>
        </is>
      </c>
      <c r="B599" s="4" t="inlineStr">
        <is>
          <t xml:space="preserve">F35</t>
        </is>
      </c>
      <c r="C599" s="4" t="inlineStr">
        <is>
          <t xml:space="preserve">F33*([1]Deploy!$B$7+[1]Deploy!$B$14)+F34*[1]Deploy!$B$8</t>
        </is>
      </c>
      <c r="D599" s="5">
        <v>0</v>
      </c>
    </row>
    <row r="600">
      <c r="A600" s="4" t="inlineStr">
        <is>
          <t xml:space="preserve">G35</t>
        </is>
      </c>
      <c r="B600" s="4" t="inlineStr">
        <is>
          <t xml:space="preserve">G35</t>
        </is>
      </c>
      <c r="C600" s="4" t="inlineStr">
        <is>
          <t xml:space="preserve">G33*([1]Deploy!$B$7+[1]Deploy!$B$14)+G34*[1]Deploy!$B$8</t>
        </is>
      </c>
      <c r="D600" s="5">
        <v>0</v>
      </c>
    </row>
    <row r="601">
      <c r="A601" s="4" t="inlineStr">
        <is>
          <t xml:space="preserve">H35</t>
        </is>
      </c>
      <c r="B601" s="4" t="inlineStr">
        <is>
          <t xml:space="preserve">H35</t>
        </is>
      </c>
      <c r="C601" s="4" t="inlineStr">
        <is>
          <t xml:space="preserve">H33*([1]Deploy!$B$7+[1]Deploy!$B$14)+H34*[1]Deploy!$B$8</t>
        </is>
      </c>
      <c r="D601" s="5">
        <v>0</v>
      </c>
    </row>
    <row r="602">
      <c r="A602" s="4" t="inlineStr">
        <is>
          <t xml:space="preserve">I35</t>
        </is>
      </c>
      <c r="B602" s="4" t="inlineStr">
        <is>
          <t xml:space="preserve">I35</t>
        </is>
      </c>
      <c r="C602" s="4" t="inlineStr">
        <is>
          <t xml:space="preserve">I33*([1]Deploy!$B$7+[1]Deploy!$B$14)+I34*[1]Deploy!$B$8</t>
        </is>
      </c>
      <c r="D602" s="5">
        <v>0</v>
      </c>
    </row>
    <row r="603">
      <c r="A603" s="4" t="inlineStr">
        <is>
          <t xml:space="preserve">J35</t>
        </is>
      </c>
      <c r="B603" s="4" t="inlineStr">
        <is>
          <t xml:space="preserve">J35</t>
        </is>
      </c>
      <c r="C603" s="4" t="inlineStr">
        <is>
          <t xml:space="preserve">J33*([1]Deploy!$B$7+[1]Deploy!$B$14)+J34*[1]Deploy!$B$8</t>
        </is>
      </c>
      <c r="D603" s="5">
        <v>0</v>
      </c>
    </row>
    <row r="604">
      <c r="A604" s="4" t="inlineStr">
        <is>
          <t xml:space="preserve">K35</t>
        </is>
      </c>
      <c r="B604" s="4" t="inlineStr">
        <is>
          <t xml:space="preserve">K35</t>
        </is>
      </c>
      <c r="C604" s="4" t="inlineStr">
        <is>
          <t xml:space="preserve">K33*([1]Deploy!$B$7+[1]Deploy!$B$14)+K34*[1]Deploy!$B$8</t>
        </is>
      </c>
      <c r="D604" s="5">
        <v>0</v>
      </c>
    </row>
    <row r="605">
      <c r="A605" s="4" t="inlineStr">
        <is>
          <t xml:space="preserve">L35</t>
        </is>
      </c>
      <c r="B605" s="4" t="inlineStr">
        <is>
          <t xml:space="preserve">L35</t>
        </is>
      </c>
      <c r="C605" s="4" t="inlineStr">
        <is>
          <t xml:space="preserve">L33*([1]Deploy!$B$7+[1]Deploy!$B$14)+L34*[1]Deploy!$B$8</t>
        </is>
      </c>
      <c r="D605" s="5">
        <v>0</v>
      </c>
    </row>
    <row r="606">
      <c r="A606" s="4" t="inlineStr">
        <is>
          <t xml:space="preserve">M35</t>
        </is>
      </c>
      <c r="B606" s="4" t="inlineStr">
        <is>
          <t xml:space="preserve">M35</t>
        </is>
      </c>
      <c r="C606" s="4" t="inlineStr">
        <is>
          <t xml:space="preserve">M33*([1]Deploy!$B$7+[1]Deploy!$B$14)+M34*[1]Deploy!$B$8</t>
        </is>
      </c>
      <c r="D606" s="5">
        <v>0</v>
      </c>
    </row>
    <row r="607">
      <c r="A607" s="4" t="inlineStr">
        <is>
          <t xml:space="preserve">N35</t>
        </is>
      </c>
      <c r="B607" s="4" t="inlineStr">
        <is>
          <t xml:space="preserve">N35</t>
        </is>
      </c>
      <c r="C607" s="4" t="inlineStr">
        <is>
          <t xml:space="preserve">N33*([1]Deploy!$B$7+[1]Deploy!$B$14)+N34*[1]Deploy!$B$8</t>
        </is>
      </c>
      <c r="D607" s="5">
        <v>0</v>
      </c>
    </row>
    <row r="608">
      <c r="A608" s="4" t="inlineStr">
        <is>
          <t xml:space="preserve">O35</t>
        </is>
      </c>
      <c r="B608" s="4" t="inlineStr">
        <is>
          <t xml:space="preserve">O35</t>
        </is>
      </c>
      <c r="C608" s="4" t="inlineStr">
        <is>
          <t xml:space="preserve">O33*([1]Deploy!$B$7+[1]Deploy!$B$14)+O34*[1]Deploy!$B$8</t>
        </is>
      </c>
      <c r="D608" s="5">
        <v>0</v>
      </c>
    </row>
    <row r="609">
      <c r="A609" s="4" t="inlineStr">
        <is>
          <t xml:space="preserve">P35</t>
        </is>
      </c>
      <c r="B609" s="4" t="inlineStr">
        <is>
          <t xml:space="preserve">P35</t>
        </is>
      </c>
      <c r="C609" s="4" t="inlineStr">
        <is>
          <t xml:space="preserve">P33*([1]Deploy!$B$7+[1]Deploy!$B$14)+P34*[1]Deploy!$B$8</t>
        </is>
      </c>
      <c r="D609" s="5">
        <v>4367775</v>
      </c>
    </row>
    <row r="610">
      <c r="A610" s="4" t="inlineStr">
        <is>
          <t xml:space="preserve">Q35</t>
        </is>
      </c>
      <c r="B610" s="4" t="inlineStr">
        <is>
          <t xml:space="preserve">Q35</t>
        </is>
      </c>
      <c r="C610" s="4" t="inlineStr">
        <is>
          <t xml:space="preserve">Q33*([1]Deploy!$B$7+[1]Deploy!$B$14)+Q34*[1]Deploy!$B$8</t>
        </is>
      </c>
      <c r="D610" s="5">
        <v>5078600</v>
      </c>
    </row>
    <row r="611">
      <c r="A611" s="4" t="inlineStr">
        <is>
          <t xml:space="preserve">R35</t>
        </is>
      </c>
      <c r="B611" s="4" t="inlineStr">
        <is>
          <t xml:space="preserve">R35</t>
        </is>
      </c>
      <c r="C611" s="4" t="inlineStr">
        <is>
          <t xml:space="preserve">R33*([1]Deploy!$B$7+[1]Deploy!$B$14)+R34*[1]Deploy!$B$8</t>
        </is>
      </c>
      <c r="D611" s="5">
        <v>9446375</v>
      </c>
    </row>
    <row r="612">
      <c r="A612" s="4" t="inlineStr">
        <is>
          <t xml:space="preserve">B38</t>
        </is>
      </c>
      <c r="B612" s="4" t="inlineStr">
        <is>
          <t xml:space="preserve">B38</t>
        </is>
      </c>
      <c r="C612" s="4" t="inlineStr">
        <is>
          <t xml:space="preserve">'[1]Revenue Roll-up'!D24</t>
        </is>
      </c>
      <c r="D612" s="5">
        <v>7941700</v>
      </c>
    </row>
    <row r="613">
      <c r="A613" s="4" t="inlineStr">
        <is>
          <t xml:space="preserve">C38</t>
        </is>
      </c>
      <c r="B613" s="4" t="inlineStr">
        <is>
          <t xml:space="preserve">C38</t>
        </is>
      </c>
      <c r="C613" s="4" t="inlineStr">
        <is>
          <t xml:space="preserve">'[1]Revenue Roll-up'!E24</t>
        </is>
      </c>
      <c r="D613" s="5">
        <v>7941700</v>
      </c>
    </row>
    <row r="614">
      <c r="A614" s="4" t="inlineStr">
        <is>
          <t xml:space="preserve">D38</t>
        </is>
      </c>
      <c r="B614" s="4" t="inlineStr">
        <is>
          <t xml:space="preserve">D38</t>
        </is>
      </c>
      <c r="C614" s="4" t="inlineStr">
        <is>
          <t xml:space="preserve">'[1]Revenue Roll-up'!F24</t>
        </is>
      </c>
      <c r="D614" s="5">
        <v>9573700</v>
      </c>
    </row>
    <row r="615">
      <c r="A615" s="4" t="inlineStr">
        <is>
          <t xml:space="preserve">E38</t>
        </is>
      </c>
      <c r="B615" s="4" t="inlineStr">
        <is>
          <t xml:space="preserve">E38</t>
        </is>
      </c>
      <c r="C615" s="4" t="inlineStr">
        <is>
          <t xml:space="preserve">'[1]Revenue Roll-up'!G24</t>
        </is>
      </c>
      <c r="D615" s="5">
        <v>10205700</v>
      </c>
    </row>
    <row r="616">
      <c r="A616" s="4" t="inlineStr">
        <is>
          <t xml:space="preserve">F38</t>
        </is>
      </c>
      <c r="B616" s="4" t="inlineStr">
        <is>
          <t xml:space="preserve">F38</t>
        </is>
      </c>
      <c r="C616" s="4" t="inlineStr">
        <is>
          <t xml:space="preserve">'[1]Revenue Roll-up'!H24</t>
        </is>
      </c>
      <c r="D616" s="5">
        <v>11238747.5</v>
      </c>
    </row>
    <row r="617">
      <c r="A617" s="4" t="inlineStr">
        <is>
          <t xml:space="preserve">G38</t>
        </is>
      </c>
      <c r="B617" s="4" t="inlineStr">
        <is>
          <t xml:space="preserve">G38</t>
        </is>
      </c>
      <c r="C617" s="4" t="inlineStr">
        <is>
          <t xml:space="preserve">'[1]Revenue Roll-up'!I24</t>
        </is>
      </c>
      <c r="D617" s="5">
        <v>12271795</v>
      </c>
    </row>
    <row r="618">
      <c r="A618" s="4" t="inlineStr">
        <is>
          <t xml:space="preserve">H38</t>
        </is>
      </c>
      <c r="B618" s="4" t="inlineStr">
        <is>
          <t xml:space="preserve">H38</t>
        </is>
      </c>
      <c r="C618" s="4" t="inlineStr">
        <is>
          <t xml:space="preserve">'[1]Revenue Roll-up'!J24</t>
        </is>
      </c>
      <c r="D618" s="5">
        <v>13620842.5</v>
      </c>
    </row>
    <row r="619">
      <c r="A619" s="4" t="inlineStr">
        <is>
          <t xml:space="preserve">I38</t>
        </is>
      </c>
      <c r="B619" s="4" t="inlineStr">
        <is>
          <t xml:space="preserve">I38</t>
        </is>
      </c>
      <c r="C619" s="4" t="inlineStr">
        <is>
          <t xml:space="preserve">'[1]Revenue Roll-up'!K24</t>
        </is>
      </c>
      <c r="D619" s="5">
        <v>14969890</v>
      </c>
    </row>
    <row r="620">
      <c r="A620" s="4" t="inlineStr">
        <is>
          <t xml:space="preserve">J38</t>
        </is>
      </c>
      <c r="B620" s="4" t="inlineStr">
        <is>
          <t xml:space="preserve">J38</t>
        </is>
      </c>
      <c r="C620" s="4" t="inlineStr">
        <is>
          <t xml:space="preserve">'[1]Revenue Roll-up'!L24</t>
        </is>
      </c>
      <c r="D620" s="5">
        <v>16701297.5</v>
      </c>
    </row>
    <row r="621">
      <c r="A621" s="4" t="inlineStr">
        <is>
          <t xml:space="preserve">K38</t>
        </is>
      </c>
      <c r="B621" s="4" t="inlineStr">
        <is>
          <t xml:space="preserve">K38</t>
        </is>
      </c>
      <c r="C621" s="4" t="inlineStr">
        <is>
          <t xml:space="preserve">'[1]Revenue Roll-up'!M24</t>
        </is>
      </c>
      <c r="D621" s="5">
        <v>18815065</v>
      </c>
    </row>
    <row r="622">
      <c r="A622" s="4" t="inlineStr">
        <is>
          <t xml:space="preserve">L38</t>
        </is>
      </c>
      <c r="B622" s="4" t="inlineStr">
        <is>
          <t xml:space="preserve">L38</t>
        </is>
      </c>
      <c r="C622" s="4" t="inlineStr">
        <is>
          <t xml:space="preserve">'[1]Revenue Roll-up'!N24</t>
        </is>
      </c>
      <c r="D622" s="5">
        <v>21017312.5</v>
      </c>
    </row>
    <row r="623">
      <c r="A623" s="4" t="inlineStr">
        <is>
          <t xml:space="preserve">M38</t>
        </is>
      </c>
      <c r="B623" s="4" t="inlineStr">
        <is>
          <t xml:space="preserve">M38</t>
        </is>
      </c>
      <c r="C623" s="4" t="inlineStr">
        <is>
          <t xml:space="preserve">'[1]Revenue Roll-up'!O24</t>
        </is>
      </c>
      <c r="D623" s="5">
        <v>23574744</v>
      </c>
    </row>
    <row r="624">
      <c r="A624" s="4" t="inlineStr">
        <is>
          <t xml:space="preserve">N38</t>
        </is>
      </c>
      <c r="B624" s="4" t="inlineStr">
        <is>
          <t xml:space="preserve">N38</t>
        </is>
      </c>
      <c r="C624" s="4" t="inlineStr">
        <is>
          <t xml:space="preserve">'[1]Revenue Roll-up'!P24</t>
        </is>
      </c>
      <c r="D624" s="5">
        <v>26509479.5</v>
      </c>
    </row>
    <row r="625">
      <c r="A625" s="4" t="inlineStr">
        <is>
          <t xml:space="preserve">O38</t>
        </is>
      </c>
      <c r="B625" s="4" t="inlineStr">
        <is>
          <t xml:space="preserve">O38</t>
        </is>
      </c>
      <c r="C625" s="4" t="inlineStr">
        <is>
          <t xml:space="preserve">'[1]Revenue Roll-up'!Q24</t>
        </is>
      </c>
      <c r="D625" s="5">
        <v>29827207</v>
      </c>
    </row>
    <row r="626">
      <c r="A626" s="4" t="inlineStr">
        <is>
          <t xml:space="preserve">P38</t>
        </is>
      </c>
      <c r="B626" s="4" t="inlineStr">
        <is>
          <t xml:space="preserve">P38</t>
        </is>
      </c>
      <c r="C626" s="4" t="inlineStr">
        <is>
          <t xml:space="preserve">'[1]Revenue Roll-up'!R24</t>
        </is>
      </c>
      <c r="D626" s="5">
        <v>33527926.5</v>
      </c>
    </row>
    <row r="627">
      <c r="A627" s="4" t="inlineStr">
        <is>
          <t xml:space="preserve">Q38</t>
        </is>
      </c>
      <c r="B627" s="4" t="inlineStr">
        <is>
          <t xml:space="preserve">Q38</t>
        </is>
      </c>
      <c r="C627" s="4" t="inlineStr">
        <is>
          <t xml:space="preserve">'[1]Revenue Roll-up'!S24</t>
        </is>
      </c>
      <c r="D627" s="5">
        <v>37617326</v>
      </c>
    </row>
    <row r="628">
      <c r="A628" s="4" t="inlineStr">
        <is>
          <t xml:space="preserve">R38</t>
        </is>
      </c>
      <c r="B628" s="4" t="inlineStr">
        <is>
          <t xml:space="preserve">R38</t>
        </is>
      </c>
      <c r="C628" s="4" t="inlineStr">
        <is>
          <t xml:space="preserve">'[1]Revenue Roll-up'!S24</t>
        </is>
      </c>
      <c r="D628" s="5">
        <v>37617326</v>
      </c>
    </row>
    <row r="629">
      <c r="A629" s="4" t="inlineStr">
        <is>
          <t xml:space="preserve">B40</t>
        </is>
      </c>
      <c r="B629" s="4" t="inlineStr">
        <is>
          <t xml:space="preserve">B39</t>
        </is>
      </c>
      <c r="C629" s="4" t="inlineStr">
        <is>
          <t xml:space="preserve">'[1]Revenue Roll-up'!D38</t>
        </is>
      </c>
      <c r="D629" s="5">
        <v>570291.5</v>
      </c>
    </row>
    <row r="630">
      <c r="A630" s="4" t="inlineStr">
        <is>
          <t xml:space="preserve">C40</t>
        </is>
      </c>
      <c r="B630" s="4" t="inlineStr">
        <is>
          <t xml:space="preserve">C39</t>
        </is>
      </c>
      <c r="C630" s="4" t="inlineStr">
        <is>
          <t xml:space="preserve">'[1]Revenue Roll-up'!E38</t>
        </is>
      </c>
      <c r="D630" s="5">
        <v>632828</v>
      </c>
    </row>
    <row r="631">
      <c r="A631" s="4" t="inlineStr">
        <is>
          <t xml:space="preserve">D40</t>
        </is>
      </c>
      <c r="B631" s="4" t="inlineStr">
        <is>
          <t xml:space="preserve">D39</t>
        </is>
      </c>
      <c r="C631" s="4" t="inlineStr">
        <is>
          <t xml:space="preserve">'[1]Revenue Roll-up'!F38</t>
        </is>
      </c>
      <c r="D631" s="5">
        <v>662103</v>
      </c>
    </row>
    <row r="632">
      <c r="A632" s="4" t="inlineStr">
        <is>
          <t xml:space="preserve">E40</t>
        </is>
      </c>
      <c r="B632" s="4" t="inlineStr">
        <is>
          <t xml:space="preserve">E39</t>
        </is>
      </c>
      <c r="C632" s="4" t="inlineStr">
        <is>
          <t xml:space="preserve">'[1]Revenue Roll-up'!G38</t>
        </is>
      </c>
      <c r="D632" s="5">
        <v>662103</v>
      </c>
    </row>
    <row r="633">
      <c r="A633" s="4" t="inlineStr">
        <is>
          <t xml:space="preserve">F40</t>
        </is>
      </c>
      <c r="B633" s="4" t="inlineStr">
        <is>
          <t xml:space="preserve">F39</t>
        </is>
      </c>
      <c r="C633" s="4" t="inlineStr">
        <is>
          <t xml:space="preserve">'[1]Revenue Roll-up'!H38</t>
        </is>
      </c>
      <c r="D633" s="5">
        <v>783428.416666667</v>
      </c>
    </row>
    <row r="634">
      <c r="A634" s="4" t="inlineStr">
        <is>
          <t xml:space="preserve">G40</t>
        </is>
      </c>
      <c r="B634" s="4" t="inlineStr">
        <is>
          <t xml:space="preserve">G39</t>
        </is>
      </c>
      <c r="C634" s="4" t="inlineStr">
        <is>
          <t xml:space="preserve">'[1]Revenue Roll-up'!I38</t>
        </is>
      </c>
      <c r="D634" s="5">
        <v>821920.5</v>
      </c>
    </row>
    <row r="635">
      <c r="A635" s="4" t="inlineStr">
        <is>
          <t xml:space="preserve">H40</t>
        </is>
      </c>
      <c r="B635" s="4" t="inlineStr">
        <is>
          <t xml:space="preserve">H39</t>
        </is>
      </c>
      <c r="C635" s="4" t="inlineStr">
        <is>
          <t xml:space="preserve">'[1]Revenue Roll-up'!J38</t>
        </is>
      </c>
      <c r="D635" s="5">
        <v>807745.916666667</v>
      </c>
    </row>
    <row r="636">
      <c r="A636" s="4" t="inlineStr">
        <is>
          <t xml:space="preserve">I40</t>
        </is>
      </c>
      <c r="B636" s="4" t="inlineStr">
        <is>
          <t xml:space="preserve">I39</t>
        </is>
      </c>
      <c r="C636" s="4" t="inlineStr">
        <is>
          <t xml:space="preserve">'[1]Revenue Roll-up'!K38</t>
        </is>
      </c>
      <c r="D636" s="5">
        <v>907121.875</v>
      </c>
    </row>
    <row r="637">
      <c r="A637" s="4" t="inlineStr">
        <is>
          <t xml:space="preserve">J40</t>
        </is>
      </c>
      <c r="B637" s="4" t="inlineStr">
        <is>
          <t xml:space="preserve">J39</t>
        </is>
      </c>
      <c r="C637" s="4" t="inlineStr">
        <is>
          <t xml:space="preserve">'[1]Revenue Roll-up'!L38</t>
        </is>
      </c>
      <c r="D637" s="5">
        <v>997375.833333334</v>
      </c>
    </row>
    <row r="638">
      <c r="A638" s="4" t="inlineStr">
        <is>
          <t xml:space="preserve">K40</t>
        </is>
      </c>
      <c r="B638" s="4" t="inlineStr">
        <is>
          <t xml:space="preserve">K39</t>
        </is>
      </c>
      <c r="C638" s="4" t="inlineStr">
        <is>
          <t xml:space="preserve">'[1]Revenue Roll-up'!M38</t>
        </is>
      </c>
      <c r="D638" s="5">
        <v>1116046.45833333</v>
      </c>
    </row>
    <row r="639">
      <c r="A639" s="4" t="inlineStr">
        <is>
          <t xml:space="preserve">L40</t>
        </is>
      </c>
      <c r="B639" s="4" t="inlineStr">
        <is>
          <t xml:space="preserve">L39</t>
        </is>
      </c>
      <c r="C639" s="4" t="inlineStr">
        <is>
          <t xml:space="preserve">'[1]Revenue Roll-up'!N38</t>
        </is>
      </c>
      <c r="D639" s="5">
        <v>1231592.08333333</v>
      </c>
    </row>
    <row r="640">
      <c r="A640" s="4" t="inlineStr">
        <is>
          <t xml:space="preserve">M40</t>
        </is>
      </c>
      <c r="B640" s="4" t="inlineStr">
        <is>
          <t xml:space="preserve">M39</t>
        </is>
      </c>
      <c r="C640" s="4" t="inlineStr">
        <is>
          <t xml:space="preserve">'[1]Revenue Roll-up'!O38</t>
        </is>
      </c>
      <c r="D640" s="5">
        <v>1379626.04166667</v>
      </c>
    </row>
    <row r="641">
      <c r="A641" s="4" t="inlineStr">
        <is>
          <t xml:space="preserve">N40</t>
        </is>
      </c>
      <c r="B641" s="4" t="inlineStr">
        <is>
          <t xml:space="preserve">N39</t>
        </is>
      </c>
      <c r="C641" s="4" t="inlineStr">
        <is>
          <t xml:space="preserve">'[1]Revenue Roll-up'!P38</t>
        </is>
      </c>
      <c r="D641" s="5">
        <v>1561856.66666667</v>
      </c>
    </row>
    <row r="642">
      <c r="A642" s="4" t="inlineStr">
        <is>
          <t xml:space="preserve">O40</t>
        </is>
      </c>
      <c r="B642" s="4" t="inlineStr">
        <is>
          <t xml:space="preserve">O39</t>
        </is>
      </c>
      <c r="C642" s="4" t="inlineStr">
        <is>
          <t xml:space="preserve">'[1]Revenue Roll-up'!Q38</t>
        </is>
      </c>
      <c r="D642" s="5">
        <v>1751627.29166667</v>
      </c>
    </row>
    <row r="643">
      <c r="A643" s="4" t="inlineStr">
        <is>
          <t xml:space="preserve">P40</t>
        </is>
      </c>
      <c r="B643" s="4" t="inlineStr">
        <is>
          <t xml:space="preserve">P39</t>
        </is>
      </c>
      <c r="C643" s="4" t="inlineStr">
        <is>
          <t xml:space="preserve">'[1]Revenue Roll-up'!R38</t>
        </is>
      </c>
      <c r="D643" s="5">
        <v>1975163.25</v>
      </c>
    </row>
    <row r="644">
      <c r="A644" s="4" t="inlineStr">
        <is>
          <t xml:space="preserve">Q40</t>
        </is>
      </c>
      <c r="B644" s="4" t="inlineStr">
        <is>
          <t xml:space="preserve">Q39</t>
        </is>
      </c>
      <c r="C644" s="4" t="inlineStr">
        <is>
          <t xml:space="preserve">'[1]Revenue Roll-up'!S38</t>
        </is>
      </c>
      <c r="D644" s="5">
        <v>2230141.20833333</v>
      </c>
    </row>
    <row r="645">
      <c r="A645" s="4" t="inlineStr">
        <is>
          <t xml:space="preserve">R40</t>
        </is>
      </c>
      <c r="B645" s="4" t="inlineStr">
        <is>
          <t xml:space="preserve">R39</t>
        </is>
      </c>
      <c r="C645" s="4" t="inlineStr">
        <is>
          <t xml:space="preserve">'[1]Revenue Roll-up'!U38</t>
        </is>
      </c>
      <c r="D645" s="5">
        <v>15563645.5416667</v>
      </c>
    </row>
    <row r="646">
      <c r="A646" s="4" t="inlineStr">
        <is>
          <t xml:space="preserve">B41</t>
        </is>
      </c>
      <c r="B646" s="4" t="inlineStr">
        <is>
          <t xml:space="preserve">B40</t>
        </is>
      </c>
      <c r="C646" s="4" t="inlineStr">
        <is>
          <t xml:space="preserve">'[1]Revenue Roll-up'!D40</t>
        </is>
      </c>
      <c r="D646" s="5">
        <v>421637</v>
      </c>
    </row>
    <row r="647">
      <c r="A647" s="4" t="inlineStr">
        <is>
          <t xml:space="preserve">C41</t>
        </is>
      </c>
      <c r="B647" s="4" t="inlineStr">
        <is>
          <t xml:space="preserve">C40</t>
        </is>
      </c>
      <c r="C647" s="4" t="inlineStr">
        <is>
          <t xml:space="preserve">'[1]Revenue Roll-up'!E40</t>
        </is>
      </c>
      <c r="D647" s="5">
        <v>753940.5</v>
      </c>
    </row>
    <row r="648">
      <c r="A648" s="4" t="inlineStr">
        <is>
          <t xml:space="preserve">D41</t>
        </is>
      </c>
      <c r="B648" s="4" t="inlineStr">
        <is>
          <t xml:space="preserve">D40</t>
        </is>
      </c>
      <c r="C648" s="4" t="inlineStr">
        <is>
          <t xml:space="preserve">'[1]Revenue Roll-up'!F40</t>
        </is>
      </c>
      <c r="D648" s="5">
        <v>1076240.5</v>
      </c>
    </row>
    <row r="649">
      <c r="A649" s="4" t="inlineStr">
        <is>
          <t xml:space="preserve">E41</t>
        </is>
      </c>
      <c r="B649" s="4" t="inlineStr">
        <is>
          <t xml:space="preserve">E40</t>
        </is>
      </c>
      <c r="C649" s="4" t="inlineStr">
        <is>
          <t xml:space="preserve">'[1]Revenue Roll-up'!G40</t>
        </is>
      </c>
      <c r="D649" s="5">
        <v>274101.5</v>
      </c>
    </row>
    <row r="650">
      <c r="A650" s="4" t="inlineStr">
        <is>
          <t xml:space="preserve">F41</t>
        </is>
      </c>
      <c r="B650" s="4" t="inlineStr">
        <is>
          <t xml:space="preserve">F40</t>
        </is>
      </c>
      <c r="C650" s="4" t="inlineStr">
        <is>
          <t xml:space="preserve">'[1]Revenue Roll-up'!H40</t>
        </is>
      </c>
      <c r="D650" s="5">
        <v>1898996.5</v>
      </c>
    </row>
    <row r="651">
      <c r="A651" s="4" t="inlineStr">
        <is>
          <t xml:space="preserve">G41</t>
        </is>
      </c>
      <c r="B651" s="4" t="inlineStr">
        <is>
          <t xml:space="preserve">G40</t>
        </is>
      </c>
      <c r="C651" s="4" t="inlineStr">
        <is>
          <t xml:space="preserve">'[1]Revenue Roll-up'!I40</t>
        </is>
      </c>
      <c r="D651" s="5">
        <v>1108006.5</v>
      </c>
    </row>
    <row r="652">
      <c r="A652" s="4" t="inlineStr">
        <is>
          <t xml:space="preserve">H41</t>
        </is>
      </c>
      <c r="B652" s="4" t="inlineStr">
        <is>
          <t xml:space="preserve">H40</t>
        </is>
      </c>
      <c r="C652" s="4" t="inlineStr">
        <is>
          <t xml:space="preserve">'[1]Revenue Roll-up'!J40</t>
        </is>
      </c>
      <c r="D652" s="5">
        <v>713306.5</v>
      </c>
    </row>
    <row r="653">
      <c r="A653" s="4" t="inlineStr">
        <is>
          <t xml:space="preserve">I41</t>
        </is>
      </c>
      <c r="B653" s="4" t="inlineStr">
        <is>
          <t xml:space="preserve">I40</t>
        </is>
      </c>
      <c r="C653" s="4" t="inlineStr">
        <is>
          <t xml:space="preserve">'[1]Revenue Roll-up'!K40</t>
        </is>
      </c>
      <c r="D653" s="5">
        <v>1810671</v>
      </c>
    </row>
    <row r="654">
      <c r="A654" s="4" t="inlineStr">
        <is>
          <t xml:space="preserve">J41</t>
        </is>
      </c>
      <c r="B654" s="4" t="inlineStr">
        <is>
          <t xml:space="preserve">J40</t>
        </is>
      </c>
      <c r="C654" s="4" t="inlineStr">
        <is>
          <t xml:space="preserve">'[1]Revenue Roll-up'!L40</t>
        </is>
      </c>
      <c r="D654" s="5">
        <v>1916271</v>
      </c>
    </row>
    <row r="655">
      <c r="A655" s="4" t="inlineStr">
        <is>
          <t xml:space="preserve">K41</t>
        </is>
      </c>
      <c r="B655" s="4" t="inlineStr">
        <is>
          <t xml:space="preserve">K40</t>
        </is>
      </c>
      <c r="C655" s="4" t="inlineStr">
        <is>
          <t xml:space="preserve">'[1]Revenue Roll-up'!M40</t>
        </is>
      </c>
      <c r="D655" s="5">
        <v>2148309</v>
      </c>
    </row>
    <row r="656">
      <c r="A656" s="4" t="inlineStr">
        <is>
          <t xml:space="preserve">L41</t>
        </is>
      </c>
      <c r="B656" s="4" t="inlineStr">
        <is>
          <t xml:space="preserve">L40</t>
        </is>
      </c>
      <c r="C656" s="4" t="inlineStr">
        <is>
          <t xml:space="preserve">'[1]Revenue Roll-up'!N40</t>
        </is>
      </c>
      <c r="D656" s="5">
        <v>1857761</v>
      </c>
    </row>
    <row r="657">
      <c r="A657" s="4" t="inlineStr">
        <is>
          <t xml:space="preserve">M41</t>
        </is>
      </c>
      <c r="B657" s="4" t="inlineStr">
        <is>
          <t xml:space="preserve">M40</t>
        </is>
      </c>
      <c r="C657" s="4" t="inlineStr">
        <is>
          <t xml:space="preserve">'[1]Revenue Roll-up'!O40</t>
        </is>
      </c>
      <c r="D657" s="5">
        <v>2534631</v>
      </c>
    </row>
    <row r="658">
      <c r="A658" s="4" t="inlineStr">
        <is>
          <t xml:space="preserve">N41</t>
        </is>
      </c>
      <c r="B658" s="4" t="inlineStr">
        <is>
          <t xml:space="preserve">N40</t>
        </is>
      </c>
      <c r="C658" s="4" t="inlineStr">
        <is>
          <t xml:space="preserve">'[1]Revenue Roll-up'!P40</t>
        </is>
      </c>
      <c r="D658" s="5">
        <v>2595313</v>
      </c>
    </row>
    <row r="659">
      <c r="A659" s="4" t="inlineStr">
        <is>
          <t xml:space="preserve">O41</t>
        </is>
      </c>
      <c r="B659" s="4" t="inlineStr">
        <is>
          <t xml:space="preserve">O40</t>
        </is>
      </c>
      <c r="C659" s="4" t="inlineStr">
        <is>
          <t xml:space="preserve">'[1]Revenue Roll-up'!Q40</t>
        </is>
      </c>
      <c r="D659" s="5">
        <v>3040310</v>
      </c>
    </row>
    <row r="660">
      <c r="A660" s="4" t="inlineStr">
        <is>
          <t xml:space="preserve">P41</t>
        </is>
      </c>
      <c r="B660" s="4" t="inlineStr">
        <is>
          <t xml:space="preserve">P40</t>
        </is>
      </c>
      <c r="C660" s="4" t="inlineStr">
        <is>
          <t xml:space="preserve">'[1]Revenue Roll-up'!R40</t>
        </is>
      </c>
      <c r="D660" s="5">
        <v>3767794</v>
      </c>
    </row>
    <row r="661">
      <c r="A661" s="4" t="inlineStr">
        <is>
          <t xml:space="preserve">Q41</t>
        </is>
      </c>
      <c r="B661" s="4" t="inlineStr">
        <is>
          <t xml:space="preserve">Q40</t>
        </is>
      </c>
      <c r="C661" s="4" t="inlineStr">
        <is>
          <t xml:space="preserve">'[1]Revenue Roll-up'!S40</t>
        </is>
      </c>
      <c r="D661" s="5">
        <v>3342959</v>
      </c>
    </row>
    <row r="662">
      <c r="A662" s="4" t="inlineStr">
        <is>
          <t xml:space="preserve">R41</t>
        </is>
      </c>
      <c r="B662" s="4" t="inlineStr">
        <is>
          <t xml:space="preserve">R40</t>
        </is>
      </c>
      <c r="C662" s="4" t="inlineStr">
        <is>
          <t xml:space="preserve">'[1]Revenue Roll-up'!U40</t>
        </is>
      </c>
      <c r="D662" s="5">
        <v>26734328.5</v>
      </c>
    </row>
    <row r="663">
      <c r="A663" s="4" t="inlineStr">
        <is>
          <t xml:space="preserve">B42</t>
        </is>
      </c>
      <c r="B663" s="4" t="inlineStr">
        <is>
          <t xml:space="preserve">B41</t>
        </is>
      </c>
      <c r="C663" s="4" t="inlineStr">
        <is>
          <t xml:space="preserve">'[1]Revenue Roll-up'!D45</t>
        </is>
      </c>
      <c r="D663" s="5">
        <v>1877250.66666667</v>
      </c>
    </row>
    <row r="664">
      <c r="A664" s="4" t="inlineStr">
        <is>
          <t xml:space="preserve">C42</t>
        </is>
      </c>
      <c r="B664" s="4" t="inlineStr">
        <is>
          <t xml:space="preserve">C41</t>
        </is>
      </c>
      <c r="C664" s="4" t="inlineStr">
        <is>
          <t xml:space="preserve">'[1]Revenue Roll-up'!E45</t>
        </is>
      </c>
      <c r="D664" s="5">
        <v>1998363.16666667</v>
      </c>
    </row>
    <row r="665">
      <c r="A665" s="4" t="inlineStr">
        <is>
          <t xml:space="preserve">D42</t>
        </is>
      </c>
      <c r="B665" s="4" t="inlineStr">
        <is>
          <t xml:space="preserve">D41</t>
        </is>
      </c>
      <c r="C665" s="4" t="inlineStr">
        <is>
          <t xml:space="preserve">'[1]Revenue Roll-up'!F45</t>
        </is>
      </c>
      <c r="D665" s="5">
        <v>2412500.66666667</v>
      </c>
    </row>
    <row r="666">
      <c r="A666" s="4" t="inlineStr">
        <is>
          <t xml:space="preserve">E42</t>
        </is>
      </c>
      <c r="B666" s="4" t="inlineStr">
        <is>
          <t xml:space="preserve">E41</t>
        </is>
      </c>
      <c r="C666" s="4" t="inlineStr">
        <is>
          <t xml:space="preserve">'[1]Revenue Roll-up'!G45</t>
        </is>
      </c>
      <c r="D666" s="5">
        <v>2024499.16666667</v>
      </c>
    </row>
    <row r="667">
      <c r="A667" s="4" t="inlineStr">
        <is>
          <t xml:space="preserve">F42</t>
        </is>
      </c>
      <c r="B667" s="4" t="inlineStr">
        <is>
          <t xml:space="preserve">F41</t>
        </is>
      </c>
      <c r="C667" s="4" t="inlineStr">
        <is>
          <t xml:space="preserve">'[1]Revenue Roll-up'!H45</t>
        </is>
      </c>
      <c r="D667" s="5">
        <v>3140067.25</v>
      </c>
    </row>
    <row r="668">
      <c r="A668" s="4" t="inlineStr">
        <is>
          <t xml:space="preserve">G42</t>
        </is>
      </c>
      <c r="B668" s="4" t="inlineStr">
        <is>
          <t xml:space="preserve">G41</t>
        </is>
      </c>
      <c r="C668" s="4" t="inlineStr">
        <is>
          <t xml:space="preserve">'[1]Revenue Roll-up'!I45</t>
        </is>
      </c>
      <c r="D668" s="5">
        <v>3426153.25</v>
      </c>
    </row>
    <row r="669">
      <c r="A669" s="4" t="inlineStr">
        <is>
          <t xml:space="preserve">H42</t>
        </is>
      </c>
      <c r="B669" s="4" t="inlineStr">
        <is>
          <t xml:space="preserve">H41</t>
        </is>
      </c>
      <c r="C669" s="4" t="inlineStr">
        <is>
          <t xml:space="preserve">'[1]Revenue Roll-up'!J45</t>
        </is>
      </c>
      <c r="D669" s="5">
        <v>3331713.83333333</v>
      </c>
    </row>
    <row r="670">
      <c r="A670" s="4" t="inlineStr">
        <is>
          <t xml:space="preserve">I42</t>
        </is>
      </c>
      <c r="B670" s="4" t="inlineStr">
        <is>
          <t xml:space="preserve">I41</t>
        </is>
      </c>
      <c r="C670" s="4" t="inlineStr">
        <is>
          <t xml:space="preserve">'[1]Revenue Roll-up'!K45</t>
        </is>
      </c>
      <c r="D670" s="5">
        <v>4235262.95833333</v>
      </c>
    </row>
    <row r="671">
      <c r="A671" s="4" t="inlineStr">
        <is>
          <t xml:space="preserve">J42</t>
        </is>
      </c>
      <c r="B671" s="4" t="inlineStr">
        <is>
          <t xml:space="preserve">J41</t>
        </is>
      </c>
      <c r="C671" s="4" t="inlineStr">
        <is>
          <t xml:space="preserve">'[1]Revenue Roll-up'!L45</t>
        </is>
      </c>
      <c r="D671" s="5">
        <v>5154158.125</v>
      </c>
    </row>
    <row r="672">
      <c r="A672" s="4" t="inlineStr">
        <is>
          <t xml:space="preserve">K42</t>
        </is>
      </c>
      <c r="B672" s="4" t="inlineStr">
        <is>
          <t xml:space="preserve">K41</t>
        </is>
      </c>
      <c r="C672" s="4" t="inlineStr">
        <is>
          <t xml:space="preserve">'[1]Revenue Roll-up'!M45</t>
        </is>
      </c>
      <c r="D672" s="5">
        <v>6186420.66666667</v>
      </c>
    </row>
    <row r="673">
      <c r="A673" s="4" t="inlineStr">
        <is>
          <t xml:space="preserve">L42</t>
        </is>
      </c>
      <c r="B673" s="4" t="inlineStr">
        <is>
          <t xml:space="preserve">L41</t>
        </is>
      </c>
      <c r="C673" s="4" t="inlineStr">
        <is>
          <t xml:space="preserve">'[1]Revenue Roll-up'!N45</t>
        </is>
      </c>
      <c r="D673" s="5">
        <v>6812589.58333333</v>
      </c>
    </row>
    <row r="674">
      <c r="A674" s="4" t="inlineStr">
        <is>
          <t xml:space="preserve">M42</t>
        </is>
      </c>
      <c r="B674" s="4" t="inlineStr">
        <is>
          <t xml:space="preserve">M41</t>
        </is>
      </c>
      <c r="C674" s="4" t="inlineStr">
        <is>
          <t xml:space="preserve">'[1]Revenue Roll-up'!O45</t>
        </is>
      </c>
      <c r="D674" s="5">
        <v>7967594.54166667</v>
      </c>
    </row>
    <row r="675">
      <c r="A675" s="4" t="inlineStr">
        <is>
          <t xml:space="preserve">N42</t>
        </is>
      </c>
      <c r="B675" s="4" t="inlineStr">
        <is>
          <t xml:space="preserve">N41</t>
        </is>
      </c>
      <c r="C675" s="4" t="inlineStr">
        <is>
          <t xml:space="preserve">'[1]Revenue Roll-up'!P45</t>
        </is>
      </c>
      <c r="D675" s="5">
        <v>9001050.875</v>
      </c>
    </row>
    <row r="676">
      <c r="A676" s="4" t="inlineStr">
        <is>
          <t xml:space="preserve">O42</t>
        </is>
      </c>
      <c r="B676" s="4" t="inlineStr">
        <is>
          <t xml:space="preserve">O41</t>
        </is>
      </c>
      <c r="C676" s="4" t="inlineStr">
        <is>
          <t xml:space="preserve">'[1]Revenue Roll-up'!Q45</t>
        </is>
      </c>
      <c r="D676" s="5">
        <v>10289733.5833333</v>
      </c>
    </row>
    <row r="677">
      <c r="A677" s="4" t="inlineStr">
        <is>
          <t xml:space="preserve">P42</t>
        </is>
      </c>
      <c r="B677" s="4" t="inlineStr">
        <is>
          <t xml:space="preserve">P41</t>
        </is>
      </c>
      <c r="C677" s="4" t="inlineStr">
        <is>
          <t xml:space="preserve">'[1]Revenue Roll-up'!R45</t>
        </is>
      </c>
      <c r="D677" s="5">
        <v>12082364.3333333</v>
      </c>
    </row>
    <row r="678">
      <c r="A678" s="4" t="inlineStr">
        <is>
          <t xml:space="preserve">Q42</t>
        </is>
      </c>
      <c r="B678" s="4" t="inlineStr">
        <is>
          <t xml:space="preserve">Q41</t>
        </is>
      </c>
      <c r="C678" s="4" t="inlineStr">
        <is>
          <t xml:space="preserve">'[1]Revenue Roll-up'!S45</t>
        </is>
      </c>
      <c r="D678" s="5">
        <v>13195182.125</v>
      </c>
    </row>
    <row r="679">
      <c r="A679" s="4" t="inlineStr">
        <is>
          <t xml:space="preserve">R42</t>
        </is>
      </c>
      <c r="B679" s="4" t="inlineStr">
        <is>
          <t xml:space="preserve">R41</t>
        </is>
      </c>
      <c r="C679" s="4" t="inlineStr">
        <is>
          <t xml:space="preserve">'[1]Revenue Roll-up'!S45</t>
        </is>
      </c>
      <c r="D679" s="5">
        <v>13195182.125</v>
      </c>
    </row>
    <row r="680">
      <c r="A680" s="4" t="inlineStr">
        <is>
          <t xml:space="preserve">A45</t>
        </is>
      </c>
      <c r="B680" s="4" t="inlineStr">
        <is>
          <t xml:space="preserve">A44</t>
        </is>
      </c>
      <c r="C680" s="4" t="inlineStr">
        <is>
          <t xml:space="preserve">"1. Timing: bookings go live "&amp;'[1]Deploy Detail'!B8&amp;" months after booking (new logos &amp; expansion); units are built "&amp;[1]Deploy!B16&amp;" months before go-live."</t>
        </is>
      </c>
      <c r="D680" s="4" t="inlineStr">
        <is>
          <t xml:space="preserve">1. Timing: bookings go live 3 months after booking (new logos &amp; expansion); units are built 2 months before go-live.</t>
        </is>
      </c>
    </row>
    <row r="681">
      <c r="A681" s="4" t="inlineStr">
        <is>
          <t xml:space="preserve">A46</t>
        </is>
      </c>
      <c r="B681" s="4" t="inlineStr">
        <is>
          <t xml:space="preserve">A45</t>
        </is>
      </c>
      <c r="C681" s="4" t="inlineStr">
        <is>
          <t xml:space="preserve">"2. Deal size: new-logo deal = "&amp;[1]Deploy!B18&amp;" SlipLifts + "&amp;[1]Deploy!B19&amp;" SlipTrays ("&amp;TEXT('[1]New Sales'!B8,"$#,##0")&amp;"); expansion deal = "&amp;[1]Deploy!B20&amp;" SlipLifts + "&amp;[1]Deploy!B21&amp;" SlipTrays ("&amp;TEXT([1]Expansion!B11,"$#,##0")&amp;"). Deal counts are whole numbers."</t>
        </is>
      </c>
      <c r="D681" s="4" t="inlineStr">
        <is>
          <t xml:space="preserve">2. Deal size: new-logo deal = 4 SlipLifts + 12 SlipTrays ($316,000); expansion deal = 2 SlipLifts + 25 SlipTrays ($215,000). Deal counts are whole numbers.</t>
        </is>
      </c>
    </row>
    <row r="682">
      <c r="A682" s="4" t="inlineStr">
        <is>
          <t xml:space="preserve">A47</t>
        </is>
      </c>
      <c r="B682" s="4" t="inlineStr">
        <is>
          <t xml:space="preserve">A46</t>
        </is>
      </c>
      <c r="C682" s="4" t="inlineStr">
        <is>
          <t xml:space="preserve">"3. Unit cost (CapEx): SlipLift "&amp;TEXT([1]Deploy!B7,"$#,##0")&amp;" + "&amp;TEXT([1]Deploy!B14,"$#,##0")&amp;" peripherals, SlipTray "&amp;TEXT([1]Deploy!B8,"$#,##0")&amp;", SlipBot "&amp;TEXT([1]Deploy!B6,"$#,##0")&amp;". Freight "&amp;TEXT([1]Deploy!B15,"$#,##0")&amp;" per deployment (expensed)."</t>
        </is>
      </c>
      <c r="D682" s="4" t="inlineStr">
        <is>
          <t xml:space="preserve">3. Unit cost (CapEx): SlipLift $65,000 + $4,138 peripherals, SlipTray $8,000, SlipBot $36,000. Freight $5,000 per deployment (expensed).</t>
        </is>
      </c>
    </row>
    <row r="683">
      <c r="A683" s="4" t="inlineStr">
        <is>
          <t xml:space="preserve">A48</t>
        </is>
      </c>
      <c r="B683" s="4" t="inlineStr">
        <is>
          <t xml:space="preserve">A47</t>
        </is>
      </c>
      <c r="C683" s="4" t="inlineStr">
        <is>
          <t xml:space="preserve">"4. SlipBots: "&amp;IF([1]Deploy!B17="Y","none are built – returned/existing bots are redeployed (incl. the Meli bridge bots).","built per deployments.")&amp;" Only contracts flagged 'New production = Yes' create deployments and production."</t>
        </is>
      </c>
      <c r="D683" s="4" t="inlineStr">
        <is>
          <t xml:space="preserve">4. SlipBots: none are built – returned/existing bots are redeployed (incl. the Meli bridge bots). Only contracts flagged 'New production = Yes' create deployments and production.</t>
        </is>
      </c>
    </row>
    <row r="684">
      <c r="A684" s="4" t="inlineStr">
        <is>
          <t xml:space="preserve">A49</t>
        </is>
      </c>
      <c r="B684" s="4" t="inlineStr">
        <is>
          <t xml:space="preserve">A48</t>
        </is>
      </c>
      <c r="C684" s="4" t="inlineStr">
        <is>
          <t xml:space="preserve">"5. Sep–Dec 26 bookings include unsigned forecast of "&amp;TEXT(SUMIFS('[1]2026 Exist New'!$P$9:$P$50,'[1]2026 Exist New'!$D$9:$D$50,"Forecast (unsigned)"),"$#,##0")&amp;" (Arconic + placeholders) at 100%; bookings are gross ACV."</t>
        </is>
      </c>
      <c r="D684"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59135.3761904762</v>
      </c>
      <c r="Y20" s="12" t="n">
        <f aca="false">SUM(FO!Y20,PO!Y20,CO!Y20,FE!Y20,PE!Y20)</f>
        <v>69968.7095238095</v>
      </c>
      <c r="Z20" s="12" t="n">
        <f aca="false">SUM(FO!Z20,PO!Z20,CO!Z20,FE!Z20,PE!Z20)</f>
        <v>85444.9</v>
      </c>
      <c r="AA20" s="12" t="n">
        <f aca="false">SUM(FO!AA20,PO!AA20,CO!AA20,FE!AA20,PE!AA20)</f>
        <v>99373.4714285714</v>
      </c>
      <c r="AB20" s="12" t="n">
        <f aca="false">SUM(FO!AB20,PO!AB20,CO!AB20,FE!AB20,PE!AB20)</f>
        <v>116397.280952381</v>
      </c>
      <c r="AC20" s="12" t="n">
        <f aca="false">SUM(FO!AC20,PO!AC20,CO!AC20,FE!AC20,PE!AC20)</f>
        <v>138063.947619048</v>
      </c>
      <c r="AD20" s="12" t="n">
        <f aca="false">SUM(FO!AD20,PO!AD20,CO!AD20,FE!AD20,PE!AD20)</f>
        <v>159730.614285714</v>
      </c>
      <c r="AE20" s="12" t="n">
        <f aca="false">SUM(FO!AE20,PO!AE20,CO!AE20,FE!AE20,PE!AE20)</f>
        <v>186040.138095238</v>
      </c>
      <c r="AF20" s="12" t="n">
        <f aca="false">SUM(FO!AF20,PO!AF20,CO!AF20,FE!AF20,PE!AF20)</f>
        <v>213897.280952381</v>
      </c>
      <c r="AG20" s="12" t="n">
        <f aca="false">SUM(U20:AF20)</f>
        <v>1248195.94285714</v>
      </c>
      <c r="AH20" s="24" t="n">
        <f aca="false">IFERROR(AG20/AG$16,"")</f>
        <v>0.0801994583798184</v>
      </c>
      <c r="AI20" s="9"/>
      <c r="AJ20" s="12" t="n">
        <f aca="false">N20-AG20</f>
        <v>-1147836.09142857</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17835.9733333333</v>
      </c>
      <c r="Y21" s="12" t="n">
        <f aca="false">SUM(FO!Y21,PO!Y21,CO!Y21,FE!Y21,PE!Y21)</f>
        <v>21902.64</v>
      </c>
      <c r="Z21" s="12" t="n">
        <f aca="false">SUM(FO!Z21,PO!Z21,CO!Z21,FE!Z21,PE!Z21)</f>
        <v>28435.9733333333</v>
      </c>
      <c r="AA21" s="12" t="n">
        <f aca="false">SUM(FO!AA21,PO!AA21,CO!AA21,FE!AA21,PE!AA21)</f>
        <v>33302.64</v>
      </c>
      <c r="AB21" s="12" t="n">
        <f aca="false">SUM(FO!AB21,PO!AB21,CO!AB21,FE!AB21,PE!AB21)</f>
        <v>38969.3066666667</v>
      </c>
      <c r="AC21" s="12" t="n">
        <f aca="false">SUM(FO!AC21,PO!AC21,CO!AC21,FE!AC21,PE!AC21)</f>
        <v>47102.64</v>
      </c>
      <c r="AD21" s="12" t="n">
        <f aca="false">SUM(FO!AD21,PO!AD21,CO!AD21,FE!AD21,PE!AD21)</f>
        <v>55235.9733333333</v>
      </c>
      <c r="AE21" s="12" t="n">
        <f aca="false">SUM(FO!AE21,PO!AE21,CO!AE21,FE!AE21,PE!AE21)</f>
        <v>65835.9733333333</v>
      </c>
      <c r="AF21" s="12" t="n">
        <f aca="false">SUM(FO!AF21,PO!AF21,CO!AF21,FE!AF21,PE!AF21)</f>
        <v>75569.3066666667</v>
      </c>
      <c r="AG21" s="12" t="n">
        <f aca="false">SUM(U21:AF21)</f>
        <v>418898.346666667</v>
      </c>
      <c r="AH21" s="24" t="n">
        <f aca="false">IFERROR(AG21/AG$16,"")</f>
        <v>0.0269151816356393</v>
      </c>
      <c r="AI21" s="9"/>
      <c r="AJ21" s="12" t="n">
        <f aca="false">N21-AG21</f>
        <v>-381905.65</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43450</v>
      </c>
      <c r="V33" s="12" t="n">
        <f aca="false">SUM(FO!V33,PO!V33,CO!V33,FE!V33,PE!V33)</f>
        <v>43450</v>
      </c>
      <c r="W33" s="12" t="n">
        <f aca="false">SUM(FO!W33,PO!W33,CO!W33,FE!W33,PE!W33)</f>
        <v>43450</v>
      </c>
      <c r="X33" s="12" t="n">
        <f aca="false">SUM(FO!X33,PO!X33,CO!X33,FE!X33,PE!X33)</f>
        <v>43450</v>
      </c>
      <c r="Y33" s="12" t="n">
        <f aca="false">SUM(FO!Y33,PO!Y33,CO!Y33,FE!Y33,PE!Y33)</f>
        <v>43450</v>
      </c>
      <c r="Z33" s="12" t="n">
        <f aca="false">SUM(FO!Z33,PO!Z33,CO!Z33,FE!Z33,PE!Z33)</f>
        <v>43450</v>
      </c>
      <c r="AA33" s="12" t="n">
        <f aca="false">SUM(FO!AA33,PO!AA33,CO!AA33,FE!AA33,PE!AA33)</f>
        <v>43450</v>
      </c>
      <c r="AB33" s="12" t="n">
        <f aca="false">SUM(FO!AB33,PO!AB33,CO!AB33,FE!AB33,PE!AB33)</f>
        <v>43450</v>
      </c>
      <c r="AC33" s="12" t="n">
        <f aca="false">SUM(FO!AC33,PO!AC33,CO!AC33,FE!AC33,PE!AC33)</f>
        <v>43450</v>
      </c>
      <c r="AD33" s="12" t="n">
        <f aca="false">SUM(FO!AD33,PO!AD33,CO!AD33,FE!AD33,PE!AD33)</f>
        <v>44753.5</v>
      </c>
      <c r="AE33" s="12" t="n">
        <f aca="false">SUM(FO!AE33,PO!AE33,CO!AE33,FE!AE33,PE!AE33)</f>
        <v>44753.5</v>
      </c>
      <c r="AF33" s="12" t="n">
        <f aca="false">SUM(FO!AF33,PO!AF33,CO!AF33,FE!AF33,PE!AF33)</f>
        <v>44753.5</v>
      </c>
      <c r="AG33" s="12" t="n">
        <f aca="false">SUM(U33:AF33)</f>
        <v>525310.5</v>
      </c>
      <c r="AH33" s="24" t="n">
        <f aca="false">IFERROR(AG33/AG$16,"")</f>
        <v>0.033752407081853</v>
      </c>
      <c r="AI33" s="9"/>
      <c r="AJ33" s="12" t="n">
        <f aca="false">N33-AG33</f>
        <v>-322853.28</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1580.22856962794</v>
      </c>
      <c r="V34" s="12" t="n">
        <f aca="false">SUM(FO!V34,PO!V34,CO!V34,FE!V34,PE!V34)</f>
        <v>1580.22856962794</v>
      </c>
      <c r="W34" s="12" t="n">
        <f aca="false">SUM(FO!W34,PO!W34,CO!W34,FE!W34,PE!W34)</f>
        <v>1580.22856962794</v>
      </c>
      <c r="X34" s="12" t="n">
        <f aca="false">SUM(FO!X34,PO!X34,CO!X34,FE!X34,PE!X34)</f>
        <v>1580.22856962794</v>
      </c>
      <c r="Y34" s="12" t="n">
        <f aca="false">SUM(FO!Y34,PO!Y34,CO!Y34,FE!Y34,PE!Y34)</f>
        <v>1580.22856962794</v>
      </c>
      <c r="Z34" s="12" t="n">
        <f aca="false">SUM(FO!Z34,PO!Z34,CO!Z34,FE!Z34,PE!Z34)</f>
        <v>1580.22856962794</v>
      </c>
      <c r="AA34" s="12" t="n">
        <f aca="false">SUM(FO!AA34,PO!AA34,CO!AA34,FE!AA34,PE!AA34)</f>
        <v>1580.22856962794</v>
      </c>
      <c r="AB34" s="12" t="n">
        <f aca="false">SUM(FO!AB34,PO!AB34,CO!AB34,FE!AB34,PE!AB34)</f>
        <v>1580.22856962794</v>
      </c>
      <c r="AC34" s="12" t="n">
        <f aca="false">SUM(FO!AC34,PO!AC34,CO!AC34,FE!AC34,PE!AC34)</f>
        <v>1580.22856962794</v>
      </c>
      <c r="AD34" s="12" t="n">
        <f aca="false">SUM(FO!AD34,PO!AD34,CO!AD34,FE!AD34,PE!AD34)</f>
        <v>1627.63542671678</v>
      </c>
      <c r="AE34" s="12" t="n">
        <f aca="false">SUM(FO!AE34,PO!AE34,CO!AE34,FE!AE34,PE!AE34)</f>
        <v>1627.63542671678</v>
      </c>
      <c r="AF34" s="12" t="n">
        <f aca="false">SUM(FO!AF34,PO!AF34,CO!AF34,FE!AF34,PE!AF34)</f>
        <v>1627.63542671678</v>
      </c>
      <c r="AG34" s="12" t="n">
        <f aca="false">SUM(U34:AF34)</f>
        <v>19104.9634068018</v>
      </c>
      <c r="AH34" s="24" t="n">
        <f aca="false">IFERROR(AG34/AG$16,"")</f>
        <v>0.00122753781276079</v>
      </c>
      <c r="AI34" s="9"/>
      <c r="AJ34" s="12" t="n">
        <f aca="false">N34-AG34</f>
        <v>-10994.9834068018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8966.45875099473</v>
      </c>
      <c r="V35" s="12" t="n">
        <f aca="false">SUM(FO!V35,PO!V35,CO!V35,FE!V35,PE!V35)</f>
        <v>8966.45875099473</v>
      </c>
      <c r="W35" s="12" t="n">
        <f aca="false">SUM(FO!W35,PO!W35,CO!W35,FE!W35,PE!W35)</f>
        <v>8966.45875099473</v>
      </c>
      <c r="X35" s="12" t="n">
        <f aca="false">SUM(FO!X35,PO!X35,CO!X35,FE!X35,PE!X35)</f>
        <v>8966.45875099473</v>
      </c>
      <c r="Y35" s="12" t="n">
        <f aca="false">SUM(FO!Y35,PO!Y35,CO!Y35,FE!Y35,PE!Y35)</f>
        <v>8966.45875099473</v>
      </c>
      <c r="Z35" s="12" t="n">
        <f aca="false">SUM(FO!Z35,PO!Z35,CO!Z35,FE!Z35,PE!Z35)</f>
        <v>8966.45875099473</v>
      </c>
      <c r="AA35" s="12" t="n">
        <f aca="false">SUM(FO!AA35,PO!AA35,CO!AA35,FE!AA35,PE!AA35)</f>
        <v>8966.45875099473</v>
      </c>
      <c r="AB35" s="12" t="n">
        <f aca="false">SUM(FO!AB35,PO!AB35,CO!AB35,FE!AB35,PE!AB35)</f>
        <v>8966.45875099473</v>
      </c>
      <c r="AC35" s="12" t="n">
        <f aca="false">SUM(FO!AC35,PO!AC35,CO!AC35,FE!AC35,PE!AC35)</f>
        <v>8966.45875099473</v>
      </c>
      <c r="AD35" s="12" t="n">
        <f aca="false">SUM(FO!AD35,PO!AD35,CO!AD35,FE!AD35,PE!AD35)</f>
        <v>9235.45251352458</v>
      </c>
      <c r="AE35" s="12" t="n">
        <f aca="false">SUM(FO!AE35,PO!AE35,CO!AE35,FE!AE35,PE!AE35)</f>
        <v>9235.45251352458</v>
      </c>
      <c r="AF35" s="12" t="n">
        <f aca="false">SUM(FO!AF35,PO!AF35,CO!AF35,FE!AF35,PE!AF35)</f>
        <v>9235.45251352458</v>
      </c>
      <c r="AG35" s="12" t="n">
        <f aca="false">SUM(U35:AF35)</f>
        <v>108404.486299526</v>
      </c>
      <c r="AH35" s="24" t="n">
        <f aca="false">IFERROR(AG35/AG$16,"")</f>
        <v>0.00696523741878521</v>
      </c>
      <c r="AI35" s="9"/>
      <c r="AJ35" s="12" t="n">
        <f aca="false">N35-AG35</f>
        <v>-110397.356299526</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-444245.619706328</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309998.988273004</v>
      </c>
      <c r="V37" s="27" t="n">
        <f aca="false">V19+V22+V27+V28+V29+V30+V31+V36+V20+V21</f>
        <v>281232.310495226</v>
      </c>
      <c r="W37" s="27" t="n">
        <f aca="false">W19+W22+W27+W28+W29+W30+W31+W36+W20+W21</f>
        <v>247329.907320623</v>
      </c>
      <c r="X37" s="27" t="n">
        <f aca="false">X19+X22+X27+X28+X29+X30+X31+X36+X20+X21</f>
        <v>363889.16462221</v>
      </c>
      <c r="Y37" s="27" t="n">
        <f aca="false">Y19+Y22+Y27+Y28+Y29+Y30+Y31+Y36+Y20+Y21</f>
        <v>362527.546368242</v>
      </c>
      <c r="Z37" s="27" t="n">
        <f aca="false">Z19+Z22+Z27+Z28+Z29+Z30+Z31+Z36+Z20+Z21</f>
        <v>417928.73462221</v>
      </c>
      <c r="AA37" s="27" t="n">
        <f aca="false">AA19+AA22+AA27+AA28+AA29+AA30+AA31+AA36+AA20+AA21</f>
        <v>417967.736050781</v>
      </c>
      <c r="AB37" s="27" t="n">
        <f aca="false">AB19+AB22+AB27+AB28+AB29+AB30+AB31+AB36+AB20+AB21</f>
        <v>458963.878114273</v>
      </c>
      <c r="AC37" s="27" t="n">
        <f aca="false">AC19+AC22+AC27+AC28+AC29+AC30+AC31+AC36+AC20+AC21</f>
        <v>527278.756844432</v>
      </c>
      <c r="AD37" s="27" t="n">
        <f aca="false">AD19+AD22+AD27+AD28+AD29+AD30+AD31+AD36+AD20+AD21</f>
        <v>563723.657464051</v>
      </c>
      <c r="AE37" s="27" t="n">
        <f aca="false">AE19+AE22+AE27+AE28+AE29+AE30+AE31+AE36+AE20+AE21</f>
        <v>636068.595718019</v>
      </c>
      <c r="AF37" s="27" t="n">
        <f aca="false">AF19+AF22+AF27+AF28+AF29+AF30+AF31+AF36+AF20+AF21</f>
        <v>672740.643971987</v>
      </c>
      <c r="AG37" s="27" t="n">
        <f aca="false">SUM(U37:AF37)</f>
        <v>5259649.91986506</v>
      </c>
      <c r="AH37" s="28" t="n">
        <f aca="false">IFERROR(AG37/AG$16,"")</f>
        <v>0.33794459696374</v>
      </c>
      <c r="AI37" s="9"/>
      <c r="AJ37" s="27" t="n">
        <f aca="false">N37-AG37</f>
        <v>-2954503.03510315</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625468.615420632</v>
      </c>
      <c r="V63" s="27" t="n">
        <f aca="false">V37+V38+V39+V40+V41+V42+V56+V61+V62</f>
        <v>565663.092446146</v>
      </c>
      <c r="W63" s="27" t="n">
        <f aca="false">W37+W38+W39+W40+W41+W42+W56+W61+W62</f>
        <v>580290.269271543</v>
      </c>
      <c r="X63" s="27" t="n">
        <f aca="false">X37+X38+X39+X40+X41+X42+X56+X61+X62</f>
        <v>753554.442282181</v>
      </c>
      <c r="Y63" s="27" t="n">
        <f aca="false">Y37+Y38+Y39+Y40+Y41+Y42+Y56+Y61+Y62</f>
        <v>797665.244933973</v>
      </c>
      <c r="Z63" s="27" t="n">
        <f aca="false">Z37+Z38+Z39+Z40+Z41+Z42+Z56+Z61+Z62</f>
        <v>911834.72019617</v>
      </c>
      <c r="AA63" s="27" t="n">
        <f aca="false">AA37+AA38+AA39+AA40+AA41+AA42+AA56+AA61+AA62</f>
        <v>978612.299932147</v>
      </c>
      <c r="AB63" s="27" t="n">
        <f aca="false">AB37+AB38+AB39+AB40+AB41+AB42+AB56+AB61+AB62</f>
        <v>1090533.17770469</v>
      </c>
      <c r="AC63" s="27" t="n">
        <f aca="false">AC37+AC38+AC39+AC40+AC41+AC42+AC56+AC61+AC62</f>
        <v>1238068.65824637</v>
      </c>
      <c r="AD63" s="27" t="n">
        <f aca="false">AD37+AD38+AD39+AD40+AD41+AD42+AD56+AD61+AD62</f>
        <v>1380110.70687751</v>
      </c>
      <c r="AE63" s="27" t="n">
        <f aca="false">AE37+AE38+AE39+AE40+AE41+AE42+AE56+AE61+AE62</f>
        <v>1548263.27304547</v>
      </c>
      <c r="AF63" s="27" t="n">
        <f aca="false">AF37+AF38+AF39+AF40+AF41+AF42+AF56+AF61+AF62</f>
        <v>1681952.65791424</v>
      </c>
      <c r="AG63" s="27" t="n">
        <f aca="false">SUM(U63:AF63)</f>
        <v>12152017.1582711</v>
      </c>
      <c r="AH63" s="28" t="n">
        <f aca="false">IFERROR(AG63/AG$16,"")</f>
        <v>0.780795034539815</v>
      </c>
      <c r="AI63" s="9"/>
      <c r="AJ63" s="27" t="n">
        <f aca="false">N63-AG63</f>
        <v>-7674001.54350916</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157959.801246035</v>
      </c>
      <c r="V64" s="30" t="n">
        <f aca="false">V16-V63</f>
        <v>256257.407553854</v>
      </c>
      <c r="W64" s="30" t="n">
        <f aca="false">W16-W63</f>
        <v>227455.647395124</v>
      </c>
      <c r="X64" s="30" t="n">
        <f aca="false">X16-X63</f>
        <v>153567.432717819</v>
      </c>
      <c r="Y64" s="30" t="n">
        <f aca="false">Y16-Y63</f>
        <v>199710.588399361</v>
      </c>
      <c r="Z64" s="30" t="n">
        <f aca="false">Z16-Z63</f>
        <v>204211.738137164</v>
      </c>
      <c r="AA64" s="30" t="n">
        <f aca="false">AA16-AA63</f>
        <v>252979.783401187</v>
      </c>
      <c r="AB64" s="30" t="n">
        <f aca="false">AB16-AB63</f>
        <v>289092.863961976</v>
      </c>
      <c r="AC64" s="30" t="n">
        <f aca="false">AC16-AC63</f>
        <v>323788.008420298</v>
      </c>
      <c r="AD64" s="30" t="n">
        <f aca="false">AD16-AD63</f>
        <v>371516.584789159</v>
      </c>
      <c r="AE64" s="30" t="n">
        <f aca="false">AE16-AE63</f>
        <v>426899.976954535</v>
      </c>
      <c r="AF64" s="30" t="n">
        <f aca="false">AF16-AF63</f>
        <v>548188.550419089</v>
      </c>
      <c r="AG64" s="30" t="n">
        <f aca="false">SUM(U64:AF64)</f>
        <v>3411628.3833956</v>
      </c>
      <c r="AH64" s="31" t="n">
        <f aca="false">IFERROR(AG64/AG$16,"")</f>
        <v>0.219204965460185</v>
      </c>
      <c r="AI64" s="9"/>
      <c r="AJ64" s="30" t="n">
        <f aca="false">AG64-N64</f>
        <v>465704.454824171</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0.201626336096056</v>
      </c>
      <c r="V65" s="35" t="n">
        <f aca="false">IFERROR(V64/V16,"")</f>
        <v>0.311778824781538</v>
      </c>
      <c r="W65" s="35" t="n">
        <f aca="false">IFERROR(W64/W16,"")</f>
        <v>0.281593063736884</v>
      </c>
      <c r="X65" s="35" t="n">
        <f aca="false">IFERROR(X64/X16,"")</f>
        <v>0.169290849388699</v>
      </c>
      <c r="Y65" s="35" t="n">
        <f aca="false">IFERROR(Y64/Y16,"")</f>
        <v>0.200236041143996</v>
      </c>
      <c r="Z65" s="35" t="n">
        <f aca="false">IFERROR(Z64/Z16,"")</f>
        <v>0.182977811194461</v>
      </c>
      <c r="AA65" s="35" t="n">
        <f aca="false">IFERROR(AA64/AA16,"")</f>
        <v>0.205408744359976</v>
      </c>
      <c r="AB65" s="35" t="n">
        <f aca="false">IFERROR(AB64/AB16,"")</f>
        <v>0.20954436581433</v>
      </c>
      <c r="AC65" s="35" t="n">
        <f aca="false">IFERROR(AC64/AC16,"")</f>
        <v>0.207309681695267</v>
      </c>
      <c r="AD65" s="35" t="n">
        <f aca="false">IFERROR(AD64/AD16,"")</f>
        <v>0.21209796544998</v>
      </c>
      <c r="AE65" s="35" t="n">
        <f aca="false">IFERROR(AE64/AE16,"")</f>
        <v>0.216134021810367</v>
      </c>
      <c r="AF65" s="35" t="n">
        <f aca="false">IFERROR(AF64/AF16,"")</f>
        <v>0.24580889693024</v>
      </c>
      <c r="AG65" s="35" t="n">
        <f aca="false">IFERROR(AG64/AG16,"")</f>
        <v>0.219204965460185</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206682</v>
      </c>
      <c r="V67" s="12" t="n">
        <f aca="false">SUM(FO!V67,PO!V67,CO!V67,FE!V67,PE!V67)</f>
        <v>206682</v>
      </c>
      <c r="W67" s="12" t="n">
        <f aca="false">SUM(FO!W67,PO!W67,CO!W67,FE!W67,PE!W67)</f>
        <v>206682</v>
      </c>
      <c r="X67" s="12" t="n">
        <f aca="false">SUM(FO!X67,PO!X67,CO!X67,FE!X67,PE!X67)</f>
        <v>206682</v>
      </c>
      <c r="Y67" s="12" t="n">
        <f aca="false">SUM(FO!Y67,PO!Y67,CO!Y67,FE!Y67,PE!Y67)</f>
        <v>206682</v>
      </c>
      <c r="Z67" s="12" t="n">
        <f aca="false">SUM(FO!Z67,PO!Z67,CO!Z67,FE!Z67,PE!Z67)</f>
        <v>206682</v>
      </c>
      <c r="AA67" s="12" t="n">
        <f aca="false">SUM(FO!AA67,PO!AA67,CO!AA67,FE!AA67,PE!AA67)</f>
        <v>206682</v>
      </c>
      <c r="AB67" s="12" t="n">
        <f aca="false">SUM(FO!AB67,PO!AB67,CO!AB67,FE!AB67,PE!AB67)</f>
        <v>212098.666666667</v>
      </c>
      <c r="AC67" s="12" t="n">
        <f aca="false">SUM(FO!AC67,PO!AC67,CO!AC67,FE!AC67,PE!AC67)</f>
        <v>212098.666666667</v>
      </c>
      <c r="AD67" s="12" t="n">
        <f aca="false">SUM(FO!AD67,PO!AD67,CO!AD67,FE!AD67,PE!AD67)</f>
        <v>218461.626666667</v>
      </c>
      <c r="AE67" s="12" t="n">
        <f aca="false">SUM(FO!AE67,PO!AE67,CO!AE67,FE!AE67,PE!AE67)</f>
        <v>218461.626666667</v>
      </c>
      <c r="AF67" s="12" t="n">
        <f aca="false">SUM(FO!AF67,PO!AF67,CO!AF67,FE!AF67,PE!AF67)</f>
        <v>218461.626666667</v>
      </c>
      <c r="AG67" s="12" t="n">
        <f aca="false">SUM(U67:AF67)</f>
        <v>2526356.21333333</v>
      </c>
      <c r="AH67" s="24" t="n">
        <f aca="false">IFERROR(AG67/AG$16,"")</f>
        <v>0.162324193683917</v>
      </c>
      <c r="AI67" s="9"/>
      <c r="AJ67" s="12" t="n">
        <f aca="false">N67-AG67</f>
        <v>-351967.563333333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10485.6345718877</v>
      </c>
      <c r="V68" s="12" t="n">
        <f aca="false">SUM(FO!V68,PO!V68,CO!V68,FE!V68,PE!V68)</f>
        <v>10485.6345718877</v>
      </c>
      <c r="W68" s="12" t="n">
        <f aca="false">SUM(FO!W68,PO!W68,CO!W68,FE!W68,PE!W68)</f>
        <v>10485.6345718877</v>
      </c>
      <c r="X68" s="12" t="n">
        <f aca="false">SUM(FO!X68,PO!X68,CO!X68,FE!X68,PE!X68)</f>
        <v>10485.6345718877</v>
      </c>
      <c r="Y68" s="12" t="n">
        <f aca="false">SUM(FO!Y68,PO!Y68,CO!Y68,FE!Y68,PE!Y68)</f>
        <v>10485.6345718877</v>
      </c>
      <c r="Z68" s="12" t="n">
        <f aca="false">SUM(FO!Z68,PO!Z68,CO!Z68,FE!Z68,PE!Z68)</f>
        <v>10485.6345718877</v>
      </c>
      <c r="AA68" s="12" t="n">
        <f aca="false">SUM(FO!AA68,PO!AA68,CO!AA68,FE!AA68,PE!AA68)</f>
        <v>10485.6345718877</v>
      </c>
      <c r="AB68" s="12" t="n">
        <f aca="false">SUM(FO!AB68,PO!AB68,CO!AB68,FE!AB68,PE!AB68)</f>
        <v>10853.967905221</v>
      </c>
      <c r="AC68" s="12" t="n">
        <f aca="false">SUM(FO!AC68,PO!AC68,CO!AC68,FE!AC68,PE!AC68)</f>
        <v>10853.967905221</v>
      </c>
      <c r="AD68" s="12" t="n">
        <f aca="false">SUM(FO!AD68,PO!AD68,CO!AD68,FE!AD68,PE!AD68)</f>
        <v>11179.5869423776</v>
      </c>
      <c r="AE68" s="12" t="n">
        <f aca="false">SUM(FO!AE68,PO!AE68,CO!AE68,FE!AE68,PE!AE68)</f>
        <v>11179.5869423776</v>
      </c>
      <c r="AF68" s="12" t="n">
        <f aca="false">SUM(FO!AF68,PO!AF68,CO!AF68,FE!AF68,PE!AF68)</f>
        <v>11179.5869423776</v>
      </c>
      <c r="AG68" s="12" t="n">
        <f aca="false">SUM(U68:AF68)</f>
        <v>128646.138640789</v>
      </c>
      <c r="AH68" s="24" t="n">
        <f aca="false">IFERROR(AG68/AG$16,"")</f>
        <v>0.00826581010833098</v>
      </c>
      <c r="AI68" s="9"/>
      <c r="AJ68" s="12" t="n">
        <f aca="false">N68-AG68</f>
        <v>12432.8313592112</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25175.5237120424</v>
      </c>
      <c r="V69" s="12" t="n">
        <f aca="false">SUM(FO!V69,PO!V69,CO!V69,FE!V69,PE!V69)</f>
        <v>25175.5237120424</v>
      </c>
      <c r="W69" s="12" t="n">
        <f aca="false">SUM(FO!W69,PO!W69,CO!W69,FE!W69,PE!W69)</f>
        <v>25175.5237120424</v>
      </c>
      <c r="X69" s="12" t="n">
        <f aca="false">SUM(FO!X69,PO!X69,CO!X69,FE!X69,PE!X69)</f>
        <v>25175.5237120424</v>
      </c>
      <c r="Y69" s="12" t="n">
        <f aca="false">SUM(FO!Y69,PO!Y69,CO!Y69,FE!Y69,PE!Y69)</f>
        <v>25175.5237120424</v>
      </c>
      <c r="Z69" s="12" t="n">
        <f aca="false">SUM(FO!Z69,PO!Z69,CO!Z69,FE!Z69,PE!Z69)</f>
        <v>25175.5237120424</v>
      </c>
      <c r="AA69" s="12" t="n">
        <f aca="false">SUM(FO!AA69,PO!AA69,CO!AA69,FE!AA69,PE!AA69)</f>
        <v>25175.5237120424</v>
      </c>
      <c r="AB69" s="12" t="n">
        <f aca="false">SUM(FO!AB69,PO!AB69,CO!AB69,FE!AB69,PE!AB69)</f>
        <v>26063.8570453757</v>
      </c>
      <c r="AC69" s="12" t="n">
        <f aca="false">SUM(FO!AC69,PO!AC69,CO!AC69,FE!AC69,PE!AC69)</f>
        <v>26063.8570453757</v>
      </c>
      <c r="AD69" s="12" t="n">
        <f aca="false">SUM(FO!AD69,PO!AD69,CO!AD69,FE!AD69,PE!AD69)</f>
        <v>26845.772756737</v>
      </c>
      <c r="AE69" s="12" t="n">
        <f aca="false">SUM(FO!AE69,PO!AE69,CO!AE69,FE!AE69,PE!AE69)</f>
        <v>26845.772756737</v>
      </c>
      <c r="AF69" s="12" t="n">
        <f aca="false">SUM(FO!AF69,PO!AF69,CO!AF69,FE!AF69,PE!AF69)</f>
        <v>26845.772756737</v>
      </c>
      <c r="AG69" s="12" t="n">
        <f aca="false">SUM(U69:AF69)</f>
        <v>308893.698345259</v>
      </c>
      <c r="AH69" s="24" t="n">
        <f aca="false">IFERROR(AG69/AG$16,"")</f>
        <v>0.0198471301288824</v>
      </c>
      <c r="AI69" s="9"/>
      <c r="AJ69" s="12" t="n">
        <f aca="false">N69-AG69</f>
        <v>-14149.9183452588</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242343.15828393</v>
      </c>
      <c r="V73" s="39" t="n">
        <f aca="false">SUM(V67:V72)</f>
        <v>242343.15828393</v>
      </c>
      <c r="W73" s="39" t="n">
        <f aca="false">SUM(W67:W72)</f>
        <v>242343.15828393</v>
      </c>
      <c r="X73" s="39" t="n">
        <f aca="false">SUM(X67:X72)</f>
        <v>242343.15828393</v>
      </c>
      <c r="Y73" s="39" t="n">
        <f aca="false">SUM(Y67:Y72)</f>
        <v>242343.15828393</v>
      </c>
      <c r="Z73" s="39" t="n">
        <f aca="false">SUM(Z67:Z72)</f>
        <v>242343.15828393</v>
      </c>
      <c r="AA73" s="39" t="n">
        <f aca="false">SUM(AA67:AA72)</f>
        <v>242343.15828393</v>
      </c>
      <c r="AB73" s="39" t="n">
        <f aca="false">SUM(AB67:AB72)</f>
        <v>249016.491617263</v>
      </c>
      <c r="AC73" s="39" t="n">
        <f aca="false">SUM(AC67:AC72)</f>
        <v>249016.491617263</v>
      </c>
      <c r="AD73" s="39" t="n">
        <f aca="false">SUM(AD67:AD72)</f>
        <v>256486.986365781</v>
      </c>
      <c r="AE73" s="39" t="n">
        <f aca="false">SUM(AE67:AE72)</f>
        <v>256486.986365781</v>
      </c>
      <c r="AF73" s="39" t="n">
        <f aca="false">SUM(AF67:AF72)</f>
        <v>256486.986365781</v>
      </c>
      <c r="AG73" s="39" t="n">
        <f aca="false">SUM(U73:AF73)</f>
        <v>2963896.05031938</v>
      </c>
      <c r="AH73" s="40" t="n">
        <f aca="false">IFERROR(AG73/AG$16,"")</f>
        <v>0.19043713392113</v>
      </c>
      <c r="AI73" s="9"/>
      <c r="AJ73" s="39" t="n">
        <f aca="false">N73-AG73</f>
        <v>-353684.650319381</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265234.032763097</v>
      </c>
      <c r="V116" s="27" t="n">
        <f aca="false">V73+SUM(V74:V80)+V87+SUM(V88:V115)</f>
        <v>265234.032763097</v>
      </c>
      <c r="W116" s="27" t="n">
        <f aca="false">W73+SUM(W74:W80)+W87+SUM(W88:W115)</f>
        <v>266434.032763097</v>
      </c>
      <c r="X116" s="27" t="n">
        <f aca="false">X73+SUM(X74:X80)+X87+SUM(X88:X115)</f>
        <v>266434.032763097</v>
      </c>
      <c r="Y116" s="27" t="n">
        <f aca="false">Y73+SUM(Y74:Y80)+Y87+SUM(Y88:Y115)</f>
        <v>267333.199429763</v>
      </c>
      <c r="Z116" s="27" t="n">
        <f aca="false">Z73+SUM(Z74:Z80)+Z87+SUM(Z88:Z115)</f>
        <v>267632.36609643</v>
      </c>
      <c r="AA116" s="27" t="n">
        <f aca="false">AA73+SUM(AA74:AA80)+AA87+SUM(AA88:AA115)</f>
        <v>268531.532763097</v>
      </c>
      <c r="AB116" s="27" t="n">
        <f aca="false">AB73+SUM(AB74:AB80)+AB87+SUM(AB88:AB115)</f>
        <v>275504.032763097</v>
      </c>
      <c r="AC116" s="27" t="n">
        <f aca="false">AC73+SUM(AC74:AC80)+AC87+SUM(AC88:AC115)</f>
        <v>276403.199429763</v>
      </c>
      <c r="AD116" s="27" t="n">
        <f aca="false">AD73+SUM(AD74:AD80)+AD87+SUM(AD88:AD115)</f>
        <v>284172.860844948</v>
      </c>
      <c r="AE116" s="27" t="n">
        <f aca="false">AE73+SUM(AE74:AE80)+AE87+SUM(AE88:AE115)</f>
        <v>285072.027511615</v>
      </c>
      <c r="AF116" s="27" t="n">
        <f aca="false">AF73+SUM(AF74:AF80)+AF87+SUM(AF88:AF115)</f>
        <v>284611.194178281</v>
      </c>
      <c r="AG116" s="27" t="n">
        <f aca="false">SUM(U116:AF116)</f>
        <v>3272596.54406938</v>
      </c>
      <c r="AH116" s="28" t="n">
        <f aca="false">IFERROR(AG116/AG$16,"")</f>
        <v>0.210271850210676</v>
      </c>
      <c r="AI116" s="9"/>
      <c r="AJ116" s="27" t="n">
        <f aca="false">N116-AG116</f>
        <v>657360.755930619</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-107274.231517062</v>
      </c>
      <c r="V117" s="39" t="n">
        <f aca="false">V64-V116</f>
        <v>-8976.62520924269</v>
      </c>
      <c r="W117" s="39" t="n">
        <f aca="false">W64-W116</f>
        <v>-38978.3853679724</v>
      </c>
      <c r="X117" s="39" t="n">
        <f aca="false">X64-X116</f>
        <v>-112866.600045278</v>
      </c>
      <c r="Y117" s="39" t="n">
        <f aca="false">Y64-Y116</f>
        <v>-67622.6110304026</v>
      </c>
      <c r="Z117" s="39" t="n">
        <f aca="false">Z64-Z116</f>
        <v>-63420.62795927</v>
      </c>
      <c r="AA117" s="39" t="n">
        <f aca="false">AA64-AA116</f>
        <v>-15551.749361914</v>
      </c>
      <c r="AB117" s="39" t="n">
        <f aca="false">AB64-AB116</f>
        <v>13588.8311988826</v>
      </c>
      <c r="AC117" s="39" t="n">
        <f aca="false">AC64-AC116</f>
        <v>47384.8089905373</v>
      </c>
      <c r="AD117" s="39" t="n">
        <f aca="false">AD64-AD116</f>
        <v>87343.7239442141</v>
      </c>
      <c r="AE117" s="39" t="n">
        <f aca="false">AE64-AE116</f>
        <v>141827.949442921</v>
      </c>
      <c r="AF117" s="39" t="n">
        <f aca="false">AF64-AF116</f>
        <v>263577.356240805</v>
      </c>
      <c r="AG117" s="39" t="n">
        <f aca="false">SUM(U117:AF117)</f>
        <v>139031.839326218</v>
      </c>
      <c r="AH117" s="40" t="n">
        <f aca="false">IFERROR(AG117/AG$16,"")</f>
        <v>0.00893311524950915</v>
      </c>
      <c r="AI117" s="9"/>
      <c r="AJ117" s="39" t="n">
        <f aca="false">AG117-N117</f>
        <v>1123065.21075479</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-107274.231517062</v>
      </c>
      <c r="V132" s="30" t="n">
        <f aca="false">V117+V131</f>
        <v>-8976.62520924269</v>
      </c>
      <c r="W132" s="30" t="n">
        <f aca="false">W117+W131</f>
        <v>-38978.3853679724</v>
      </c>
      <c r="X132" s="30" t="n">
        <f aca="false">X117+X131</f>
        <v>-112866.600045278</v>
      </c>
      <c r="Y132" s="30" t="n">
        <f aca="false">Y117+Y131</f>
        <v>-67622.6110304026</v>
      </c>
      <c r="Z132" s="30" t="n">
        <f aca="false">Z117+Z131</f>
        <v>-63420.62795927</v>
      </c>
      <c r="AA132" s="30" t="n">
        <f aca="false">AA117+AA131</f>
        <v>-15551.749361914</v>
      </c>
      <c r="AB132" s="30" t="n">
        <f aca="false">AB117+AB131</f>
        <v>13588.8311988826</v>
      </c>
      <c r="AC132" s="30" t="n">
        <f aca="false">AC117+AC131</f>
        <v>47384.8089905373</v>
      </c>
      <c r="AD132" s="30" t="n">
        <f aca="false">AD117+AD131</f>
        <v>87343.7239442141</v>
      </c>
      <c r="AE132" s="30" t="n">
        <f aca="false">AE117+AE131</f>
        <v>141827.949442921</v>
      </c>
      <c r="AF132" s="30" t="n">
        <f aca="false">AF117+AF131</f>
        <v>263577.356240805</v>
      </c>
      <c r="AG132" s="30" t="n">
        <f aca="false">SUM(U132:AF132)</f>
        <v>139031.839326218</v>
      </c>
      <c r="AH132" s="31" t="n">
        <f aca="false">IFERROR(AG132/AG$16,"")</f>
        <v>0.00893311524950915</v>
      </c>
      <c r="AI132" s="9"/>
      <c r="AJ132" s="30" t="n">
        <f aca="false">AG132-N132</f>
        <v>1038253.89075479</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5.82076609134674E-011</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370258.25</v>
      </c>
      <c r="V137" s="12" t="n">
        <f aca="false">SUMIF($A$9:$A$132,"*"&amp;$A137&amp;"*",V$9:V$132)</f>
        <v>366258.25</v>
      </c>
      <c r="W137" s="12" t="n">
        <f aca="false">SUMIF($A$9:$A$132,"*"&amp;$A137&amp;"*",W$9:W$132)</f>
        <v>404758.25</v>
      </c>
      <c r="X137" s="12" t="n">
        <f aca="false">SUMIF($A$9:$A$132,"*"&amp;$A137&amp;"*",X$9:X$132)</f>
        <v>416508.25</v>
      </c>
      <c r="Y137" s="12" t="n">
        <f aca="false">SUMIF($A$9:$A$132,"*"&amp;$A137&amp;"*",Y$9:Y$132)</f>
        <v>446758.25</v>
      </c>
      <c r="Z137" s="12" t="n">
        <f aca="false">SUMIF($A$9:$A$132,"*"&amp;$A137&amp;"*",Z$9:Z$132)</f>
        <v>473008.25</v>
      </c>
      <c r="AA137" s="12" t="n">
        <f aca="false">SUMIF($A$9:$A$132,"*"&amp;$A137&amp;"*",AA$9:AA$132)</f>
        <v>516008.25</v>
      </c>
      <c r="AB137" s="12" t="n">
        <f aca="false">SUMIF($A$9:$A$132,"*"&amp;$A137&amp;"*",AB$9:AB$132)</f>
        <v>558174.916666667</v>
      </c>
      <c r="AC137" s="12" t="n">
        <f aca="false">SUMIF($A$9:$A$132,"*"&amp;$A137&amp;"*",AC$9:AC$132)</f>
        <v>594924.916666667</v>
      </c>
      <c r="AD137" s="12" t="n">
        <f aca="false">SUMIF($A$9:$A$132,"*"&amp;$A137&amp;"*",AD$9:AD$132)</f>
        <v>667680.164166667</v>
      </c>
      <c r="AE137" s="12" t="n">
        <f aca="false">SUMIF($A$9:$A$132,"*"&amp;$A137&amp;"*",AE$9:AE$132)</f>
        <v>712930.164166667</v>
      </c>
      <c r="AF137" s="12" t="n">
        <f aca="false">SUMIF($A$9:$A$132,"*"&amp;$A137&amp;"*",AF$9:AF$132)</f>
        <v>762430.164166667</v>
      </c>
      <c r="AG137" s="12" t="n">
        <f aca="false">SUMIF($A$9:$A$132,"*"&amp;$A137&amp;"*",AG$9:AG$132)</f>
        <v>6289698.07583333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19962.4481415156</v>
      </c>
      <c r="V139" s="12" t="n">
        <f aca="false">SUMIF($A$9:$A$132,"*"&amp;$A139&amp;"*",V$9:V$132)</f>
        <v>19962.4481415156</v>
      </c>
      <c r="W139" s="12" t="n">
        <f aca="false">SUMIF($A$9:$A$132,"*"&amp;$A139&amp;"*",W$9:W$132)</f>
        <v>21900.4481415156</v>
      </c>
      <c r="X139" s="12" t="n">
        <f aca="false">SUMIF($A$9:$A$132,"*"&amp;$A139&amp;"*",X$9:X$132)</f>
        <v>22971.4481415156</v>
      </c>
      <c r="Y139" s="12" t="n">
        <f aca="false">SUMIF($A$9:$A$132,"*"&amp;$A139&amp;"*",Y$9:Y$132)</f>
        <v>24756.4481415156</v>
      </c>
      <c r="Z139" s="12" t="n">
        <f aca="false">SUMIF($A$9:$A$132,"*"&amp;$A139&amp;"*",Z$9:Z$132)</f>
        <v>26541.4481415156</v>
      </c>
      <c r="AA139" s="12" t="n">
        <f aca="false">SUMIF($A$9:$A$132,"*"&amp;$A139&amp;"*",AA$9:AA$132)</f>
        <v>29193.4481415156</v>
      </c>
      <c r="AB139" s="12" t="n">
        <f aca="false">SUMIF($A$9:$A$132,"*"&amp;$A139&amp;"*",AB$9:AB$132)</f>
        <v>32060.781474849</v>
      </c>
      <c r="AC139" s="12" t="n">
        <f aca="false">SUMIF($A$9:$A$132,"*"&amp;$A139&amp;"*",AC$9:AC$132)</f>
        <v>34559.781474849</v>
      </c>
      <c r="AD139" s="12" t="n">
        <f aca="false">SUMIF($A$9:$A$132,"*"&amp;$A139&amp;"*",AD$9:AD$132)</f>
        <v>38950.8449190944</v>
      </c>
      <c r="AE139" s="12" t="n">
        <f aca="false">SUMIF($A$9:$A$132,"*"&amp;$A139&amp;"*",AE$9:AE$132)</f>
        <v>42163.8449190944</v>
      </c>
      <c r="AF139" s="12" t="n">
        <f aca="false">SUMIF($A$9:$A$132,"*"&amp;$A139&amp;"*",AF$9:AF$132)</f>
        <v>45529.8449190944</v>
      </c>
      <c r="AG139" s="12" t="n">
        <f aca="false">SUMIF($A$9:$A$132,"*"&amp;$A139&amp;"*",AG$9:AG$132)</f>
        <v>358553.234697591</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53186.6874630371</v>
      </c>
      <c r="V140" s="12" t="n">
        <f aca="false">SUMIF($A$9:$A$132,"*"&amp;$A140&amp;"*",V$9:V$132)</f>
        <v>53186.6874630371</v>
      </c>
      <c r="W140" s="12" t="n">
        <f aca="false">SUMIF($A$9:$A$132,"*"&amp;$A140&amp;"*",W$9:W$132)</f>
        <v>57860.6874630371</v>
      </c>
      <c r="X140" s="12" t="n">
        <f aca="false">SUMIF($A$9:$A$132,"*"&amp;$A140&amp;"*",X$9:X$132)</f>
        <v>60443.6874630371</v>
      </c>
      <c r="Y140" s="12" t="n">
        <f aca="false">SUMIF($A$9:$A$132,"*"&amp;$A140&amp;"*",Y$9:Y$132)</f>
        <v>64748.6874630371</v>
      </c>
      <c r="Z140" s="12" t="n">
        <f aca="false">SUMIF($A$9:$A$132,"*"&amp;$A140&amp;"*",Z$9:Z$132)</f>
        <v>69053.6874630371</v>
      </c>
      <c r="AA140" s="12" t="n">
        <f aca="false">SUMIF($A$9:$A$132,"*"&amp;$A140&amp;"*",AA$9:AA$132)</f>
        <v>75449.6874630371</v>
      </c>
      <c r="AB140" s="12" t="n">
        <f aca="false">SUMIF($A$9:$A$132,"*"&amp;$A140&amp;"*",AB$9:AB$132)</f>
        <v>82365.0207963704</v>
      </c>
      <c r="AC140" s="12" t="n">
        <f aca="false">SUMIF($A$9:$A$132,"*"&amp;$A140&amp;"*",AC$9:AC$132)</f>
        <v>88392.0207963704</v>
      </c>
      <c r="AD140" s="12" t="n">
        <f aca="false">SUMIF($A$9:$A$132,"*"&amp;$A140&amp;"*",AD$9:AD$132)</f>
        <v>99133.4914202616</v>
      </c>
      <c r="AE140" s="12" t="n">
        <f aca="false">SUMIF($A$9:$A$132,"*"&amp;$A140&amp;"*",AE$9:AE$132)</f>
        <v>106882.491420262</v>
      </c>
      <c r="AF140" s="12" t="n">
        <f aca="false">SUMIF($A$9:$A$132,"*"&amp;$A140&amp;"*",AF$9:AF$132)</f>
        <v>115000.491420262</v>
      </c>
      <c r="AG140" s="12" t="n">
        <f aca="false">SUMIF($A$9:$A$132,"*"&amp;$A140&amp;"*",AG$9:AG$132)</f>
        <v>925703.328094785</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0.197562473232002</v>
      </c>
      <c r="V141" s="24" t="n">
        <f aca="false">IFERROR(SUM(V139:V140)/SUM(V137:V138),"")</f>
        <v>0.199720103518631</v>
      </c>
      <c r="W141" s="24" t="n">
        <f aca="false">IFERROR(SUM(W139:W140)/SUM(W137:W138),"")</f>
        <v>0.197058702582474</v>
      </c>
      <c r="X141" s="24" t="n">
        <f aca="false">IFERROR(SUM(X139:X140)/SUM(X137:X138),"")</f>
        <v>0.200272469043657</v>
      </c>
      <c r="Y141" s="24" t="n">
        <f aca="false">IFERROR(SUM(Y139:Y140)/SUM(Y137:Y138),"")</f>
        <v>0.200343554046406</v>
      </c>
      <c r="Z141" s="24" t="n">
        <f aca="false">IFERROR(SUM(Z139:Z140)/SUM(Z137:Z138),"")</f>
        <v>0.202100355764519</v>
      </c>
      <c r="AA141" s="24" t="n">
        <f aca="false">IFERROR(SUM(AA139:AA140)/SUM(AA137:AA138),"")</f>
        <v>0.202793532088979</v>
      </c>
      <c r="AB141" s="24" t="n">
        <f aca="false">IFERROR(SUM(AB139:AB140)/SUM(AB137:AB138),"")</f>
        <v>0.204999900308227</v>
      </c>
      <c r="AC141" s="24" t="n">
        <f aca="false">IFERROR(SUM(AC139:AC140)/SUM(AC137:AC138),"")</f>
        <v>0.206667763992996</v>
      </c>
      <c r="AD141" s="24" t="n">
        <f aca="false">IFERROR(SUM(AD139:AD140)/SUM(AD137:AD138),"")</f>
        <v>0.206812099190785</v>
      </c>
      <c r="AE141" s="24" t="n">
        <f aca="false">IFERROR(SUM(AE139:AE140)/SUM(AE137:AE138),"")</f>
        <v>0.209061621783915</v>
      </c>
      <c r="AF141" s="24" t="n">
        <f aca="false">IFERROR(SUM(AF139:AF140)/SUM(AF137:AF138),"")</f>
        <v>0.210550872570493</v>
      </c>
      <c r="AG141" s="24" t="n">
        <f aca="false">IFERROR(SUM(AG139:AG140)/SUM(AG137:AG138),"")</f>
        <v>0.204184135280965</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f>
        <v>35921.0904761905</v>
      </c>
      <c r="V20" s="59" t="n">
        <f aca="false">'Depreciation Schedule'!G80</f>
        <v>42111.5666666667</v>
      </c>
      <c r="W20" s="59" t="n">
        <f aca="false">'Depreciation Schedule'!H80</f>
        <v>42111.5666666667</v>
      </c>
      <c r="X20" s="59" t="n">
        <f aca="false">'Depreciation Schedule'!I80</f>
        <v>59135.3761904762</v>
      </c>
      <c r="Y20" s="59" t="n">
        <f aca="false">'Depreciation Schedule'!J80</f>
        <v>69968.7095238095</v>
      </c>
      <c r="Z20" s="59" t="n">
        <f aca="false">'Depreciation Schedule'!K80</f>
        <v>85444.9</v>
      </c>
      <c r="AA20" s="59" t="n">
        <f aca="false">'Depreciation Schedule'!L80</f>
        <v>99373.4714285714</v>
      </c>
      <c r="AB20" s="59" t="n">
        <f aca="false">'Depreciation Schedule'!M80</f>
        <v>116397.280952381</v>
      </c>
      <c r="AC20" s="59" t="n">
        <f aca="false">'Depreciation Schedule'!N80</f>
        <v>138063.947619048</v>
      </c>
      <c r="AD20" s="59" t="n">
        <f aca="false">'Depreciation Schedule'!O80</f>
        <v>159730.614285714</v>
      </c>
      <c r="AE20" s="59" t="n">
        <f aca="false">'Depreciation Schedule'!P80</f>
        <v>186040.138095238</v>
      </c>
      <c r="AF20" s="59" t="n">
        <f aca="false">'Depreciation Schedule'!Q80</f>
        <v>213897.280952381</v>
      </c>
      <c r="AG20" s="12" t="n">
        <f aca="false">SUM(U20:AF20)</f>
        <v>1248195.94285714</v>
      </c>
      <c r="AH20" s="24" t="n">
        <f aca="false">IFERROR(AG20/AG$16,"")</f>
        <v>0.0801994583798184</v>
      </c>
      <c r="AI20" s="9" t="s">
        <v>1403</v>
      </c>
      <c r="AJ20" s="12" t="n">
        <f aca="false">N20-AG20</f>
        <v>-1147836.09142857</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f>
        <v>10502.64</v>
      </c>
      <c r="V21" s="59" t="n">
        <f aca="false">'Depreciation Schedule'!G81</f>
        <v>12102.64</v>
      </c>
      <c r="W21" s="59" t="n">
        <f aca="false">'Depreciation Schedule'!H81</f>
        <v>12102.64</v>
      </c>
      <c r="X21" s="59" t="n">
        <f aca="false">'Depreciation Schedule'!I81</f>
        <v>17835.9733333333</v>
      </c>
      <c r="Y21" s="59" t="n">
        <f aca="false">'Depreciation Schedule'!J81</f>
        <v>21902.64</v>
      </c>
      <c r="Z21" s="59" t="n">
        <f aca="false">'Depreciation Schedule'!K81</f>
        <v>28435.9733333333</v>
      </c>
      <c r="AA21" s="59" t="n">
        <f aca="false">'Depreciation Schedule'!L81</f>
        <v>33302.64</v>
      </c>
      <c r="AB21" s="59" t="n">
        <f aca="false">'Depreciation Schedule'!M81</f>
        <v>38969.3066666667</v>
      </c>
      <c r="AC21" s="59" t="n">
        <f aca="false">'Depreciation Schedule'!N81</f>
        <v>47102.64</v>
      </c>
      <c r="AD21" s="59" t="n">
        <f aca="false">'Depreciation Schedule'!O81</f>
        <v>55235.9733333333</v>
      </c>
      <c r="AE21" s="59" t="n">
        <f aca="false">'Depreciation Schedule'!P81</f>
        <v>65835.9733333333</v>
      </c>
      <c r="AF21" s="59" t="n">
        <f aca="false">'Depreciation Schedule'!Q81</f>
        <v>75569.3066666667</v>
      </c>
      <c r="AG21" s="12" t="n">
        <f aca="false">SUM(U21:AF21)</f>
        <v>418898.346666667</v>
      </c>
      <c r="AH21" s="24" t="n">
        <f aca="false">IFERROR(AG21/AG$16,"")</f>
        <v>0.0269151816356393</v>
      </c>
      <c r="AI21" s="9" t="s">
        <v>1404</v>
      </c>
      <c r="AJ21" s="12" t="n">
        <f aca="false">N21-AG21</f>
        <v>-381905.65</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2" t="n">
        <f aca="false">SUM(U33:AF33)</f>
        <v>525310.5</v>
      </c>
      <c r="AH33" s="24" t="n">
        <f aca="false">IFERROR(AG33/AG$16,"")</f>
        <v>0.033752407081853</v>
      </c>
      <c r="AI33" s="9"/>
      <c r="AJ33" s="12" t="n">
        <f aca="false">N33-AG33</f>
        <v>-388230.12</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2" t="n">
        <f aca="false">SUM(U34:AF34)</f>
        <v>19104.9634068018</v>
      </c>
      <c r="AH34" s="24" t="n">
        <f aca="false">IFERROR(AG34/AG$16,"")</f>
        <v>0.00122753781276079</v>
      </c>
      <c r="AI34" s="9"/>
      <c r="AJ34" s="12" t="n">
        <f aca="false">N34-AG34</f>
        <v>-13133.2534068018</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2" t="n">
        <f aca="false">SUM(U35:AF35)</f>
        <v>108404.486299526</v>
      </c>
      <c r="AH35" s="24" t="n">
        <f aca="false">IFERROR(AG35/AG$16,"")</f>
        <v>0.00696523741878521</v>
      </c>
      <c r="AI35" s="9"/>
      <c r="AJ35" s="12" t="n">
        <f aca="false">N35-AG35</f>
        <v>-54133.2462995263</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-455496.619706328</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244145.383511099</v>
      </c>
      <c r="V37" s="27" t="n">
        <f aca="false">V19+V22+V27+V28+V29+V30+V31+V36+V20+V21</f>
        <v>247329.907320623</v>
      </c>
      <c r="W37" s="27" t="n">
        <f aca="false">W19+W22+W27+W28+W29+W30+W31+W36+W20+W21</f>
        <v>247329.907320623</v>
      </c>
      <c r="X37" s="27" t="n">
        <f aca="false">X19+X22+X27+X28+X29+X30+X31+X36+X20+X21</f>
        <v>271170.681130147</v>
      </c>
      <c r="Y37" s="27" t="n">
        <f aca="false">Y19+Y22+Y27+Y28+Y29+Y30+Y31+Y36+Y20+Y21</f>
        <v>291760.26446348</v>
      </c>
      <c r="Z37" s="27" t="n">
        <f aca="false">Z19+Z22+Z27+Z28+Z29+Z30+Z31+Z36+Z20+Z21</f>
        <v>310296.573987289</v>
      </c>
      <c r="AA37" s="27" t="n">
        <f aca="false">AA19+AA22+AA27+AA28+AA29+AA30+AA31+AA36+AA20+AA21</f>
        <v>330249.252558718</v>
      </c>
      <c r="AB37" s="27" t="n">
        <f aca="false">AB19+AB22+AB27+AB28+AB29+AB30+AB31+AB36+AB20+AB21</f>
        <v>354294.193034908</v>
      </c>
      <c r="AC37" s="27" t="n">
        <f aca="false">AC19+AC22+AC27+AC28+AC29+AC30+AC31+AC36+AC20+AC21</f>
        <v>385744.193034908</v>
      </c>
      <c r="AD37" s="27" t="n">
        <f aca="false">AD19+AD22+AD27+AD28+AD29+AD30+AD31+AD36+AD20+AD21</f>
        <v>422189.093654527</v>
      </c>
      <c r="AE37" s="27" t="n">
        <f aca="false">AE19+AE22+AE27+AE28+AE29+AE30+AE31+AE36+AE20+AE21</f>
        <v>457669.153178337</v>
      </c>
      <c r="AF37" s="27" t="n">
        <f aca="false">AF19+AF22+AF27+AF28+AF29+AF30+AF31+AF36+AF20+AF21</f>
        <v>497303.67698786</v>
      </c>
      <c r="AG37" s="27" t="n">
        <f aca="false">SUM(U37:AF37)</f>
        <v>4059482.28018252</v>
      </c>
      <c r="AH37" s="28" t="n">
        <f aca="false">IFERROR(AG37/AG$16,"")</f>
        <v>0.260831067458749</v>
      </c>
      <c r="AI37" s="9"/>
      <c r="AJ37" s="27" t="n">
        <f aca="false">N37-AG37</f>
        <v>-1947565.19542061</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300018.011386099</v>
      </c>
      <c r="V63" s="27" t="n">
        <f aca="false">V37+V38+V39+V40+V41+V42+V56+V61+V62</f>
        <v>273202.535195623</v>
      </c>
      <c r="W63" s="27" t="n">
        <f aca="false">W37+W38+W39+W40+W41+W42+W56+W61+W62</f>
        <v>273202.535195623</v>
      </c>
      <c r="X63" s="27" t="n">
        <f aca="false">X37+X38+X39+X40+X41+X42+X56+X61+X62</f>
        <v>297043.309005147</v>
      </c>
      <c r="Y63" s="27" t="n">
        <f aca="false">Y37+Y38+Y39+Y40+Y41+Y42+Y56+Y61+Y62</f>
        <v>318070.39233848</v>
      </c>
      <c r="Z63" s="27" t="n">
        <f aca="false">Z37+Z38+Z39+Z40+Z41+Z42+Z56+Z61+Z62</f>
        <v>337044.201862289</v>
      </c>
      <c r="AA63" s="27" t="n">
        <f aca="false">AA37+AA38+AA39+AA40+AA41+AA42+AA56+AA61+AA62</f>
        <v>357434.380433718</v>
      </c>
      <c r="AB63" s="27" t="n">
        <f aca="false">AB37+AB38+AB39+AB40+AB41+AB42+AB56+AB61+AB62</f>
        <v>381916.820909908</v>
      </c>
      <c r="AC63" s="27" t="n">
        <f aca="false">AC37+AC38+AC39+AC40+AC41+AC42+AC56+AC61+AC62</f>
        <v>413804.320909909</v>
      </c>
      <c r="AD63" s="27" t="n">
        <f aca="false">AD37+AD38+AD39+AD40+AD41+AD42+AD56+AD61+AD62</f>
        <v>450686.721529527</v>
      </c>
      <c r="AE63" s="27" t="n">
        <f aca="false">AE37+AE38+AE39+AE40+AE41+AE42+AE56+AE61+AE62</f>
        <v>486604.281053337</v>
      </c>
      <c r="AF63" s="27" t="n">
        <f aca="false">AF37+AF38+AF39+AF40+AF41+AF42+AF56+AF61+AF62</f>
        <v>526676.304862861</v>
      </c>
      <c r="AG63" s="27" t="n">
        <f aca="false">SUM(U63:AF63)</f>
        <v>4415703.81468252</v>
      </c>
      <c r="AH63" s="28" t="n">
        <f aca="false">IFERROR(AG63/AG$16,"")</f>
        <v>0.283719119846368</v>
      </c>
      <c r="AI63" s="9"/>
      <c r="AJ63" s="27" t="n">
        <f aca="false">N63-AG63</f>
        <v>-2054365.38992061</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483410.405280568</v>
      </c>
      <c r="V64" s="27" t="n">
        <f aca="false">V16-V63</f>
        <v>548717.964804378</v>
      </c>
      <c r="W64" s="27" t="n">
        <f aca="false">W16-W63</f>
        <v>534543.381471044</v>
      </c>
      <c r="X64" s="27" t="n">
        <f aca="false">X16-X63</f>
        <v>610078.565994854</v>
      </c>
      <c r="Y64" s="27" t="n">
        <f aca="false">Y16-Y63</f>
        <v>679305.440994854</v>
      </c>
      <c r="Z64" s="27" t="n">
        <f aca="false">Z16-Z63</f>
        <v>779002.256471045</v>
      </c>
      <c r="AA64" s="27" t="n">
        <f aca="false">AA16-AA63</f>
        <v>874157.702899616</v>
      </c>
      <c r="AB64" s="27" t="n">
        <f aca="false">AB16-AB63</f>
        <v>997709.220756759</v>
      </c>
      <c r="AC64" s="27" t="n">
        <f aca="false">AC16-AC63</f>
        <v>1148052.34575676</v>
      </c>
      <c r="AD64" s="27" t="n">
        <f aca="false">AD16-AD63</f>
        <v>1300940.57013714</v>
      </c>
      <c r="AE64" s="27" t="n">
        <f aca="false">AE16-AE63</f>
        <v>1488558.96894666</v>
      </c>
      <c r="AF64" s="27" t="n">
        <f aca="false">AF16-AF63</f>
        <v>1703464.90347047</v>
      </c>
      <c r="AG64" s="27" t="n">
        <f aca="false">SUM(U64:AF64)</f>
        <v>11147941.7269842</v>
      </c>
      <c r="AH64" s="28" t="n">
        <f aca="false">IFERROR(AG64/AG$16,"")</f>
        <v>0.716280880153632</v>
      </c>
      <c r="AI64" s="9"/>
      <c r="AJ64" s="27" t="n">
        <f aca="false">AG64-N64</f>
        <v>6085340.60841272</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469493.738613901</v>
      </c>
      <c r="V117" s="27" t="n">
        <f aca="false">V64-V116</f>
        <v>534801.298137711</v>
      </c>
      <c r="W117" s="27" t="n">
        <f aca="false">W64-W116</f>
        <v>520626.714804378</v>
      </c>
      <c r="X117" s="27" t="n">
        <f aca="false">X64-X116</f>
        <v>596161.899328187</v>
      </c>
      <c r="Y117" s="27" t="n">
        <f aca="false">Y64-Y116</f>
        <v>665259.607661521</v>
      </c>
      <c r="Z117" s="27" t="n">
        <f aca="false">Z64-Z116</f>
        <v>764827.256471045</v>
      </c>
      <c r="AA117" s="27" t="n">
        <f aca="false">AA64-AA116</f>
        <v>859853.536232949</v>
      </c>
      <c r="AB117" s="27" t="n">
        <f aca="false">AB64-AB116</f>
        <v>983275.887423425</v>
      </c>
      <c r="AC117" s="27" t="n">
        <f aca="false">AC64-AC116</f>
        <v>1133489.84575676</v>
      </c>
      <c r="AD117" s="27" t="n">
        <f aca="false">AD64-AD116</f>
        <v>1286248.90347047</v>
      </c>
      <c r="AE117" s="27" t="n">
        <f aca="false">AE64-AE116</f>
        <v>1473738.13561333</v>
      </c>
      <c r="AF117" s="27" t="n">
        <f aca="false">AF64-AF116</f>
        <v>1688514.90347047</v>
      </c>
      <c r="AG117" s="27" t="n">
        <f aca="false">SUM(U117:AF117)</f>
        <v>10976291.7269842</v>
      </c>
      <c r="AH117" s="28" t="n">
        <f aca="false">IFERROR(AG117/AG$16,"")</f>
        <v>0.705251973106086</v>
      </c>
      <c r="AI117" s="9"/>
      <c r="AJ117" s="27" t="n">
        <f aca="false">AG117-N117</f>
        <v>6375393.58841272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469493.738613901</v>
      </c>
      <c r="V132" s="71" t="n">
        <f aca="false">V117+V131</f>
        <v>534801.298137711</v>
      </c>
      <c r="W132" s="71" t="n">
        <f aca="false">W117+W131</f>
        <v>520626.714804378</v>
      </c>
      <c r="X132" s="71" t="n">
        <f aca="false">X117+X131</f>
        <v>596161.899328187</v>
      </c>
      <c r="Y132" s="71" t="n">
        <f aca="false">Y117+Y131</f>
        <v>665259.607661521</v>
      </c>
      <c r="Z132" s="71" t="n">
        <f aca="false">Z117+Z131</f>
        <v>764827.256471045</v>
      </c>
      <c r="AA132" s="71" t="n">
        <f aca="false">AA117+AA131</f>
        <v>859853.536232949</v>
      </c>
      <c r="AB132" s="71" t="n">
        <f aca="false">AB117+AB131</f>
        <v>983275.887423425</v>
      </c>
      <c r="AC132" s="71" t="n">
        <f aca="false">AC117+AC131</f>
        <v>1133489.84575676</v>
      </c>
      <c r="AD132" s="71" t="n">
        <f aca="false">AD117+AD131</f>
        <v>1286248.90347047</v>
      </c>
      <c r="AE132" s="71" t="n">
        <f aca="false">AE117+AE131</f>
        <v>1473738.13561333</v>
      </c>
      <c r="AF132" s="71" t="n">
        <f aca="false">AF117+AF131</f>
        <v>1688514.90347047</v>
      </c>
      <c r="AG132" s="71" t="n">
        <f aca="false">SUM(U132:AF132)</f>
        <v>10976291.7269842</v>
      </c>
      <c r="AH132" s="72" t="n">
        <f aca="false">IFERROR(AG132/AG$16,"")</f>
        <v>0.705251973106086</v>
      </c>
      <c r="AI132" s="9"/>
      <c r="AJ132" s="71" t="n">
        <f aca="false">AG132-N132</f>
        <v>6290582.26841272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43450</v>
      </c>
      <c r="V137" s="12" t="n">
        <f aca="false">SUMIF($A$9:$A$132,"*"&amp;$A137&amp;"*",V$9:V$132)</f>
        <v>43450</v>
      </c>
      <c r="W137" s="12" t="n">
        <f aca="false">SUMIF($A$9:$A$132,"*"&amp;$A137&amp;"*",W$9:W$132)</f>
        <v>43450</v>
      </c>
      <c r="X137" s="12" t="n">
        <f aca="false">SUMIF($A$9:$A$132,"*"&amp;$A137&amp;"*",X$9:X$132)</f>
        <v>43450</v>
      </c>
      <c r="Y137" s="12" t="n">
        <f aca="false">SUMIF($A$9:$A$132,"*"&amp;$A137&amp;"*",Y$9:Y$132)</f>
        <v>43450</v>
      </c>
      <c r="Z137" s="12" t="n">
        <f aca="false">SUMIF($A$9:$A$132,"*"&amp;$A137&amp;"*",Z$9:Z$132)</f>
        <v>43450</v>
      </c>
      <c r="AA137" s="12" t="n">
        <f aca="false">SUMIF($A$9:$A$132,"*"&amp;$A137&amp;"*",AA$9:AA$132)</f>
        <v>43450</v>
      </c>
      <c r="AB137" s="12" t="n">
        <f aca="false">SUMIF($A$9:$A$132,"*"&amp;$A137&amp;"*",AB$9:AB$132)</f>
        <v>43450</v>
      </c>
      <c r="AC137" s="12" t="n">
        <f aca="false">SUMIF($A$9:$A$132,"*"&amp;$A137&amp;"*",AC$9:AC$132)</f>
        <v>43450</v>
      </c>
      <c r="AD137" s="12" t="n">
        <f aca="false">SUMIF($A$9:$A$132,"*"&amp;$A137&amp;"*",AD$9:AD$132)</f>
        <v>44753.5</v>
      </c>
      <c r="AE137" s="12" t="n">
        <f aca="false">SUMIF($A$9:$A$132,"*"&amp;$A137&amp;"*",AE$9:AE$132)</f>
        <v>44753.5</v>
      </c>
      <c r="AF137" s="12" t="n">
        <f aca="false">SUMIF($A$9:$A$132,"*"&amp;$A137&amp;"*",AF$9:AF$132)</f>
        <v>44753.5</v>
      </c>
      <c r="AG137" s="12" t="n">
        <f aca="false">SUMIF($A$9:$A$132,"*"&amp;$A137&amp;"*",AG$9:AG$132)</f>
        <v>525310.5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1580.22856962794</v>
      </c>
      <c r="V139" s="12" t="n">
        <f aca="false">SUMIF($A$9:$A$132,"*"&amp;$A139&amp;"*",V$9:V$132)</f>
        <v>1580.22856962794</v>
      </c>
      <c r="W139" s="12" t="n">
        <f aca="false">SUMIF($A$9:$A$132,"*"&amp;$A139&amp;"*",W$9:W$132)</f>
        <v>1580.22856962794</v>
      </c>
      <c r="X139" s="12" t="n">
        <f aca="false">SUMIF($A$9:$A$132,"*"&amp;$A139&amp;"*",X$9:X$132)</f>
        <v>1580.22856962794</v>
      </c>
      <c r="Y139" s="12" t="n">
        <f aca="false">SUMIF($A$9:$A$132,"*"&amp;$A139&amp;"*",Y$9:Y$132)</f>
        <v>1580.22856962794</v>
      </c>
      <c r="Z139" s="12" t="n">
        <f aca="false">SUMIF($A$9:$A$132,"*"&amp;$A139&amp;"*",Z$9:Z$132)</f>
        <v>1580.22856962794</v>
      </c>
      <c r="AA139" s="12" t="n">
        <f aca="false">SUMIF($A$9:$A$132,"*"&amp;$A139&amp;"*",AA$9:AA$132)</f>
        <v>1580.22856962794</v>
      </c>
      <c r="AB139" s="12" t="n">
        <f aca="false">SUMIF($A$9:$A$132,"*"&amp;$A139&amp;"*",AB$9:AB$132)</f>
        <v>1580.22856962794</v>
      </c>
      <c r="AC139" s="12" t="n">
        <f aca="false">SUMIF($A$9:$A$132,"*"&amp;$A139&amp;"*",AC$9:AC$132)</f>
        <v>1580.22856962794</v>
      </c>
      <c r="AD139" s="12" t="n">
        <f aca="false">SUMIF($A$9:$A$132,"*"&amp;$A139&amp;"*",AD$9:AD$132)</f>
        <v>1627.63542671678</v>
      </c>
      <c r="AE139" s="12" t="n">
        <f aca="false">SUMIF($A$9:$A$132,"*"&amp;$A139&amp;"*",AE$9:AE$132)</f>
        <v>1627.63542671678</v>
      </c>
      <c r="AF139" s="12" t="n">
        <f aca="false">SUMIF($A$9:$A$132,"*"&amp;$A139&amp;"*",AF$9:AF$132)</f>
        <v>1627.63542671678</v>
      </c>
      <c r="AG139" s="12" t="n">
        <f aca="false">SUMIF($A$9:$A$132,"*"&amp;$A139&amp;"*",AG$9:AG$132)</f>
        <v>19104.9634068018</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8966.45875099473</v>
      </c>
      <c r="V140" s="12" t="n">
        <f aca="false">SUMIF($A$9:$A$132,"*"&amp;$A140&amp;"*",V$9:V$132)</f>
        <v>8966.45875099473</v>
      </c>
      <c r="W140" s="12" t="n">
        <f aca="false">SUMIF($A$9:$A$132,"*"&amp;$A140&amp;"*",W$9:W$132)</f>
        <v>8966.45875099473</v>
      </c>
      <c r="X140" s="12" t="n">
        <f aca="false">SUMIF($A$9:$A$132,"*"&amp;$A140&amp;"*",X$9:X$132)</f>
        <v>8966.45875099473</v>
      </c>
      <c r="Y140" s="12" t="n">
        <f aca="false">SUMIF($A$9:$A$132,"*"&amp;$A140&amp;"*",Y$9:Y$132)</f>
        <v>8966.45875099473</v>
      </c>
      <c r="Z140" s="12" t="n">
        <f aca="false">SUMIF($A$9:$A$132,"*"&amp;$A140&amp;"*",Z$9:Z$132)</f>
        <v>8966.45875099473</v>
      </c>
      <c r="AA140" s="12" t="n">
        <f aca="false">SUMIF($A$9:$A$132,"*"&amp;$A140&amp;"*",AA$9:AA$132)</f>
        <v>8966.45875099473</v>
      </c>
      <c r="AB140" s="12" t="n">
        <f aca="false">SUMIF($A$9:$A$132,"*"&amp;$A140&amp;"*",AB$9:AB$132)</f>
        <v>8966.45875099473</v>
      </c>
      <c r="AC140" s="12" t="n">
        <f aca="false">SUMIF($A$9:$A$132,"*"&amp;$A140&amp;"*",AC$9:AC$132)</f>
        <v>8966.45875099473</v>
      </c>
      <c r="AD140" s="12" t="n">
        <f aca="false">SUMIF($A$9:$A$132,"*"&amp;$A140&amp;"*",AD$9:AD$132)</f>
        <v>9235.45251352458</v>
      </c>
      <c r="AE140" s="12" t="n">
        <f aca="false">SUMIF($A$9:$A$132,"*"&amp;$A140&amp;"*",AE$9:AE$132)</f>
        <v>9235.45251352458</v>
      </c>
      <c r="AF140" s="12" t="n">
        <f aca="false">SUMIF($A$9:$A$132,"*"&amp;$A140&amp;"*",AF$9:AF$132)</f>
        <v>9235.45251352458</v>
      </c>
      <c r="AG140" s="12" t="n">
        <f aca="false">SUMIF($A$9:$A$132,"*"&amp;$A140&amp;"*",AG$9:AG$132)</f>
        <v>108404.486299526</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e">
        <f aca="false">_xlfn.xlookup(MAX($C$8,B47),$B$20:$O$20,$B$20:$O$20,MAX($B$20:$O$20),1)</f>
        <v>#NAME?</v>
      </c>
      <c r="C48" s="221" t="e">
        <f aca="false">_xlfn.xlookup(MAX($C$8,C47),$B$20:$O$20,$B$20:$O$20,MAX($B$20:$O$20),1)</f>
        <v>#NAME?</v>
      </c>
      <c r="D48" s="221" t="e">
        <f aca="false">_xlfn.xlookup(MAX($C$8,D47),$B$20:$O$20,$B$20:$O$20,MAX($B$20:$O$20),1)</f>
        <v>#NAME?</v>
      </c>
      <c r="E48" s="221" t="e">
        <f aca="false">_xlfn.xlookup(MAX($C$8,E47),$B$20:$O$20,$B$20:$O$20,MAX($B$20:$O$20),1)</f>
        <v>#NAME?</v>
      </c>
      <c r="F48" s="221" t="e">
        <f aca="false">_xlfn.xlookup(MAX($C$8,F47),$B$20:$O$20,$B$20:$O$20,MAX($B$20:$O$20),1)</f>
        <v>#NAME?</v>
      </c>
      <c r="G48" s="221" t="e">
        <f aca="false">_xlfn.xlookup(MAX($C$8,G47),$B$20:$O$20,$B$20:$O$20,MAX($B$20:$O$20),1)</f>
        <v>#NAME?</v>
      </c>
      <c r="H48" s="221" t="e">
        <f aca="false">_xlfn.xlookup(MAX($C$8,H47),$B$20:$O$20,$B$20:$O$20,MAX($B$20:$O$20),1)</f>
        <v>#NAME?</v>
      </c>
      <c r="I48" s="221" t="e">
        <f aca="false">_xlfn.xlookup(MAX($C$8,I47),$B$20:$O$20,$B$20:$O$20,MAX($B$20:$O$20),1)</f>
        <v>#NAME?</v>
      </c>
      <c r="J48" s="221" t="e">
        <f aca="false">_xlfn.xlookup(MAX($C$8,J47),$B$20:$O$20,$B$20:$O$20,MAX($B$20:$O$20),1)</f>
        <v>#NAME?</v>
      </c>
      <c r="K48" s="221" t="e">
        <f aca="false">_xlfn.xlookup(MAX($C$8,K47),$B$20:$O$20,$B$20:$O$20,MAX($B$20:$O$20),1)</f>
        <v>#NAME?</v>
      </c>
      <c r="L48" s="221" t="e">
        <f aca="false">_xlfn.xlookup(MAX($C$8,L47),$B$20:$O$20,$B$20:$O$20,MAX($B$20:$O$20),1)</f>
        <v>#NAME?</v>
      </c>
      <c r="M48" s="221" t="e">
        <f aca="false">_xlfn.xlookup(MAX($C$8,M47),$B$20:$O$20,$B$20:$O$20,MAX($B$20:$O$20),1)</f>
        <v>#NAME?</v>
      </c>
      <c r="N48" s="221" t="e">
        <f aca="false">_xlfn.xlookup(MAX($C$8,N47),$B$20:$O$20,$B$20:$O$20,MAX($B$20:$O$20),1)</f>
        <v>#NAME?</v>
      </c>
      <c r="O48" s="221" t="e">
        <f aca="false">_xlfn.xlookup(MAX($C$8,O47),$B$20:$O$20,$B$20:$O$20,MAX($B$20:$O$20),1)</f>
        <v>#NAME?</v>
      </c>
      <c r="P48" s="221" t="e">
        <f aca="false">_xlfn.xlookup(MAX($C$8,P47),$B$20:$O$20,$B$20:$O$20,MAX($B$20:$O$20),1)</f>
        <v>#NAME?</v>
      </c>
      <c r="Q48" s="221" t="e">
        <f aca="false">_xlfn.xlookup(MAX($C$8,Q47),$B$20:$O$20,$B$20:$O$20,MAX($B$20:$O$20),1)</f>
        <v>#NAME?</v>
      </c>
      <c r="R48" s="222"/>
      <c r="S48" s="222"/>
      <c r="T48" s="186"/>
    </row>
    <row r="49" customFormat="false" ht="14.25" hidden="false" customHeight="true" outlineLevel="0" collapsed="false">
      <c r="A49" s="185" t="s">
        <v>1743</v>
      </c>
      <c r="B49" s="223" t="e">
        <f aca="false" t="array" ref="B49:B49">INDEX($B$22:$O$22,MATCH(B48,$B$20:$O$20,0))</f>
        <v>#NAME?</v>
      </c>
      <c r="C49" s="223" t="e">
        <f aca="false">MAX(B49,INDEX($B$22:$O$22,MATCH(C48,$B$20:$O$20,0)))</f>
        <v>#NAME?</v>
      </c>
      <c r="D49" s="223" t="e">
        <f aca="false">MAX(C49,INDEX($B$22:$O$22,MATCH(D48,$B$20:$O$20,0)))</f>
        <v>#NAME?</v>
      </c>
      <c r="E49" s="223" t="e">
        <f aca="false">MAX(D49,INDEX($B$22:$O$22,MATCH(E48,$B$20:$O$20,0)))</f>
        <v>#NAME?</v>
      </c>
      <c r="F49" s="223" t="e">
        <f aca="false">MAX(E49,INDEX($B$22:$O$22,MATCH(F48,$B$20:$O$20,0)))</f>
        <v>#NAME?</v>
      </c>
      <c r="G49" s="223" t="e">
        <f aca="false">MAX(F49,INDEX($B$22:$O$22,MATCH(G48,$B$20:$O$20,0)))</f>
        <v>#NAME?</v>
      </c>
      <c r="H49" s="223" t="e">
        <f aca="false">MAX(G49,INDEX($B$22:$O$22,MATCH(H48,$B$20:$O$20,0)))</f>
        <v>#NAME?</v>
      </c>
      <c r="I49" s="223" t="e">
        <f aca="false">MAX(H49,INDEX($B$22:$O$22,MATCH(I48,$B$20:$O$20,0)))</f>
        <v>#NAME?</v>
      </c>
      <c r="J49" s="223" t="e">
        <f aca="false">MAX(I49,INDEX($B$22:$O$22,MATCH(J48,$B$20:$O$20,0)))</f>
        <v>#NAME?</v>
      </c>
      <c r="K49" s="223" t="e">
        <f aca="false">MAX(J49,INDEX($B$22:$O$22,MATCH(K48,$B$20:$O$20,0)))</f>
        <v>#NAME?</v>
      </c>
      <c r="L49" s="223" t="e">
        <f aca="false">MAX(K49,INDEX($B$22:$O$22,MATCH(L48,$B$20:$O$20,0)))</f>
        <v>#NAME?</v>
      </c>
      <c r="M49" s="223" t="e">
        <f aca="false">MAX(L49,INDEX($B$22:$O$22,MATCH(M48,$B$20:$O$20,0)))</f>
        <v>#NAME?</v>
      </c>
      <c r="N49" s="223" t="e">
        <f aca="false">MAX(M49,INDEX($B$22:$O$22,MATCH(N48,$B$20:$O$20,0)))</f>
        <v>#NAME?</v>
      </c>
      <c r="O49" s="223" t="e">
        <f aca="false">MAX(N49,INDEX($B$22:$O$22,MATCH(O48,$B$20:$O$20,0)))</f>
        <v>#NAME?</v>
      </c>
      <c r="P49" s="223" t="e">
        <f aca="false">MAX(O49,INDEX($B$22:$O$22,MATCH(P48,$B$20:$O$20,0)))</f>
        <v>#NAME?</v>
      </c>
      <c r="Q49" s="223" t="e">
        <f aca="false">MAX(P49,INDEX($B$22:$O$22,MATCH(Q48,$B$20:$O$20,0)))</f>
        <v>#NAME?</v>
      </c>
      <c r="R49" s="224" t="e">
        <f aca="false">AVERAGE(B49:E49)</f>
        <v>#NAME?</v>
      </c>
      <c r="S49" s="224" t="e">
        <f aca="false">AVERAGE(F49:Q49)</f>
        <v>#NAME?</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e">
        <f aca="false">MAX(0,B49-B50)</f>
        <v>#NAME?</v>
      </c>
      <c r="C51" s="223" t="e">
        <f aca="false">MAX(0,C49-C50)</f>
        <v>#NAME?</v>
      </c>
      <c r="D51" s="223" t="e">
        <f aca="false">MAX(0,D49-D50)</f>
        <v>#NAME?</v>
      </c>
      <c r="E51" s="223" t="e">
        <f aca="false">MAX(0,E49-E50)</f>
        <v>#NAME?</v>
      </c>
      <c r="F51" s="223" t="e">
        <f aca="false">MAX(0,F49-F50)</f>
        <v>#NAME?</v>
      </c>
      <c r="G51" s="223" t="e">
        <f aca="false">MAX(0,G49-G50)</f>
        <v>#NAME?</v>
      </c>
      <c r="H51" s="223" t="e">
        <f aca="false">MAX(0,H49-H50)</f>
        <v>#NAME?</v>
      </c>
      <c r="I51" s="223" t="e">
        <f aca="false">MAX(0,I49-I50)</f>
        <v>#NAME?</v>
      </c>
      <c r="J51" s="223" t="e">
        <f aca="false">MAX(0,J49-J50)</f>
        <v>#NAME?</v>
      </c>
      <c r="K51" s="223" t="e">
        <f aca="false">MAX(0,K49-K50)</f>
        <v>#NAME?</v>
      </c>
      <c r="L51" s="223" t="e">
        <f aca="false">MAX(0,L49-L50)</f>
        <v>#NAME?</v>
      </c>
      <c r="M51" s="223" t="e">
        <f aca="false">MAX(0,M49-M50)</f>
        <v>#NAME?</v>
      </c>
      <c r="N51" s="223" t="e">
        <f aca="false">MAX(0,N49-N50)</f>
        <v>#NAME?</v>
      </c>
      <c r="O51" s="223" t="e">
        <f aca="false">MAX(0,O49-O50)</f>
        <v>#NAME?</v>
      </c>
      <c r="P51" s="223" t="e">
        <f aca="false">MAX(0,P49-P50)</f>
        <v>#NAME?</v>
      </c>
      <c r="Q51" s="223" t="e">
        <f aca="false">MAX(0,Q49-Q50)</f>
        <v>#NAME?</v>
      </c>
      <c r="R51" s="224" t="e">
        <f aca="false">AVERAGE(B51:E51)</f>
        <v>#NAME?</v>
      </c>
      <c r="S51" s="224" t="e">
        <f aca="false">AVERAGE(F51:Q51)</f>
        <v>#NAME?</v>
      </c>
      <c r="T51" s="186"/>
    </row>
    <row r="52" customFormat="false" ht="14.25" hidden="false" customHeight="true" outlineLevel="0" collapsed="false">
      <c r="A52" s="185" t="s">
        <v>1744</v>
      </c>
      <c r="B52" s="223" t="e">
        <f aca="false">B50+B51</f>
        <v>#NAME?</v>
      </c>
      <c r="C52" s="223" t="e">
        <f aca="false">C50+C51</f>
        <v>#NAME?</v>
      </c>
      <c r="D52" s="223" t="e">
        <f aca="false">D50+D51</f>
        <v>#NAME?</v>
      </c>
      <c r="E52" s="223" t="e">
        <f aca="false">E50+E51</f>
        <v>#NAME?</v>
      </c>
      <c r="F52" s="223" t="e">
        <f aca="false">F50+F51</f>
        <v>#NAME?</v>
      </c>
      <c r="G52" s="223" t="e">
        <f aca="false">G50+G51</f>
        <v>#NAME?</v>
      </c>
      <c r="H52" s="223" t="e">
        <f aca="false">H50+H51</f>
        <v>#NAME?</v>
      </c>
      <c r="I52" s="223" t="e">
        <f aca="false">I50+I51</f>
        <v>#NAME?</v>
      </c>
      <c r="J52" s="223" t="e">
        <f aca="false">J50+J51</f>
        <v>#NAME?</v>
      </c>
      <c r="K52" s="223" t="e">
        <f aca="false">K50+K51</f>
        <v>#NAME?</v>
      </c>
      <c r="L52" s="223" t="e">
        <f aca="false">L50+L51</f>
        <v>#NAME?</v>
      </c>
      <c r="M52" s="223" t="e">
        <f aca="false">M50+M51</f>
        <v>#NAME?</v>
      </c>
      <c r="N52" s="223" t="e">
        <f aca="false">N50+N51</f>
        <v>#NAME?</v>
      </c>
      <c r="O52" s="223" t="e">
        <f aca="false">O50+O51</f>
        <v>#NAME?</v>
      </c>
      <c r="P52" s="223" t="e">
        <f aca="false">P50+P51</f>
        <v>#NAME?</v>
      </c>
      <c r="Q52" s="223" t="e">
        <f aca="false">Q50+Q51</f>
        <v>#NAME?</v>
      </c>
      <c r="R52" s="224" t="e">
        <f aca="false">AVERAGE(B52:E52)</f>
        <v>#NAME?</v>
      </c>
      <c r="S52" s="224" t="e">
        <f aca="false">AVERAGE(F52:Q52)</f>
        <v>#NAME?</v>
      </c>
      <c r="T52" s="186" t="s">
        <v>1730</v>
      </c>
    </row>
    <row r="53" customFormat="false" ht="14.25" hidden="false" customHeight="true" outlineLevel="0" collapsed="false">
      <c r="A53" s="185" t="s">
        <v>1649</v>
      </c>
      <c r="B53" s="225" t="e">
        <f aca="false">B52*$C$5/12+IF(B$24&gt;=$M$6,MIN(B52,INDEX($B52:$Q52,IFERROR(MATCH(EOMONTH($M$6,-$M$9-1),$B$24:$Q$24,0),1)))*$C$5/12*$M$5,0)</f>
        <v>#NAME?</v>
      </c>
      <c r="C53" s="225" t="e">
        <f aca="false">C52*$C$5/12+IF(C$24&gt;=$M$6,MIN(C52,INDEX($B52:$Q52,IFERROR(MATCH(EOMONTH($M$6,-$M$9-1),$B$24:$Q$24,0),1)))*$C$5/12*$M$5,0)</f>
        <v>#NAME?</v>
      </c>
      <c r="D53" s="225" t="e">
        <f aca="false">D52*$C$5/12+IF(D$24&gt;=$M$6,MIN(D52,INDEX($B52:$Q52,IFERROR(MATCH(EOMONTH($M$6,-$M$9-1),$B$24:$Q$24,0),1)))*$C$5/12*$M$5,0)</f>
        <v>#NAME?</v>
      </c>
      <c r="E53" s="225" t="e">
        <f aca="false">E52*$C$5/12+IF(E$24&gt;=$M$6,MIN(E52,INDEX($B52:$Q52,IFERROR(MATCH(EOMONTH($M$6,-$M$9-1),$B$24:$Q$24,0),1)))*$C$5/12*$M$5,0)</f>
        <v>#NAME?</v>
      </c>
      <c r="F53" s="225" t="e">
        <f aca="false">F52*$C$5/12+IF(F$24&gt;=$M$6,MIN(F52,INDEX($B52:$Q52,IFERROR(MATCH(EOMONTH($M$6,-$M$9-1),$B$24:$Q$24,0),1)))*$C$5/12*$M$5,0)</f>
        <v>#NAME?</v>
      </c>
      <c r="G53" s="225" t="e">
        <f aca="false">G52*$C$5/12+IF(G$24&gt;=$M$6,MIN(G52,INDEX($B52:$Q52,IFERROR(MATCH(EOMONTH($M$6,-$M$9-1),$B$24:$Q$24,0),1)))*$C$5/12*$M$5,0)</f>
        <v>#NAME?</v>
      </c>
      <c r="H53" s="225" t="e">
        <f aca="false">H52*$C$5/12+IF(H$24&gt;=$M$6,MIN(H52,INDEX($B52:$Q52,IFERROR(MATCH(EOMONTH($M$6,-$M$9-1),$B$24:$Q$24,0),1)))*$C$5/12*$M$5,0)</f>
        <v>#NAME?</v>
      </c>
      <c r="I53" s="225" t="e">
        <f aca="false">I52*$C$5/12+IF(I$24&gt;=$M$6,MIN(I52,INDEX($B52:$Q52,IFERROR(MATCH(EOMONTH($M$6,-$M$9-1),$B$24:$Q$24,0),1)))*$C$5/12*$M$5,0)</f>
        <v>#NAME?</v>
      </c>
      <c r="J53" s="225" t="e">
        <f aca="false">J52*$C$5/12+IF(J$24&gt;=$M$6,MIN(J52,INDEX($B52:$Q52,IFERROR(MATCH(EOMONTH($M$6,-$M$9-1),$B$24:$Q$24,0),1)))*$C$5/12*$M$5,0)</f>
        <v>#NAME?</v>
      </c>
      <c r="K53" s="225" t="e">
        <f aca="false">K52*$C$5/12+IF(K$24&gt;=$M$6,MIN(K52,INDEX($B52:$Q52,IFERROR(MATCH(EOMONTH($M$6,-$M$9-1),$B$24:$Q$24,0),1)))*$C$5/12*$M$5,0)</f>
        <v>#NAME?</v>
      </c>
      <c r="L53" s="225" t="e">
        <f aca="false">L52*$C$5/12+IF(L$24&gt;=$M$6,MIN(L52,INDEX($B52:$Q52,IFERROR(MATCH(EOMONTH($M$6,-$M$9-1),$B$24:$Q$24,0),1)))*$C$5/12*$M$5,0)</f>
        <v>#NAME?</v>
      </c>
      <c r="M53" s="225" t="e">
        <f aca="false">M52*$C$5/12+IF(M$24&gt;=$M$6,MIN(M52,INDEX($B52:$Q52,IFERROR(MATCH(EOMONTH($M$6,-$M$9-1),$B$24:$Q$24,0),1)))*$C$5/12*$M$5,0)</f>
        <v>#NAME?</v>
      </c>
      <c r="N53" s="225" t="e">
        <f aca="false">N52*$C$5/12+IF(N$24&gt;=$M$6,MIN(N52,INDEX($B52:$Q52,IFERROR(MATCH(EOMONTH($M$6,-$M$9-1),$B$24:$Q$24,0),1)))*$C$5/12*$M$5,0)</f>
        <v>#NAME?</v>
      </c>
      <c r="O53" s="225" t="e">
        <f aca="false">O52*$C$5/12+IF(O$24&gt;=$M$6,MIN(O52,INDEX($B52:$Q52,IFERROR(MATCH(EOMONTH($M$6,-$M$9-1),$B$24:$Q$24,0),1)))*$C$5/12*$M$5,0)</f>
        <v>#NAME?</v>
      </c>
      <c r="P53" s="225" t="e">
        <f aca="false">P52*$C$5/12+IF(P$24&gt;=$M$6,MIN(P52,INDEX($B52:$Q52,IFERROR(MATCH(EOMONTH($M$6,-$M$9-1),$B$24:$Q$24,0),1)))*$C$5/12*$M$5,0)</f>
        <v>#NAME?</v>
      </c>
      <c r="Q53" s="225" t="e">
        <f aca="false">Q52*$C$5/12+IF(Q$24&gt;=$M$6,MIN(Q52,INDEX($B52:$Q52,IFERROR(MATCH(EOMONTH($M$6,-$M$9-1),$B$24:$Q$24,0),1)))*$C$5/12*$M$5,0)</f>
        <v>#NAME?</v>
      </c>
      <c r="R53" s="226" t="e">
        <f aca="false">SUM(B53:E53)</f>
        <v>#NAME?</v>
      </c>
      <c r="S53" s="226" t="e">
        <f aca="false">SUM(F53:Q53)</f>
        <v>#NAME?</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v>
      </c>
      <c r="S54" s="228" t="n">
        <f aca="false">IFERROR(S55/S53,0)</f>
        <v>0</v>
      </c>
      <c r="T54" s="186" t="s">
        <v>1732</v>
      </c>
    </row>
    <row r="55" customFormat="false" ht="14.25" hidden="false" customHeight="true" outlineLevel="0" collapsed="false">
      <c r="A55" s="185" t="s">
        <v>1733</v>
      </c>
      <c r="B55" s="225" t="e">
        <f aca="false">B53*B54</f>
        <v>#NAME?</v>
      </c>
      <c r="C55" s="225" t="e">
        <f aca="false">C53*C54</f>
        <v>#NAME?</v>
      </c>
      <c r="D55" s="225" t="e">
        <f aca="false">D53*D54</f>
        <v>#NAME?</v>
      </c>
      <c r="E55" s="225" t="e">
        <f aca="false">E53*E54</f>
        <v>#NAME?</v>
      </c>
      <c r="F55" s="225" t="e">
        <f aca="false">F53*F54</f>
        <v>#NAME?</v>
      </c>
      <c r="G55" s="225" t="e">
        <f aca="false">G53*G54</f>
        <v>#NAME?</v>
      </c>
      <c r="H55" s="225" t="e">
        <f aca="false">H53*H54</f>
        <v>#NAME?</v>
      </c>
      <c r="I55" s="225" t="e">
        <f aca="false">I53*I54</f>
        <v>#NAME?</v>
      </c>
      <c r="J55" s="225" t="e">
        <f aca="false">J53*J54</f>
        <v>#NAME?</v>
      </c>
      <c r="K55" s="225" t="e">
        <f aca="false">K53*K54</f>
        <v>#NAME?</v>
      </c>
      <c r="L55" s="225" t="e">
        <f aca="false">L53*L54</f>
        <v>#NAME?</v>
      </c>
      <c r="M55" s="225" t="e">
        <f aca="false">M53*M54</f>
        <v>#NAME?</v>
      </c>
      <c r="N55" s="225" t="e">
        <f aca="false">N53*N54</f>
        <v>#NAME?</v>
      </c>
      <c r="O55" s="225" t="e">
        <f aca="false">O53*O54</f>
        <v>#NAME?</v>
      </c>
      <c r="P55" s="225" t="e">
        <f aca="false">P53*P54</f>
        <v>#NAME?</v>
      </c>
      <c r="Q55" s="225" t="e">
        <f aca="false">Q53*Q54</f>
        <v>#NAME?</v>
      </c>
      <c r="R55" s="226" t="e">
        <f aca="false">SUM(B55:E55)</f>
        <v>#NAME?</v>
      </c>
      <c r="S55" s="226" t="e">
        <f aca="false">SUM(F55:Q55)</f>
        <v>#NAME?</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e">
        <f aca="false">B53*B56*$M$10</f>
        <v>#NAME?</v>
      </c>
      <c r="C57" s="225" t="e">
        <f aca="false">C53*C56*$M$10</f>
        <v>#NAME?</v>
      </c>
      <c r="D57" s="225" t="e">
        <f aca="false">D53*D56*$M$10</f>
        <v>#NAME?</v>
      </c>
      <c r="E57" s="225" t="e">
        <f aca="false">E53*E56*$M$10</f>
        <v>#NAME?</v>
      </c>
      <c r="F57" s="225" t="e">
        <f aca="false">F53*F56*$M$10</f>
        <v>#NAME?</v>
      </c>
      <c r="G57" s="225" t="e">
        <f aca="false">G53*G56*$M$10</f>
        <v>#NAME?</v>
      </c>
      <c r="H57" s="225" t="e">
        <f aca="false">H53*H56*$M$10</f>
        <v>#NAME?</v>
      </c>
      <c r="I57" s="225" t="e">
        <f aca="false">I53*I56*$M$10</f>
        <v>#NAME?</v>
      </c>
      <c r="J57" s="225" t="e">
        <f aca="false">J53*J56*$M$10</f>
        <v>#NAME?</v>
      </c>
      <c r="K57" s="225" t="e">
        <f aca="false">K53*K56*$M$10</f>
        <v>#NAME?</v>
      </c>
      <c r="L57" s="225" t="e">
        <f aca="false">L53*L56*$M$10</f>
        <v>#NAME?</v>
      </c>
      <c r="M57" s="225" t="e">
        <f aca="false">M53*M56*$M$10</f>
        <v>#NAME?</v>
      </c>
      <c r="N57" s="225" t="e">
        <f aca="false">N53*N56*$M$10</f>
        <v>#NAME?</v>
      </c>
      <c r="O57" s="225" t="e">
        <f aca="false">O53*O56*$M$10</f>
        <v>#NAME?</v>
      </c>
      <c r="P57" s="225" t="e">
        <f aca="false">P53*P56*$M$10</f>
        <v>#NAME?</v>
      </c>
      <c r="Q57" s="225" t="e">
        <f aca="false">Q53*Q56*$M$10</f>
        <v>#NAME?</v>
      </c>
      <c r="R57" s="226" t="e">
        <f aca="false">SUM(B57:E57)</f>
        <v>#NAME?</v>
      </c>
      <c r="S57" s="226" t="e">
        <f aca="false">SUM(F57:Q57)</f>
        <v>#NAME?</v>
      </c>
    </row>
    <row r="58" customFormat="false" ht="14.25" hidden="false" customHeight="true" outlineLevel="0" collapsed="false">
      <c r="A58" s="185" t="s">
        <v>1650</v>
      </c>
      <c r="B58" s="225" t="e">
        <f aca="false">(B53+B55+B57)*$C$6</f>
        <v>#NAME?</v>
      </c>
      <c r="C58" s="225" t="e">
        <f aca="false">(C53+C55+C57)*$C$6</f>
        <v>#NAME?</v>
      </c>
      <c r="D58" s="225" t="e">
        <f aca="false">(D53+D55+D57)*$C$6</f>
        <v>#NAME?</v>
      </c>
      <c r="E58" s="225" t="e">
        <f aca="false">(E53+E55+E57)*$C$6</f>
        <v>#NAME?</v>
      </c>
      <c r="F58" s="225" t="e">
        <f aca="false">(F53+F55+F57)*$C$6</f>
        <v>#NAME?</v>
      </c>
      <c r="G58" s="225" t="e">
        <f aca="false">(G53+G55+G57)*$C$6</f>
        <v>#NAME?</v>
      </c>
      <c r="H58" s="225" t="e">
        <f aca="false">(H53+H55+H57)*$C$6</f>
        <v>#NAME?</v>
      </c>
      <c r="I58" s="225" t="e">
        <f aca="false">(I53+I55+I57)*$C$6</f>
        <v>#NAME?</v>
      </c>
      <c r="J58" s="225" t="e">
        <f aca="false">(J53+J55+J57)*$C$6</f>
        <v>#NAME?</v>
      </c>
      <c r="K58" s="225" t="e">
        <f aca="false">(K53+K55+K57)*$C$6</f>
        <v>#NAME?</v>
      </c>
      <c r="L58" s="225" t="e">
        <f aca="false">(L53+L55+L57)*$C$6</f>
        <v>#NAME?</v>
      </c>
      <c r="M58" s="225" t="e">
        <f aca="false">(M53+M55+M57)*$C$6</f>
        <v>#NAME?</v>
      </c>
      <c r="N58" s="225" t="e">
        <f aca="false">(N53+N55+N57)*$C$6</f>
        <v>#NAME?</v>
      </c>
      <c r="O58" s="225" t="e">
        <f aca="false">(O53+O55+O57)*$C$6</f>
        <v>#NAME?</v>
      </c>
      <c r="P58" s="225" t="e">
        <f aca="false">(P53+P55+P57)*$C$6</f>
        <v>#NAME?</v>
      </c>
      <c r="Q58" s="225" t="e">
        <f aca="false">(Q53+Q55+Q57)*$C$6</f>
        <v>#NAME?</v>
      </c>
      <c r="R58" s="226" t="e">
        <f aca="false">SUM(B58:E58)</f>
        <v>#NAME?</v>
      </c>
      <c r="S58" s="226" t="e">
        <f aca="false">SUM(F58:Q58)</f>
        <v>#NAME?</v>
      </c>
    </row>
    <row r="59" customFormat="false" ht="14.25" hidden="false" customHeight="true" outlineLevel="0" collapsed="false">
      <c r="A59" s="185" t="s">
        <v>1390</v>
      </c>
      <c r="B59" s="225" t="e">
        <f aca="false">B53*$C$7</f>
        <v>#NAME?</v>
      </c>
      <c r="C59" s="225" t="e">
        <f aca="false">C53*$C$7</f>
        <v>#NAME?</v>
      </c>
      <c r="D59" s="225" t="e">
        <f aca="false">D53*$C$7</f>
        <v>#NAME?</v>
      </c>
      <c r="E59" s="225" t="e">
        <f aca="false">E53*$C$7</f>
        <v>#NAME?</v>
      </c>
      <c r="F59" s="225" t="e">
        <f aca="false">F53*$C$7</f>
        <v>#NAME?</v>
      </c>
      <c r="G59" s="225" t="e">
        <f aca="false">G53*$C$7</f>
        <v>#NAME?</v>
      </c>
      <c r="H59" s="225" t="e">
        <f aca="false">H53*$C$7</f>
        <v>#NAME?</v>
      </c>
      <c r="I59" s="225" t="e">
        <f aca="false">I53*$C$7</f>
        <v>#NAME?</v>
      </c>
      <c r="J59" s="225" t="e">
        <f aca="false">J53*$C$7</f>
        <v>#NAME?</v>
      </c>
      <c r="K59" s="225" t="e">
        <f aca="false">K53*$C$7</f>
        <v>#NAME?</v>
      </c>
      <c r="L59" s="225" t="e">
        <f aca="false">L53*$C$7</f>
        <v>#NAME?</v>
      </c>
      <c r="M59" s="225" t="e">
        <f aca="false">M53*$C$7</f>
        <v>#NAME?</v>
      </c>
      <c r="N59" s="225" t="e">
        <f aca="false">N53*$C$7</f>
        <v>#NAME?</v>
      </c>
      <c r="O59" s="225" t="e">
        <f aca="false">O53*$C$7</f>
        <v>#NAME?</v>
      </c>
      <c r="P59" s="225" t="e">
        <f aca="false">P53*$C$7</f>
        <v>#NAME?</v>
      </c>
      <c r="Q59" s="225" t="e">
        <f aca="false">Q53*$C$7</f>
        <v>#NAME?</v>
      </c>
      <c r="R59" s="226" t="e">
        <f aca="false">SUM(B59:E59)</f>
        <v>#NAME?</v>
      </c>
      <c r="S59" s="226" t="e">
        <f aca="false">SUM(F59:Q59)</f>
        <v>#NAME?</v>
      </c>
    </row>
    <row r="60" customFormat="false" ht="14.25" hidden="false" customHeight="true" outlineLevel="0" collapsed="false">
      <c r="A60" s="185" t="s">
        <v>1745</v>
      </c>
      <c r="B60" s="223" t="e">
        <f aca="false">B51</f>
        <v>#NAME?</v>
      </c>
      <c r="C60" s="223" t="e">
        <f aca="false">MAX(0,C51-B51)</f>
        <v>#NAME?</v>
      </c>
      <c r="D60" s="223" t="e">
        <f aca="false">MAX(0,D51-C51)</f>
        <v>#NAME?</v>
      </c>
      <c r="E60" s="223" t="e">
        <f aca="false">MAX(0,E51-D51)</f>
        <v>#NAME?</v>
      </c>
      <c r="F60" s="223" t="e">
        <f aca="false">MAX(0,F51-E51)</f>
        <v>#NAME?</v>
      </c>
      <c r="G60" s="223" t="e">
        <f aca="false">MAX(0,G51-F51)</f>
        <v>#NAME?</v>
      </c>
      <c r="H60" s="223" t="e">
        <f aca="false">MAX(0,H51-G51)</f>
        <v>#NAME?</v>
      </c>
      <c r="I60" s="223" t="e">
        <f aca="false">MAX(0,I51-H51)</f>
        <v>#NAME?</v>
      </c>
      <c r="J60" s="223" t="e">
        <f aca="false">MAX(0,J51-I51)</f>
        <v>#NAME?</v>
      </c>
      <c r="K60" s="223" t="e">
        <f aca="false">MAX(0,K51-J51)</f>
        <v>#NAME?</v>
      </c>
      <c r="L60" s="223" t="e">
        <f aca="false">MAX(0,L51-K51)</f>
        <v>#NAME?</v>
      </c>
      <c r="M60" s="223" t="e">
        <f aca="false">MAX(0,M51-L51)</f>
        <v>#NAME?</v>
      </c>
      <c r="N60" s="223" t="e">
        <f aca="false">MAX(0,N51-M51)</f>
        <v>#NAME?</v>
      </c>
      <c r="O60" s="223" t="e">
        <f aca="false">MAX(0,O51-N51)</f>
        <v>#NAME?</v>
      </c>
      <c r="P60" s="223" t="e">
        <f aca="false">MAX(0,P51-O51)</f>
        <v>#NAME?</v>
      </c>
      <c r="Q60" s="223" t="e">
        <f aca="false">MAX(0,Q51-P51)</f>
        <v>#NAME?</v>
      </c>
      <c r="R60" s="224" t="e">
        <f aca="false">SUM(B60:E60)</f>
        <v>#NAME?</v>
      </c>
      <c r="S60" s="224" t="e">
        <f aca="false">SUM(F60:Q60)</f>
        <v>#NAME?</v>
      </c>
      <c r="T60" s="186"/>
    </row>
    <row r="61" customFormat="false" ht="14.25" hidden="false" customHeight="true" outlineLevel="0" collapsed="false">
      <c r="A61" s="185" t="s">
        <v>1657</v>
      </c>
      <c r="B61" s="225" t="e">
        <f aca="false">B60*$M$7</f>
        <v>#NAME?</v>
      </c>
      <c r="C61" s="225" t="e">
        <f aca="false">C60*$M$7</f>
        <v>#NAME?</v>
      </c>
      <c r="D61" s="225" t="e">
        <f aca="false">D60*$M$7</f>
        <v>#NAME?</v>
      </c>
      <c r="E61" s="225" t="e">
        <f aca="false">E60*$M$7</f>
        <v>#NAME?</v>
      </c>
      <c r="F61" s="225" t="e">
        <f aca="false">F60*$M$7</f>
        <v>#NAME?</v>
      </c>
      <c r="G61" s="225" t="e">
        <f aca="false">G60*$M$7</f>
        <v>#NAME?</v>
      </c>
      <c r="H61" s="225" t="e">
        <f aca="false">H60*$M$7</f>
        <v>#NAME?</v>
      </c>
      <c r="I61" s="225" t="e">
        <f aca="false">I60*$M$7</f>
        <v>#NAME?</v>
      </c>
      <c r="J61" s="225" t="e">
        <f aca="false">J60*$M$7</f>
        <v>#NAME?</v>
      </c>
      <c r="K61" s="225" t="e">
        <f aca="false">K60*$M$7</f>
        <v>#NAME?</v>
      </c>
      <c r="L61" s="225" t="e">
        <f aca="false">L60*$M$7</f>
        <v>#NAME?</v>
      </c>
      <c r="M61" s="225" t="e">
        <f aca="false">M60*$M$7</f>
        <v>#NAME?</v>
      </c>
      <c r="N61" s="225" t="e">
        <f aca="false">N60*$M$7</f>
        <v>#NAME?</v>
      </c>
      <c r="O61" s="225" t="e">
        <f aca="false">O60*$M$7</f>
        <v>#NAME?</v>
      </c>
      <c r="P61" s="225" t="e">
        <f aca="false">P60*$M$7</f>
        <v>#NAME?</v>
      </c>
      <c r="Q61" s="225" t="e">
        <f aca="false">Q60*$M$7</f>
        <v>#NAME?</v>
      </c>
      <c r="R61" s="226" t="e">
        <f aca="false">SUM(B61:E61)</f>
        <v>#NAME?</v>
      </c>
      <c r="S61" s="226" t="e">
        <f aca="false">SUM(F61:Q61)</f>
        <v>#NAME?</v>
      </c>
    </row>
    <row r="62" customFormat="false" ht="14.25" hidden="false" customHeight="true" outlineLevel="0" collapsed="false">
      <c r="A62" s="229" t="s">
        <v>1746</v>
      </c>
      <c r="B62" s="230" t="e">
        <f aca="false">B53+B55+B57+B58+B59+B61</f>
        <v>#NAME?</v>
      </c>
      <c r="C62" s="230" t="e">
        <f aca="false">C53+C55+C57+C58+C59+C61</f>
        <v>#NAME?</v>
      </c>
      <c r="D62" s="230" t="e">
        <f aca="false">D53+D55+D57+D58+D59+D61</f>
        <v>#NAME?</v>
      </c>
      <c r="E62" s="230" t="e">
        <f aca="false">E53+E55+E57+E58+E59+E61</f>
        <v>#NAME?</v>
      </c>
      <c r="F62" s="230" t="e">
        <f aca="false">F53+F55+F57+F58+F59+F61</f>
        <v>#NAME?</v>
      </c>
      <c r="G62" s="230" t="e">
        <f aca="false">G53+G55+G57+G58+G59+G61</f>
        <v>#NAME?</v>
      </c>
      <c r="H62" s="230" t="e">
        <f aca="false">H53+H55+H57+H58+H59+H61</f>
        <v>#NAME?</v>
      </c>
      <c r="I62" s="230" t="e">
        <f aca="false">I53+I55+I57+I58+I59+I61</f>
        <v>#NAME?</v>
      </c>
      <c r="J62" s="230" t="e">
        <f aca="false">J53+J55+J57+J58+J59+J61</f>
        <v>#NAME?</v>
      </c>
      <c r="K62" s="230" t="e">
        <f aca="false">K53+K55+K57+K58+K59+K61</f>
        <v>#NAME?</v>
      </c>
      <c r="L62" s="230" t="e">
        <f aca="false">L53+L55+L57+L58+L59+L61</f>
        <v>#NAME?</v>
      </c>
      <c r="M62" s="230" t="e">
        <f aca="false">M53+M55+M57+M58+M59+M61</f>
        <v>#NAME?</v>
      </c>
      <c r="N62" s="230" t="e">
        <f aca="false">N53+N55+N57+N58+N59+N61</f>
        <v>#NAME?</v>
      </c>
      <c r="O62" s="230" t="e">
        <f aca="false">O53+O55+O57+O58+O59+O61</f>
        <v>#NAME?</v>
      </c>
      <c r="P62" s="230" t="e">
        <f aca="false">P53+P55+P57+P58+P59+P61</f>
        <v>#NAME?</v>
      </c>
      <c r="Q62" s="230" t="e">
        <f aca="false">Q53+Q55+Q57+Q58+Q59+Q61</f>
        <v>#NAME?</v>
      </c>
      <c r="R62" s="231" t="e">
        <f aca="false">SUM(B62:E62)</f>
        <v>#NAME?</v>
      </c>
      <c r="S62" s="231" t="e">
        <f aca="false">SUM(F62:Q62)</f>
        <v>#NAME?</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e">
        <f aca="false">B31+B52</f>
        <v>#NAME?</v>
      </c>
      <c r="C67" s="223" t="e">
        <f aca="false">C31+C52</f>
        <v>#NAME?</v>
      </c>
      <c r="D67" s="223" t="e">
        <f aca="false">D31+D52</f>
        <v>#NAME?</v>
      </c>
      <c r="E67" s="223" t="e">
        <f aca="false">E31+E52</f>
        <v>#NAME?</v>
      </c>
      <c r="F67" s="223" t="e">
        <f aca="false">F31+F52</f>
        <v>#NAME?</v>
      </c>
      <c r="G67" s="223" t="e">
        <f aca="false">G31+G52</f>
        <v>#NAME?</v>
      </c>
      <c r="H67" s="223" t="e">
        <f aca="false">H31+H52</f>
        <v>#NAME?</v>
      </c>
      <c r="I67" s="223" t="e">
        <f aca="false">I31+I52</f>
        <v>#NAME?</v>
      </c>
      <c r="J67" s="223" t="e">
        <f aca="false">J31+J52</f>
        <v>#NAME?</v>
      </c>
      <c r="K67" s="223" t="e">
        <f aca="false">K31+K52</f>
        <v>#NAME?</v>
      </c>
      <c r="L67" s="223" t="e">
        <f aca="false">L31+L52</f>
        <v>#NAME?</v>
      </c>
      <c r="M67" s="223" t="e">
        <f aca="false">M31+M52</f>
        <v>#NAME?</v>
      </c>
      <c r="N67" s="223" t="e">
        <f aca="false">N31+N52</f>
        <v>#NAME?</v>
      </c>
      <c r="O67" s="223" t="e">
        <f aca="false">O31+O52</f>
        <v>#NAME?</v>
      </c>
      <c r="P67" s="223" t="e">
        <f aca="false">P31+P52</f>
        <v>#NAME?</v>
      </c>
      <c r="Q67" s="223" t="e">
        <f aca="false">Q31+Q52</f>
        <v>#NAME?</v>
      </c>
      <c r="R67" s="224" t="e">
        <f aca="false">AVERAGE(B67:E67)</f>
        <v>#NAME?</v>
      </c>
      <c r="S67" s="224" t="e">
        <f aca="false">AVERAGE(F67:Q67)</f>
        <v>#NAME?</v>
      </c>
      <c r="T67" s="186" t="s">
        <v>1730</v>
      </c>
    </row>
    <row r="68" customFormat="false" ht="14.25" hidden="false" customHeight="true" outlineLevel="0" collapsed="false">
      <c r="A68" s="185" t="s">
        <v>1676</v>
      </c>
      <c r="B68" s="223" t="e">
        <f aca="false">MAX($H$9,ROUNDUP(B67/$H$8,0))</f>
        <v>#NAME?</v>
      </c>
      <c r="C68" s="223" t="e">
        <f aca="false">MAX(B68,$H$9,ROUNDUP(C67/$H$8,0))</f>
        <v>#NAME?</v>
      </c>
      <c r="D68" s="223" t="e">
        <f aca="false">MAX(C68,$H$9,ROUNDUP(D67/$H$8,0))</f>
        <v>#NAME?</v>
      </c>
      <c r="E68" s="223" t="e">
        <f aca="false">MAX(D68,$H$9,ROUNDUP(E67/$H$8,0))</f>
        <v>#NAME?</v>
      </c>
      <c r="F68" s="223" t="e">
        <f aca="false">MAX(E68,$H$9,ROUNDUP(F67/$H$8,0))</f>
        <v>#NAME?</v>
      </c>
      <c r="G68" s="223" t="e">
        <f aca="false">MAX(F68,$H$9,ROUNDUP(G67/$H$8,0))</f>
        <v>#NAME?</v>
      </c>
      <c r="H68" s="223" t="e">
        <f aca="false">MAX(G68,$H$9,ROUNDUP(H67/$H$8,0))</f>
        <v>#NAME?</v>
      </c>
      <c r="I68" s="223" t="e">
        <f aca="false">MAX(H68,$H$9,ROUNDUP(I67/$H$8,0))</f>
        <v>#NAME?</v>
      </c>
      <c r="J68" s="223" t="e">
        <f aca="false">MAX(I68,$H$9,ROUNDUP(J67/$H$8,0))</f>
        <v>#NAME?</v>
      </c>
      <c r="K68" s="223" t="e">
        <f aca="false">MAX(J68,$H$9,ROUNDUP(K67/$H$8,0))</f>
        <v>#NAME?</v>
      </c>
      <c r="L68" s="223" t="e">
        <f aca="false">MAX(K68,$H$9,ROUNDUP(L67/$H$8,0))</f>
        <v>#NAME?</v>
      </c>
      <c r="M68" s="223" t="e">
        <f aca="false">MAX(L68,$H$9,ROUNDUP(M67/$H$8,0))</f>
        <v>#NAME?</v>
      </c>
      <c r="N68" s="223" t="e">
        <f aca="false">MAX(M68,$H$9,ROUNDUP(N67/$H$8,0))</f>
        <v>#NAME?</v>
      </c>
      <c r="O68" s="223" t="e">
        <f aca="false">MAX(N68,$H$9,ROUNDUP(O67/$H$8,0))</f>
        <v>#NAME?</v>
      </c>
      <c r="P68" s="223" t="e">
        <f aca="false">MAX(O68,$H$9,ROUNDUP(P67/$H$8,0))</f>
        <v>#NAME?</v>
      </c>
      <c r="Q68" s="223" t="e">
        <f aca="false">MAX(P68,$H$9,ROUNDUP(Q67/$H$8,0))</f>
        <v>#NAME?</v>
      </c>
      <c r="R68" s="224" t="e">
        <f aca="false">AVERAGE(B68:E68)</f>
        <v>#NAME?</v>
      </c>
      <c r="S68" s="224" t="e">
        <f aca="false">AVERAGE(F68:Q68)</f>
        <v>#NAME?</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e">
        <f aca="false">MAX(0,B68-B69)</f>
        <v>#NAME?</v>
      </c>
      <c r="C70" s="223" t="e">
        <f aca="false">MAX(0,C68-C69)</f>
        <v>#NAME?</v>
      </c>
      <c r="D70" s="223" t="e">
        <f aca="false">MAX(0,D68-D69)</f>
        <v>#NAME?</v>
      </c>
      <c r="E70" s="223" t="e">
        <f aca="false">MAX(0,E68-E69)</f>
        <v>#NAME?</v>
      </c>
      <c r="F70" s="223" t="e">
        <f aca="false">MAX(0,F68-F69)</f>
        <v>#NAME?</v>
      </c>
      <c r="G70" s="223" t="e">
        <f aca="false">MAX(0,G68-G69)</f>
        <v>#NAME?</v>
      </c>
      <c r="H70" s="223" t="e">
        <f aca="false">MAX(0,H68-H69)</f>
        <v>#NAME?</v>
      </c>
      <c r="I70" s="223" t="e">
        <f aca="false">MAX(0,I68-I69)</f>
        <v>#NAME?</v>
      </c>
      <c r="J70" s="223" t="e">
        <f aca="false">MAX(0,J68-J69)</f>
        <v>#NAME?</v>
      </c>
      <c r="K70" s="223" t="e">
        <f aca="false">MAX(0,K68-K69)</f>
        <v>#NAME?</v>
      </c>
      <c r="L70" s="223" t="e">
        <f aca="false">MAX(0,L68-L69)</f>
        <v>#NAME?</v>
      </c>
      <c r="M70" s="223" t="e">
        <f aca="false">MAX(0,M68-M69)</f>
        <v>#NAME?</v>
      </c>
      <c r="N70" s="223" t="e">
        <f aca="false">MAX(0,N68-N69)</f>
        <v>#NAME?</v>
      </c>
      <c r="O70" s="223" t="e">
        <f aca="false">MAX(0,O68-O69)</f>
        <v>#NAME?</v>
      </c>
      <c r="P70" s="223" t="e">
        <f aca="false">MAX(0,P68-P69)</f>
        <v>#NAME?</v>
      </c>
      <c r="Q70" s="223" t="e">
        <f aca="false">MAX(0,Q68-Q69)</f>
        <v>#NAME?</v>
      </c>
      <c r="R70" s="224" t="e">
        <f aca="false">AVERAGE(B70:E70)</f>
        <v>#NAME?</v>
      </c>
      <c r="S70" s="224" t="e">
        <f aca="false">AVERAGE(F70:Q70)</f>
        <v>#NAME?</v>
      </c>
      <c r="T70" s="186"/>
    </row>
    <row r="71" customFormat="false" ht="14.25" hidden="false" customHeight="true" outlineLevel="0" collapsed="false">
      <c r="A71" s="185" t="s">
        <v>1749</v>
      </c>
      <c r="B71" s="223" t="e">
        <f aca="false">B69+B70</f>
        <v>#NAME?</v>
      </c>
      <c r="C71" s="223" t="e">
        <f aca="false">C69+C70</f>
        <v>#NAME?</v>
      </c>
      <c r="D71" s="223" t="e">
        <f aca="false">D69+D70</f>
        <v>#NAME?</v>
      </c>
      <c r="E71" s="223" t="e">
        <f aca="false">E69+E70</f>
        <v>#NAME?</v>
      </c>
      <c r="F71" s="223" t="e">
        <f aca="false">F69+F70</f>
        <v>#NAME?</v>
      </c>
      <c r="G71" s="223" t="e">
        <f aca="false">G69+G70</f>
        <v>#NAME?</v>
      </c>
      <c r="H71" s="223" t="e">
        <f aca="false">H69+H70</f>
        <v>#NAME?</v>
      </c>
      <c r="I71" s="223" t="e">
        <f aca="false">I69+I70</f>
        <v>#NAME?</v>
      </c>
      <c r="J71" s="223" t="e">
        <f aca="false">J69+J70</f>
        <v>#NAME?</v>
      </c>
      <c r="K71" s="223" t="e">
        <f aca="false">K69+K70</f>
        <v>#NAME?</v>
      </c>
      <c r="L71" s="223" t="e">
        <f aca="false">L69+L70</f>
        <v>#NAME?</v>
      </c>
      <c r="M71" s="223" t="e">
        <f aca="false">M69+M70</f>
        <v>#NAME?</v>
      </c>
      <c r="N71" s="223" t="e">
        <f aca="false">N69+N70</f>
        <v>#NAME?</v>
      </c>
      <c r="O71" s="223" t="e">
        <f aca="false">O69+O70</f>
        <v>#NAME?</v>
      </c>
      <c r="P71" s="223" t="e">
        <f aca="false">P69+P70</f>
        <v>#NAME?</v>
      </c>
      <c r="Q71" s="223" t="e">
        <f aca="false">Q69+Q70</f>
        <v>#NAME?</v>
      </c>
      <c r="R71" s="224" t="e">
        <f aca="false">AVERAGE(B71:E71)</f>
        <v>#NAME?</v>
      </c>
      <c r="S71" s="224" t="e">
        <f aca="false">AVERAGE(F71:Q71)</f>
        <v>#NAME?</v>
      </c>
      <c r="T71" s="186" t="s">
        <v>1750</v>
      </c>
    </row>
    <row r="72" customFormat="false" ht="14.25" hidden="false" customHeight="true" outlineLevel="0" collapsed="false">
      <c r="A72" s="185" t="s">
        <v>1649</v>
      </c>
      <c r="B72" s="225" t="e">
        <f aca="false">B71*$H$5/12+IF(B$24&gt;=$M$6,MIN(B71,INDEX($B71:$Q71,IFERROR(MATCH(EOMONTH($M$6,-$M$9-1),$B$24:$Q$24,0),1)))*$H$5/12*$M$5,0)</f>
        <v>#NAME?</v>
      </c>
      <c r="C72" s="225" t="e">
        <f aca="false">C71*$H$5/12+IF(C$24&gt;=$M$6,MIN(C71,INDEX($B71:$Q71,IFERROR(MATCH(EOMONTH($M$6,-$M$9-1),$B$24:$Q$24,0),1)))*$H$5/12*$M$5,0)</f>
        <v>#NAME?</v>
      </c>
      <c r="D72" s="225" t="e">
        <f aca="false">D71*$H$5/12+IF(D$24&gt;=$M$6,MIN(D71,INDEX($B71:$Q71,IFERROR(MATCH(EOMONTH($M$6,-$M$9-1),$B$24:$Q$24,0),1)))*$H$5/12*$M$5,0)</f>
        <v>#NAME?</v>
      </c>
      <c r="E72" s="225" t="e">
        <f aca="false">E71*$H$5/12+IF(E$24&gt;=$M$6,MIN(E71,INDEX($B71:$Q71,IFERROR(MATCH(EOMONTH($M$6,-$M$9-1),$B$24:$Q$24,0),1)))*$H$5/12*$M$5,0)</f>
        <v>#NAME?</v>
      </c>
      <c r="F72" s="225" t="e">
        <f aca="false">F71*$H$5/12+IF(F$24&gt;=$M$6,MIN(F71,INDEX($B71:$Q71,IFERROR(MATCH(EOMONTH($M$6,-$M$9-1),$B$24:$Q$24,0),1)))*$H$5/12*$M$5,0)</f>
        <v>#NAME?</v>
      </c>
      <c r="G72" s="225" t="e">
        <f aca="false">G71*$H$5/12+IF(G$24&gt;=$M$6,MIN(G71,INDEX($B71:$Q71,IFERROR(MATCH(EOMONTH($M$6,-$M$9-1),$B$24:$Q$24,0),1)))*$H$5/12*$M$5,0)</f>
        <v>#NAME?</v>
      </c>
      <c r="H72" s="225" t="e">
        <f aca="false">H71*$H$5/12+IF(H$24&gt;=$M$6,MIN(H71,INDEX($B71:$Q71,IFERROR(MATCH(EOMONTH($M$6,-$M$9-1),$B$24:$Q$24,0),1)))*$H$5/12*$M$5,0)</f>
        <v>#NAME?</v>
      </c>
      <c r="I72" s="225" t="e">
        <f aca="false">I71*$H$5/12+IF(I$24&gt;=$M$6,MIN(I71,INDEX($B71:$Q71,IFERROR(MATCH(EOMONTH($M$6,-$M$9-1),$B$24:$Q$24,0),1)))*$H$5/12*$M$5,0)</f>
        <v>#NAME?</v>
      </c>
      <c r="J72" s="225" t="e">
        <f aca="false">J71*$H$5/12+IF(J$24&gt;=$M$6,MIN(J71,INDEX($B71:$Q71,IFERROR(MATCH(EOMONTH($M$6,-$M$9-1),$B$24:$Q$24,0),1)))*$H$5/12*$M$5,0)</f>
        <v>#NAME?</v>
      </c>
      <c r="K72" s="225" t="e">
        <f aca="false">K71*$H$5/12+IF(K$24&gt;=$M$6,MIN(K71,INDEX($B71:$Q71,IFERROR(MATCH(EOMONTH($M$6,-$M$9-1),$B$24:$Q$24,0),1)))*$H$5/12*$M$5,0)</f>
        <v>#NAME?</v>
      </c>
      <c r="L72" s="225" t="e">
        <f aca="false">L71*$H$5/12+IF(L$24&gt;=$M$6,MIN(L71,INDEX($B71:$Q71,IFERROR(MATCH(EOMONTH($M$6,-$M$9-1),$B$24:$Q$24,0),1)))*$H$5/12*$M$5,0)</f>
        <v>#NAME?</v>
      </c>
      <c r="M72" s="225" t="e">
        <f aca="false">M71*$H$5/12+IF(M$24&gt;=$M$6,MIN(M71,INDEX($B71:$Q71,IFERROR(MATCH(EOMONTH($M$6,-$M$9-1),$B$24:$Q$24,0),1)))*$H$5/12*$M$5,0)</f>
        <v>#NAME?</v>
      </c>
      <c r="N72" s="225" t="e">
        <f aca="false">N71*$H$5/12+IF(N$24&gt;=$M$6,MIN(N71,INDEX($B71:$Q71,IFERROR(MATCH(EOMONTH($M$6,-$M$9-1),$B$24:$Q$24,0),1)))*$H$5/12*$M$5,0)</f>
        <v>#NAME?</v>
      </c>
      <c r="O72" s="225" t="e">
        <f aca="false">O71*$H$5/12+IF(O$24&gt;=$M$6,MIN(O71,INDEX($B71:$Q71,IFERROR(MATCH(EOMONTH($M$6,-$M$9-1),$B$24:$Q$24,0),1)))*$H$5/12*$M$5,0)</f>
        <v>#NAME?</v>
      </c>
      <c r="P72" s="225" t="e">
        <f aca="false">P71*$H$5/12+IF(P$24&gt;=$M$6,MIN(P71,INDEX($B71:$Q71,IFERROR(MATCH(EOMONTH($M$6,-$M$9-1),$B$24:$Q$24,0),1)))*$H$5/12*$M$5,0)</f>
        <v>#NAME?</v>
      </c>
      <c r="Q72" s="225" t="e">
        <f aca="false">Q71*$H$5/12+IF(Q$24&gt;=$M$6,MIN(Q71,INDEX($B71:$Q71,IFERROR(MATCH(EOMONTH($M$6,-$M$9-1),$B$24:$Q$24,0),1)))*$H$5/12*$M$5,0)</f>
        <v>#NAME?</v>
      </c>
      <c r="R72" s="226" t="e">
        <f aca="false">SUM(B72:E72)</f>
        <v>#NAME?</v>
      </c>
      <c r="S72" s="226" t="e">
        <f aca="false">SUM(F72:Q72)</f>
        <v>#NAME?</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e">
        <f aca="false">B72*B73</f>
        <v>#NAME?</v>
      </c>
      <c r="C74" s="225" t="e">
        <f aca="false">C72*C73</f>
        <v>#NAME?</v>
      </c>
      <c r="D74" s="225" t="e">
        <f aca="false">D72*D73</f>
        <v>#NAME?</v>
      </c>
      <c r="E74" s="225" t="e">
        <f aca="false">E72*E73</f>
        <v>#NAME?</v>
      </c>
      <c r="F74" s="225" t="e">
        <f aca="false">F72*F73</f>
        <v>#NAME?</v>
      </c>
      <c r="G74" s="225" t="e">
        <f aca="false">G72*G73</f>
        <v>#NAME?</v>
      </c>
      <c r="H74" s="225" t="e">
        <f aca="false">H72*H73</f>
        <v>#NAME?</v>
      </c>
      <c r="I74" s="225" t="e">
        <f aca="false">I72*I73</f>
        <v>#NAME?</v>
      </c>
      <c r="J74" s="225" t="e">
        <f aca="false">J72*J73</f>
        <v>#NAME?</v>
      </c>
      <c r="K74" s="225" t="e">
        <f aca="false">K72*K73</f>
        <v>#NAME?</v>
      </c>
      <c r="L74" s="225" t="e">
        <f aca="false">L72*L73</f>
        <v>#NAME?</v>
      </c>
      <c r="M74" s="225" t="e">
        <f aca="false">M72*M73</f>
        <v>#NAME?</v>
      </c>
      <c r="N74" s="225" t="e">
        <f aca="false">N72*N73</f>
        <v>#NAME?</v>
      </c>
      <c r="O74" s="225" t="e">
        <f aca="false">O72*O73</f>
        <v>#NAME?</v>
      </c>
      <c r="P74" s="225" t="e">
        <f aca="false">P72*P73</f>
        <v>#NAME?</v>
      </c>
      <c r="Q74" s="225" t="e">
        <f aca="false">Q72*Q73</f>
        <v>#NAME?</v>
      </c>
      <c r="R74" s="226" t="e">
        <f aca="false">SUM(B74:E74)</f>
        <v>#NAME?</v>
      </c>
      <c r="S74" s="226" t="e">
        <f aca="false">SUM(F74:Q74)</f>
        <v>#NAME?</v>
      </c>
    </row>
    <row r="75" customFormat="false" ht="14.25" hidden="false" customHeight="true" outlineLevel="0" collapsed="false">
      <c r="A75" s="185" t="s">
        <v>1650</v>
      </c>
      <c r="B75" s="225" t="e">
        <f aca="false">(B72+B74)*$H$6</f>
        <v>#NAME?</v>
      </c>
      <c r="C75" s="225" t="e">
        <f aca="false">(C72+C74)*$H$6</f>
        <v>#NAME?</v>
      </c>
      <c r="D75" s="225" t="e">
        <f aca="false">(D72+D74)*$H$6</f>
        <v>#NAME?</v>
      </c>
      <c r="E75" s="225" t="e">
        <f aca="false">(E72+E74)*$H$6</f>
        <v>#NAME?</v>
      </c>
      <c r="F75" s="225" t="e">
        <f aca="false">(F72+F74)*$H$6</f>
        <v>#NAME?</v>
      </c>
      <c r="G75" s="225" t="e">
        <f aca="false">(G72+G74)*$H$6</f>
        <v>#NAME?</v>
      </c>
      <c r="H75" s="225" t="e">
        <f aca="false">(H72+H74)*$H$6</f>
        <v>#NAME?</v>
      </c>
      <c r="I75" s="225" t="e">
        <f aca="false">(I72+I74)*$H$6</f>
        <v>#NAME?</v>
      </c>
      <c r="J75" s="225" t="e">
        <f aca="false">(J72+J74)*$H$6</f>
        <v>#NAME?</v>
      </c>
      <c r="K75" s="225" t="e">
        <f aca="false">(K72+K74)*$H$6</f>
        <v>#NAME?</v>
      </c>
      <c r="L75" s="225" t="e">
        <f aca="false">(L72+L74)*$H$6</f>
        <v>#NAME?</v>
      </c>
      <c r="M75" s="225" t="e">
        <f aca="false">(M72+M74)*$H$6</f>
        <v>#NAME?</v>
      </c>
      <c r="N75" s="225" t="e">
        <f aca="false">(N72+N74)*$H$6</f>
        <v>#NAME?</v>
      </c>
      <c r="O75" s="225" t="e">
        <f aca="false">(O72+O74)*$H$6</f>
        <v>#NAME?</v>
      </c>
      <c r="P75" s="225" t="e">
        <f aca="false">(P72+P74)*$H$6</f>
        <v>#NAME?</v>
      </c>
      <c r="Q75" s="225" t="e">
        <f aca="false">(Q72+Q74)*$H$6</f>
        <v>#NAME?</v>
      </c>
      <c r="R75" s="226" t="e">
        <f aca="false">SUM(B75:E75)</f>
        <v>#NAME?</v>
      </c>
      <c r="S75" s="226" t="e">
        <f aca="false">SUM(F75:Q75)</f>
        <v>#NAME?</v>
      </c>
    </row>
    <row r="76" customFormat="false" ht="14.25" hidden="false" customHeight="true" outlineLevel="0" collapsed="false">
      <c r="A76" s="185" t="s">
        <v>1390</v>
      </c>
      <c r="B76" s="225" t="e">
        <f aca="false">B72*$H$7</f>
        <v>#NAME?</v>
      </c>
      <c r="C76" s="225" t="e">
        <f aca="false">C72*$H$7</f>
        <v>#NAME?</v>
      </c>
      <c r="D76" s="225" t="e">
        <f aca="false">D72*$H$7</f>
        <v>#NAME?</v>
      </c>
      <c r="E76" s="225" t="e">
        <f aca="false">E72*$H$7</f>
        <v>#NAME?</v>
      </c>
      <c r="F76" s="225" t="e">
        <f aca="false">F72*$H$7</f>
        <v>#NAME?</v>
      </c>
      <c r="G76" s="225" t="e">
        <f aca="false">G72*$H$7</f>
        <v>#NAME?</v>
      </c>
      <c r="H76" s="225" t="e">
        <f aca="false">H72*$H$7</f>
        <v>#NAME?</v>
      </c>
      <c r="I76" s="225" t="e">
        <f aca="false">I72*$H$7</f>
        <v>#NAME?</v>
      </c>
      <c r="J76" s="225" t="e">
        <f aca="false">J72*$H$7</f>
        <v>#NAME?</v>
      </c>
      <c r="K76" s="225" t="e">
        <f aca="false">K72*$H$7</f>
        <v>#NAME?</v>
      </c>
      <c r="L76" s="225" t="e">
        <f aca="false">L72*$H$7</f>
        <v>#NAME?</v>
      </c>
      <c r="M76" s="225" t="e">
        <f aca="false">M72*$H$7</f>
        <v>#NAME?</v>
      </c>
      <c r="N76" s="225" t="e">
        <f aca="false">N72*$H$7</f>
        <v>#NAME?</v>
      </c>
      <c r="O76" s="225" t="e">
        <f aca="false">O72*$H$7</f>
        <v>#NAME?</v>
      </c>
      <c r="P76" s="225" t="e">
        <f aca="false">P72*$H$7</f>
        <v>#NAME?</v>
      </c>
      <c r="Q76" s="225" t="e">
        <f aca="false">Q72*$H$7</f>
        <v>#NAME?</v>
      </c>
      <c r="R76" s="226" t="e">
        <f aca="false">SUM(B76:E76)</f>
        <v>#NAME?</v>
      </c>
      <c r="S76" s="226" t="e">
        <f aca="false">SUM(F76:Q76)</f>
        <v>#NAME?</v>
      </c>
    </row>
    <row r="77" customFormat="false" ht="14.25" hidden="false" customHeight="true" outlineLevel="0" collapsed="false">
      <c r="A77" s="185" t="s">
        <v>1751</v>
      </c>
      <c r="B77" s="223" t="e">
        <f aca="false">B70</f>
        <v>#NAME?</v>
      </c>
      <c r="C77" s="223" t="e">
        <f aca="false">MAX(0,C70-B70)</f>
        <v>#NAME?</v>
      </c>
      <c r="D77" s="223" t="e">
        <f aca="false">MAX(0,D70-C70)</f>
        <v>#NAME?</v>
      </c>
      <c r="E77" s="223" t="e">
        <f aca="false">MAX(0,E70-D70)</f>
        <v>#NAME?</v>
      </c>
      <c r="F77" s="223" t="e">
        <f aca="false">MAX(0,F70-E70)</f>
        <v>#NAME?</v>
      </c>
      <c r="G77" s="223" t="e">
        <f aca="false">MAX(0,G70-F70)</f>
        <v>#NAME?</v>
      </c>
      <c r="H77" s="223" t="e">
        <f aca="false">MAX(0,H70-G70)</f>
        <v>#NAME?</v>
      </c>
      <c r="I77" s="223" t="e">
        <f aca="false">MAX(0,I70-H70)</f>
        <v>#NAME?</v>
      </c>
      <c r="J77" s="223" t="e">
        <f aca="false">MAX(0,J70-I70)</f>
        <v>#NAME?</v>
      </c>
      <c r="K77" s="223" t="e">
        <f aca="false">MAX(0,K70-J70)</f>
        <v>#NAME?</v>
      </c>
      <c r="L77" s="223" t="e">
        <f aca="false">MAX(0,L70-K70)</f>
        <v>#NAME?</v>
      </c>
      <c r="M77" s="223" t="e">
        <f aca="false">MAX(0,M70-L70)</f>
        <v>#NAME?</v>
      </c>
      <c r="N77" s="223" t="e">
        <f aca="false">MAX(0,N70-M70)</f>
        <v>#NAME?</v>
      </c>
      <c r="O77" s="223" t="e">
        <f aca="false">MAX(0,O70-N70)</f>
        <v>#NAME?</v>
      </c>
      <c r="P77" s="223" t="e">
        <f aca="false">MAX(0,P70-O70)</f>
        <v>#NAME?</v>
      </c>
      <c r="Q77" s="223" t="e">
        <f aca="false">MAX(0,Q70-P70)</f>
        <v>#NAME?</v>
      </c>
      <c r="R77" s="224" t="e">
        <f aca="false">SUM(B77:E77)</f>
        <v>#NAME?</v>
      </c>
      <c r="S77" s="224" t="e">
        <f aca="false">SUM(F77:Q77)</f>
        <v>#NAME?</v>
      </c>
      <c r="T77" s="186"/>
    </row>
    <row r="78" customFormat="false" ht="14.25" hidden="false" customHeight="true" outlineLevel="0" collapsed="false">
      <c r="A78" s="185" t="s">
        <v>1657</v>
      </c>
      <c r="B78" s="225" t="e">
        <f aca="false">B77*$M$8</f>
        <v>#NAME?</v>
      </c>
      <c r="C78" s="225" t="e">
        <f aca="false">C77*$M$8</f>
        <v>#NAME?</v>
      </c>
      <c r="D78" s="225" t="e">
        <f aca="false">D77*$M$8</f>
        <v>#NAME?</v>
      </c>
      <c r="E78" s="225" t="e">
        <f aca="false">E77*$M$8</f>
        <v>#NAME?</v>
      </c>
      <c r="F78" s="225" t="e">
        <f aca="false">F77*$M$8</f>
        <v>#NAME?</v>
      </c>
      <c r="G78" s="225" t="e">
        <f aca="false">G77*$M$8</f>
        <v>#NAME?</v>
      </c>
      <c r="H78" s="225" t="e">
        <f aca="false">H77*$M$8</f>
        <v>#NAME?</v>
      </c>
      <c r="I78" s="225" t="e">
        <f aca="false">I77*$M$8</f>
        <v>#NAME?</v>
      </c>
      <c r="J78" s="225" t="e">
        <f aca="false">J77*$M$8</f>
        <v>#NAME?</v>
      </c>
      <c r="K78" s="225" t="e">
        <f aca="false">K77*$M$8</f>
        <v>#NAME?</v>
      </c>
      <c r="L78" s="225" t="e">
        <f aca="false">L77*$M$8</f>
        <v>#NAME?</v>
      </c>
      <c r="M78" s="225" t="e">
        <f aca="false">M77*$M$8</f>
        <v>#NAME?</v>
      </c>
      <c r="N78" s="225" t="e">
        <f aca="false">N77*$M$8</f>
        <v>#NAME?</v>
      </c>
      <c r="O78" s="225" t="e">
        <f aca="false">O77*$M$8</f>
        <v>#NAME?</v>
      </c>
      <c r="P78" s="225" t="e">
        <f aca="false">P77*$M$8</f>
        <v>#NAME?</v>
      </c>
      <c r="Q78" s="225" t="e">
        <f aca="false">Q77*$M$8</f>
        <v>#NAME?</v>
      </c>
      <c r="R78" s="226" t="e">
        <f aca="false">SUM(B78:E78)</f>
        <v>#NAME?</v>
      </c>
      <c r="S78" s="226" t="e">
        <f aca="false">SUM(F78:Q78)</f>
        <v>#NAME?</v>
      </c>
    </row>
    <row r="79" customFormat="false" ht="14.25" hidden="false" customHeight="true" outlineLevel="0" collapsed="false">
      <c r="A79" s="229" t="s">
        <v>1752</v>
      </c>
      <c r="B79" s="230" t="e">
        <f aca="false">B72+B74+B75+B76+B78</f>
        <v>#NAME?</v>
      </c>
      <c r="C79" s="230" t="e">
        <f aca="false">C72+C74+C75+C76+C78</f>
        <v>#NAME?</v>
      </c>
      <c r="D79" s="230" t="e">
        <f aca="false">D72+D74+D75+D76+D78</f>
        <v>#NAME?</v>
      </c>
      <c r="E79" s="230" t="e">
        <f aca="false">E72+E74+E75+E76+E78</f>
        <v>#NAME?</v>
      </c>
      <c r="F79" s="230" t="e">
        <f aca="false">F72+F74+F75+F76+F78</f>
        <v>#NAME?</v>
      </c>
      <c r="G79" s="230" t="e">
        <f aca="false">G72+G74+G75+G76+G78</f>
        <v>#NAME?</v>
      </c>
      <c r="H79" s="230" t="e">
        <f aca="false">H72+H74+H75+H76+H78</f>
        <v>#NAME?</v>
      </c>
      <c r="I79" s="230" t="e">
        <f aca="false">I72+I74+I75+I76+I78</f>
        <v>#NAME?</v>
      </c>
      <c r="J79" s="230" t="e">
        <f aca="false">J72+J74+J75+J76+J78</f>
        <v>#NAME?</v>
      </c>
      <c r="K79" s="230" t="e">
        <f aca="false">K72+K74+K75+K76+K78</f>
        <v>#NAME?</v>
      </c>
      <c r="L79" s="230" t="e">
        <f aca="false">L72+L74+L75+L76+L78</f>
        <v>#NAME?</v>
      </c>
      <c r="M79" s="230" t="e">
        <f aca="false">M72+M74+M75+M76+M78</f>
        <v>#NAME?</v>
      </c>
      <c r="N79" s="230" t="e">
        <f aca="false">N72+N74+N75+N76+N78</f>
        <v>#NAME?</v>
      </c>
      <c r="O79" s="230" t="e">
        <f aca="false">O72+O74+O75+O76+O78</f>
        <v>#NAME?</v>
      </c>
      <c r="P79" s="230" t="e">
        <f aca="false">P72+P74+P75+P76+P78</f>
        <v>#NAME?</v>
      </c>
      <c r="Q79" s="230" t="e">
        <f aca="false">Q72+Q74+Q75+Q76+Q78</f>
        <v>#NAME?</v>
      </c>
      <c r="R79" s="231" t="e">
        <f aca="false">SUM(B79:E79)</f>
        <v>#NAME?</v>
      </c>
      <c r="S79" s="231" t="e">
        <f aca="false">SUM(F79:Q79)</f>
        <v>#NAME?</v>
      </c>
    </row>
    <row r="80" customFormat="false" ht="14.25" hidden="false" customHeight="true" outlineLevel="0" collapsed="false"/>
    <row r="81" customFormat="false" ht="14.25" hidden="false" customHeight="true" outlineLevel="0" collapsed="false">
      <c r="A81" s="234" t="s">
        <v>1753</v>
      </c>
      <c r="B81" s="235" t="e">
        <f aca="false">B41+B62+B79</f>
        <v>#NAME?</v>
      </c>
      <c r="C81" s="235" t="e">
        <f aca="false">C41+C62+C79</f>
        <v>#NAME?</v>
      </c>
      <c r="D81" s="235" t="e">
        <f aca="false">D41+D62+D79</f>
        <v>#NAME?</v>
      </c>
      <c r="E81" s="235" t="e">
        <f aca="false">E41+E62+E79</f>
        <v>#NAME?</v>
      </c>
      <c r="F81" s="235" t="e">
        <f aca="false">F41+F62+F79</f>
        <v>#NAME?</v>
      </c>
      <c r="G81" s="235" t="e">
        <f aca="false">G41+G62+G79</f>
        <v>#NAME?</v>
      </c>
      <c r="H81" s="235" t="e">
        <f aca="false">H41+H62+H79</f>
        <v>#NAME?</v>
      </c>
      <c r="I81" s="235" t="e">
        <f aca="false">I41+I62+I79</f>
        <v>#NAME?</v>
      </c>
      <c r="J81" s="235" t="e">
        <f aca="false">J41+J62+J79</f>
        <v>#NAME?</v>
      </c>
      <c r="K81" s="235" t="e">
        <f aca="false">K41+K62+K79</f>
        <v>#NAME?</v>
      </c>
      <c r="L81" s="235" t="e">
        <f aca="false">L41+L62+L79</f>
        <v>#NAME?</v>
      </c>
      <c r="M81" s="235" t="e">
        <f aca="false">M41+M62+M79</f>
        <v>#NAME?</v>
      </c>
      <c r="N81" s="235" t="e">
        <f aca="false">N41+N62+N79</f>
        <v>#NAME?</v>
      </c>
      <c r="O81" s="235" t="e">
        <f aca="false">O41+O62+O79</f>
        <v>#NAME?</v>
      </c>
      <c r="P81" s="235" t="e">
        <f aca="false">P41+P62+P79</f>
        <v>#NAME?</v>
      </c>
      <c r="Q81" s="235" t="e">
        <f aca="false">Q41+Q62+Q79</f>
        <v>#NAME?</v>
      </c>
      <c r="R81" s="235" t="e">
        <f aca="false">SUM(B81:E81)</f>
        <v>#NAME?</v>
      </c>
      <c r="S81" s="235" t="e">
        <f aca="false">SUM(F81:Q81)</f>
        <v>#NAME?</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c r="C18" s="317"/>
      <c r="D18" s="318"/>
      <c r="E18" s="319">
        <v>46266</v>
      </c>
      <c r="F18" s="319">
        <v>46722</v>
      </c>
      <c r="G18" s="320">
        <v>0.03</v>
      </c>
      <c r="H18" s="321">
        <f t="shared" si="0"/>
        <v>46661</v>
      </c>
      <c r="I18" s="322" t="str">
        <f t="shared" si="1"/>
        <v/>
      </c>
      <c r="J18" s="322" t="str">
        <f t="shared" si="1"/>
        <v/>
      </c>
      <c r="K18" s="322" t="str">
        <f t="shared" si="1"/>
        <v/>
      </c>
      <c r="L18" s="322" t="str">
        <f t="shared" si="1"/>
        <v/>
      </c>
      <c r="M18" s="322" t="str">
        <f t="shared" si="1"/>
        <v/>
      </c>
      <c r="N18" s="322" t="str">
        <f t="shared" si="1"/>
        <v/>
      </c>
      <c r="O18" s="322" t="str">
        <f t="shared" si="1"/>
        <v/>
      </c>
      <c r="P18" s="322" t="str">
        <f t="shared" si="1"/>
        <v/>
      </c>
      <c r="Q18" s="322" t="str">
        <f t="shared" si="1"/>
        <v/>
      </c>
      <c r="R18" s="322" t="str">
        <f t="shared" si="1"/>
        <v/>
      </c>
      <c r="S18" s="322" t="str">
        <f t="shared" si="1"/>
        <v/>
      </c>
      <c r="T18" s="322" t="str">
        <f t="shared" si="1"/>
        <v/>
      </c>
      <c r="U18" s="322" t="str">
        <f t="shared" si="1"/>
        <v/>
      </c>
      <c r="V18" s="322" t="str">
        <f t="shared" si="1"/>
        <v/>
      </c>
      <c r="W18" s="322" t="str">
        <f t="shared" si="1"/>
        <v/>
      </c>
      <c r="X18" s="322" t="str">
        <f t="shared" si="1"/>
        <v/>
      </c>
      <c r="Y18" s="322"/>
      <c r="Z18" s="322">
        <f t="shared" si="3"/>
        <v>0</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f t="shared" si="17"/>
        <v>43709.833333333328</v>
      </c>
      <c r="N67" s="348">
        <f t="shared" si="17"/>
        <v>43709.833333333328</v>
      </c>
      <c r="O67" s="348">
        <f t="shared" si="17"/>
        <v>43709.833333333328</v>
      </c>
      <c r="P67" s="348">
        <f t="shared" si="17"/>
        <v>43709.833333333328</v>
      </c>
      <c r="Q67" s="348">
        <f t="shared" si="17"/>
        <v>43709.833333333328</v>
      </c>
      <c r="R67" s="348">
        <f t="shared" si="17"/>
        <v>43709.833333333328</v>
      </c>
      <c r="S67" s="348">
        <f t="shared" si="17"/>
        <v>43709.833333333328</v>
      </c>
      <c r="T67" s="348">
        <f t="shared" si="17"/>
        <v>43709.833333333328</v>
      </c>
      <c r="U67" s="348">
        <f t="shared" si="17"/>
        <v>43709.833333333328</v>
      </c>
      <c r="V67" s="348">
        <f t="shared" si="17"/>
        <v>45021.128333333334</v>
      </c>
      <c r="W67" s="348">
        <f t="shared" si="17"/>
        <v>45021.128333333334</v>
      </c>
      <c r="X67" s="348">
        <f t="shared" si="17"/>
        <v>45021.128333333334</v>
      </c>
      <c r="Y67" s="349"/>
      <c r="Z67" s="348">
        <f>SUM(M67:X67)</f>
        <v>528451.88499999989</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f t="shared" si="18"/>
        <v>2282.289750957741</v>
      </c>
      <c r="N68" s="348">
        <f t="shared" si="18"/>
        <v>2282.289750957741</v>
      </c>
      <c r="O68" s="348">
        <f t="shared" si="18"/>
        <v>2282.289750957741</v>
      </c>
      <c r="P68" s="348">
        <f t="shared" si="18"/>
        <v>2282.289750957741</v>
      </c>
      <c r="Q68" s="348">
        <f t="shared" si="18"/>
        <v>2282.289750957741</v>
      </c>
      <c r="R68" s="348">
        <f t="shared" si="18"/>
        <v>2282.289750957741</v>
      </c>
      <c r="S68" s="348">
        <f t="shared" si="18"/>
        <v>2282.289750957741</v>
      </c>
      <c r="T68" s="348">
        <f t="shared" si="18"/>
        <v>2282.289750957741</v>
      </c>
      <c r="U68" s="348">
        <f t="shared" si="18"/>
        <v>2282.289750957741</v>
      </c>
      <c r="V68" s="348">
        <f t="shared" si="18"/>
        <v>2350.7584434864734</v>
      </c>
      <c r="W68" s="348">
        <f t="shared" si="18"/>
        <v>2350.7584434864734</v>
      </c>
      <c r="X68" s="348">
        <f t="shared" si="18"/>
        <v>2350.7584434864734</v>
      </c>
      <c r="Y68" s="349"/>
      <c r="Z68" s="348">
        <f>SUM(M68:X68)</f>
        <v>27592.883089079089</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f t="shared" si="19"/>
        <v>5204.0076694578029</v>
      </c>
      <c r="N69" s="348">
        <f t="shared" si="19"/>
        <v>5204.0076694578029</v>
      </c>
      <c r="O69" s="348">
        <f t="shared" si="19"/>
        <v>5204.0076694578029</v>
      </c>
      <c r="P69" s="348">
        <f t="shared" si="19"/>
        <v>5204.0076694578029</v>
      </c>
      <c r="Q69" s="348">
        <f t="shared" si="19"/>
        <v>5204.0076694578029</v>
      </c>
      <c r="R69" s="348">
        <f t="shared" si="19"/>
        <v>5204.0076694578029</v>
      </c>
      <c r="S69" s="348">
        <f t="shared" si="19"/>
        <v>5204.0076694578029</v>
      </c>
      <c r="T69" s="348">
        <f t="shared" si="19"/>
        <v>5204.0076694578029</v>
      </c>
      <c r="U69" s="348">
        <f t="shared" si="19"/>
        <v>5204.0076694578029</v>
      </c>
      <c r="V69" s="348">
        <f t="shared" si="19"/>
        <v>5360.1278995415378</v>
      </c>
      <c r="W69" s="348">
        <f t="shared" si="19"/>
        <v>5360.1278995415378</v>
      </c>
      <c r="X69" s="348">
        <f t="shared" si="19"/>
        <v>5360.1278995415378</v>
      </c>
      <c r="Y69" s="349"/>
      <c r="Z69" s="348">
        <f>SUM(M69:X69)</f>
        <v>62916.452723744835</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f t="shared" si="20"/>
        <v>51196.130753748868</v>
      </c>
      <c r="N70" s="353">
        <f t="shared" si="20"/>
        <v>51196.130753748868</v>
      </c>
      <c r="O70" s="353">
        <f t="shared" si="20"/>
        <v>51196.130753748868</v>
      </c>
      <c r="P70" s="353">
        <f t="shared" si="20"/>
        <v>51196.130753748868</v>
      </c>
      <c r="Q70" s="353">
        <f t="shared" si="20"/>
        <v>51196.130753748868</v>
      </c>
      <c r="R70" s="353">
        <f t="shared" si="20"/>
        <v>51196.130753748868</v>
      </c>
      <c r="S70" s="353">
        <f t="shared" si="20"/>
        <v>51196.130753748868</v>
      </c>
      <c r="T70" s="353">
        <f t="shared" si="20"/>
        <v>51196.130753748868</v>
      </c>
      <c r="U70" s="353">
        <f t="shared" si="20"/>
        <v>51196.130753748868</v>
      </c>
      <c r="V70" s="353">
        <f t="shared" si="20"/>
        <v>52732.014676361345</v>
      </c>
      <c r="W70" s="353">
        <f t="shared" si="20"/>
        <v>52732.014676361345</v>
      </c>
      <c r="X70" s="353">
        <f t="shared" si="20"/>
        <v>52732.014676361345</v>
      </c>
      <c r="Y70" s="349"/>
      <c r="Z70" s="353">
        <f>SUM(M70:X70)</f>
        <v>618961.22081282386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f>'HC-CO'!M67</f>
        <v>43709.833333333328</v>
      </c>
      <c r="N18" s="368">
        <f>'HC-CO'!N67</f>
        <v>43709.833333333328</v>
      </c>
      <c r="O18" s="368">
        <f>'HC-CO'!O67</f>
        <v>43709.833333333328</v>
      </c>
      <c r="P18" s="368">
        <f>'HC-CO'!P67</f>
        <v>43709.833333333328</v>
      </c>
      <c r="Q18" s="368">
        <f>'HC-CO'!Q67</f>
        <v>43709.833333333328</v>
      </c>
      <c r="R18" s="368">
        <f>'HC-CO'!R67</f>
        <v>43709.833333333328</v>
      </c>
      <c r="S18" s="368">
        <f>'HC-CO'!S67</f>
        <v>43709.833333333328</v>
      </c>
      <c r="T18" s="368">
        <f>'HC-CO'!T67</f>
        <v>43709.833333333328</v>
      </c>
      <c r="U18" s="368">
        <f>'HC-CO'!U67</f>
        <v>43709.833333333328</v>
      </c>
      <c r="V18" s="368">
        <f>'HC-CO'!V67</f>
        <v>45021.128333333334</v>
      </c>
      <c r="W18" s="368">
        <f>'HC-CO'!W67</f>
        <v>45021.128333333334</v>
      </c>
      <c r="X18" s="368">
        <f>'HC-CO'!X67</f>
        <v>45021.128333333334</v>
      </c>
      <c r="Y18" s="368"/>
      <c r="Z18" s="368">
        <f t="shared" si="0"/>
        <v>528451.88499999989</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f t="shared" si="1"/>
        <v>333894.58333333331</v>
      </c>
      <c r="N19" s="369">
        <f t="shared" si="1"/>
        <v>333894.58333333331</v>
      </c>
      <c r="O19" s="369">
        <f t="shared" si="1"/>
        <v>333894.58333333331</v>
      </c>
      <c r="P19" s="369">
        <f t="shared" si="1"/>
        <v>333894.58333333331</v>
      </c>
      <c r="Q19" s="369">
        <f t="shared" si="1"/>
        <v>333894.58333333331</v>
      </c>
      <c r="R19" s="369">
        <f t="shared" si="1"/>
        <v>333894.58333333331</v>
      </c>
      <c r="S19" s="369">
        <f t="shared" si="1"/>
        <v>333894.58333333331</v>
      </c>
      <c r="T19" s="369">
        <f t="shared" si="1"/>
        <v>333894.58333333331</v>
      </c>
      <c r="U19" s="369">
        <f t="shared" si="1"/>
        <v>333894.58333333331</v>
      </c>
      <c r="V19" s="369">
        <f t="shared" si="1"/>
        <v>343911.42083333334</v>
      </c>
      <c r="W19" s="369">
        <f t="shared" si="1"/>
        <v>343911.42083333334</v>
      </c>
      <c r="X19" s="369">
        <f t="shared" si="1"/>
        <v>343911.42083333334</v>
      </c>
      <c r="Y19" s="369"/>
      <c r="Z19" s="369">
        <f t="shared" si="0"/>
        <v>4036785.5125000002</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f>'HC-CO'!M68</f>
        <v>2282.289750957741</v>
      </c>
      <c r="N26" s="368">
        <f>'HC-CO'!N68</f>
        <v>2282.289750957741</v>
      </c>
      <c r="O26" s="368">
        <f>'HC-CO'!O68</f>
        <v>2282.289750957741</v>
      </c>
      <c r="P26" s="368">
        <f>'HC-CO'!P68</f>
        <v>2282.289750957741</v>
      </c>
      <c r="Q26" s="368">
        <f>'HC-CO'!Q68</f>
        <v>2282.289750957741</v>
      </c>
      <c r="R26" s="368">
        <f>'HC-CO'!R68</f>
        <v>2282.289750957741</v>
      </c>
      <c r="S26" s="368">
        <f>'HC-CO'!S68</f>
        <v>2282.289750957741</v>
      </c>
      <c r="T26" s="368">
        <f>'HC-CO'!T68</f>
        <v>2282.289750957741</v>
      </c>
      <c r="U26" s="368">
        <f>'HC-CO'!U68</f>
        <v>2282.289750957741</v>
      </c>
      <c r="V26" s="368">
        <f>'HC-CO'!V68</f>
        <v>2350.7584434864734</v>
      </c>
      <c r="W26" s="368">
        <f>'HC-CO'!W68</f>
        <v>2350.7584434864734</v>
      </c>
      <c r="X26" s="368">
        <f>'HC-CO'!X68</f>
        <v>2350.7584434864734</v>
      </c>
      <c r="Y26" s="368"/>
      <c r="Z26" s="368">
        <f t="shared" si="2"/>
        <v>27592.883089079089</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f t="shared" si="3"/>
        <v>15959.29419244716</v>
      </c>
      <c r="N27" s="369">
        <f t="shared" si="3"/>
        <v>15959.29419244716</v>
      </c>
      <c r="O27" s="369">
        <f t="shared" si="3"/>
        <v>15959.29419244716</v>
      </c>
      <c r="P27" s="369">
        <f t="shared" si="3"/>
        <v>15959.29419244716</v>
      </c>
      <c r="Q27" s="369">
        <f t="shared" si="3"/>
        <v>15959.29419244716</v>
      </c>
      <c r="R27" s="369">
        <f t="shared" si="3"/>
        <v>15959.29419244716</v>
      </c>
      <c r="S27" s="369">
        <f t="shared" si="3"/>
        <v>15959.29419244716</v>
      </c>
      <c r="T27" s="369">
        <f t="shared" si="3"/>
        <v>15959.29419244716</v>
      </c>
      <c r="U27" s="369">
        <f t="shared" si="3"/>
        <v>15959.29419244716</v>
      </c>
      <c r="V27" s="369">
        <f t="shared" si="3"/>
        <v>16438.073018220573</v>
      </c>
      <c r="W27" s="369">
        <f t="shared" si="3"/>
        <v>16438.073018220573</v>
      </c>
      <c r="X27" s="369">
        <f t="shared" si="3"/>
        <v>16438.073018220573</v>
      </c>
      <c r="Y27" s="369"/>
      <c r="Z27" s="369">
        <f t="shared" si="2"/>
        <v>192947.86678668612</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f>'HC-CO'!M69</f>
        <v>5204.0076694578029</v>
      </c>
      <c r="N34" s="368">
        <f>'HC-CO'!N69</f>
        <v>5204.0076694578029</v>
      </c>
      <c r="O34" s="368">
        <f>'HC-CO'!O69</f>
        <v>5204.0076694578029</v>
      </c>
      <c r="P34" s="368">
        <f>'HC-CO'!P69</f>
        <v>5204.0076694578029</v>
      </c>
      <c r="Q34" s="368">
        <f>'HC-CO'!Q69</f>
        <v>5204.0076694578029</v>
      </c>
      <c r="R34" s="368">
        <f>'HC-CO'!R69</f>
        <v>5204.0076694578029</v>
      </c>
      <c r="S34" s="368">
        <f>'HC-CO'!S69</f>
        <v>5204.0076694578029</v>
      </c>
      <c r="T34" s="368">
        <f>'HC-CO'!T69</f>
        <v>5204.0076694578029</v>
      </c>
      <c r="U34" s="368">
        <f>'HC-CO'!U69</f>
        <v>5204.0076694578029</v>
      </c>
      <c r="V34" s="368">
        <f>'HC-CO'!V69</f>
        <v>5360.1278995415378</v>
      </c>
      <c r="W34" s="368">
        <f>'HC-CO'!W69</f>
        <v>5360.1278995415378</v>
      </c>
      <c r="X34" s="368">
        <f>'HC-CO'!X69</f>
        <v>5360.1278995415378</v>
      </c>
      <c r="Y34" s="368"/>
      <c r="Z34" s="368">
        <f t="shared" si="4"/>
        <v>62916.452723744835</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f t="shared" si="5"/>
        <v>41684.212221311522</v>
      </c>
      <c r="N35" s="369">
        <f t="shared" si="5"/>
        <v>41684.212221311522</v>
      </c>
      <c r="O35" s="369">
        <f t="shared" si="5"/>
        <v>41684.212221311522</v>
      </c>
      <c r="P35" s="369">
        <f t="shared" si="5"/>
        <v>41684.212221311522</v>
      </c>
      <c r="Q35" s="369">
        <f t="shared" si="5"/>
        <v>41684.212221311522</v>
      </c>
      <c r="R35" s="369">
        <f t="shared" si="5"/>
        <v>41684.212221311522</v>
      </c>
      <c r="S35" s="369">
        <f t="shared" si="5"/>
        <v>41684.212221311522</v>
      </c>
      <c r="T35" s="369">
        <f t="shared" si="5"/>
        <v>41684.212221311522</v>
      </c>
      <c r="U35" s="369">
        <f t="shared" si="5"/>
        <v>41684.212221311522</v>
      </c>
      <c r="V35" s="369">
        <f t="shared" si="5"/>
        <v>42934.738587950866</v>
      </c>
      <c r="W35" s="369">
        <f t="shared" si="5"/>
        <v>42934.738587950866</v>
      </c>
      <c r="X35" s="369">
        <f t="shared" si="5"/>
        <v>42934.738587950866</v>
      </c>
      <c r="Y35" s="369"/>
      <c r="Z35" s="369">
        <f t="shared" si="4"/>
        <v>503962.12575565634</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f>'HC-CO'!M70</f>
        <v>51196.130753748868</v>
      </c>
      <c r="N42" s="368">
        <f>'HC-CO'!N70</f>
        <v>51196.130753748868</v>
      </c>
      <c r="O42" s="368">
        <f>'HC-CO'!O70</f>
        <v>51196.130753748868</v>
      </c>
      <c r="P42" s="368">
        <f>'HC-CO'!P70</f>
        <v>51196.130753748868</v>
      </c>
      <c r="Q42" s="368">
        <f>'HC-CO'!Q70</f>
        <v>51196.130753748868</v>
      </c>
      <c r="R42" s="368">
        <f>'HC-CO'!R70</f>
        <v>51196.130753748868</v>
      </c>
      <c r="S42" s="368">
        <f>'HC-CO'!S70</f>
        <v>51196.130753748868</v>
      </c>
      <c r="T42" s="368">
        <f>'HC-CO'!T70</f>
        <v>51196.130753748868</v>
      </c>
      <c r="U42" s="368">
        <f>'HC-CO'!U70</f>
        <v>51196.130753748868</v>
      </c>
      <c r="V42" s="368">
        <f>'HC-CO'!V70</f>
        <v>52732.014676361345</v>
      </c>
      <c r="W42" s="368">
        <f>'HC-CO'!W70</f>
        <v>52732.014676361345</v>
      </c>
      <c r="X42" s="368">
        <f>'HC-CO'!X70</f>
        <v>52732.014676361345</v>
      </c>
      <c r="Y42" s="368"/>
      <c r="Z42" s="368">
        <f t="shared" si="6"/>
        <v>618961.22081282386</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f t="shared" si="7"/>
        <v>391538.08974709205</v>
      </c>
      <c r="N43" s="371">
        <f t="shared" si="7"/>
        <v>391538.08974709205</v>
      </c>
      <c r="O43" s="371">
        <f t="shared" si="7"/>
        <v>391538.08974709205</v>
      </c>
      <c r="P43" s="371">
        <f t="shared" si="7"/>
        <v>391538.08974709205</v>
      </c>
      <c r="Q43" s="371">
        <f t="shared" si="7"/>
        <v>391538.08974709205</v>
      </c>
      <c r="R43" s="371">
        <f t="shared" si="7"/>
        <v>391538.08974709205</v>
      </c>
      <c r="S43" s="371">
        <f t="shared" si="7"/>
        <v>391538.08974709205</v>
      </c>
      <c r="T43" s="371">
        <f t="shared" si="7"/>
        <v>391538.08974709205</v>
      </c>
      <c r="U43" s="371">
        <f t="shared" si="7"/>
        <v>391538.08974709205</v>
      </c>
      <c r="V43" s="371">
        <f t="shared" si="7"/>
        <v>403284.23243950482</v>
      </c>
      <c r="W43" s="371">
        <f t="shared" si="7"/>
        <v>403284.23243950482</v>
      </c>
      <c r="X43" s="371">
        <f t="shared" si="7"/>
        <v>403284.23243950482</v>
      </c>
      <c r="Y43" s="371"/>
      <c r="Z43" s="371">
        <f t="shared" si="6"/>
        <v>4733695.5050423434</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f t="shared" si="8"/>
        <v>226598.67772329674</v>
      </c>
      <c r="N47" s="368">
        <f t="shared" si="8"/>
        <v>226598.67772329674</v>
      </c>
      <c r="O47" s="368">
        <f t="shared" si="8"/>
        <v>226598.67772329674</v>
      </c>
      <c r="P47" s="368">
        <f t="shared" si="8"/>
        <v>226598.67772329674</v>
      </c>
      <c r="Q47" s="368">
        <f t="shared" si="8"/>
        <v>226598.67772329674</v>
      </c>
      <c r="R47" s="368">
        <f t="shared" si="8"/>
        <v>226598.67772329674</v>
      </c>
      <c r="S47" s="368">
        <f t="shared" si="8"/>
        <v>226598.67772329674</v>
      </c>
      <c r="T47" s="368">
        <f t="shared" si="8"/>
        <v>226598.67772329674</v>
      </c>
      <c r="U47" s="368">
        <f t="shared" si="8"/>
        <v>226598.67772329674</v>
      </c>
      <c r="V47" s="368">
        <f t="shared" si="8"/>
        <v>233396.63805499562</v>
      </c>
      <c r="W47" s="368">
        <f t="shared" si="8"/>
        <v>233396.63805499562</v>
      </c>
      <c r="X47" s="368">
        <f t="shared" si="8"/>
        <v>233396.63805499562</v>
      </c>
      <c r="Y47" s="368"/>
      <c r="Z47" s="368">
        <f>SUM(M47:X47)</f>
        <v>2739578.0136746578</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f t="shared" si="9"/>
        <v>391538.08974709205</v>
      </c>
      <c r="N48" s="371">
        <f t="shared" si="9"/>
        <v>391538.08974709205</v>
      </c>
      <c r="O48" s="371">
        <f t="shared" si="9"/>
        <v>391538.08974709205</v>
      </c>
      <c r="P48" s="371">
        <f t="shared" si="9"/>
        <v>391538.08974709205</v>
      </c>
      <c r="Q48" s="371">
        <f t="shared" si="9"/>
        <v>391538.08974709205</v>
      </c>
      <c r="R48" s="371">
        <f t="shared" si="9"/>
        <v>391538.08974709205</v>
      </c>
      <c r="S48" s="371">
        <f t="shared" si="9"/>
        <v>391538.08974709205</v>
      </c>
      <c r="T48" s="371">
        <f t="shared" si="9"/>
        <v>391538.08974709205</v>
      </c>
      <c r="U48" s="371">
        <f t="shared" si="9"/>
        <v>391538.08974709205</v>
      </c>
      <c r="V48" s="371">
        <f t="shared" si="9"/>
        <v>403284.23243950482</v>
      </c>
      <c r="W48" s="371">
        <f t="shared" si="9"/>
        <v>403284.23243950482</v>
      </c>
      <c r="X48" s="371">
        <f t="shared" si="9"/>
        <v>403284.23243950482</v>
      </c>
      <c r="Y48" s="371"/>
      <c r="Z48" s="371">
        <f>SUM(M48:X48)</f>
        <v>4733695.5050423434</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f>COUNTIF('HC-CO'!M$14:M$57,"&gt;0")</f>
        <v>5</v>
      </c>
      <c r="N69" s="377">
        <f>COUNTIF('HC-CO'!N$14:N$57,"&gt;0")</f>
        <v>5</v>
      </c>
      <c r="O69" s="377">
        <f>COUNTIF('HC-CO'!O$14:O$57,"&gt;0")</f>
        <v>5</v>
      </c>
      <c r="P69" s="377">
        <f>COUNTIF('HC-CO'!P$14:P$57,"&gt;0")</f>
        <v>5</v>
      </c>
      <c r="Q69" s="377">
        <f>COUNTIF('HC-CO'!Q$14:Q$57,"&gt;0")</f>
        <v>5</v>
      </c>
      <c r="R69" s="377">
        <f>COUNTIF('HC-CO'!R$14:R$57,"&gt;0")</f>
        <v>5</v>
      </c>
      <c r="S69" s="377">
        <f>COUNTIF('HC-CO'!S$14:S$57,"&gt;0")</f>
        <v>5</v>
      </c>
      <c r="T69" s="377">
        <f>COUNTIF('HC-CO'!T$14:T$57,"&gt;0")</f>
        <v>5</v>
      </c>
      <c r="U69" s="377">
        <f>COUNTIF('HC-CO'!U$14:U$57,"&gt;0")</f>
        <v>5</v>
      </c>
      <c r="V69" s="377">
        <f>COUNTIF('HC-CO'!V$14:V$57,"&gt;0")</f>
        <v>5</v>
      </c>
      <c r="W69" s="377">
        <f>COUNTIF('HC-CO'!W$14:W$57,"&gt;0")</f>
        <v>5</v>
      </c>
      <c r="X69" s="377">
        <f>COUNTIF('HC-CO'!X$14:X$57,"&gt;0")</f>
        <v>5</v>
      </c>
      <c r="Z69" s="377">
        <f t="shared" si="14"/>
        <v>5</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f t="shared" si="15"/>
        <v>46</v>
      </c>
      <c r="N70" s="380">
        <f t="shared" si="15"/>
        <v>46</v>
      </c>
      <c r="O70" s="380">
        <f t="shared" si="15"/>
        <v>46</v>
      </c>
      <c r="P70" s="380">
        <f t="shared" si="15"/>
        <v>46</v>
      </c>
      <c r="Q70" s="380">
        <f t="shared" si="15"/>
        <v>46</v>
      </c>
      <c r="R70" s="380">
        <f t="shared" si="15"/>
        <v>46</v>
      </c>
      <c r="S70" s="380">
        <f t="shared" si="15"/>
        <v>46</v>
      </c>
      <c r="T70" s="380">
        <f t="shared" si="15"/>
        <v>46</v>
      </c>
      <c r="U70" s="380">
        <f t="shared" si="15"/>
        <v>46</v>
      </c>
      <c r="V70" s="380">
        <f t="shared" si="15"/>
        <v>46</v>
      </c>
      <c r="W70" s="380">
        <f t="shared" si="15"/>
        <v>46</v>
      </c>
      <c r="X70" s="380">
        <f t="shared" si="15"/>
        <v>46</v>
      </c>
      <c r="Z70" s="380">
        <f t="shared" si="14"/>
        <v>46</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f t="shared" si="16"/>
        <v>21</v>
      </c>
      <c r="N74" s="377">
        <f t="shared" si="16"/>
        <v>21</v>
      </c>
      <c r="O74" s="377">
        <f t="shared" si="16"/>
        <v>21</v>
      </c>
      <c r="P74" s="377">
        <f t="shared" si="16"/>
        <v>21</v>
      </c>
      <c r="Q74" s="377">
        <f t="shared" si="16"/>
        <v>21</v>
      </c>
      <c r="R74" s="377">
        <f t="shared" si="16"/>
        <v>21</v>
      </c>
      <c r="S74" s="377">
        <f t="shared" si="16"/>
        <v>21</v>
      </c>
      <c r="T74" s="377">
        <f t="shared" si="16"/>
        <v>21</v>
      </c>
      <c r="U74" s="377">
        <f t="shared" si="16"/>
        <v>21</v>
      </c>
      <c r="V74" s="377">
        <f t="shared" si="16"/>
        <v>21</v>
      </c>
      <c r="W74" s="377">
        <f t="shared" si="16"/>
        <v>21</v>
      </c>
      <c r="X74" s="377">
        <f t="shared" si="16"/>
        <v>21</v>
      </c>
      <c r="Z74" s="377">
        <f>X74</f>
        <v>21</v>
      </c>
    </row>
    <row r="75" spans="2:26" x14ac:dyDescent="0.3">
      <c r="B75" s="378" t="inlineStr">
        <is>
          <t>Total Headcount — COO</t>
        </is>
      </c>
      <c r="I75" s="380">
        <f>SUM(I73:I74)</f>
        <v>44</v>
      </c>
      <c r="J75" s="380">
        <f t="shared" ref="J75:X75" si="17">SUM(J73:J74)</f>
        <v>45</v>
      </c>
      <c r="K75" s="380">
        <f t="shared" si="17"/>
        <v>45</v>
      </c>
      <c r="L75" s="380">
        <f t="shared" si="17"/>
        <v>46</v>
      </c>
      <c r="M75" s="380">
        <f t="shared" si="17"/>
        <v>46</v>
      </c>
      <c r="N75" s="380">
        <f t="shared" si="17"/>
        <v>46</v>
      </c>
      <c r="O75" s="380">
        <f t="shared" si="17"/>
        <v>46</v>
      </c>
      <c r="P75" s="380">
        <f t="shared" si="17"/>
        <v>46</v>
      </c>
      <c r="Q75" s="380">
        <f t="shared" si="17"/>
        <v>46</v>
      </c>
      <c r="R75" s="380">
        <f t="shared" si="17"/>
        <v>46</v>
      </c>
      <c r="S75" s="380">
        <f t="shared" si="17"/>
        <v>46</v>
      </c>
      <c r="T75" s="380">
        <f t="shared" si="17"/>
        <v>46</v>
      </c>
      <c r="U75" s="380">
        <f t="shared" si="17"/>
        <v>46</v>
      </c>
      <c r="V75" s="380">
        <f t="shared" si="17"/>
        <v>46</v>
      </c>
      <c r="W75" s="380">
        <f t="shared" si="17"/>
        <v>46</v>
      </c>
      <c r="X75" s="380">
        <f t="shared" si="17"/>
        <v>46</v>
      </c>
      <c r="Z75" s="380">
        <f>X75</f>
        <v>46</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