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Override PartName="/xl/worksheets/sheet20.xml" ContentType="application/vnd.openxmlformats-officedocument.spreadsheetml.worksheet+xml"/>
  <Override PartName="/xl/comments20.xml" ContentType="application/vnd.openxmlformats-officedocument.spreadsheetml.comments+xml"/>
  <Override PartName="/xl/drawings/vmlDrawing12.vml" ContentType="application/vnd.openxmlformats-officedocument.vmlDrawing"/>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7"/>
    <sheet name="HC-PO" sheetId="15" state="visible" r:id="rId18"/>
    <sheet name="HC-CO" sheetId="16" state="visible" r:id="rId19"/>
    <sheet name="HC-FE" sheetId="17" state="visible" r:id="rId20"/>
    <sheet name="HC-PE" sheetId="18" state="visible" r:id="rId21"/>
    <sheet name="HC-COO" sheetId="19" state="visible" r:id="rId22"/>
    <sheet name="Logistics&amp;WH Payroll" sheetId="20" state="visible" r:id="rId23"/>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4A64B50-3B6B-4514-9866-951D6640B59B}">
      <text>
        <r>
          <rPr>
            <sz val="11"/>
            <color indexed="81"/>
            <rFont val="Tahoma"/>
            <family val="2"/>
          </rPr>
          <t xml:space="preserve">Kent Turner:
</t>
        </r>
        <r>
          <rPr>
            <b/>
            <sz val="11"/>
            <color indexed="81"/>
            <rFont val="Tahoma"/>
            <family val="2"/>
          </rPr>
          <t xml:space="preserve">Salaries as of October 1, 2026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ACD287C7-131E-4D75-9338-80965342B17D}">
      <text>
        <r>
          <rPr>
            <sz val="11"/>
            <color indexed="81"/>
            <rFont val="Tahoma"/>
            <family val="2"/>
          </rPr>
          <t xml:space="preserve">Kent Turner:
</t>
        </r>
        <r>
          <rPr>
            <b/>
            <sz val="11"/>
            <color indexed="81"/>
            <rFont val="Tahoma"/>
            <family val="2"/>
          </rPr>
          <t xml:space="preserve">Salaries as of October 1, 2026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CEB30A8-33F1-4608-BA7B-137218BD6EE0}">
      <text>
        <r>
          <rPr>
            <sz val="11"/>
            <color indexed="81"/>
            <rFont val="Tahoma"/>
            <family val="2"/>
          </rPr>
          <t xml:space="preserve">Kent Turner:
</t>
        </r>
        <r>
          <rPr>
            <b/>
            <sz val="11"/>
            <color indexed="81"/>
            <rFont val="Tahoma"/>
            <family val="2"/>
          </rPr>
          <t xml:space="preserve">Salaries as of October 1, 2026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14CC315E-4EBF-4B91-A905-54F594FD019E}">
      <text>
        <r>
          <rPr>
            <sz val="11"/>
            <color indexed="81"/>
            <rFont val="Tahoma"/>
            <family val="2"/>
          </rPr>
          <t xml:space="preserve">Kent Turner:
</t>
        </r>
        <r>
          <rPr>
            <b/>
            <sz val="11"/>
            <color indexed="81"/>
            <rFont val="Tahoma"/>
            <family val="2"/>
          </rPr>
          <t xml:space="preserve">Salaries as of October 1, 2026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EAAB4692-4626-45FB-9268-96889F8976E4}">
      <text>
        <r>
          <rPr>
            <sz val="11"/>
            <color indexed="81"/>
            <rFont val="Tahoma"/>
            <family val="2"/>
          </rPr>
          <t xml:space="preserve">Kent Turner:
</t>
        </r>
        <r>
          <rPr>
            <b/>
            <sz val="11"/>
            <color indexed="81"/>
            <rFont val="Tahoma"/>
            <family val="2"/>
          </rPr>
          <t xml:space="preserve">Salaries as of October 1, 2026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Z65" authorId="0" shapeId="0" xr:uid="{AC955586-52C4-459B-82F3-4A7199A75ECD}">
      <text>
        <r>
          <rPr>
            <b/>
            <sz val="9"/>
            <color indexed="81"/>
            <rFont val="Tahoma"/>
            <family val="2"/>
          </rPr>
          <t>Kent Turner:</t>
        </r>
        <r>
          <rPr>
            <sz val="9"/>
            <color indexed="81"/>
            <rFont val="Tahoma"/>
            <family val="2"/>
          </rPr>
          <t xml:space="preserve">
Ending headcount at Dec-2027 (point in time, not a sum of months).</t>
        </r>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7">
      <text>
        <t xml:space="preserve">Source: Warehouse Team 2027 Pay Budget, Headcount 2027 tab, MH-02 to MH-06 hourly rate, read Oct 7, 2026.</t>
      </text>
    </comment>
    <comment authorId="0" ref="B56">
      <text>
        <t xml:space="preserve">Source: Warehouse Team 2027 Pay Budget, Headcount 2027 tab, MH-05 2027 base pay (10 months at $22/hr), read Oct 7, 2026.</t>
      </text>
    </comment>
    <comment authorId="0" ref="B55">
      <text>
        <t xml:space="preserve">Source: Warehouse Team 2027 Pay Budget, Headcount 2027 tab, LOG-02 2027 base pay, read Oct 7, 2026.</t>
      </text>
    </comment>
    <comment authorId="0" ref="B54">
      <text>
        <t xml:space="preserve">Source: Warehouse Team 2027 Pay Budget, Headcount 2027 tab, cell M13 (2027 base pay total), read Oct 7, 2026. https://docs.google.com/spreadsheets/d/1it7-4qkjEMHpZxHgKe43erQYtZns8sw7pHEkIi_-S1w/edit</t>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<sst xmlns="http://schemas.openxmlformats.org/spreadsheetml/2006/main" count="4136" uniqueCount="2011">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</sst>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34">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 numFmtId="192" formatCode="&quot;$&quot;#,##0"/>
    <numFmt numFmtId="193" formatCode="&quot;$&quot;#,##0;\(&quot;$&quot;#,##0\);0"/>
    <numFmt numFmtId="194" formatCode="&quot;$&quot;#,##0;\(&quot;$&quot;#,##0\);&quot;-&quot;"/>
    <numFmt numFmtId="195" formatCode="0;\(0\);&quot;-&quot;"/>
    <numFmt numFmtId="196" formatCode="#,##0;\(#,##0\);&quot;-&quot;"/>
    <numFmt numFmtId="197" formatCode="&quot;$&quot;#,##0.00"/>
  </numFmts>
  <fonts count="86">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b/>
      <sz val="14"/>
      <color rgb="FF000000"/>
      <name val="Calibri"/>
      <family val="2"/>
    </font>
    <font>
      <b/>
      <sz val="12"/>
      <color rgb="FFC00000"/>
      <name val="Calibri"/>
      <family val="2"/>
    </font>
    <font>
      <i/>
      <sz val="9"/>
      <color rgb="FF666666"/>
      <name val="Calibri"/>
      <family val="2"/>
    </font>
    <font>
      <b/>
      <sz val="11"/>
      <color rgb="FF1F4E78"/>
      <name val="Calibri"/>
      <family val="2"/>
    </font>
    <font>
      <b/>
      <sz val="11"/>
      <color rgb="FF000000"/>
      <name val="Calibri"/>
      <family val="2"/>
    </font>
    <font>
      <b/>
      <sz val="11"/>
      <color rgb="FF008000"/>
      <name val="Calibri"/>
      <family val="2"/>
    </font>
    <font>
      <sz val="11"/>
      <color rgb="FFFF0000"/>
      <name val="Calibri"/>
      <family val="2"/>
    </font>
    <font>
      <b/>
      <sz val="11"/>
      <color rgb="FF0000CC"/>
      <name val="Calibri"/>
      <family val="2"/>
    </font>
    <font>
      <sz val="11"/>
      <color rgb="FF000000"/>
      <name val="Calibri"/>
      <family val="2"/>
    </font>
    <font>
      <b/>
      <sz val="11"/>
      <color rgb="FFFFFFFF"/>
      <name val="Calibri"/>
      <family val="2"/>
    </font>
    <font>
      <b/>
      <sz val="11"/>
      <name val="Calibri"/>
      <family val="2"/>
    </font>
    <font>
      <b/>
      <sz val="11"/>
      <color rgb="FFFF0000"/>
      <name val="Calibri"/>
      <family val="2"/>
    </font>
    <font>
      <b/>
      <sz val="11"/>
      <color rgb="FF999999"/>
      <name val="Calibri"/>
      <family val="2"/>
    </font>
    <font>
      <b/>
      <i/>
      <sz val="11"/>
      <color rgb="FF385723"/>
      <name val="Calibri"/>
      <family val="2"/>
    </font>
    <font>
      <sz val="11"/>
      <color rgb="FF0000FF"/>
      <name val="Calibri"/>
      <family val="2"/>
    </font>
    <font>
      <sz val="11"/>
      <name val="Calibri"/>
      <family val="2"/>
    </font>
    <font>
      <sz val="11"/>
      <color rgb="FFC00000"/>
      <name val="Calibri"/>
      <family val="2"/>
    </font>
    <font>
      <sz val="11"/>
      <color rgb="FF000000"/>
      <name val="Calibri"/>
      <family val="2"/>
    </font>
    <font>
      <b/>
      <sz val="11"/>
      <color rgb="FF000000"/>
      <name val="Calibri"/>
      <family val="2"/>
    </font>
    <font>
      <i/>
      <sz val="11"/>
      <color rgb="FF000000"/>
      <name val="Calibri"/>
      <family val="2"/>
    </font>
    <font>
      <b/>
      <i/>
      <sz val="11"/>
      <color rgb="FF385723"/>
      <name val="Calibri"/>
      <family val="2"/>
    </font>
    <font>
      <b/>
      <sz val="11"/>
      <color rgb="FF000000"/>
      <name val="Calibri"/>
      <family val="2"/>
    </font>
    <font>
      <sz val="11"/>
      <color rgb="FF000000"/>
      <name val="Calibri"/>
      <family val="2"/>
    </font>
    <font>
      <i/>
      <sz val="11"/>
      <color rgb="FF000000"/>
      <name val="Calibri"/>
      <family val="2"/>
    </font>
    <font>
      <b/>
      <sz val="14.0"/>
      <color rgb="FF000000"/>
      <name val="Calibri"/>
    </font>
    <font>
      <sz val="11.0"/>
      <color rgb="FF000000"/>
      <name val="Calibri"/>
    </font>
    <font>
      <i/>
      <sz val="10.0"/>
      <color rgb="FF000000"/>
      <name val="Calibri"/>
    </font>
    <font>
      <b/>
      <sz val="11.0"/>
      <color rgb="FFFFFFFF"/>
      <name val="Calibri"/>
    </font>
    <font>
      <sz val="11.0"/>
      <color rgb="FF007F00"/>
      <name val="Calibri"/>
    </font>
    <font>
      <sz val="11.0"/>
      <color rgb="FF0000FF"/>
      <name val="Calibri"/>
    </font>
    <font>
      <b/>
      <sz val="11.0"/>
      <color rgb="FF000000"/>
      <name val="Calibri"/>
    </font>
    <font>
      <sz val="11.0"/>
      <color rgb="FF000000"/>
      <name val="Calibri"/>
    </font>
    <font>
      <b/>
      <i/>
      <sz val="11.0"/>
      <color rgb="FF000000"/>
      <name val="Calibri"/>
    </font>
  </fonts>
  <fills count="34">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none"/>
    </fill>
    <fill>
      <patternFill patternType="solid">
        <fgColor rgb="FFD9E1F2"/>
        <bgColor indexed="64"/>
      </patternFill>
    </fill>
    <fill>
      <patternFill patternType="solid">
        <fgColor rgb="FFFFF7D6"/>
        <bgColor indexed="64"/>
      </patternFill>
    </fill>
    <fill>
      <patternFill patternType="solid">
        <fgColor rgb="FF1F4E78"/>
        <bgColor indexed="64"/>
      </patternFill>
    </fill>
    <fill>
      <patternFill patternType="solid">
        <fgColor rgb="FFFFCC66"/>
        <bgColor indexed="64"/>
      </patternFill>
    </fill>
    <fill>
      <patternFill patternType="solid">
        <fgColor rgb="FF385723"/>
        <bgColor indexed="64"/>
      </patternFill>
    </fill>
    <fill>
      <patternFill patternType="solid">
        <fgColor rgb="FFF2F2F2"/>
        <bgColor indexed="64"/>
      </patternFill>
    </fill>
    <fill>
      <patternFill patternType="solid">
        <fgColor rgb="FFDDEBF7"/>
        <bgColor indexed="64"/>
      </patternFill>
    </fill>
    <fill>
      <patternFill patternType="none"/>
    </fill>
    <fill>
      <patternFill patternType="solid">
        <fgColor rgb="FF1F3864"/>
        <bgColor rgb="FF1F3864"/>
      </patternFill>
    </fill>
    <fill>
      <patternFill patternType="solid">
        <fgColor rgb="FFFFFFCC"/>
        <bgColor rgb="FFFFFFCC"/>
      </patternFill>
    </fill>
    <fill>
      <patternFill patternType="solid">
        <fgColor rgb="FFF2F2F2"/>
        <bgColor rgb="FFF2F2F2"/>
      </patternFill>
    </fill>
    <fill>
      <patternFill patternType="solid">
        <fgColor rgb="FFFFFFFF"/>
        <bgColor rgb="FFFFFFFF"/>
      </patternFill>
    </fill>
  </fills>
  <borders count="22">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style="thin">
        <color auto="1"/>
      </top>
      <bottom/>
      <diagonal/>
    </border>
    <border/>
    <border>
      <top style="thin">
        <color rgb="FF000000"/>
      </top>
    </border>
    <border>
      <top style="thin">
        <color rgb="FF999999"/>
      </top>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0" fontId="53" fillId="21" borderId="14" xfId="0" applyNumberFormat="1" applyFont="1" applyFill="1" applyBorder="1" applyAlignment="1">
      <alignment horizontal="left"/>
    </xf>
    <xf numFmtId="0" fontId="54" fillId="21" borderId="14" xfId="0" applyNumberFormat="1" applyFont="1" applyFill="1" applyBorder="1" applyAlignment="1">
      <alignment horizontal="left"/>
    </xf>
    <xf numFmtId="0" fontId="55" fillId="21" borderId="14" xfId="0" applyNumberFormat="1" applyFont="1" applyFill="1" applyBorder="1" applyAlignment="1">
      <alignment horizontal="left"/>
    </xf>
    <xf numFmtId="0" fontId="56" fillId="21" borderId="14" xfId="0" applyNumberFormat="1" applyFont="1" applyFill="1" applyBorder="1" applyAlignment="1">
      <alignment horizontal="left"/>
    </xf>
    <xf numFmtId="0" fontId="57" fillId="22" borderId="14" xfId="0" applyNumberFormat="1" applyFont="1" applyFill="1" applyBorder="1"/>
    <xf numFmtId="0" fontId="57" fillId="21" borderId="14" xfId="0" applyNumberFormat="1" applyFont="1" applyFill="1" applyBorder="1"/>
    <xf numFmtId="166" fontId="58" fillId="23" borderId="15" xfId="0" applyNumberFormat="1" applyFont="1" applyFill="1" applyBorder="1" applyAlignment="1">
      <alignment horizontal="center"/>
    </xf>
    <xf numFmtId="0" fontId="59" fillId="21" borderId="14" xfId="0" applyNumberFormat="1" applyFont="1" applyFill="1" applyBorder="1" applyAlignment="1">
      <alignment horizontal="left"/>
    </xf>
    <xf numFmtId="166" fontId="58" fillId="23" borderId="16" xfId="0" applyNumberFormat="1" applyFont="1" applyFill="1" applyBorder="1" applyAlignment="1">
      <alignment horizontal="center"/>
    </xf>
    <xf numFmtId="17" fontId="60" fillId="23" borderId="17" xfId="0" applyNumberFormat="1" applyFont="1" applyFill="1" applyBorder="1" applyAlignment="1">
      <alignment horizontal="center"/>
    </xf>
    <xf numFmtId="0" fontId="60" fillId="21" borderId="14" xfId="0" applyNumberFormat="1" applyFont="1" applyFill="1" applyBorder="1" applyAlignment="1">
      <alignment horizontal="center"/>
    </xf>
    <xf numFmtId="0" fontId="61" fillId="21" borderId="14" xfId="0" applyNumberFormat="1" applyFont="1" applyFill="1" applyBorder="1" applyAlignment="1">
      <alignment horizontal="left" wrapText="1"/>
    </xf>
    <xf numFmtId="0" fontId="62" fillId="24" borderId="14" xfId="0" applyNumberFormat="1" applyFont="1" applyFill="1" applyBorder="1" applyAlignment="1">
      <alignment wrapText="1"/>
    </xf>
    <xf numFmtId="0" fontId="62" fillId="24" borderId="14" xfId="0" applyNumberFormat="1" applyFont="1" applyFill="1" applyBorder="1" applyAlignment="1">
      <alignment horizontal="center" wrapText="1"/>
    </xf>
    <xf numFmtId="49" fontId="62" fillId="24" borderId="14" xfId="0" applyNumberFormat="1" applyFont="1" applyFill="1" applyBorder="1" applyAlignment="1">
      <alignment horizontal="center" wrapText="1"/>
    </xf>
    <xf numFmtId="17" fontId="62" fillId="24" borderId="14" xfId="0" applyNumberFormat="1" applyFont="1" applyFill="1" applyBorder="1" applyAlignment="1">
      <alignment horizontal="center" wrapText="1"/>
    </xf>
    <xf numFmtId="17" fontId="63" fillId="25" borderId="14" xfId="0" applyNumberFormat="1" applyFont="1" applyFill="1" applyBorder="1" applyAlignment="1">
      <alignment horizontal="center" wrapText="1"/>
    </xf>
    <xf numFmtId="17" fontId="62" fillId="21" borderId="14" xfId="0" applyNumberFormat="1" applyFont="1" applyFill="1" applyBorder="1" applyAlignment="1">
      <alignment horizontal="center" wrapText="1"/>
    </xf>
    <xf numFmtId="0" fontId="63" fillId="25" borderId="14" xfId="0" applyNumberFormat="1" applyFont="1" applyFill="1" applyBorder="1" applyAlignment="1">
      <alignment horizontal="center" wrapText="1"/>
    </xf>
    <xf numFmtId="0" fontId="57" fillId="21" borderId="14" xfId="0" applyNumberFormat="1" applyFont="1" applyFill="1" applyBorder="1" applyAlignment="1">
      <alignment horizontal="center" wrapText="1"/>
    </xf>
    <xf numFmtId="1" fontId="64" fillId="21" borderId="14" xfId="0" applyNumberFormat="1" applyFont="1" applyFill="1" applyBorder="1" applyAlignment="1">
      <alignment horizontal="center"/>
    </xf>
    <xf numFmtId="0" fontId="65" fillId="21" borderId="14" xfId="0" applyNumberFormat="1" applyFont="1" applyFill="1" applyBorder="1" applyAlignment="1">
      <alignment horizontal="center"/>
    </xf>
    <xf numFmtId="0" fontId="64" fillId="21" borderId="14" xfId="0" applyNumberFormat="1" applyFont="1" applyFill="1" applyBorder="1" applyAlignment="1">
      <alignment horizontal="center"/>
    </xf>
    <xf numFmtId="0" fontId="62" fillId="26" borderId="14" xfId="0" applyNumberFormat="1" applyFont="1" applyFill="1" applyBorder="1"/>
    <xf numFmtId="0" fontId="62" fillId="26" borderId="14" xfId="0" applyNumberFormat="1" applyFont="1" applyFill="1" applyBorder="1" applyAlignment="1">
      <alignment horizontal="center"/>
    </xf>
    <xf numFmtId="0" fontId="62" fillId="21" borderId="14" xfId="0" applyNumberFormat="1" applyFont="1" applyFill="1" applyBorder="1"/>
    <xf numFmtId="0" fontId="66" fillId="21" borderId="14" xfId="0" applyNumberFormat="1" applyFont="1" applyFill="1" applyBorder="1"/>
    <xf numFmtId="0" fontId="67" fillId="23" borderId="14" xfId="0" applyNumberFormat="1" applyFont="1" applyFill="1" applyBorder="1"/>
    <xf numFmtId="192" fontId="67" fillId="23" borderId="14" xfId="0" applyNumberFormat="1" applyFont="1" applyFill="1" applyBorder="1"/>
    <xf numFmtId="17" fontId="67" fillId="23" borderId="14" xfId="0" applyNumberFormat="1" applyFont="1" applyFill="1" applyBorder="1" applyAlignment="1">
      <alignment horizontal="center"/>
    </xf>
    <xf numFmtId="166" fontId="67" fillId="23" borderId="14" xfId="0" applyNumberFormat="1" applyFont="1" applyFill="1" applyBorder="1" applyAlignment="1">
      <alignment horizontal="center"/>
    </xf>
    <xf numFmtId="17" fontId="68" fillId="23" borderId="14" xfId="0" applyNumberFormat="1" applyFont="1" applyFill="1" applyBorder="1" applyAlignment="1">
      <alignment horizontal="center"/>
    </xf>
    <xf numFmtId="193" fontId="61" fillId="21" borderId="14" xfId="0" applyNumberFormat="1" applyFont="1" applyFill="1" applyBorder="1"/>
    <xf numFmtId="193" fontId="68" fillId="21" borderId="14" xfId="0" applyNumberFormat="1" applyFont="1" applyFill="1" applyBorder="1"/>
    <xf numFmtId="0" fontId="69" fillId="21" borderId="14" xfId="0" applyNumberFormat="1" applyFont="1" applyFill="1" applyBorder="1"/>
    <xf numFmtId="192" fontId="61" fillId="21" borderId="14" xfId="0" applyNumberFormat="1" applyFont="1" applyFill="1" applyBorder="1"/>
    <xf numFmtId="1" fontId="61" fillId="21" borderId="14" xfId="0" applyNumberFormat="1" applyFont="1" applyFill="1" applyBorder="1" applyAlignment="1">
      <alignment horizontal="center"/>
    </xf>
    <xf numFmtId="0" fontId="66" fillId="21" borderId="14" xfId="0" applyNumberFormat="1" applyFont="1" applyFill="1" applyBorder="1" applyAlignment="1">
      <alignment horizontal="left"/>
    </xf>
    <xf numFmtId="192" fontId="66" fillId="21" borderId="14" xfId="0" applyNumberFormat="1" applyFont="1" applyFill="1" applyBorder="1"/>
    <xf numFmtId="1" fontId="66" fillId="21" borderId="14" xfId="0" applyNumberFormat="1" applyFont="1" applyFill="1" applyBorder="1" applyAlignment="1">
      <alignment horizontal="center"/>
    </xf>
    <xf numFmtId="166" fontId="66" fillId="21" borderId="14" xfId="0" applyNumberFormat="1" applyFont="1" applyFill="1" applyBorder="1" applyAlignment="1">
      <alignment horizontal="center"/>
    </xf>
    <xf numFmtId="193" fontId="66" fillId="21" borderId="14" xfId="0" applyNumberFormat="1" applyFont="1" applyFill="1" applyBorder="1"/>
    <xf numFmtId="0" fontId="67" fillId="23" borderId="14" xfId="0" applyNumberFormat="1" applyFont="1" applyFill="1" applyBorder="1" applyAlignment="1">
      <alignment horizontal="left"/>
    </xf>
    <xf numFmtId="0" fontId="67" fillId="27" borderId="14" xfId="0" applyNumberFormat="1" applyFont="1" applyFill="1" applyBorder="1" applyAlignment="1">
      <alignment horizontal="left"/>
    </xf>
    <xf numFmtId="0" fontId="67" fillId="27" borderId="14" xfId="0" applyNumberFormat="1" applyFont="1" applyFill="1" applyBorder="1"/>
    <xf numFmtId="192" fontId="67" fillId="27" borderId="14" xfId="0" applyNumberFormat="1" applyFont="1" applyFill="1" applyBorder="1"/>
    <xf numFmtId="17" fontId="67" fillId="27" borderId="14" xfId="0" applyNumberFormat="1" applyFont="1" applyFill="1" applyBorder="1" applyAlignment="1">
      <alignment horizontal="center"/>
    </xf>
    <xf numFmtId="1" fontId="67" fillId="27" borderId="14" xfId="0" applyNumberFormat="1" applyFont="1" applyFill="1" applyBorder="1" applyAlignment="1">
      <alignment horizontal="center"/>
    </xf>
    <xf numFmtId="166" fontId="67" fillId="27" borderId="14" xfId="0" applyNumberFormat="1" applyFont="1" applyFill="1" applyBorder="1" applyAlignment="1">
      <alignment horizontal="center"/>
    </xf>
    <xf numFmtId="0" fontId="70" fillId="21" borderId="14" xfId="0" applyNumberFormat="1" applyFont="1" applyFill="1" applyBorder="1" applyAlignment="1">
      <alignment horizontal="left"/>
    </xf>
    <xf numFmtId="0" fontId="70" fillId="21" borderId="14" xfId="0" applyNumberFormat="1" applyFont="1" applyFill="1" applyBorder="1"/>
    <xf numFmtId="192" fontId="70" fillId="21" borderId="14" xfId="0" applyNumberFormat="1" applyFont="1" applyFill="1" applyBorder="1"/>
    <xf numFmtId="1" fontId="70" fillId="21" borderId="14" xfId="0" applyNumberFormat="1" applyFont="1" applyFill="1" applyBorder="1" applyAlignment="1">
      <alignment horizontal="center"/>
    </xf>
    <xf numFmtId="166" fontId="70" fillId="21" borderId="14" xfId="0" applyNumberFormat="1" applyFont="1" applyFill="1" applyBorder="1" applyAlignment="1">
      <alignment horizontal="center"/>
    </xf>
    <xf numFmtId="193" fontId="70" fillId="21" borderId="14" xfId="0" applyNumberFormat="1" applyFont="1" applyFill="1" applyBorder="1"/>
    <xf numFmtId="0" fontId="57" fillId="27" borderId="14" xfId="0" applyNumberFormat="1" applyFont="1" applyFill="1" applyBorder="1"/>
    <xf numFmtId="192" fontId="57" fillId="27" borderId="14" xfId="0" applyNumberFormat="1" applyFont="1" applyFill="1" applyBorder="1"/>
    <xf numFmtId="1" fontId="57" fillId="27" borderId="14" xfId="0" applyNumberFormat="1" applyFont="1" applyFill="1" applyBorder="1" applyAlignment="1">
      <alignment horizontal="center"/>
    </xf>
    <xf numFmtId="193" fontId="57" fillId="27" borderId="14" xfId="0" applyNumberFormat="1" applyFont="1" applyFill="1" applyBorder="1"/>
    <xf numFmtId="193" fontId="57" fillId="21" borderId="14" xfId="0" applyNumberFormat="1" applyFont="1" applyFill="1" applyBorder="1"/>
    <xf numFmtId="0" fontId="57" fillId="28" borderId="18" xfId="0" applyNumberFormat="1" applyFont="1" applyFill="1" applyBorder="1"/>
    <xf numFmtId="192" fontId="57" fillId="28" borderId="18" xfId="0" applyNumberFormat="1" applyFont="1" applyFill="1" applyBorder="1"/>
    <xf numFmtId="1" fontId="57" fillId="28" borderId="18" xfId="0" applyNumberFormat="1" applyFont="1" applyFill="1" applyBorder="1" applyAlignment="1">
      <alignment horizontal="center"/>
    </xf>
    <xf numFmtId="193" fontId="57" fillId="28" borderId="18" xfId="0" applyNumberFormat="1" applyFont="1" applyFill="1" applyBorder="1"/>
    <xf numFmtId="192" fontId="57" fillId="21" borderId="14" xfId="0" applyNumberFormat="1" applyFont="1" applyFill="1" applyBorder="1"/>
    <xf numFmtId="1" fontId="57" fillId="21" borderId="14" xfId="0" applyNumberFormat="1" applyFont="1" applyFill="1" applyBorder="1" applyAlignment="1">
      <alignment horizontal="center"/>
    </xf>
    <xf numFmtId="194" fontId="57" fillId="21" borderId="14" xfId="0" applyNumberFormat="1" applyFont="1" applyFill="1" applyBorder="1"/>
    <xf numFmtId="0" fontId="61" fillId="21" borderId="14" xfId="0" applyNumberFormat="1" applyFont="1" applyFill="1" applyBorder="1" applyAlignment="1">
      <alignment horizontal="center" wrapText="1"/>
    </xf>
    <xf numFmtId="0" fontId="61" fillId="21" borderId="14" xfId="0" applyNumberFormat="1" applyFont="1" applyFill="1" applyBorder="1" applyAlignment="1">
      <alignment horizontal="left"/>
    </xf>
    <xf numFmtId="0" fontId="61" fillId="21" borderId="14" xfId="0" applyNumberFormat="1" applyFont="1" applyFill="1" applyBorder="1" applyAlignment="1">
      <alignment horizontal="center"/>
    </xf>
    <xf numFmtId="0" fontId="64" fillId="21" borderId="14" xfId="0" applyNumberFormat="1" applyFont="1" applyFill="1" applyBorder="1" applyAlignment="1">
      <alignment horizontal="right"/>
    </xf>
    <xf numFmtId="0" fontId="53" fillId="21" borderId="14" xfId="0" applyNumberFormat="1" applyFont="1" applyFill="1" applyBorder="1"/>
    <xf numFmtId="0" fontId="54" fillId="21" borderId="14" xfId="0" applyNumberFormat="1" applyFont="1" applyFill="1" applyBorder="1"/>
    <xf numFmtId="0" fontId="55" fillId="21" borderId="14" xfId="0" applyNumberFormat="1" applyFont="1" applyFill="1" applyBorder="1"/>
    <xf numFmtId="0" fontId="62" fillId="24" borderId="14" xfId="0" applyNumberFormat="1" applyFont="1" applyFill="1" applyBorder="1"/>
    <xf numFmtId="17" fontId="62" fillId="24" borderId="14" xfId="0" applyNumberFormat="1" applyFont="1" applyFill="1" applyBorder="1" applyAlignment="1">
      <alignment horizontal="center"/>
    </xf>
    <xf numFmtId="17" fontId="71" fillId="25" borderId="14" xfId="0" applyNumberFormat="1" applyFont="1" applyFill="1" applyBorder="1" applyAlignment="1">
      <alignment horizontal="center"/>
    </xf>
    <xf numFmtId="0" fontId="57" fillId="25" borderId="14" xfId="0" applyNumberFormat="1" applyFont="1" applyFill="1" applyBorder="1" applyAlignment="1">
      <alignment horizontal="center"/>
    </xf>
    <xf numFmtId="194" fontId="61" fillId="21" borderId="14" xfId="0" applyNumberFormat="1" applyFont="1" applyFill="1" applyBorder="1"/>
    <xf numFmtId="194" fontId="57" fillId="27" borderId="14" xfId="0" applyNumberFormat="1" applyFont="1" applyFill="1" applyBorder="1"/>
    <xf numFmtId="0" fontId="57" fillId="28" borderId="14" xfId="0" applyNumberFormat="1" applyFont="1" applyFill="1" applyBorder="1"/>
    <xf numFmtId="194" fontId="57" fillId="28" borderId="14" xfId="0" applyNumberFormat="1" applyFont="1" applyFill="1" applyBorder="1"/>
    <xf numFmtId="0" fontId="72" fillId="21" borderId="14" xfId="0" applyNumberFormat="1" applyFont="1" applyFill="1" applyBorder="1"/>
    <xf numFmtId="195" fontId="61" fillId="21" borderId="14" xfId="0" applyNumberFormat="1" applyFont="1" applyFill="1" applyBorder="1"/>
    <xf numFmtId="195" fontId="57" fillId="21" borderId="14" xfId="0" applyNumberFormat="1" applyFont="1" applyFill="1" applyBorder="1"/>
    <xf numFmtId="0" fontId="73" fillId="21" borderId="14" xfId="0" applyNumberFormat="1" applyFont="1" applyFill="1" applyBorder="1"/>
    <xf numFmtId="0" fontId="74" fillId="25" borderId="14" xfId="0" applyNumberFormat="1" applyFont="1" applyFill="1" applyBorder="1" applyAlignment="1">
      <alignment horizontal="center"/>
    </xf>
    <xf numFmtId="195" fontId="75" fillId="21" borderId="14" xfId="0" applyNumberFormat="1" applyFont="1" applyFill="1" applyBorder="1"/>
    <xf numFmtId="0" fontId="74" fillId="28" borderId="14" xfId="0" applyNumberFormat="1" applyFont="1" applyFill="1" applyBorder="1"/>
    <xf numFmtId="0" fontId="61" fillId="28" borderId="14" xfId="0" applyNumberFormat="1" applyFont="1" applyFill="1" applyBorder="1"/>
    <xf numFmtId="195" fontId="74" fillId="28" borderId="14" xfId="0" applyNumberFormat="1" applyFont="1" applyFill="1" applyBorder="1"/>
    <xf numFmtId="0" fontId="76" fillId="21" borderId="14" xfId="0" applyNumberFormat="1" applyFont="1" applyFill="1" applyBorder="1"/>
    <xf numFmtId="0" fontId="77" fillId="29" borderId="19" xfId="0" applyNumberFormat="1" applyFont="1" applyFill="1" applyBorder="1" applyAlignment="1">
      <alignment readingOrder="0" vertical="center"/>
    </xf>
    <xf numFmtId="0" fontId="78" fillId="29" borderId="19" xfId="0" applyNumberFormat="1" applyFont="1" applyFill="1" applyBorder="1" applyAlignment="1">
      <alignment vertical="center"/>
    </xf>
    <xf numFmtId="0" fontId="79" fillId="29" borderId="19" xfId="0" applyNumberFormat="1" applyFont="1" applyFill="1" applyBorder="1" applyAlignment="1">
      <alignment readingOrder="0" shrinkToFit="0" vertical="top" wrapText="1"/>
    </xf>
    <xf numFmtId="0" fontId="80" fillId="30" borderId="19" xfId="0" applyNumberFormat="1" applyFont="1" applyFill="1" applyBorder="1" applyAlignment="1">
      <alignment readingOrder="0" vertical="center"/>
    </xf>
    <xf numFmtId="0" fontId="78" fillId="29" borderId="19" xfId="0" applyNumberFormat="1" applyFont="1" applyFill="1" applyBorder="1" applyAlignment="1">
      <alignment readingOrder="0" vertical="center"/>
    </xf>
    <xf numFmtId="166" fontId="81" fillId="29" borderId="19" xfId="0" applyNumberFormat="1" applyFont="1" applyFill="1" applyBorder="1" applyAlignment="1">
      <alignment horizontal="right" vertical="center"/>
    </xf>
    <xf numFmtId="0" fontId="79" fillId="29" borderId="19" xfId="0" applyNumberFormat="1" applyFont="1" applyFill="1" applyBorder="1" applyAlignment="1">
      <alignment readingOrder="0" vertical="center"/>
    </xf>
    <xf numFmtId="17" fontId="81" fillId="29" borderId="19" xfId="0" applyNumberFormat="1" applyFont="1" applyFill="1" applyBorder="1" applyAlignment="1">
      <alignment horizontal="right" vertical="center"/>
    </xf>
    <xf numFmtId="1" fontId="81" fillId="29" borderId="19" xfId="0" applyNumberFormat="1" applyFont="1" applyFill="1" applyBorder="1" applyAlignment="1">
      <alignment horizontal="right" vertical="center"/>
    </xf>
    <xf numFmtId="194" fontId="81" fillId="29" borderId="19" xfId="0" applyNumberFormat="1" applyFont="1" applyFill="1" applyBorder="1" applyAlignment="1">
      <alignment horizontal="right" vertical="center"/>
    </xf>
    <xf numFmtId="196" fontId="82" fillId="31" borderId="19" xfId="0" applyNumberFormat="1" applyFont="1" applyFill="1" applyBorder="1" applyAlignment="1">
      <alignment horizontal="right" readingOrder="0" vertical="center"/>
    </xf>
    <xf numFmtId="17" fontId="80" fillId="30" borderId="19" xfId="0" applyNumberFormat="1" applyFont="1" applyFill="1" applyBorder="1" applyAlignment="1">
      <alignment horizontal="right" vertical="center"/>
    </xf>
    <xf numFmtId="0" fontId="80" fillId="30" borderId="19" xfId="0" applyNumberFormat="1" applyFont="1" applyFill="1" applyBorder="1" applyAlignment="1">
      <alignment horizontal="right" readingOrder="0" vertical="center"/>
    </xf>
    <xf numFmtId="0" fontId="80" fillId="30" borderId="19" xfId="0" applyNumberFormat="1" applyFont="1" applyFill="1" applyBorder="1" applyAlignment="1">
      <alignment horizontal="center" readingOrder="0" shrinkToFit="0" vertical="center" wrapText="1"/>
    </xf>
    <xf numFmtId="0" fontId="78" fillId="29" borderId="19" xfId="0" applyNumberFormat="1" applyFont="1" applyFill="1" applyBorder="1" applyAlignment="1">
      <alignment readingOrder="0" vertical="center"/>
    </xf>
    <xf numFmtId="196" fontId="78" fillId="29" borderId="19" xfId="0" applyNumberFormat="1" applyFont="1" applyFill="1" applyBorder="1" applyAlignment="1">
      <alignment vertical="center"/>
    </xf>
    <xf numFmtId="182" fontId="83" fillId="32" borderId="19" xfId="0" applyNumberFormat="1" applyFont="1" applyFill="1" applyBorder="1" applyAlignment="1">
      <alignment vertical="center"/>
    </xf>
    <xf numFmtId="182" fontId="82" fillId="31" borderId="19" xfId="0" applyNumberFormat="1" applyFont="1" applyFill="1" applyBorder="1" applyAlignment="1">
      <alignment readingOrder="0" vertical="center"/>
    </xf>
    <xf numFmtId="17" fontId="82" fillId="31" borderId="19" xfId="0" applyNumberFormat="1" applyFont="1" applyFill="1" applyBorder="1" applyAlignment="1">
      <alignment horizontal="center" vertical="center"/>
    </xf>
    <xf numFmtId="182" fontId="82" fillId="31" borderId="19" xfId="0" applyNumberFormat="1" applyFont="1" applyFill="1" applyBorder="1" applyAlignment="1">
      <alignment horizontal="center" readingOrder="0" vertical="center"/>
    </xf>
    <xf numFmtId="194" fontId="82" fillId="31" borderId="19" xfId="0" applyNumberFormat="1" applyFont="1" applyFill="1" applyBorder="1" applyAlignment="1">
      <alignment readingOrder="0" vertical="center"/>
    </xf>
    <xf numFmtId="194" fontId="84" fillId="33" borderId="19" xfId="0" applyNumberFormat="1" applyFont="1" applyFill="1" applyBorder="1" applyAlignment="1">
      <alignment vertical="center"/>
    </xf>
    <xf numFmtId="1" fontId="84" fillId="33" borderId="19" xfId="0" applyNumberFormat="1" applyFont="1" applyFill="1" applyBorder="1" applyAlignment="1">
      <alignment horizontal="center" vertical="center"/>
    </xf>
    <xf numFmtId="17" fontId="82" fillId="31" borderId="19" xfId="0" applyNumberFormat="1" applyFont="1" applyFill="1" applyBorder="1" applyAlignment="1">
      <alignment horizontal="center" readingOrder="0" vertical="center"/>
    </xf>
    <xf numFmtId="197" fontId="82" fillId="31" borderId="19" xfId="0" applyNumberFormat="1" applyFont="1" applyFill="1" applyBorder="1" applyAlignment="1">
      <alignment readingOrder="0" vertical="center"/>
    </xf>
    <xf numFmtId="197" fontId="84" fillId="33" borderId="19" xfId="0" applyNumberFormat="1" applyFont="1" applyFill="1" applyBorder="1" applyAlignment="1">
      <alignment vertical="center"/>
    </xf>
    <xf numFmtId="0" fontId="83" fillId="29" borderId="20" xfId="0" applyNumberFormat="1" applyFont="1" applyFill="1" applyBorder="1" applyAlignment="1">
      <alignment readingOrder="0" vertical="center"/>
    </xf>
    <xf numFmtId="196" fontId="83" fillId="29" borderId="20" xfId="0" applyNumberFormat="1" applyFont="1" applyFill="1" applyBorder="1" applyAlignment="1">
      <alignment vertical="center"/>
    </xf>
    <xf numFmtId="182" fontId="83" fillId="32" borderId="20" xfId="0" applyNumberFormat="1" applyFont="1" applyFill="1" applyBorder="1" applyAlignment="1">
      <alignment vertical="center"/>
    </xf>
    <xf numFmtId="196" fontId="83" fillId="32" borderId="19" xfId="0" applyNumberFormat="1" applyFont="1" applyFill="1" applyBorder="1" applyAlignment="1">
      <alignment vertical="center"/>
    </xf>
    <xf numFmtId="194" fontId="78" fillId="29" borderId="19" xfId="0" applyNumberFormat="1" applyFont="1" applyFill="1" applyBorder="1" applyAlignment="1">
      <alignment vertical="center"/>
    </xf>
    <xf numFmtId="194" fontId="83" fillId="32" borderId="19" xfId="0" applyNumberFormat="1" applyFont="1" applyFill="1" applyBorder="1" applyAlignment="1">
      <alignment vertical="center"/>
    </xf>
    <xf numFmtId="0" fontId="78" fillId="29" borderId="21" xfId="0" applyNumberFormat="1" applyFont="1" applyFill="1" applyBorder="1" applyAlignment="1">
      <alignment readingOrder="0" vertical="center"/>
    </xf>
    <xf numFmtId="194" fontId="78" fillId="29" borderId="21" xfId="0" applyNumberFormat="1" applyFont="1" applyFill="1" applyBorder="1" applyAlignment="1">
      <alignment vertical="center"/>
    </xf>
    <xf numFmtId="194" fontId="83" fillId="32" borderId="21" xfId="0" applyNumberFormat="1" applyFont="1" applyFill="1" applyBorder="1" applyAlignment="1">
      <alignment vertical="center"/>
    </xf>
    <xf numFmtId="194" fontId="83" fillId="29" borderId="20" xfId="0" applyNumberFormat="1" applyFont="1" applyFill="1" applyBorder="1" applyAlignment="1">
      <alignment vertical="center"/>
    </xf>
    <xf numFmtId="194" fontId="83" fillId="32" borderId="20" xfId="0" applyNumberFormat="1" applyFont="1" applyFill="1" applyBorder="1" applyAlignment="1">
      <alignment vertical="center"/>
    </xf>
    <xf numFmtId="0" fontId="78" fillId="33" borderId="19" xfId="0" applyNumberFormat="1" applyFont="1" applyFill="1" applyBorder="1" applyAlignment="1">
      <alignment readingOrder="0" vertical="center"/>
    </xf>
    <xf numFmtId="196" fontId="78" fillId="33" borderId="19" xfId="0" applyNumberFormat="1" applyFont="1" applyFill="1" applyBorder="1" applyAlignment="1">
      <alignment vertical="center"/>
    </xf>
    <xf numFmtId="0" fontId="83" fillId="33" borderId="19" xfId="0" applyNumberFormat="1" applyFont="1" applyFill="1" applyBorder="1" applyAlignment="1">
      <alignment readingOrder="0" vertical="center"/>
    </xf>
    <xf numFmtId="194" fontId="83" fillId="33" borderId="19" xfId="0" applyNumberFormat="1" applyFont="1" applyFill="1" applyBorder="1" applyAlignment="1">
      <alignment vertical="center"/>
    </xf>
    <xf numFmtId="194" fontId="82" fillId="31" borderId="19" xfId="0" applyNumberFormat="1" applyFont="1" applyFill="1" applyBorder="1" applyAlignment="1">
      <alignment horizontal="right" readingOrder="0" vertical="center"/>
    </xf>
    <xf numFmtId="197" fontId="82" fillId="31" borderId="19" xfId="0" applyNumberFormat="1" applyFont="1" applyFill="1" applyBorder="1" applyAlignment="1">
      <alignment horizontal="right" readingOrder="0" vertical="center"/>
    </xf>
    <xf numFmtId="194" fontId="78" fillId="29" borderId="19" xfId="0" applyNumberFormat="1" applyFont="1" applyFill="1" applyBorder="1" applyAlignment="1">
      <alignment horizontal="right" vertical="center"/>
    </xf>
    <xf numFmtId="194" fontId="83" fillId="29" borderId="20" xfId="0" applyNumberFormat="1" applyFont="1" applyFill="1" applyBorder="1" applyAlignment="1">
      <alignment horizontal="right" vertical="center"/>
    </xf>
    <xf numFmtId="0" fontId="80" fillId="30" borderId="19" xfId="0" applyNumberFormat="1" applyFont="1" applyFill="1" applyBorder="1" applyAlignment="1">
      <alignment vertical="center"/>
    </xf>
    <xf numFmtId="0" fontId="85" fillId="29" borderId="19" xfId="0" applyNumberFormat="1" applyFont="1" applyFill="1" applyBorder="1" applyAlignment="1">
      <alignment readingOrder="0" vertical="center"/>
    </xf>
    <xf numFmtId="0" fontId="78" fillId="29" borderId="19" xfId="0" applyNumberFormat="1" applyFont="1" applyFill="1" applyBorder="1" applyAlignment="1">
      <alignment readingOrder="0" shrinkToFit="0" vertical="top" wrapText="1"/>
    </xf>
    <xf numFmtId="0" fontId="85" fillId="29" borderId="19" xfId="0" applyNumberFormat="1" applyFont="1" applyFill="1" applyBorder="1" applyAlignment="1">
      <alignment readingOrder="0" shrinkToFit="0" vertical="top" wrapText="1"/>
    </xf>
    <xf numFmtId="0" fontId="78" fillId="29" borderId="19" xfId="0" applyNumberFormat="1" applyFont="1" applyFill="1" applyBorder="1" applyAlignment="1">
      <alignment shrinkToFit="0" vertical="top" wrapText="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1.vml"/></Relationships>
</file>

<file path=xl/worksheets/_rels/sheet20.xml.rels><?xml version="1.0" encoding="UTF-8" standalone="yes"?><Relationships xmlns="http://schemas.openxmlformats.org/package/2006/relationships"><Relationship Id="rId1" Type="http://schemas.openxmlformats.org/officeDocument/2006/relationships/comments" Target="../comments20.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cols>
    <col min="1" max="1" width="22" customWidth="1"/>
    <col min="2" max="2" width="12" customWidth="1"/>
    <col min="3" max="3" width="44" customWidth="1"/>
    <col min="4" max="4" width="60" customWidth="1"/>
    <col min="5" max="5" width="60" customWidth="1"/>
    <col min="6" max="6" width="30" customWidth="1"/>
    <col min="7" max="7" width="30" customWidth="1"/>
    <col min="8" max="8" width="50" customWidth="1"/>
  </cols>
  <sheetData>
    <row r="1">
      <c r="A1" s="1" t="inlineStr">
        <is>
          <t xml:space="preserve">2027 COO Budget - Collation Notes (build v10, draft for review)</t>
        </is>
      </c>
    </row>
    <row r="3">
      <c r="A3" s="3" t="inlineStr">
        <is>
          <t xml:space="preserve">CONFIDENTIAL – contains named compensation data (HC-* tabs); restrict distribution</t>
        </is>
      </c>
    </row>
    <row r="4">
      <c r="A4" s="0" t="inlineStr">
        <is>
          <t xml:space="preserve">This workbook holds employee names and salaries on the HC-* tabs (copied from the COO HC &amp; PL workfile) and seat-holder names on the 'Logistics&amp;WH Payroll' tab (copied from the SD book). Share it only with people cleared to see compensation. This sheet keeps exact figures. The notes file (02-build_notes_v10.md) rounds per-person amounts to the nearest $5k, but a salary that is itself a multiple of $5k is unchanged by that rounding, so some unique-role salaries appear there at their exact value. The new CO employee's name is on HC-CO r18 only.</t>
        </is>
      </c>
    </row>
    <row r="6">
      <c r="A6" s="3" t="inlineStr">
        <is>
          <t xml:space="preserve">Decisions pending (user) - not resolved by the builder (v10: #6 RESOLVED by the user)</t>
        </is>
      </c>
    </row>
    <row r="7">
      <c r="A7" s="3" t="inlineStr">
        <is>
          <t xml:space="preserve">#</t>
        </is>
      </c>
      <c r="B7" s="3" t="inlineStr">
        <is>
          <t xml:space="preserve">Decision (user)</t>
        </is>
      </c>
      <c r="C7" s="3" t="inlineStr">
        <is>
          <t xml:space="preserve">Issue</t>
        </is>
      </c>
      <c r="D7" s="3" t="inlineStr">
        <is>
          <t xml:space="preserve">Current treatment in the budget</t>
        </is>
      </c>
      <c r="E7" s="3" t="inlineStr">
        <is>
          <t xml:space="preserve">Alternatives: effect on 2027 COO contribution (+ raises, ( ) lowers)</t>
        </is>
      </c>
      <c r="F7" s="3" t="inlineStr">
        <is>
          <t xml:space="preserve">Who</t>
        </is>
      </c>
    </row>
    <row r="8">
      <c r="A8" s="4" t="inlineStr">
        <is>
          <t xml:space="preserve">1</t>
        </is>
      </c>
      <c r="B8" s="4" t="inlineStr">
        <is>
          <t xml:space="preserve">RESOLVED (user-confirmed 2026-10-10: 'production labor is capitalized. Use the same formula as the file has.'). Production labour: expensed, or capitalised into the unit cost?</t>
        </is>
      </c>
      <c r="C8" s="4" t="inlineStr">
        <is>
          <t xml:space="preserve">I-05 (RESOLVED), I-23, I-40</t>
        </is>
      </c>
      <c r="D8" s="4" t="inlineStr">
        <is>
          <t xml:space="preserve">Booked since v8: Prod Payroll labour is capitalised (model 2027 2,592,894, the 9 current staff included) and depreciated by the Depreciation Schedule logic: 5011 +79,290, 5012 +25,126; PO 5110-5140 2027 = 0 (v7 652,820). v9: Sep-Dec 26 labour stays a 2026 cost (B132 = 0). Contribution v10 159,136 (v9 687,435; v10 books the Logistics&amp;WH payroll and the new CO employee (user-confirmed, 110k) in CO, Decision #6).</t>
        </is>
      </c>
      <c r="E8" s="4" t="inlineStr">
        <is>
          <t xml:space="preserve">Resolved. The scope (current staff, Sep-Dec 26 labour, idle months) is Decision #10.</t>
        </is>
      </c>
      <c r="F8" s="4" t="inlineStr">
        <is>
          <t xml:space="preserve">User (resolved)</t>
        </is>
      </c>
    </row>
    <row r="9">
      <c r="A9" s="4" t="inlineStr">
        <is>
          <t xml:space="preserve">2</t>
        </is>
      </c>
      <c r="B9" s="4" t="inlineStr">
        <is>
          <t xml:space="preserve">SlipBot fleet status (5010 depreciation)</t>
        </is>
      </c>
      <c r="C9" s="4" t="inlineStr">
        <is>
          <t xml:space="preserve">I-32</t>
        </is>
      </c>
      <c r="D9" s="4" t="inlineStr">
        <is>
          <t xml:space="preserve">Carried flat at the PO Dec-26 run rate 112,797.85/month = 1,353,574 in 2027 (builder assumption, A-17).</t>
        </is>
      </c>
      <c r="E9" s="4" t="inlineStr">
        <is>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is>
      </c>
      <c r="F9" s="4" t="inlineStr">
        <is>
          <t xml:space="preserve">User, with PO/Finance (fixed-asset register)</t>
        </is>
      </c>
    </row>
    <row r="10">
      <c r="A10" s="4" t="inlineStr">
        <is>
          <t xml:space="preserve">3</t>
        </is>
      </c>
      <c r="B10" s="4" t="inlineStr">
        <is>
          <t xml:space="preserve">Q4-26 go-lives: PO run rate or DeploySum</t>
        </is>
      </c>
      <c r="C10" s="4" t="inlineStr">
        <is>
          <t xml:space="preserve">I-31</t>
        </is>
      </c>
      <c r="D10" s="4" t="inlineStr">
        <is>
          <t xml:space="preserve">Inside the PO Dec-26 run rate: PO steps up for 15 lifts / 53 trays (DeploySum: 18 / 67).</t>
        </is>
      </c>
      <c r="E10" s="4" t="inlineStr">
        <is>
          <t xml:space="preserve">Sep-26 run rate + DeploySum Oct-Dec 26 vintages: (39,057). If PO's Dec-26 step-up (3 lifts, 12 trays) is Jan-27 units already in the Jan-27 vintage and PO's Oct/Nov counts are right: +37,457. Keep as is: 0.</t>
        </is>
      </c>
      <c r="F10" s="4" t="inlineStr">
        <is>
          <t xml:space="preserve">User, after the PO owner says what the Q4-26 step-ups are</t>
        </is>
      </c>
    </row>
    <row r="11">
      <c r="A11" s="4" t="inlineStr">
        <is>
          <t xml:space="preserve">4</t>
        </is>
      </c>
      <c r="B11" s="4" t="inlineStr">
        <is>
          <t xml:space="preserve">SlipLift peripherals: GL and useful life</t>
        </is>
      </c>
      <c r="C11" s="4" t="inlineStr">
        <is>
          <t xml:space="preserve">I-33</t>
        </is>
      </c>
      <c r="D11" s="4" t="inlineStr">
        <is>
          <t xml:space="preserve">5020 Robot Peripherals, 84 months: 63,836 of 2027 depreciation (builder assumption, A-10/A-11).</t>
        </is>
      </c>
      <c r="E11" s="4" t="inlineStr">
        <is>
          <t xml:space="preserve">GL 5011 instead of 5020: 0 (moves 63,836 from PO row 22 to row 20). Life 60 months: (25,534). Life 120 months: +19,151.</t>
        </is>
      </c>
      <c r="F11" s="4" t="inlineStr">
        <is>
          <t xml:space="preserve">User</t>
        </is>
      </c>
    </row>
    <row r="12">
      <c r="A12" s="4" t="inlineStr">
        <is>
          <t xml:space="preserve">5</t>
        </is>
      </c>
      <c r="B12" s="4" t="inlineStr">
        <is>
          <t xml:space="preserve">Revenue split across 4100 / 4500 / 4900</t>
        </is>
      </c>
      <c r="C12" s="4" t="inlineStr">
        <is>
          <t xml:space="preserve">I-01 (A-02, A-03)</t>
        </is>
      </c>
      <c r="D12" s="4" t="inlineStr">
        <is>
          <t xml:space="preserve">All 15,563,646 of plan revenue on 4100; 4500 and 4900 = 0 (orchestrator assumption).</t>
        </is>
      </c>
      <c r="E12" s="4" t="inlineStr">
        <is>
          <t xml:space="preserve">Split the plan revenue across the three lines: 0 (classification only; gross margin unchanged). Budget implementation / one-time revenue in addition to the plan: not determinable (2026 4500 + 4900: 1,060,861).</t>
        </is>
      </c>
      <c r="F12" s="4" t="inlineStr">
        <is>
          <t xml:space="preserve">User / Finance</t>
        </is>
      </c>
    </row>
    <row r="13">
      <c r="A13" s="4" t="inlineStr">
        <is>
          <t xml:space="preserve">6</t>
        </is>
      </c>
      <c r="B13" s="4" t="inlineStr">
        <is>
          <t xml:space="preserve">RESOLVED (user decision 2026-10-10: 'The WH and logistics numbers should hit central operations, along with [the named CO employee]'; 'Yes, the material handler should move to CO.'). Warehouse payroll (Logistics&amp;WH) and the material-handling roles</t>
        </is>
      </c>
      <c r="C13" s="4" t="inlineStr">
        <is>
          <t xml:space="preserve">I-17 (RESOLVED), I-41</t>
        </is>
      </c>
      <c r="D13" s="4" t="inlineStr">
        <is>
          <t xml:space="preserve">Booked in v10: CO 6610-6640 (2027) = CO HC roster (incl. the new CO employee (user-confirmed, 110k)) + the Logistics&amp;WH model less seat LOG-01 (already CO HC r17): 398,492 = the 7 new seats 336,530 + MH-01 61,963, at the model's rates (6.8% / 16.4%); new-hire cost 5,000 to 6610. MH-01 (= PO HC r20) is out of the PO 5110-5140 B131 base.</t>
        </is>
      </c>
      <c r="E13" s="4" t="inlineStr">
        <is>
          <t xml:space="preserve">Resolved. Still open: PO HC r16 Material Handling Team Lead on the 7-of-9 reading (I-41): (72,061) if its cost stays an expense, 0 if r16 fills TL-01. Logistics at CO HC burden rates: +19,396.</t>
        </is>
      </c>
      <c r="F13" s="4" t="inlineStr">
        <is>
          <t xml:space="preserve">User (resolved); PO owner for r16</t>
        </is>
      </c>
    </row>
    <row r="14">
      <c r="A14" s="4" t="inlineStr">
        <is>
          <t xml:space="preserve">7</t>
        </is>
      </c>
      <c r="B14" s="4" t="inlineStr">
        <is>
          <t xml:space="preserve">One person probably costed in both FO and FE</t>
        </is>
      </c>
      <c r="C14" s="4" t="inlineStr">
        <is>
          <t xml:space="preserve">I-28</t>
        </is>
      </c>
      <c r="D14" s="4" t="inlineStr">
        <is>
          <t xml:space="preserve">Probably costed twice (name match only; title and salary differ; likely FO-&gt;FE move): one of the 14 current techs in Fld Ops Payroll and Fld Eng Budget row 15.</t>
        </is>
      </c>
      <c r="E14" s="4" t="inlineStr">
        <is>
          <t xml:space="preserve">Remove from FO (B11 14 -&gt; 13): +78,529 (payroll +78,198, 5330 +331). Remove from FE (row 15): +93,093. Pro rata if the move happens mid-year.</t>
        </is>
      </c>
      <c r="F14" s="4" t="inlineStr">
        <is>
          <t xml:space="preserve">SD / FO owners</t>
        </is>
      </c>
    </row>
    <row r="15">
      <c r="A15" s="4" t="inlineStr">
        <is>
          <t xml:space="preserve">8</t>
        </is>
      </c>
      <c r="B15" s="4" t="inlineStr">
        <is>
          <t xml:space="preserve">FE payroll tax and benefit rates</t>
        </is>
      </c>
      <c r="C15" s="4" t="inlineStr">
        <is>
          <t xml:space="preserve">I-34</t>
        </is>
      </c>
      <c r="D15" s="4" t="inlineStr">
        <is>
          <t xml:space="preserve">SD field rates 6.8% / 16.4% on FE salaries.</t>
        </is>
      </c>
      <c r="E15" s="4" t="inlineStr">
        <is>
          <t xml:space="preserve">FE HC (T&amp;B) rates 4.069% / 7.223%: +109,539. Keep: 0. Caveat: the HC T&amp;B tax rates are below the 7.65% employer FICA and unverified (I-37); with the FE tax rate at 7.65%: +76,600.</t>
        </is>
      </c>
      <c r="F15" s="4" t="inlineStr">
        <is>
          <t xml:space="preserve">User / Finance</t>
        </is>
      </c>
    </row>
    <row r="16">
      <c r="A16" s="4" t="inlineStr">
        <is>
          <t xml:space="preserve">9</t>
        </is>
      </c>
      <c r="B16" s="4" t="inlineStr">
        <is>
          <t xml:space="preserve">PE 'transfer?' row (Head of Production and Delivery)</t>
        </is>
      </c>
      <c r="C16" s="4" t="inlineStr">
        <is>
          <t xml:space="preserve">I-35</t>
        </is>
      </c>
      <c r="D16" s="4" t="inlineStr">
        <is>
          <t xml:space="preserve">In PE 6610-6640 for all of 2027 (254,785).</t>
        </is>
      </c>
      <c r="E16" s="4" t="inlineStr">
        <is>
          <t xml:space="preserve">Leaves COO from Jan-27: +254,785. Moves within COO: 0 (budget it once, on the receiving department). Stays: 0.</t>
        </is>
      </c>
      <c r="F16" s="4" t="inlineStr">
        <is>
          <t xml:space="preserve">PE owner</t>
        </is>
      </c>
    </row>
    <row r="17">
      <c r="A17" s="4" t="inlineStr">
        <is>
          <t xml:space="preserve">10</t>
        </is>
      </c>
      <c r="B17" s="4" t="inlineStr">
        <is>
          <t xml:space="preserve">Scope of the capitalisation policy: are the 9 current production staff capitalised too, and is the labour of months with no builds (idle months) capitalised or expensed? 2026 expensed COO 5100 production labour, so the 2026 policy may have been partial.</t>
        </is>
      </c>
      <c r="C17" s="4" t="inlineStr">
        <is>
          <t xml:space="preserve">I-40</t>
        </is>
      </c>
      <c r="D17" s="4" t="inlineStr">
        <is>
          <t xml:space="preserve">Current 9 capitalised (brief v5 primary case, B131 = 1); Sep-Dec 26 labour not capitalised: a 2026 period cost, as the 2026 books expense 5100 (B132 = 0, orchestrator ruling on critic v8 B1); idle months rolled into the next build month (B135 = 1). v10: the B131 base holds 8 PO HC people; PO HC r20 (MH-01) is in CO.</t>
        </is>
      </c>
      <c r="E17" s="4" t="inlineStr">
        <is>
          <t xml:space="preserve">Current staff expensed (sensitivity): (558,996) -&gt; (399,860). Idle-month labour expensed (B135 = 0): (126,908) -&gt; 32,228 (with the current staff expensed too: (480,264)). All Sep-Dec 26 labour capitalised (B132 = 1; only with a 2026 restatement): (60,695) -&gt; 98,441. Each is one switch on the Depreciation Schedule; the workbook recalculates.</t>
        </is>
      </c>
      <c r="F17" s="4" t="inlineStr">
        <is>
          <t xml:space="preserve">User / Finance</t>
        </is>
      </c>
    </row>
    <row r="19">
      <c r="A19" s="2" t="inlineStr">
        <is>
          <t xml:space="preserve">Headline: 2027 COO contribution (live formulas on COO P&amp;L)</t>
        </is>
      </c>
    </row>
    <row r="20">
      <c r="A20" s="3" t="inlineStr">
        <is>
          <t xml:space="preserve">Line</t>
        </is>
      </c>
      <c r="B20" s="3" t="inlineStr">
        <is>
          <t xml:space="preserve">COO P&amp;L row</t>
        </is>
      </c>
      <c r="C20" s="3" t="inlineStr">
        <is>
          <t xml:space="preserve">2026 (N)</t>
        </is>
      </c>
      <c r="D20" s="3" t="inlineStr">
        <is>
          <t xml:space="preserve">2027 (AG)</t>
        </is>
      </c>
      <c r="E20" s="3" t="inlineStr">
        <is>
          <t xml:space="preserve">Change</t>
        </is>
      </c>
      <c r="F20" s="3" t="inlineStr">
        <is>
          <t xml:space="preserve">% (n/m if base &lt;= 0 or sign flips)</t>
        </is>
      </c>
      <c r="G20" s="3" t="inlineStr">
        <is>
          <t xml:space="preserve">2027 in v9 (value)</t>
        </is>
      </c>
    </row>
    <row r="21">
      <c r="A21" s="4" t="inlineStr">
        <is>
          <t xml:space="preserve">Revenue (company recognized revenue, 9/30/26 sales plan)</t>
        </is>
      </c>
      <c r="B21" s="4" t="inlineStr">
        <is>
          <t xml:space="preserve">16</t>
        </is>
      </c>
      <c r="C21" s="5">
        <f>'COO P&amp;L'!N16</f>
        <v>7423939.54333333</v>
      </c>
      <c r="D21" s="5">
        <f>'COO P&amp;L'!AG16</f>
        <v>15563645.5416667</v>
      </c>
      <c r="E21" s="5">
        <f>'COO P&amp;L'!AG16-('COO P&amp;L'!N16)</f>
        <v>8139705.998333369</v>
      </c>
      <c r="F21" s="4" t="str">
        <f>IF(OR('COO P&amp;L'!N16&lt;=0,'COO P&amp;L'!AG16&lt;0),"n/m",TEXT(('COO P&amp;L'!AG16-'COO P&amp;L'!N16)/'COO P&amp;L'!N16,"0%"))</f>
        <v>110%</v>
      </c>
      <c r="G21" s="5">
        <v>15563645.54</v>
      </c>
    </row>
    <row r="22">
      <c r="A22" s="4" t="inlineStr">
        <is>
          <t xml:space="preserve">COGS (COO departments)</t>
        </is>
      </c>
      <c r="B22" s="4" t="inlineStr">
        <is>
          <t xml:space="preserve">63</t>
        </is>
      </c>
      <c r="C22" s="5">
        <f>'COO P&amp;L'!N63</f>
        <v>4478015.61476191</v>
      </c>
      <c r="D22" s="5">
        <f>'COO P&amp;L'!AG63</f>
        <v>11603613.8872221</v>
      </c>
      <c r="E22" s="5">
        <f>'COO P&amp;L'!AG63-('COO P&amp;L'!N63)</f>
        <v>7125598.27246019</v>
      </c>
      <c r="F22" s="4" t="str">
        <f>IF(OR('COO P&amp;L'!N63&lt;=0,'COO P&amp;L'!AG63&lt;0),"n/m",TEXT(('COO P&amp;L'!AG63-'COO P&amp;L'!N63)/'COO P&amp;L'!N63,"0%"))</f>
        <v>159%</v>
      </c>
      <c r="G22" s="5">
        <v>11603613.89</v>
      </c>
    </row>
    <row r="23">
      <c r="A23" s="4" t="inlineStr">
        <is>
          <t xml:space="preserve">  of which depreciation (in COGS)</t>
        </is>
      </c>
      <c r="B23" s="4" t="inlineStr">
        <is>
          <t xml:space="preserve">19-22</t>
        </is>
      </c>
      <c r="C23" s="5">
        <f>SUM('COO P&amp;L'!N19:N22)</f>
        <v>1788096.5247619047</v>
      </c>
      <c r="D23" s="5">
        <f>SUM('COO P&amp;L'!AG19:AG22)</f>
        <v>3423224.842466828</v>
      </c>
      <c r="E23" s="5">
        <f>SUM('COO P&amp;L'!AG19:AG22)-(SUM('COO P&amp;L'!N19:N22))</f>
        <v>1635128.3177049232</v>
      </c>
      <c r="F23" s="4" t="str">
        <f>IF(OR(SUM('COO P&amp;L'!N19:N22)&lt;=0,SUM('COO P&amp;L'!AG19:AG22)&lt;0),"n/m",TEXT((SUM('COO P&amp;L'!AG19:AG22)-SUM('COO P&amp;L'!N19:N22))/SUM('COO P&amp;L'!N19:N22),"0%"))</f>
        <v>91%</v>
      </c>
      <c r="G23" s="5">
        <v>3423224.84</v>
      </c>
    </row>
    <row r="24">
      <c r="A24" s="4" t="inlineStr">
        <is>
          <t xml:space="preserve">Gross Profit</t>
        </is>
      </c>
      <c r="B24" s="4" t="inlineStr">
        <is>
          <t xml:space="preserve">64</t>
        </is>
      </c>
      <c r="C24" s="5">
        <f>'COO P&amp;L'!N64</f>
        <v>2945923.92857143</v>
      </c>
      <c r="D24" s="5">
        <f>'COO P&amp;L'!AG64</f>
        <v>3960031.65444462</v>
      </c>
      <c r="E24" s="5">
        <f>'COO P&amp;L'!AG64-('COO P&amp;L'!N64)</f>
        <v>1014107.72587319</v>
      </c>
      <c r="F24" s="4" t="str">
        <f>IF(OR('COO P&amp;L'!N64&lt;=0,'COO P&amp;L'!AG64&lt;0),"n/m",TEXT(('COO P&amp;L'!AG64-'COO P&amp;L'!N64)/'COO P&amp;L'!N64,"0%"))</f>
        <v>34%</v>
      </c>
      <c r="G24" s="5">
        <v>3960031.65</v>
      </c>
    </row>
    <row r="25">
      <c r="A25" s="4" t="inlineStr">
        <is>
          <t xml:space="preserve">Opex (COO departments)</t>
        </is>
      </c>
      <c r="B25" s="4" t="inlineStr">
        <is>
          <t xml:space="preserve">116</t>
        </is>
      </c>
      <c r="C25" s="5">
        <f>'COO P&amp;L'!N116</f>
        <v>3929957.3</v>
      </c>
      <c r="D25" s="5">
        <f>'COO P&amp;L'!AG116</f>
        <v>3800895.25393599</v>
      </c>
      <c r="E25" s="5">
        <f>'COO P&amp;L'!AG116-('COO P&amp;L'!N116)</f>
        <v>-129062.04606400989</v>
      </c>
      <c r="F25" s="4" t="str">
        <f>IF(OR('COO P&amp;L'!N116&lt;=0,'COO P&amp;L'!AG116&lt;0),"n/m",TEXT(('COO P&amp;L'!AG116-'COO P&amp;L'!N116)/'COO P&amp;L'!N116,"0%"))</f>
        <v>-3%</v>
      </c>
      <c r="G25" s="5">
        <v>3272596.54</v>
      </c>
    </row>
    <row r="26">
      <c r="A26" s="4" t="inlineStr">
        <is>
          <t xml:space="preserve">COO contribution before other income (workbook label 'Net Ordinary Income')</t>
        </is>
      </c>
      <c r="B26" s="4" t="inlineStr">
        <is>
          <t xml:space="preserve">117</t>
        </is>
      </c>
      <c r="C26" s="5">
        <f>'COO P&amp;L'!N117</f>
        <v>-984033.371428571</v>
      </c>
      <c r="D26" s="5">
        <f>'COO P&amp;L'!AG117</f>
        <v>159136.400508629</v>
      </c>
      <c r="E26" s="5">
        <f>'COO P&amp;L'!AG117-('COO P&amp;L'!N117)</f>
        <v>1143169.7719371999</v>
      </c>
      <c r="F26" s="4" t="str">
        <f>IF(OR('COO P&amp;L'!N117&lt;=0,'COO P&amp;L'!AG117&lt;0),"n/m",TEXT(('COO P&amp;L'!AG117-'COO P&amp;L'!N117)/'COO P&amp;L'!N117,"0%"))</f>
        <v>n/m</v>
      </c>
      <c r="G26" s="5">
        <v>687435.11</v>
      </c>
    </row>
    <row r="27">
      <c r="A27" s="4" t="inlineStr">
        <is>
          <t xml:space="preserve">Net Other Income</t>
        </is>
      </c>
      <c r="B27" s="4" t="inlineStr">
        <is>
          <t xml:space="preserve">131</t>
        </is>
      </c>
      <c r="C27" s="5">
        <f>'COO P&amp;L'!N131</f>
        <v>84811.32</v>
      </c>
      <c r="D27" s="5">
        <f>'COO P&amp;L'!AG131</f>
        <v>0.0</v>
      </c>
      <c r="E27" s="5">
        <f>'COO P&amp;L'!AG131-('COO P&amp;L'!N131)</f>
        <v>-84811.32</v>
      </c>
      <c r="F27" s="4" t="str">
        <f>IF(OR('COO P&amp;L'!N131&lt;=0,'COO P&amp;L'!AG131&lt;0),"n/m",TEXT(('COO P&amp;L'!AG131-'COO P&amp;L'!N131)/'COO P&amp;L'!N131,"0%"))</f>
        <v>-100%</v>
      </c>
      <c r="G27" s="5">
        <v>0.0</v>
      </c>
    </row>
    <row r="28">
      <c r="A28" s="4" t="inlineStr">
        <is>
          <t xml:space="preserve">COO contribution (workbook label 'Net Income')</t>
        </is>
      </c>
      <c r="B28" s="4" t="inlineStr">
        <is>
          <t xml:space="preserve">132</t>
        </is>
      </c>
      <c r="C28" s="5">
        <f>'COO P&amp;L'!N132</f>
        <v>-899222.051428571</v>
      </c>
      <c r="D28" s="5">
        <f>'COO P&amp;L'!AG132</f>
        <v>159136.400508629</v>
      </c>
      <c r="E28" s="5">
        <f>'COO P&amp;L'!AG132-('COO P&amp;L'!N132)</f>
        <v>1058358.4519372</v>
      </c>
      <c r="F28" s="4" t="str">
        <f>IF(OR('COO P&amp;L'!N132&lt;=0,'COO P&amp;L'!AG132&lt;0),"n/m",TEXT(('COO P&amp;L'!AG132-'COO P&amp;L'!N132)/'COO P&amp;L'!N132,"0%"))</f>
        <v>n/m</v>
      </c>
      <c r="G28" s="5">
        <v>687435.11</v>
      </c>
    </row>
    <row r="30">
      <c r="A30" s="3" t="inlineStr">
        <is>
          <t xml:space="preserve">Caveats on the headline (read before using the figure)</t>
        </is>
      </c>
    </row>
    <row r="31">
      <c r="A31" s="0" t="inlineStr">
        <is>
          <t xml:space="preserve">(0) v10 (user decision 2026-10-10): the Logistics &amp; Warehouse payroll and the new CO employee (user-confirmed, 110k) are booked in Central Operations. CO 6610-6640 2027 618,961 -&gt; 1,147,260: Logistics&amp;WH less LOG-01 398,492 (7 new seats 336,530, MH-01 61,963; model rates), new CO employee (user-confirmed, 110k) 129,806 (CO HC rates). The contribution moves from 687,435 to 159,136. Production labour stays capitalised (Decision #1): 2027 CapEx +2,592,894, labour depreciation 104,417. Scope sensitivity (current staff expensed): (399,860); idle-month labour expensed: 32,228.</t>
        </is>
      </c>
    </row>
    <row r="32">
      <c r="A32" s="0" t="inlineStr">
        <is>
          <t xml:space="preserve">(0b) Year on year is not like-for-like: 2026 expensed production labour, 2027 capitalises it. Policy effect in v10: +2,448,290 (PO 5110-5140 at B131 = 0 590,318 + the ramp 1,962,389 - booked labour depreciation 104,417; v9 +2,510,793): on the 2026 policy the 2027 contribution would be (2,289,154).</t>
        </is>
      </c>
    </row>
    <row r="33">
      <c r="A33" s="0" t="inlineStr">
        <is>
          <t xml:space="preserve">(1) What the figure is. The bottom line, 159,136, is a COO contribution: the company's recognized revenue (15,563,646, all of it) less the costs of the five COO departments only (COGS + Opex of FO, PO, CO, FE, PE: 15,404,509). It is not company Net Income; the workbook row keeps its GL label 'Net Income' (COO P&amp;L!A132).</t>
        </is>
      </c>
    </row>
    <row r="34">
      <c r="A34" s="0" t="inlineStr">
        <is>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is>
      </c>
    </row>
    <row r="35">
      <c r="A35" s="0" t="inlineStr">
        <is>
          <t xml:space="preserve">(3) Open exposures, each on its own against the headline. 'n/d' = not determinable from the workbook. Rows marked 'Carried from v9' have inputs v10 does not touch (the v9 -&gt; v10 diff shows 0 changes there); the switch rows are recalculated on v10.</t>
        </is>
      </c>
    </row>
    <row r="36">
      <c r="A36" s="3" t="inlineStr">
        <is>
          <t xml:space="preserve">Item</t>
        </is>
      </c>
      <c r="B36" s="3" t="inlineStr">
        <is>
          <t xml:space="preserve">Direction</t>
        </is>
      </c>
      <c r="C36" s="3" t="inlineStr">
        <is>
          <t xml:space="preserve">What could happen</t>
        </is>
      </c>
      <c r="D36" s="3" t="inlineStr">
        <is>
          <t xml:space="preserve">Effect on 2027 COO contribution</t>
        </is>
      </c>
      <c r="E36" s="3" t="inlineStr">
        <is>
          <t xml:space="preserve">Contribution after this item alone</t>
        </is>
      </c>
      <c r="F36" s="3" t="inlineStr">
        <is>
          <t xml:space="preserve">Source cells</t>
        </is>
      </c>
    </row>
    <row r="37">
      <c r="A37" s="4" t="inlineStr">
        <is>
          <t xml:space="preserve">Decision #10 scope: current 9 expensed (sensitivity, not booked)</t>
        </is>
      </c>
      <c r="B37" s="4" t="inlineStr">
        <is>
          <t xml:space="preserve">downside</t>
        </is>
      </c>
      <c r="C37" s="4" t="inlineStr">
        <is>
          <t xml:space="preserve">If only the ramp is capitalised and the current PO staff stay expensed, PO 5110-5140 returns to the PO HC roster amount, now without PO HC r20 (Material Handler = Logistics&amp;WH MH-01, booked in CO since v10): 590,318 (v9 652,820). 2027 capitalised labour falls to 1,962,389 and its 2027 depreciation to 73,095 (booked: 104,417). Recalculated with the workbook switch 'Depreciation Schedule'!B131 = 0. v9: (621,499).</t>
        </is>
      </c>
      <c r="D37" s="5">
        <v>-558996.25</v>
      </c>
      <c r="E37" s="5">
        <v>-399859.85</v>
      </c>
      <c r="F37" s="4" t="inlineStr">
        <is>
          <t xml:space="preserve">'Depreciation Schedule'!B131; PO!U33:AF35; 'HC-PO'!M20:X20</t>
        </is>
      </c>
    </row>
    <row r="38">
      <c r="A38" s="4" t="inlineStr">
        <is>
          <t xml:space="preserve">I-40 idle-month labour expensed (critic v8 B2; not booked)</t>
        </is>
      </c>
      <c r="B38" s="4" t="inlineStr">
        <is>
          <t xml:space="preserve">downside</t>
        </is>
      </c>
      <c r="C38" s="4" t="inlineStr">
        <is>
          <t xml:space="preserve">Jan-27 builds nothing, so its labour rolls into the Feb-27 builds (A-38). If idle-month labour is a period cost ('Depreciation Schedule'!B135 = 0) it is expensed in PO 5110-5140 and the depreciation of the Feb-27 builds falls. Recalculated; unchanged from v9 (v10 does not touch the labour block). With the current staff expensed (B131 = 0): (80,404).</t>
        </is>
      </c>
      <c r="D38" s="5">
        <v>-126908.44</v>
      </c>
      <c r="E38" s="5">
        <v>32227.96</v>
      </c>
      <c r="F38" s="4" t="inlineStr">
        <is>
          <t xml:space="preserve">'Depreciation Schedule'!B135, rows 221-228; PO!U33:AF35</t>
        </is>
      </c>
    </row>
    <row r="39">
      <c r="A39" s="4" t="inlineStr">
        <is>
          <t xml:space="preserve">Decision #10 scope: all Sep-Dec 26 labour capitalised (B132 = 1; only with a 2026 restatement)</t>
        </is>
      </c>
      <c r="B39" s="4" t="inlineStr">
        <is>
          <t xml:space="preserve">downside</t>
        </is>
      </c>
      <c r="C39" s="4" t="inlineStr">
        <is>
          <t xml:space="preserve">Sep-Dec 26 model labour joins the Nov-26 and Jan-Feb 27 go-lives and is depreciated in 2027. Double counts the 2026 PO forecast unless 2026 is restated. Recalculated; unchanged from v9. Not in the range.</t>
        </is>
      </c>
      <c r="D39" s="5">
        <v>-60695.09</v>
      </c>
      <c r="E39" s="5">
        <v>98441.31</v>
      </c>
      <c r="F39" s="4" t="inlineStr">
        <is>
          <t xml:space="preserve">'Depreciation Schedule'!B132; rows 231-232</t>
        </is>
      </c>
    </row>
    <row r="40">
      <c r="A40" s="4" t="inlineStr">
        <is>
          <t xml:space="preserve">Labour already in the 65,000 / 8,000 unit cost (critic v8 O1)</t>
        </is>
      </c>
      <c r="B40" s="4" t="inlineStr">
        <is>
          <t xml:space="preserve">upside</t>
        </is>
      </c>
      <c r="C40" s="4" t="inlineStr">
        <is>
          <t xml:space="preserve">DeploySum labels the unit costs 'Unit cost (CapEx)' (A47) and gives no build-up, so whether they already include production labour is not determinable from the workbook (v8's 'holds no production labour' is withdrawn: it had no source). If they do, the labour capitalised on top is counted twice and up to its full 2027 depreciation (104,417) goes. Owner: Finance / PO. Carried from v9: labour block unchanged (diff: 0 cells on Depreciation Schedule / Prod Payroll).</t>
        </is>
      </c>
      <c r="D40" s="5">
        <v>104416.68</v>
      </c>
      <c r="E40" s="5">
        <v>263553.08</v>
      </c>
      <c r="F40" s="4" t="inlineStr">
        <is>
          <t xml:space="preserve">DeploySum!A47; 'Depreciation Schedule'!R195</t>
        </is>
      </c>
    </row>
    <row r="41">
      <c r="A41" s="4" t="inlineStr">
        <is>
          <t xml:space="preserve">I-41 (7-overlap): Material Handling Team Lead stays expensed</t>
        </is>
      </c>
      <c r="B41" s="4" t="inlineStr">
        <is>
          <t xml:space="preserve">downside</t>
        </is>
      </c>
      <c r="C41" s="4" t="inlineStr">
        <is>
          <t xml:space="preserve">v10: PO HC r20 Material Handler (= MH-01) is now booked in CO through the Logistics&amp;WH model (user decision), so I-41 is down to PO HC r16 Material Handling Team Lead. On the 7-of-9 role reading r16 is warehouse staff, not production labour; PO 5110-5140 = 0 removes it and no expense line carries it: its 2027 cost at PO HC rates. 0 if r16 fills Logistics&amp;WH seat TL-01 (same title, Dec-26 start; then costed in CO). v9 (r16 + r20): (134,563).</t>
        </is>
      </c>
      <c r="D41" s="5">
        <v>-72060.6</v>
      </c>
      <c r="E41" s="5">
        <v>87075.8</v>
      </c>
      <c r="F41" s="4" t="inlineStr">
        <is>
          <t xml:space="preserve">'HC-PO'!C16:Z16, D6:D7; PO!U33:AF35; Logistics&amp;WH TL-01</t>
        </is>
      </c>
    </row>
    <row r="42">
      <c r="A42" s="4" t="inlineStr">
        <is>
          <t xml:space="preserve">MH-01 on the 9-of-9 count reading: capitalised in PO and expensed in CO (v10)</t>
        </is>
      </c>
      <c r="B42" s="4" t="inlineStr">
        <is>
          <t xml:space="preserve">upside</t>
        </is>
      </c>
      <c r="C42" s="4" t="inlineStr">
        <is>
          <t xml:space="preserve">Prod Payroll counts its 9 current staff by number only and is unchanged (brief v6). On the 9-of-9 reading one of those 9 is PO HC r20 = MH-01, now expensed in CO 6610-6640: the capitalised labour then holds one head too many (the model's average current cost per head 70,056; 2027 CapEx overstated by that amount). Taking it out lowers 2027 labour depreciation pro rata (4.03% of 2027 capitalised payroll is depreciated in 2027). Not on the 7-of-9 reading.</t>
        </is>
      </c>
      <c r="D42" s="5">
        <v>2821.18</v>
      </c>
      <c r="E42" s="5">
        <v>161957.58</v>
      </c>
      <c r="F42" s="4" t="inlineStr">
        <is>
          <t xml:space="preserve">'Depreciation Schedule'!B214, R195, B236; Prod Payroll B9:C9</t>
        </is>
      </c>
    </row>
    <row r="43">
      <c r="A43" s="4" t="inlineStr">
        <is>
          <t xml:space="preserve">Logistics&amp;WH seats at CO HC burden rates instead of the model's (v10)</t>
        </is>
      </c>
      <c r="B43" s="4" t="inlineStr">
        <is>
          <t xml:space="preserve">upside</t>
        </is>
      </c>
      <c r="C43" s="4" t="inlineStr">
        <is>
          <t xml:space="preserve">v10 books the logistics seats at the model's own rates (payroll tax 6.8%, benefits 16.4%: 'the WH and logistics numbers'). CO HC rates are 5.22% / 11.91%. On the 319,393 of 2027 logistics salaries in CO: burden 74,099 booked vs 54,703 at CO HC rates. Both CO HC rates are unverified (I-37).</t>
        </is>
      </c>
      <c r="D43" s="5">
        <v>19395.91</v>
      </c>
      <c r="E43" s="5">
        <v>178532.31</v>
      </c>
      <c r="F43" s="4" t="inlineStr">
        <is>
          <t xml:space="preserve">'Logistics&amp;WH Payroll'!B5:B6; 'HC-CO'!D6:D7; CO!U68:AF69</t>
        </is>
      </c>
    </row>
    <row r="44">
      <c r="A44" s="4" t="inlineStr">
        <is>
          <t xml:space="preserve">New CO employee start month (A-43; new CO employee (user-confirmed, 110k))</t>
        </is>
      </c>
      <c r="B44" s="4" t="inlineStr">
        <is>
          <t xml:space="preserve">upside</t>
        </is>
      </c>
      <c r="C44" s="4" t="inlineStr">
        <is>
          <t xml:space="preserve">Booked as in seat all of 2027 (HC-CO r18, Jan-27 start, CO HC rates, 3% from Oct-27). Each month the start is later lowers 2027 cost by ~10,000 (Jan-Sep monthly cost incl. CO HC burden).</t>
        </is>
      </c>
      <c r="D44" s="4" t="inlineStr">
        <is>
          <t xml:space="preserve">per month later: ~10,000</t>
        </is>
      </c>
      <c r="E44" s="4" t="inlineStr">
        <is>
          <t xml:space="preserve">-</t>
        </is>
      </c>
      <c r="F44" s="4" t="inlineStr">
        <is>
          <t xml:space="preserve">'HC-CO'!E18, M18:X18</t>
        </is>
      </c>
    </row>
    <row r="45">
      <c r="A45" s="4" t="inlineStr">
        <is>
          <t xml:space="preserve">I-05 burden (O1), capitalised</t>
        </is>
      </c>
      <c r="B45" s="4" t="inlineStr">
        <is>
          <t xml:space="preserve">downside</t>
        </is>
      </c>
      <c r="C45" s="4" t="inlineStr">
        <is>
          <t xml:space="preserve">The ramp at PO HC burden rates (+141,924 of 2027 cost, v7 O1) is now capitalised, so only its depreciation reaches 2027 (pro rata: 4.03% of 2027 payroll is depreciated in 2027 under the booked method; 3.72% with the current 9 expensed: (5,286)). Carried from v9: Prod Payroll and the labour block unchanged.</t>
        </is>
      </c>
      <c r="D45" s="5">
        <v>-5715.33</v>
      </c>
      <c r="E45" s="5">
        <v>153421.07</v>
      </c>
      <c r="F45" s="4" t="inlineStr">
        <is>
          <t xml:space="preserve">Prod Payroll!B6:C7, H6:H7; 'HC-PO'!D6:D7</t>
        </is>
      </c>
    </row>
    <row r="46">
      <c r="A46" s="4" t="inlineStr">
        <is>
          <t xml:space="preserve">Rate base of the current 9 (critic v8 O7)</t>
        </is>
      </c>
      <c r="B46" s="4" t="inlineStr">
        <is>
          <t xml:space="preserve">downside</t>
        </is>
      </c>
      <c r="C46" s="4" t="inlineStr">
        <is>
          <t xml:space="preserve">PO 5110-5140 removes the 9 current staff at PO HC rates (652,820) but the labour block capitalises them at the model's rates (630,504): 22,315 of 2027 payroll is in neither the P&amp;L nor the asset. If the PO HC cost is right, the capitalised labour is 22,315 higher and its 2027 depreciation +899 (same pro rata). Referred to Finance: which rate base the asset uses. Carried from v9: Prod Payroll and PO HC rates unchanged (the model still costs 9 current staff).</t>
        </is>
      </c>
      <c r="D46" s="5">
        <v>-898.65</v>
      </c>
      <c r="E46" s="5">
        <v>158237.75</v>
      </c>
      <c r="F46" s="4" t="inlineStr">
        <is>
          <t xml:space="preserve">PO!U33:AF35 (v7 amounts); 'Depreciation Schedule'!B214</t>
        </is>
      </c>
    </row>
    <row r="47">
      <c r="A47" s="4" t="inlineStr">
        <is>
          <t xml:space="preserve">I-17</t>
        </is>
      </c>
      <c r="B47" s="4" t="inlineStr">
        <is>
          <t xml:space="preserve">RESOLVED</t>
        </is>
      </c>
      <c r="C47" s="4" t="inlineStr">
        <is>
          <t xml:space="preserve">RESOLVED (user decision 2026-10-10): the Logistics&amp;WH model is booked in CO 6610-6640, less seat LOG-01 (already on CO HC r17): 398,492 in the headline (the 7 new seats 336,530 + MH-01 61,963 at model rates). v9 showed it as a downside of (336,530) to (471,093) depending on the reading.</t>
        </is>
      </c>
      <c r="D47" s="4" t="inlineStr">
        <is>
          <t xml:space="preserve">0 (now in the headline)</t>
        </is>
      </c>
      <c r="E47" s="5">
        <v>159136.4</v>
      </c>
      <c r="F47" s="4" t="inlineStr">
        <is>
          <t xml:space="preserve">CO!U67:AF69; 'Logistics&amp;WH Payroll'!rows 34-46</t>
        </is>
      </c>
    </row>
    <row r="48">
      <c r="A48" s="4" t="inlineStr">
        <is>
          <t xml:space="preserve">I-10</t>
        </is>
      </c>
      <c r="B48" s="4" t="inlineStr">
        <is>
          <t xml:space="preserve">downside</t>
        </is>
      </c>
      <c r="C48" s="4" t="inlineStr">
        <is>
          <t xml:space="preserve">FO/FE lines with 2026 spend budgeted at 0 for 2027 (5920 software, 6610 SG&amp;A salaries, 7200 contractors); effect if they continue at the 2026 level.</t>
        </is>
      </c>
      <c r="D48" s="5">
        <v>-384424.9</v>
      </c>
      <c r="E48" s="5">
        <v>-225288.5</v>
      </c>
      <c r="F48" s="4" t="inlineStr">
        <is>
          <t xml:space="preserve">FO!N58, N67, N91; FE!N91 (AG = 0)</t>
        </is>
      </c>
    </row>
    <row r="49">
      <c r="A49" s="4" t="inlineStr">
        <is>
          <t xml:space="preserve">I-26</t>
        </is>
      </c>
      <c r="B49" s="4" t="inlineStr">
        <is>
          <t xml:space="preserve">RESOLVED</t>
        </is>
      </c>
      <c r="C49" s="4" t="inlineStr">
        <is>
          <t xml:space="preserve">RESOLVED (user-confirmed 2026-10-09): Head of Service Delivery salary 205,000/year entered in v5 and now inside the headline (2027 cost 254,454: salary 206,538 + payroll tax 14,045 + benefits 33,872; v4 contribution was 393,486). No remaining exposure.</t>
        </is>
      </c>
      <c r="D49" s="4" t="inlineStr">
        <is>
          <t xml:space="preserve">0 (now in the headline)</t>
        </is>
      </c>
      <c r="E49" s="5">
        <v>159136.4</v>
      </c>
      <c r="F49" s="4" t="inlineStr">
        <is>
          <t xml:space="preserve">Fld Eng Budget!B21 = 205,000</t>
        </is>
      </c>
    </row>
    <row r="50">
      <c r="A50" s="4" t="inlineStr">
        <is>
          <t xml:space="preserve">I-28</t>
        </is>
      </c>
      <c r="B50" s="4" t="inlineStr">
        <is>
          <t xml:space="preserve">upside</t>
        </is>
      </c>
      <c r="C50" s="4" t="inlineStr">
        <is>
          <t xml:space="preserve">Probable duplicate (name match only; title and salary differ; likely FO-&gt;FE move): FO HC r15 Field Technician = Fld Eng Budget r15 Field Engineer. Remove from FO (Fld Ops Payroll B11 14 -&gt; 13), recalculated: payroll +78,198 and +331 on 5330 (Fld Maint Budget!B29 = B30 + Fld Ops Payroll!B11); supervisor headcount unchanged. Pro rata if the move happens mid-year.</t>
        </is>
      </c>
      <c r="D50" s="5">
        <v>78529.08</v>
      </c>
      <c r="E50" s="5">
        <v>237665.48</v>
      </c>
      <c r="F50" s="4" t="inlineStr">
        <is>
          <t xml:space="preserve">Fld Ops Payroll!B11, rows 20-24; Fld Maint Budget!B29</t>
        </is>
      </c>
    </row>
    <row r="51">
      <c r="A51" s="4" t="inlineStr">
        <is>
          <t xml:space="preserve">I-28</t>
        </is>
      </c>
      <c r="B51" s="4" t="inlineStr">
        <is>
          <t xml:space="preserve">upside</t>
        </is>
      </c>
      <c r="C51" s="4" t="inlineStr">
        <is>
          <t xml:space="preserve">Same person: remove from FE instead (Fld Eng Budget row 15, at SD burden rates). Pro rata if the move happens mid-year.</t>
        </is>
      </c>
      <c r="D51" s="5">
        <v>93093.0</v>
      </c>
      <c r="E51" s="5">
        <v>252229.4</v>
      </c>
      <c r="F51" s="4" t="inlineStr">
        <is>
          <t xml:space="preserve">Fld Eng Budget!B15; rows 61, 69-70</t>
        </is>
      </c>
    </row>
    <row r="52">
      <c r="A52" s="4" t="inlineStr">
        <is>
          <t xml:space="preserve">I-31</t>
        </is>
      </c>
      <c r="B52" s="4" t="inlineStr">
        <is>
          <t xml:space="preserve">two-way</t>
        </is>
      </c>
      <c r="C52" s="4" t="inlineStr">
        <is>
          <t xml:space="preserve">Shortfall if DeploySum's Q4-26 go-lives are right (3 lifts, 14 trays more than PO's run rate).</t>
        </is>
      </c>
      <c r="D52" s="5">
        <v>-39057.14</v>
      </c>
      <c r="E52" s="5">
        <v>120079.26</v>
      </c>
      <c r="F52" s="4" t="inlineStr">
        <is>
          <t xml:space="preserve">PO!J20:M21; DeploySum!C19:E20</t>
        </is>
      </c>
    </row>
    <row r="53">
      <c r="A53" s="4" t="inlineStr">
        <is>
          <t xml:space="preserve">I-31</t>
        </is>
      </c>
      <c r="B53" s="4" t="inlineStr">
        <is>
          <t xml:space="preserve">two-way</t>
        </is>
      </c>
      <c r="C53" s="4" t="inlineStr">
        <is>
          <t xml:space="preserve">Double count if PO's Dec-26 step-up (3 lifts, 12 trays; DeploySum Dec-26 go-lives 0) is Jan-27 units (20 lifts, 60 trays go live Jan-27, built Nov-26). Excludes the 5020 Dec step (+12,300 more if it is the same units).</t>
        </is>
      </c>
      <c r="D53" s="5">
        <v>37457.14</v>
      </c>
      <c r="E53" s="5">
        <v>196593.54</v>
      </c>
      <c r="F53" s="4" t="inlineStr">
        <is>
          <t xml:space="preserve">PO!L20:M21; DeploySum!E19:F20</t>
        </is>
      </c>
    </row>
    <row r="54">
      <c r="A54" s="4" t="inlineStr">
        <is>
          <t xml:space="preserve">I-32</t>
        </is>
      </c>
      <c r="B54" s="4" t="inlineStr">
        <is>
          <t xml:space="preserve">upside</t>
        </is>
      </c>
      <c r="C54" s="4" t="inlineStr">
        <is>
          <t xml:space="preserve">SlipBot fleet fully depreciated or retired from Jan-27 (5010 = 0).</t>
        </is>
      </c>
      <c r="D54" s="5">
        <v>1353574.2</v>
      </c>
      <c r="E54" s="5">
        <v>1512710.6</v>
      </c>
      <c r="F54" s="4" t="inlineStr">
        <is>
          <t xml:space="preserve">PO!M19; 'Depreciation Schedule'!B21</t>
        </is>
      </c>
    </row>
    <row r="55">
      <c r="A55" s="4" t="inlineStr">
        <is>
          <t xml:space="preserve">I-32</t>
        </is>
      </c>
      <c r="B55" s="4" t="inlineStr">
        <is>
          <t xml:space="preserve">upside</t>
        </is>
      </c>
      <c r="C55" s="4" t="inlineStr">
        <is>
          <t xml:space="preserve">Trend alternative: 5010 keeps falling at the 2026 rate (141,122 Jan-26 -&gt; 112,798 Sep-26, (3,541)/month).</t>
        </is>
      </c>
      <c r="D55" s="5">
        <v>276163.88</v>
      </c>
      <c r="E55" s="5">
        <v>435300.28</v>
      </c>
      <c r="F55" s="4" t="inlineStr">
        <is>
          <t xml:space="preserve">PO!B19, J19, M19</t>
        </is>
      </c>
    </row>
    <row r="56">
      <c r="A56" s="4" t="inlineStr">
        <is>
          <t xml:space="preserve">I-32</t>
        </is>
      </c>
      <c r="B56" s="4" t="inlineStr">
        <is>
          <t xml:space="preserve">upside</t>
        </is>
      </c>
      <c r="C56" s="4" t="inlineStr">
        <is>
          <t xml:space="preserve">Trend alternative continued from Sep-26: the same (3,541)/month decline also runs through Oct-Dec 26, so Jan-27 starts 4 months below Sep-26 (98,636 in Jan-27, 59,689 in Dec-27; floored at 0, 0 months at the floor).</t>
        </is>
      </c>
      <c r="D56" s="5">
        <v>403624.13</v>
      </c>
      <c r="E56" s="5">
        <v>562760.53</v>
      </c>
      <c r="F56" s="4" t="inlineStr">
        <is>
          <t xml:space="preserve">PO!B19, J19, M19</t>
        </is>
      </c>
    </row>
    <row r="57">
      <c r="A57" s="4" t="inlineStr">
        <is>
          <t xml:space="preserve">I-33</t>
        </is>
      </c>
      <c r="B57" s="4" t="inlineStr">
        <is>
          <t xml:space="preserve">two-way</t>
        </is>
      </c>
      <c r="C57" s="4" t="inlineStr">
        <is>
          <t xml:space="preserve">Peripherals life 60 months instead of 84 (a longer life, e.g. 120 months, gives the opposite sign).</t>
        </is>
      </c>
      <c r="D57" s="5">
        <v>-25534.29</v>
      </c>
      <c r="E57" s="5">
        <v>133602.11</v>
      </c>
      <c r="F57" s="4" t="inlineStr">
        <is>
          <t xml:space="preserve">'Depreciation Schedule'!B11</t>
        </is>
      </c>
    </row>
    <row r="58">
      <c r="A58" s="4" t="inlineStr">
        <is>
          <t xml:space="preserve">I-34</t>
        </is>
      </c>
      <c r="B58" s="4" t="inlineStr">
        <is>
          <t xml:space="preserve">upside</t>
        </is>
      </c>
      <c r="C58" s="4" t="inlineStr">
        <is>
          <t xml:space="preserve">FE payroll tax and benefits at the FE HC rates (4.069% / 7.223%) instead of the SD rates (6.8% / 16.4%) on the same FE salary base.</t>
        </is>
      </c>
      <c r="D58" s="5">
        <v>109538.77</v>
      </c>
      <c r="E58" s="5">
        <v>268675.17</v>
      </c>
      <c r="F58" s="4" t="inlineStr">
        <is>
          <t xml:space="preserve">Fld Eng Budget!B22:B23; 'HC-FE'!D6:D7; FE!AG68:AG69</t>
        </is>
      </c>
    </row>
    <row r="59">
      <c r="A59" s="4" t="inlineStr">
        <is>
          <t xml:space="preserve">I-34 with FE tax at 7.65%</t>
        </is>
      </c>
      <c r="B59" s="4" t="inlineStr">
        <is>
          <t xml:space="preserve">upside</t>
        </is>
      </c>
      <c r="C59" s="4" t="inlineStr">
        <is>
          <t xml:space="preserve">The HC T&amp;B tax rates are below the 7.65% employer FICA and unverified (I-37). If FE payroll tax cannot be below 7.65%, the 6630 part of I-34 (+25,120) goes and the SD 6.8% is short: upside benefits only.</t>
        </is>
      </c>
      <c r="D59" s="5">
        <v>76599.61</v>
      </c>
      <c r="E59" s="5">
        <v>235736.01</v>
      </c>
      <c r="F59" s="4" t="inlineStr">
        <is>
          <t xml:space="preserve">'HC-FE'!D6:D7; Fld Eng Budget!B22:B23</t>
        </is>
      </c>
    </row>
    <row r="60">
      <c r="A60" s="4" t="inlineStr">
        <is>
          <t xml:space="preserve">I-37</t>
        </is>
      </c>
      <c r="B60" s="4" t="inlineStr">
        <is>
          <t xml:space="preserve">downside</t>
        </is>
      </c>
      <c r="C60" s="4" t="inlineStr">
        <is>
          <t xml:space="preserve">CO and PE payroll tax below 7.65% (upper bound on every salary dollar). v10: the CO base now includes the new CO employee (user-confirmed, 110k) at the CO HC rate (5.22%) and the logistics salaries at the model rate (6.8%): CO HC 15,525 + logistics 2,715 + PE 43,967. v9: (56,801).</t>
        </is>
      </c>
      <c r="D60" s="5">
        <v>-62207.37</v>
      </c>
      <c r="E60" s="5">
        <v>96929.03</v>
      </c>
      <c r="F60" s="4" t="inlineStr">
        <is>
          <t xml:space="preserve">'HC-CO'!D6, Z67; 'Logistics&amp;WH Payroll'!B5; 'HC-PE'!D6; CO!AG68; PE!AG68</t>
        </is>
      </c>
    </row>
    <row r="61">
      <c r="A61" s="4" t="inlineStr">
        <is>
          <t xml:space="preserve">I-37</t>
        </is>
      </c>
      <c r="B61" s="4" t="inlineStr">
        <is>
          <t xml:space="preserve">downside</t>
        </is>
      </c>
      <c r="C61" s="4" t="inlineStr">
        <is>
          <t xml:space="preserve">FO and FE payroll tax uses the SD field rate 6.8%, also below 7.65% (same upper-bound basis; FO salary base 3,100,031 incl. the ramp, FE 919,884).</t>
        </is>
      </c>
      <c r="D61" s="5">
        <v>-34169.28</v>
      </c>
      <c r="E61" s="5">
        <v>124967.12</v>
      </c>
      <c r="F61" s="4" t="inlineStr">
        <is>
          <t xml:space="preserve">Fld Ops Payroll!B7; Fld Eng Budget!B22</t>
        </is>
      </c>
    </row>
    <row r="62">
      <c r="A62" s="4" t="inlineStr">
        <is>
          <t xml:space="preserve">I-35</t>
        </is>
      </c>
      <c r="B62" s="4" t="inlineStr">
        <is>
          <t xml:space="preserve">upside</t>
        </is>
      </c>
      <c r="C62" s="4" t="inlineStr">
        <is>
          <t xml:space="preserve">PE HC r22 Head of Production and Delivery ('transfer?') leaves COO from Jan-27. 0 if the role moves to another COO department and is budgeted there once.</t>
        </is>
      </c>
      <c r="D62" s="5">
        <v>254784.73</v>
      </c>
      <c r="E62" s="5">
        <v>413921.13</v>
      </c>
      <c r="F62" s="4" t="inlineStr">
        <is>
          <t xml:space="preserve">'HC-PE'!A22, Z22; PE!AG67:AG69</t>
        </is>
      </c>
    </row>
    <row r="63">
      <c r="A63" s="4" t="inlineStr">
        <is>
          <t xml:space="preserve">I-36</t>
        </is>
      </c>
      <c r="B63" s="4" t="inlineStr">
        <is>
          <t xml:space="preserve">upside</t>
        </is>
      </c>
      <c r="C63" s="4" t="inlineStr">
        <is>
          <t xml:space="preserve">The Aug-27 Customer Support Specialist hire on Fld Eng Budget (not on FE HC) is not approved.</t>
        </is>
      </c>
      <c r="D63" s="5">
        <v>33967.27</v>
      </c>
      <c r="E63" s="5">
        <v>193103.67</v>
      </c>
      <c r="F63" s="4" t="inlineStr">
        <is>
          <t xml:space="preserve">Fld Eng Budget!B19:C19, row 65</t>
        </is>
      </c>
    </row>
    <row r="64">
      <c r="A64" s="4" t="inlineStr">
        <is>
          <t xml:space="preserve">I-39</t>
        </is>
      </c>
      <c r="B64" s="4" t="inlineStr">
        <is>
          <t xml:space="preserve">upside</t>
        </is>
      </c>
      <c r="C64" s="4" t="inlineStr">
        <is>
          <t xml:space="preserve">FE HC r35 Field Engineer Manager is an open seat (HC-FE 'Open Positions'), not an employee; COO book _2 leaves it out and Fld Eng Budget r20 costs it from Jan-27. If the seat stays open all of 2027 (salary + SD burden).</t>
        </is>
      </c>
      <c r="D64" s="5">
        <v>173773.6</v>
      </c>
      <c r="E64" s="5">
        <v>332910.0</v>
      </c>
      <c r="F64" s="4" t="inlineStr">
        <is>
          <t xml:space="preserve">'HC-FE'!B34:F35; Fld Eng Budget!A20:C20, row 66</t>
        </is>
      </c>
    </row>
    <row r="65">
      <c r="A65" s="4" t="inlineStr">
        <is>
          <t xml:space="preserve">A-14</t>
        </is>
      </c>
      <c r="B65" s="4" t="inlineStr">
        <is>
          <t xml:space="preserve">upside</t>
        </is>
      </c>
      <c r="C65" s="4" t="inlineStr">
        <is>
          <t xml:space="preserve">Depreciation convention: mid-month in the go-live month instead of a full month (new units and, from v8, their capitalised labour: +10,487 of it).</t>
        </is>
      </c>
      <c r="D65" s="5">
        <v>147903.28</v>
      </c>
      <c r="E65" s="5">
        <v>307039.68</v>
      </c>
      <c r="F65" s="4" t="inlineStr">
        <is>
          <t xml:space="preserve">'Depreciation Schedule'!B13</t>
        </is>
      </c>
    </row>
    <row r="66">
      <c r="A66" s="4" t="inlineStr">
        <is>
          <t xml:space="preserve">A-14</t>
        </is>
      </c>
      <c r="B66" s="4" t="inlineStr">
        <is>
          <t xml:space="preserve">upside</t>
        </is>
      </c>
      <c r="C66" s="4" t="inlineStr">
        <is>
          <t xml:space="preserve">Depreciation convention: start the month after go-live (B13 = 1), recalculated on v10 (same as v9).</t>
        </is>
      </c>
      <c r="D66" s="5">
        <v>295806.56</v>
      </c>
      <c r="E66" s="5">
        <v>454942.96</v>
      </c>
      <c r="F66" s="4" t="inlineStr">
        <is>
          <t xml:space="preserve">'Depreciation Schedule'!B13 = 1</t>
        </is>
      </c>
    </row>
    <row r="67">
      <c r="A67" s="4" t="inlineStr">
        <is>
          <t xml:space="preserve">A-22</t>
        </is>
      </c>
      <c r="B67" s="4" t="inlineStr">
        <is>
          <t xml:space="preserve">downside</t>
        </is>
      </c>
      <c r="C67" s="4" t="inlineStr">
        <is>
          <t xml:space="preserve">Revenue rests on unsigned / forecast bookings (Sep-Dec 26 includes 2,264,000 unsigned at 100%). Revenue effect not determinable from the workbook.</t>
        </is>
      </c>
      <c r="D67" s="4" t="inlineStr">
        <is>
          <t xml:space="preserve">n/d</t>
        </is>
      </c>
      <c r="E67" s="4" t="inlineStr">
        <is>
          <t xml:space="preserve">n/d</t>
        </is>
      </c>
      <c r="F67" s="4" t="inlineStr">
        <is>
          <t xml:space="preserve">DeploySum!A49 (note 5), row 40</t>
        </is>
      </c>
    </row>
    <row r="68">
      <c r="A68" s="3" t="inlineStr">
        <is>
          <t xml:space="preserve">Sign-flip statement (computed, v10): with the Logistics&amp;WH payroll and the new CO employee (user-confirmed, 110k) booked in CO, the 2027 COO contribution is 159,136 (v9 687,435). Single quantified items that turn it negative: the sensitivity (current 9 expensed) (558,996) -&gt; (399,860); I-10 (384,425) -&gt; (225,288). The other downsides leave it positive on their own (smallest remaining: idle-month labour expensed (I-40) 32,228; I-41 (7-overlap): Material Handling Team Lead stays expensed 87,076; I-31 shortfall 120,079). Pairs of the remaining range components (idle months, I-41, I-31 shortfall, I-05 burden, O7) that turn it negative: idle-month labour expensed (I-40) + I-41 (7-overlap): Material Handling Team Lead stays expensed (39,833); idle-month labour expensed (I-40) + I-31 shortfall (6,829). With both switches the sensitivity + idle-month pair is recalculated, not added: (480,264). With costs held fixed, revenue 159,136 (1.0%) below plan also takes the contribution to zero.</t>
        </is>
      </c>
    </row>
    <row r="69">
      <c r="A69" s="3" t="inlineStr">
        <is>
          <t xml:space="preserve">Upside: I-32 can add up to 1,353,574 (contribution 1,512,711); the trend alternative adds 276,164 (435,300), or 403,624 (562,761) if the decline also ran through Oct-Dec 26. Labour already in the unit cost (O1): up to +104,417 (263,553). Logistics at CO HC burden rates +19,396; MH-01 on the 9-of-9 reading +2,821.</t>
        </is>
      </c>
    </row>
    <row r="70">
      <c r="A70" s="3" t="inlineStr">
        <is>
          <t xml:space="preserve">Range (v10): asymmetric by construction, as in v7-v9. Lower bound 1, booked policy, all quantified downsides (I-41 (7-overlap): Material Handling Team Lead stays expensed (72,061); I-10 (384,425); I-31 shortfall (39,057); I-05 burden capitalised (5,715); rate base of the current 9 (O7) (899); idle-month labour expensed (I-40) (126,908)): (469,929). Lower bound 2, the same under the scope sensitivity, components at B131 = 0 (sensitivity: current 9 expensed (558,996); I-10 (384,425); I-31 shortfall (39,057); I-05 burden capitalised, at the B131 = 0 rate (5,286); idle-month labour expensed, at B131 = 0 (80,404); I-41 is 0 there: r16 is expensed in PO 5110-5140): (909,032). Upper end, I-32 in full only: 1,512,711. Not in the range: I-37 (unverified upper bound); B132 = 1 (only with a 2026 restatement); the O1, burden-rate and 9-of-9 MH-01 upsides. The I-17 terms of v9 are gone (booked). v9 range: (340,662) to 2,041,009 (lower bound 2 (841,728)).</t>
        </is>
      </c>
    </row>
    <row r="71">
      <c r="A71" s="3" t="inlineStr">
        <is>
          <t xml:space="preserve">Conclusion: booking the Logistics&amp;WH payroll (398,492) and the new CO employee (user-confirmed, 110k) in CO lowers the 2027 COO contribution from 687,435 (v9) to 159,136. Two single items now turn it negative on their own (the scope sensitivity, Decision #10, and I-10, the FO/FE lines budgeted at 0), and two pairs of smaller downsides do as well. Treat 159,136 as a point estimate inside (469,929) to 1,512,711 (lower bound 2: (909,032)) until Decisions #10 (I-40) and #2 (I-32) are answered, I-10 is confirmed, and the PO owner says whether the Material Handling Team Lead (I-41) fills TL-01.</t>
        </is>
      </c>
    </row>
    <row r="72">
      <c r="A72" s="3" t="inlineStr">
        <is>
          <t xml:space="preserve">v7-v9 sign-flip and range statements: see 02-build_notes_v9.md.</t>
        </is>
      </c>
    </row>
    <row r="74">
      <c r="A74" s="2" t="inlineStr">
        <is>
          <t xml:space="preserve">Logistics &amp; Warehouse payroll booked in CO; new CO employee (v10, user decision 2026-10-10; I-17 RESOLVED)</t>
        </is>
      </c>
    </row>
    <row r="75">
      <c r="A75" s="0" t="inlineStr">
        <is>
          <t xml:space="preserve">CO 6610 = 'HC-CO'!row 67 + 'Logistics&amp;WH Payroll'!row 43 - row 34 + row 46; 6630 = 'HC-CO'!row 68 + row 44 - row 34 x B5; 6640 = 'HC-CO'!row 69 + row 45 - row 34 x B6 (2027 months U:AF &lt;- F:Q / M:X). Seat LOG-01 (row 34) is CO HC r17 and is excluded by formula. MH-01 (row 38) = PO HC r20, now out of the PO 5110-5140 base. New-hire cost -&gt; 6610 (A-45).</t>
        </is>
      </c>
    </row>
    <row r="76">
      <c r="A76" s="0" t="inlineStr">
        <is>
          <t xml:space="preserve">new CO employee (user-confirmed, 110k): HC-CO r18, 110,000 a year, Jan-27 to Dec-27, +3% from Oct-27, CO HC rates 5.221% / 11.906%: 2027 salary 110,825.00, tax 5,786.68, benefits 13,194.61, total 129,806.29 (A-43).</t>
        </is>
      </c>
    </row>
    <row r="77">
      <c r="A77" s="3" t="inlineStr">
        <is>
          <t xml:space="preserve">GL (CO, 2027)</t>
        </is>
      </c>
      <c r="B77" s="3" t="inlineStr">
        <is>
          <t xml:space="preserve">v9</t>
        </is>
      </c>
      <c r="C77" s="3" t="inlineStr">
        <is>
          <t xml:space="preserve">CO HC roster, 5 existing people</t>
        </is>
      </c>
      <c r="D77" s="3" t="inlineStr">
        <is>
          <t xml:space="preserve">new CO employee (user-confirmed, 110k) (HC-CO r18)</t>
        </is>
      </c>
      <c r="E77" s="3" t="inlineStr">
        <is>
          <t xml:space="preserve">Logistics&amp;WH less LOG-01</t>
        </is>
      </c>
      <c r="F77" s="3" t="inlineStr">
        <is>
          <t xml:space="preserve">v10</t>
        </is>
      </c>
      <c r="G77" s="3" t="inlineStr">
        <is>
          <t xml:space="preserve">v10 - v9</t>
        </is>
      </c>
      <c r="H77" s="3" t="inlineStr">
        <is>
          <t xml:space="preserve">Check (must be 0)</t>
        </is>
      </c>
    </row>
    <row r="78">
      <c r="A78" s="4" t="inlineStr">
        <is>
          <t xml:space="preserve">6610 Salaries and Wages (incl. new-hire cost)</t>
        </is>
      </c>
      <c r="B78" s="5">
        <v>528451.89</v>
      </c>
      <c r="C78" s="5">
        <v>528451.89</v>
      </c>
      <c r="D78" s="5">
        <v>110825.0</v>
      </c>
      <c r="E78" s="5">
        <v>324393.2</v>
      </c>
      <c r="F78" s="5">
        <v>963670.08</v>
      </c>
      <c r="G78" s="5">
        <v>435218.2</v>
      </c>
      <c r="H78" s="5">
        <v>-0.0</v>
      </c>
    </row>
    <row r="79">
      <c r="A79" s="4" t="inlineStr">
        <is>
          <t xml:space="preserve">6630 Payroll Taxes</t>
        </is>
      </c>
      <c r="B79" s="5">
        <v>27592.88</v>
      </c>
      <c r="C79" s="5">
        <v>27592.88</v>
      </c>
      <c r="D79" s="5">
        <v>5786.68</v>
      </c>
      <c r="E79" s="5">
        <v>21718.74</v>
      </c>
      <c r="F79" s="5">
        <v>55098.3</v>
      </c>
      <c r="G79" s="5">
        <v>27505.42</v>
      </c>
      <c r="H79" s="5">
        <v>0.0</v>
      </c>
    </row>
    <row r="80">
      <c r="A80" s="4" t="inlineStr">
        <is>
          <t xml:space="preserve">6640 Benefits</t>
        </is>
      </c>
      <c r="B80" s="5">
        <v>62916.45</v>
      </c>
      <c r="C80" s="5">
        <v>62916.45</v>
      </c>
      <c r="D80" s="5">
        <v>13194.61</v>
      </c>
      <c r="E80" s="5">
        <v>52380.48</v>
      </c>
      <c r="F80" s="5">
        <v>128491.55</v>
      </c>
      <c r="G80" s="5">
        <v>65575.09</v>
      </c>
      <c r="H80" s="5">
        <v>-0.0</v>
      </c>
    </row>
    <row r="81">
      <c r="A81" s="4" t="inlineStr">
        <is>
          <t xml:space="preserve">Total 6610-6640</t>
        </is>
      </c>
      <c r="B81" s="5">
        <v>618961.22</v>
      </c>
      <c r="C81" s="5">
        <v>618961.22</v>
      </c>
      <c r="D81" s="5">
        <v>129806.29</v>
      </c>
      <c r="E81" s="5">
        <v>398492.42</v>
      </c>
      <c r="F81" s="5">
        <v>1147259.93</v>
      </c>
      <c r="G81" s="5">
        <v>528298.71</v>
      </c>
      <c r="H81" s="5">
        <v>-0.0</v>
      </c>
    </row>
    <row r="83">
      <c r="A83" s="2" t="inlineStr">
        <is>
          <t xml:space="preserve">Logistics&amp;WH seats (model rates 6.8% / 16.4%; 2027)</t>
        </is>
      </c>
    </row>
    <row r="84">
      <c r="A84" s="3" t="inlineStr">
        <is>
          <t xml:space="preserve">Seat</t>
        </is>
      </c>
      <c r="B84" s="3" t="inlineStr">
        <is>
          <t xml:space="preserve">Team</t>
        </is>
      </c>
      <c r="C84" s="3" t="inlineStr">
        <is>
          <t xml:space="preserve">Start</t>
        </is>
      </c>
      <c r="D84" s="3" t="inlineStr">
        <is>
          <t xml:space="preserve">Annual base</t>
        </is>
      </c>
      <c r="E84" s="3" t="inlineStr">
        <is>
          <t xml:space="preserve">2027 salary</t>
        </is>
      </c>
      <c r="F84" s="3" t="inlineStr">
        <is>
          <t xml:space="preserve">2027 cost at model rates (incl. new-hire cost)</t>
        </is>
      </c>
      <c r="G84" s="3" t="inlineStr">
        <is>
          <t xml:space="preserve">Booked in CO 6610-6640?</t>
        </is>
      </c>
    </row>
    <row r="85">
      <c r="A85" s="4" t="inlineStr">
        <is>
          <t xml:space="preserve">LOG-01 Logistics Manager</t>
        </is>
      </c>
      <c r="B85" s="4" t="inlineStr">
        <is>
          <t xml:space="preserve">Central Operations</t>
        </is>
      </c>
      <c r="C85" s="4" t="inlineStr">
        <is>
          <t xml:space="preserve">on payroll</t>
        </is>
      </c>
      <c r="D85" s="5">
        <v>120000.0</v>
      </c>
      <c r="E85" s="5">
        <v>120900.0</v>
      </c>
      <c r="F85" s="5">
        <v>148948.8</v>
      </c>
      <c r="G85" s="4" t="inlineStr">
        <is>
          <t xml:space="preserve">no: already CO HC r17 Field Logistics Manager (CO HC rates); excluded by formula (row 43 - row 34)</t>
        </is>
      </c>
    </row>
    <row r="86">
      <c r="A86" s="4" t="inlineStr">
        <is>
          <t xml:space="preserve">INV-01 Inventory Control Specialist</t>
        </is>
      </c>
      <c r="B86" s="4" t="inlineStr">
        <is>
          <t xml:space="preserve">Inventory control</t>
        </is>
      </c>
      <c r="C86" s="4" t="inlineStr">
        <is>
          <t xml:space="preserve">Feb-27</t>
        </is>
      </c>
      <c r="D86" s="5">
        <v>48000.0</v>
      </c>
      <c r="E86" s="5">
        <v>44360.0</v>
      </c>
      <c r="F86" s="5">
        <v>55651.52</v>
      </c>
      <c r="G86" s="4" t="inlineStr">
        <is>
          <t xml:space="preserve">yes: new seat (no HC roster)</t>
        </is>
      </c>
    </row>
    <row r="87">
      <c r="A87" s="4" t="inlineStr">
        <is>
          <t xml:space="preserve">TL-01 Material Handling Team Lead</t>
        </is>
      </c>
      <c r="B87" s="4" t="inlineStr">
        <is>
          <t xml:space="preserve">Receiving &amp; putaway</t>
        </is>
      </c>
      <c r="C87" s="4" t="inlineStr">
        <is>
          <t xml:space="preserve">Dec-26</t>
        </is>
      </c>
      <c r="D87" s="5">
        <v>52000.0</v>
      </c>
      <c r="E87" s="5">
        <v>52390.0</v>
      </c>
      <c r="F87" s="5">
        <v>64544.48</v>
      </c>
      <c r="G87" s="4" t="inlineStr">
        <is>
          <t xml:space="preserve">yes: new seat (no HC roster); same title as PO HC r16 (I-41); hired Dec-26, on no roster (I-38)</t>
        </is>
      </c>
    </row>
    <row r="88">
      <c r="A88" s="4" t="inlineStr">
        <is>
          <t xml:space="preserve">TL-02 Material Handling Team Lead</t>
        </is>
      </c>
      <c r="B88" s="4" t="inlineStr">
        <is>
          <t xml:space="preserve">Kitting &amp; line replenishment</t>
        </is>
      </c>
      <c r="C88" s="4" t="inlineStr">
        <is>
          <t xml:space="preserve">Jul-27</t>
        </is>
      </c>
      <c r="D88" s="5">
        <v>52000.0</v>
      </c>
      <c r="E88" s="5">
        <v>26000.0</v>
      </c>
      <c r="F88" s="5">
        <v>33032.0</v>
      </c>
      <c r="G88" s="4" t="inlineStr">
        <is>
          <t xml:space="preserve">yes: new seat (no HC roster)</t>
        </is>
      </c>
    </row>
    <row r="89">
      <c r="A89" s="4" t="inlineStr">
        <is>
          <t xml:space="preserve">MH-01 Material Handler</t>
        </is>
      </c>
      <c r="B89" s="4" t="inlineStr">
        <is>
          <t xml:space="preserve">Receiving &amp; putaway</t>
        </is>
      </c>
      <c r="C89" s="4" t="inlineStr">
        <is>
          <t xml:space="preserve">on payroll</t>
        </is>
      </c>
      <c r="D89" s="5">
        <v>49920.0</v>
      </c>
      <c r="E89" s="5">
        <v>50294.4</v>
      </c>
      <c r="F89" s="5">
        <v>61962.7</v>
      </c>
      <c r="G89" s="4" t="inlineStr">
        <is>
          <t xml:space="preserve">yes: = PO HC r20 Material Handler (moved PO -&gt; CO; out of the PO B131 base)</t>
        </is>
      </c>
    </row>
    <row r="90">
      <c r="A90" s="4" t="inlineStr">
        <is>
          <t xml:space="preserve">MH-02 Material Handler</t>
        </is>
      </c>
      <c r="B90" s="4" t="inlineStr">
        <is>
          <t xml:space="preserve">Receiving &amp; putaway</t>
        </is>
      </c>
      <c r="C90" s="4" t="inlineStr">
        <is>
          <t xml:space="preserve">Oct-26</t>
        </is>
      </c>
      <c r="D90" s="5">
        <v>49920.0</v>
      </c>
      <c r="E90" s="5">
        <v>50294.4</v>
      </c>
      <c r="F90" s="5">
        <v>61962.7</v>
      </c>
      <c r="G90" s="4" t="inlineStr">
        <is>
          <t xml:space="preserve">yes: new seat (no HC roster); hired Oct-26, on no roster (I-38)</t>
        </is>
      </c>
    </row>
    <row r="91">
      <c r="A91" s="4" t="inlineStr">
        <is>
          <t xml:space="preserve">MH-06 Material Handler</t>
        </is>
      </c>
      <c r="B91" s="4" t="inlineStr">
        <is>
          <t xml:space="preserve">Receiving &amp; putaway</t>
        </is>
      </c>
      <c r="C91" s="4" t="inlineStr">
        <is>
          <t xml:space="preserve">Jul-27</t>
        </is>
      </c>
      <c r="D91" s="5">
        <v>49920.0</v>
      </c>
      <c r="E91" s="5">
        <v>24960.0</v>
      </c>
      <c r="F91" s="5">
        <v>31750.72</v>
      </c>
      <c r="G91" s="4" t="inlineStr">
        <is>
          <t xml:space="preserve">yes: new seat (no HC roster)</t>
        </is>
      </c>
    </row>
    <row r="92">
      <c r="A92" s="4" t="inlineStr">
        <is>
          <t xml:space="preserve">MH-03 Material Handler</t>
        </is>
      </c>
      <c r="B92" s="4" t="inlineStr">
        <is>
          <t xml:space="preserve">Kitting &amp; line replenishment</t>
        </is>
      </c>
      <c r="C92" s="4" t="inlineStr">
        <is>
          <t xml:space="preserve">Mar-27</t>
        </is>
      </c>
      <c r="D92" s="5">
        <v>49920.0</v>
      </c>
      <c r="E92" s="5">
        <v>41974.4</v>
      </c>
      <c r="F92" s="5">
        <v>52712.46</v>
      </c>
      <c r="G92" s="4" t="inlineStr">
        <is>
          <t xml:space="preserve">yes: new seat (no HC roster)</t>
        </is>
      </c>
    </row>
    <row r="93">
      <c r="A93" s="4" t="inlineStr">
        <is>
          <t xml:space="preserve">MH-04 Material Handler</t>
        </is>
      </c>
      <c r="B93" s="4" t="inlineStr">
        <is>
          <t xml:space="preserve">Kitting &amp; line replenishment</t>
        </is>
      </c>
      <c r="C93" s="4" t="inlineStr">
        <is>
          <t xml:space="preserve">Jun-27</t>
        </is>
      </c>
      <c r="D93" s="5">
        <v>49920.0</v>
      </c>
      <c r="E93" s="5">
        <v>29120.0</v>
      </c>
      <c r="F93" s="5">
        <v>36875.84</v>
      </c>
      <c r="G93" s="4" t="inlineStr">
        <is>
          <t xml:space="preserve">yes: new seat (no HC roster)</t>
        </is>
      </c>
    </row>
    <row r="94">
      <c r="A94" s="4" t="inlineStr">
        <is>
          <t xml:space="preserve">Total booked in CO (8 seats)</t>
        </is>
      </c>
      <c r="B94" s="4" t="inlineStr">
        <is>
          <t xml:space="preserve"/>
        </is>
      </c>
      <c r="C94" s="4" t="inlineStr">
        <is>
          <t xml:space="preserve"/>
        </is>
      </c>
      <c r="D94" s="4" t="inlineStr">
        <is>
          <t xml:space="preserve"/>
        </is>
      </c>
      <c r="E94" s="5">
        <v>319393.2</v>
      </c>
      <c r="F94" s="5">
        <v>398492.42</v>
      </c>
      <c r="G94" s="4" t="inlineStr">
        <is>
          <t xml:space="preserve">tax 21,719, benefits 52,380, new-hire cost 5,000</t>
        </is>
      </c>
    </row>
    <row r="95">
      <c r="A95" s="4" t="inlineStr">
        <is>
          <t xml:space="preserve">Model total (9 seats)</t>
        </is>
      </c>
      <c r="B95" s="4" t="inlineStr">
        <is>
          <t xml:space="preserve"/>
        </is>
      </c>
      <c r="C95" s="4" t="inlineStr">
        <is>
          <t xml:space="preserve"/>
        </is>
      </c>
      <c r="D95" s="4" t="inlineStr">
        <is>
          <t xml:space="preserve"/>
        </is>
      </c>
      <c r="E95" s="5">
        <v>440293.2</v>
      </c>
      <c r="F95" s="5">
        <v>547441.22</v>
      </c>
      <c r="G95" s="4" t="inlineStr">
        <is>
          <t xml:space="preserve"> 'Logistics&amp;WH Payroll'!S47; LOG-01 148,949</t>
        </is>
      </c>
    </row>
    <row r="97">
      <c r="A97" s="2" t="inlineStr">
        <is>
          <t xml:space="preserve">Head of Service Delivery salary (I-26, RESOLVED in v5)</t>
        </is>
      </c>
    </row>
    <row r="98">
      <c r="A98" s="0" t="inlineStr">
        <is>
          <t xml:space="preserve">Input: Fld Eng Budget!B21 = 205,000 (annual salary, user-confirmed 2026-10-09: 'Head of Service delivery salary is $205k annually'). This is the only typed input that changed; no formula, label or other cell was edited.</t>
        </is>
      </c>
    </row>
    <row r="99">
      <c r="A99" s="0" t="inlineStr">
        <is>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is>
      </c>
    </row>
    <row r="100">
      <c r="A100" s="0" t="inlineStr">
        <is>
          <t xml:space="preserve">Burden: payroll taxes 6.8% (B22 = Fld Ops Payroll B7) and benefits 16.4% (B23 = Fld Ops Payroll B8), applied to the salary rows total (rows 69-70).</t>
        </is>
      </c>
    </row>
    <row r="101">
      <c r="A101" s="0" t="inlineStr">
        <is>
          <t xml:space="preserve">2027 cost of the role: salary 206,538 + payroll tax 14,045 + benefits 33,872 = 254,454.</t>
        </is>
      </c>
    </row>
    <row r="102">
      <c r="A102" s="0" t="inlineStr">
        <is>
          <t xml:space="preserve">FE 2027 (AG): 6610 713,347 -&gt; 919,884 (+206,538); 6630 48,508 -&gt; 62,552 (+14,045); 6640 116,989 -&gt; 150,861 (+33,872). FE Total - Expense 931,334 -&gt; 1,185,788. COO P&amp;L rows 67-69 move by the same amounts.</t>
        </is>
      </c>
    </row>
    <row r="103">
      <c r="A103" s="0" t="inlineStr">
        <is>
          <t xml:space="preserve">2027 COO contribution (COO P&amp;L AG132): 393,486 (v4) -&gt; 139,032 (v5), (254,454). 2026 FE 6610 was 850,615; FE 6610 2027 is now 919,884 (8% vs 2026; v4 -16%).</t>
        </is>
      </c>
    </row>
    <row r="105">
      <c r="A105" s="2" t="inlineStr">
        <is>
          <t xml:space="preserve">Workbook text superseded by these notes</t>
        </is>
      </c>
    </row>
    <row r="106">
      <c r="A106" s="0" t="inlineStr">
        <is>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is>
      </c>
    </row>
    <row r="107">
      <c r="A107" s="0" t="inlineStr">
        <is>
          <t xml:space="preserve">v8: the Depreciation Schedule's section 4 (rows 79-82) still shows depreciation of the units only; PO rows 20/21 add the capitalised-labour depreciation of section 9 (rows 193-194); row 197 gives the total. The headline text at 'Depreciation Schedule'!A2 ('Section 4 feeds PO rows 19-22') predates v8.</t>
        </is>
      </c>
    </row>
    <row r="108">
      <c r="A108" s="0" t="inlineStr">
        <is>
          <t xml:space="preserve">v9: the Depreciation Schedule's A129 describes the v9 rules (B132 = 0, idle switch B135); A2 is still not edited (rows 1-126 are outside the allowed areas).</t>
        </is>
      </c>
    </row>
    <row r="109">
      <c r="A109" s="0" t="inlineStr">
        <is>
          <t xml:space="preserve">v10: CO!AI67:AI69 describe the v10 CO payroll formulas. PO!AI33:AI35 (v8/v9 notes) were not edited (the v10 diff is confined to PO!U33:AF35 there); the 5110-5140 base is now 'the v7 amount less PO HC r20'.</t>
        </is>
      </c>
    </row>
    <row r="111">
      <c r="A111" s="2" t="inlineStr">
        <is>
          <t xml:space="preserve">Source and build</t>
        </is>
      </c>
    </row>
    <row r="112">
      <c r="A112" s="0" t="inlineStr">
        <is>
          <t xml:space="preserve">Base: v9 collated workbook. v10 (brief v6): new tab 'Logistics&amp;WH Payroll'; HC-CO row 18 (new CO employee (user-confirmed, 110k)); CO U67:AF69 formulas and AI67:AI69 notes; PO U33:AF35 formulas (B131 base less PO HC r20); the downstream CO / COO P&amp;L subtotals and ratio rows, HC-CO rows 67-70 and the HC-COO roll-up. Every other cell has 0 formula and 0 value differences vs v9; no 2026 column (B:N) of the P&amp;L tabs changes.</t>
        </is>
      </c>
    </row>
    <row r="113">
      <c r="A113" s="0" t="inlineStr">
        <is>
          <t xml:space="preserve">Full notes: 02-build/02-build_notes_v10.md. Figures: figures_v10.py (from the workbook and 7 LibreOffice recalculations of switch scenarios, scen_v8.py); numbers on this sheet are live formulas (headline) or values computed by those scripts.</t>
        </is>
      </c>
    </row>
    <row r="115">
      <c r="A115" s="2" t="inlineStr">
        <is>
          <t xml:space="preserve">Changes from v9 (brief v6: Logistics&amp;WH payroll and the new CO employee booked in CO)</t>
        </is>
      </c>
    </row>
    <row r="116">
      <c r="A116" s="3" t="inlineStr">
        <is>
          <t xml:space="preserve">Item</t>
        </is>
      </c>
      <c r="B116" s="3" t="inlineStr">
        <is>
          <t xml:space="preserve">What v10 did</t>
        </is>
      </c>
      <c r="C116" s="3" t="inlineStr">
        <is>
          <t xml:space="preserve">Where</t>
        </is>
      </c>
    </row>
    <row r="117">
      <c r="A117" s="4" t="inlineStr">
        <is>
          <t xml:space="preserve">Logistics&amp;WH Payroll tab</t>
        </is>
      </c>
      <c r="B117" s="4" t="inlineStr">
        <is>
          <t xml:space="preserve">Copied from the SD book (Service_Delivery_PL_worksheets_v2.xlsx; values identical to the original SD input) cell by cell with styles, notes and merged cells, after HC-COO. 680 formulas; they read DeploySum, Fld Ops Payroll and Prod Payroll in the workbook. LibreOffice recalculation: 0 errors; 2027 total 547,441.22 (verified 547,441.22); check B60 = 0; max difference vs the SD cached values 3.3e-06 over 799 cells. The SD sheet's empty drawing part was not copied.</t>
        </is>
      </c>
      <c r="C117" s="4" t="inlineStr">
        <is>
          <t xml:space="preserve">'Logistics&amp;WH Payroll'!A1:Y87</t>
        </is>
      </c>
    </row>
    <row r="118">
      <c r="A118" s="4" t="inlineStr">
        <is>
          <t xml:space="preserve">CO 6610 / 6630 / 6640 (2027)</t>
        </is>
      </c>
      <c r="B118" s="4" t="inlineStr">
        <is>
          <t xml:space="preserve">Typed values -&gt; formulas: 'HC-CO' rows 67-69 + Logistics&amp;WH rows 43 / 44 / 45 less seat LOG-01 (row 34 x (1, B5, B6)); new-hire cost (row 46) -&gt; 6610. 2027 total 618,961 -&gt; 1,147,260. Notes in AI67:AI69.</t>
        </is>
      </c>
      <c r="C118" s="4" t="inlineStr">
        <is>
          <t xml:space="preserve">CO!U67:AF69, AI67:AI69; subtotals and ratios rows 73, 116, 117, 132, 137-142</t>
        </is>
      </c>
    </row>
    <row r="119">
      <c r="A119" s="4" t="inlineStr">
        <is>
          <t xml:space="preserve">New CO employee</t>
        </is>
      </c>
      <c r="B119" s="4" t="inlineStr">
        <is>
          <t xml:space="preserve">new CO employee (user-confirmed, 110k): HC-CO row 18 (the empty current-employee row): annual 110,000, Jan-27 to Dec-27, 3% from Oct-27, CO HC rates. CO 6610-6640 read the roster total, so the cost flows from the roster. Name on HC-CO only.</t>
        </is>
      </c>
      <c r="C119" s="4" t="inlineStr">
        <is>
          <t xml:space="preserve">'HC-CO'!B18:E18 (+ row 18 and rows 67-70 values)</t>
        </is>
      </c>
    </row>
    <row r="120">
      <c r="A120" s="4" t="inlineStr">
        <is>
          <t xml:space="preserve">Material handler PO -&gt; CO</t>
        </is>
      </c>
      <c r="B120" s="4" t="inlineStr">
        <is>
          <t xml:space="preserve">PO 5110-5140 B131 base = v7 amount less PO HC r20 (= MH-01) at PO HC rates: 652,820 -&gt; 590,318 (2027). Booked values unchanged (0, capitalised).</t>
        </is>
      </c>
      <c r="C120" s="4" t="inlineStr">
        <is>
          <t xml:space="preserve">PO!U33:AF35 (formulas; values 0)</t>
        </is>
      </c>
    </row>
    <row r="121">
      <c r="A121" s="4" t="inlineStr">
        <is>
          <t xml:space="preserve">Headline</t>
        </is>
      </c>
      <c r="B121" s="4" t="inlineStr">
        <is>
          <t xml:space="preserve">687,435 -&gt; 159,136: Logistics&amp;WH (398,492), new CO employee (user-confirmed, 110k) (129,806).</t>
        </is>
      </c>
      <c r="C121" s="4" t="inlineStr">
        <is>
          <t xml:space="preserve">COO P&amp;L!AG132</t>
        </is>
      </c>
    </row>
    <row r="122">
      <c r="A122" s="4" t="inlineStr">
        <is>
          <t xml:space="preserve">I-17</t>
        </is>
      </c>
      <c r="B122" s="4" t="inlineStr">
        <is>
          <t xml:space="preserve">RESOLVED (user decision). I-41, I-37, I-38, I-27, I-40 updated; Decision #6 RESOLVED; caveats, range and sign-flip recomputed.</t>
        </is>
      </c>
      <c r="C122" s="4" t="inlineStr">
        <is>
          <t xml:space="preserve">Issues; caveats</t>
        </is>
      </c>
    </row>
    <row r="123">
      <c r="A123" s="4" t="inlineStr">
        <is>
          <t xml:space="preserve">Downstream outside the listed areas</t>
        </is>
      </c>
      <c r="B123" s="4" t="inlineStr">
        <is>
          <t xml:space="preserve">HC-COO (organisation roll-up of the HC tabs; formulas unchanged) shows the new CO person in its 2027 CO rows and totals. No 2026 column moves.</t>
        </is>
      </c>
      <c r="C123" s="4" t="inlineStr">
        <is>
          <t xml:space="preserve">'HC-COO'!M:Z rows 18-75</t>
        </is>
      </c>
    </row>
    <row r="125">
      <c r="A125" s="2" t="inlineStr">
        <is>
          <t xml:space="preserve">Production labour capitalised (Decision #1 RESOLVED): where the labour sits</t>
        </is>
      </c>
    </row>
    <row r="126">
      <c r="A126" s="3" t="inlineStr">
        <is>
          <t xml:space="preserve">Item</t>
        </is>
      </c>
      <c r="B126" s="3" t="inlineStr">
        <is>
          <t xml:space="preserve">Value</t>
        </is>
      </c>
      <c r="C126" s="3" t="inlineStr">
        <is>
          <t xml:space="preserve">Depreciation Schedule cell</t>
        </is>
      </c>
    </row>
    <row r="127">
      <c r="A127" s="4" t="inlineStr">
        <is>
          <t xml:space="preserve">Production payroll 2027 (Prod Payroll!S81) = capitalised labour from 2027 payroll</t>
        </is>
      </c>
      <c r="B127" s="4" t="inlineStr">
        <is>
          <t xml:space="preserve">2,592,894</t>
        </is>
      </c>
      <c r="C127" s="4" t="inlineStr">
        <is>
          <t xml:space="preserve">B201, B202</t>
        </is>
      </c>
    </row>
    <row r="128">
      <c r="A128" s="4" t="inlineStr">
        <is>
          <t xml:space="preserve">  into 2027 go-lives (Feb-Oct 27 builds; Jan-27 rolls into Feb-27, B135 = 1): depreciated from go-live</t>
        </is>
      </c>
      <c r="B128" s="4" t="inlineStr">
        <is>
          <t xml:space="preserve">1,942,323</t>
        </is>
      </c>
      <c r="C128" s="4" t="inlineStr">
        <is>
          <t xml:space="preserve">B203</t>
        </is>
      </c>
    </row>
    <row r="129">
      <c r="A129" s="4" t="inlineStr">
        <is>
          <t xml:space="preserve">  into 2028 go-lives (Nov-Dec 27 builds): PP&amp;E not yet placed in service (CIP) at Dec-27, no 2027 depreciation</t>
        </is>
      </c>
      <c r="B129" s="4" t="inlineStr">
        <is>
          <t xml:space="preserve">650,571</t>
        </is>
      </c>
      <c r="C129" s="4" t="inlineStr">
        <is>
          <t xml:space="preserve">B204</t>
        </is>
      </c>
    </row>
    <row r="130">
      <c r="A130" s="4" t="inlineStr">
        <is>
          <t xml:space="preserve">  waiting for a build at Dec-27</t>
        </is>
      </c>
      <c r="B130" s="4" t="inlineStr">
        <is>
          <t xml:space="preserve">0</t>
        </is>
      </c>
      <c r="C130" s="4" t="inlineStr">
        <is>
          <t xml:space="preserve">B205</t>
        </is>
      </c>
    </row>
    <row r="131">
      <c r="A131" s="4" t="inlineStr">
        <is>
          <t xml:space="preserve">  idle-month labour expensed (B135 = 0 only)</t>
        </is>
      </c>
      <c r="B131" s="4" t="inlineStr">
        <is>
          <t xml:space="preserve">0</t>
        </is>
      </c>
      <c r="C131" s="4" t="inlineStr">
        <is>
          <t xml:space="preserve">B240</t>
        </is>
      </c>
    </row>
    <row r="132">
      <c r="A132" s="4" t="inlineStr">
        <is>
          <t xml:space="preserve">Sep-Dec 26 model labour capitalised (B132 = 0: 2026 labour is a 2026 period cost; the 2026 books expense 5100)</t>
        </is>
      </c>
      <c r="B132" s="4" t="inlineStr">
        <is>
          <t xml:space="preserve">0</t>
        </is>
      </c>
      <c r="C132" s="4" t="inlineStr">
        <is>
          <t xml:space="preserve">B207</t>
        </is>
      </c>
    </row>
    <row r="133">
      <c r="A133" s="4" t="inlineStr">
        <is>
          <t xml:space="preserve">Depreciable labour in the 2027 go-live vintages</t>
        </is>
      </c>
      <c r="B133" s="4" t="inlineStr">
        <is>
          <t xml:space="preserve">1,942,323</t>
        </is>
      </c>
      <c r="C133" s="4" t="inlineStr">
        <is>
          <t xml:space="preserve">B210</t>
        </is>
      </c>
    </row>
    <row r="134">
      <c r="A134" s="4" t="inlineStr">
        <is>
          <t xml:space="preserve">2027 depreciation of capitalised labour (5011 / 5012)</t>
        </is>
      </c>
      <c r="B134" s="4" t="inlineStr">
        <is>
          <t xml:space="preserve">104,417 (79,290 / 25,126)</t>
        </is>
      </c>
      <c r="C134" s="4" t="inlineStr">
        <is>
          <t xml:space="preserve">R195 (rows 193-194)</t>
        </is>
      </c>
    </row>
    <row r="135">
      <c r="A135" s="4" t="inlineStr">
        <is>
          <t xml:space="preserve">CapEx increase in 2027 for production labour (2027 payroll capitalised)</t>
        </is>
      </c>
      <c r="B135" s="4" t="inlineStr">
        <is>
          <t xml:space="preserve">2,592,894</t>
        </is>
      </c>
      <c r="C135" s="4" t="inlineStr">
        <is>
          <t xml:space="preserve">B236</t>
        </is>
      </c>
    </row>
    <row r="136">
      <c r="A136" s="4" t="inlineStr">
        <is>
          <t xml:space="preserve">Dec-27 balance sheet: PP&amp;E in service (labour, net of 2027 depreciation)</t>
        </is>
      </c>
      <c r="B136" s="4" t="inlineStr">
        <is>
          <t xml:space="preserve">1,837,906</t>
        </is>
      </c>
      <c r="C136" s="4" t="inlineStr">
        <is>
          <t xml:space="preserve">B238 (= B213)</t>
        </is>
      </c>
    </row>
    <row r="137">
      <c r="A137" s="4" t="inlineStr">
        <is>
          <t xml:space="preserve">Dec-27 balance sheet: PP&amp;E not yet placed in service (CIP)</t>
        </is>
      </c>
      <c r="B137" s="4" t="inlineStr">
        <is>
          <t xml:space="preserve">650,571</t>
        </is>
      </c>
      <c r="C137" s="4" t="inlineStr">
        <is>
          <t xml:space="preserve">B239</t>
        </is>
      </c>
    </row>
    <row r="138">
      <c r="A138" s="4" t="inlineStr">
        <is>
          <t xml:space="preserve">Average labour per unit built in 2027: lift / tray</t>
        </is>
      </c>
      <c r="B138" s="4" t="inlineStr">
        <is>
          <t xml:space="preserve">5,735 (8.8% of 65,000) / 593 (7.4% of 8,000)</t>
        </is>
      </c>
      <c r="C138" s="4" t="inlineStr">
        <is>
          <t xml:space="preserve">B215:B216</t>
        </is>
      </c>
    </row>
    <row r="140">
      <c r="A140" s="2" t="inlineStr">
        <is>
          <t xml:space="preserve">Labour per unit built, by build month (Depreciation Schedule section 8)</t>
        </is>
      </c>
    </row>
    <row r="141">
      <c r="A141" s="3" t="inlineStr">
        <is>
          <t xml:space="preserve">Build month</t>
        </is>
      </c>
      <c r="B141" s="3" t="inlineStr">
        <is>
          <t xml:space="preserve">Prod Payroll (row 81)</t>
        </is>
      </c>
      <c r="C141" s="3" t="inlineStr">
        <is>
          <t xml:space="preserve">Capitalised: lifts (row 147)</t>
        </is>
      </c>
      <c r="D141" s="3" t="inlineStr">
        <is>
          <t xml:space="preserve">Capitalised: trays (row 148)</t>
        </is>
      </c>
      <c r="E141" s="3" t="inlineStr">
        <is>
          <t xml:space="preserve">Lifts built</t>
        </is>
      </c>
      <c r="F141" s="3" t="inlineStr">
        <is>
          <t xml:space="preserve">Trays built</t>
        </is>
      </c>
      <c r="G141" s="3" t="inlineStr">
        <is>
          <t xml:space="preserve">Lift labour pooled (row 152)</t>
        </is>
      </c>
      <c r="H141" s="3" t="inlineStr">
        <is>
          <t xml:space="preserve">Tray labour pooled (row 154)</t>
        </is>
      </c>
      <c r="I141" s="3" t="inlineStr">
        <is>
          <t xml:space="preserve">Labour per lift (row 156)</t>
        </is>
      </c>
      <c r="J141" s="3" t="inlineStr">
        <is>
          <t xml:space="preserve">Labour per tray (row 157)</t>
        </is>
      </c>
      <c r="K141" s="3" t="inlineStr">
        <is>
          <t xml:space="preserve">Go-live</t>
        </is>
      </c>
    </row>
    <row r="142">
      <c r="A142" s="4" t="inlineStr">
        <is>
          <t xml:space="preserve">Sep-26</t>
        </is>
      </c>
      <c r="B142" s="4" t="inlineStr">
        <is>
          <t xml:space="preserve">90,851</t>
        </is>
      </c>
      <c r="C142" s="4" t="inlineStr">
        <is>
          <t xml:space="preserve">0</t>
        </is>
      </c>
      <c r="D142" s="4" t="inlineStr">
        <is>
          <t xml:space="preserve">0</t>
        </is>
      </c>
      <c r="E142" s="4" t="inlineStr">
        <is>
          <t xml:space="preserve">9</t>
        </is>
      </c>
      <c r="F142" s="4" t="inlineStr">
        <is>
          <t xml:space="preserve">32</t>
        </is>
      </c>
      <c r="G142" s="4" t="inlineStr">
        <is>
          <t xml:space="preserve">0</t>
        </is>
      </c>
      <c r="H142" s="4" t="inlineStr">
        <is>
          <t xml:space="preserve">0</t>
        </is>
      </c>
      <c r="I142" s="4" t="inlineStr">
        <is>
          <t xml:space="preserve">0</t>
        </is>
      </c>
      <c r="J142" s="4" t="inlineStr">
        <is>
          <t xml:space="preserve">0</t>
        </is>
      </c>
      <c r="K142" s="4" t="inlineStr">
        <is>
          <t xml:space="preserve">Nov-26</t>
        </is>
      </c>
    </row>
    <row r="143">
      <c r="A143" s="4" t="inlineStr">
        <is>
          <t xml:space="preserve">Oct-26</t>
        </is>
      </c>
      <c r="B143" s="4" t="inlineStr">
        <is>
          <t xml:space="preserve">81,851</t>
        </is>
      </c>
      <c r="C143" s="4" t="inlineStr">
        <is>
          <t xml:space="preserve">0</t>
        </is>
      </c>
      <c r="D143" s="4" t="inlineStr">
        <is>
          <t xml:space="preserve">0</t>
        </is>
      </c>
      <c r="E143" s="4" t="inlineStr">
        <is>
          <t xml:space="preserve">0</t>
        </is>
      </c>
      <c r="F143" s="4" t="inlineStr">
        <is>
          <t xml:space="preserve">0</t>
        </is>
      </c>
      <c r="G143" s="4" t="inlineStr">
        <is>
          <t xml:space="preserve">0</t>
        </is>
      </c>
      <c r="H143" s="4" t="inlineStr">
        <is>
          <t xml:space="preserve">0</t>
        </is>
      </c>
      <c r="I143" s="4" t="inlineStr">
        <is>
          <t xml:space="preserve">0</t>
        </is>
      </c>
      <c r="J143" s="4" t="inlineStr">
        <is>
          <t xml:space="preserve">0</t>
        </is>
      </c>
      <c r="K143" s="4" t="inlineStr">
        <is>
          <t xml:space="preserve">Dec-26</t>
        </is>
      </c>
    </row>
    <row r="144">
      <c r="A144" s="4" t="inlineStr">
        <is>
          <t xml:space="preserve">Nov-26</t>
        </is>
      </c>
      <c r="B144" s="4" t="inlineStr">
        <is>
          <t xml:space="preserve">155,879</t>
        </is>
      </c>
      <c r="C144" s="4" t="inlineStr">
        <is>
          <t xml:space="preserve">0</t>
        </is>
      </c>
      <c r="D144" s="4" t="inlineStr">
        <is>
          <t xml:space="preserve">0</t>
        </is>
      </c>
      <c r="E144" s="4" t="inlineStr">
        <is>
          <t xml:space="preserve">20</t>
        </is>
      </c>
      <c r="F144" s="4" t="inlineStr">
        <is>
          <t xml:space="preserve">60</t>
        </is>
      </c>
      <c r="G144" s="4" t="inlineStr">
        <is>
          <t xml:space="preserve">0</t>
        </is>
      </c>
      <c r="H144" s="4" t="inlineStr">
        <is>
          <t xml:space="preserve">0</t>
        </is>
      </c>
      <c r="I144" s="4" t="inlineStr">
        <is>
          <t xml:space="preserve">0</t>
        </is>
      </c>
      <c r="J144" s="4" t="inlineStr">
        <is>
          <t xml:space="preserve">0</t>
        </is>
      </c>
      <c r="K144" s="4" t="inlineStr">
        <is>
          <t xml:space="preserve">Jan-27</t>
        </is>
      </c>
    </row>
    <row r="145">
      <c r="A145" s="4" t="inlineStr">
        <is>
          <t xml:space="preserve">Dec-26</t>
        </is>
      </c>
      <c r="B145" s="4" t="inlineStr">
        <is>
          <t xml:space="preserve">144,133</t>
        </is>
      </c>
      <c r="C145" s="4" t="inlineStr">
        <is>
          <t xml:space="preserve">0</t>
        </is>
      </c>
      <c r="D145" s="4" t="inlineStr">
        <is>
          <t xml:space="preserve">0</t>
        </is>
      </c>
      <c r="E145" s="4" t="inlineStr">
        <is>
          <t xml:space="preserve">8</t>
        </is>
      </c>
      <c r="F145" s="4" t="inlineStr">
        <is>
          <t xml:space="preserve">24</t>
        </is>
      </c>
      <c r="G145" s="4" t="inlineStr">
        <is>
          <t xml:space="preserve">0</t>
        </is>
      </c>
      <c r="H145" s="4" t="inlineStr">
        <is>
          <t xml:space="preserve">0</t>
        </is>
      </c>
      <c r="I145" s="4" t="inlineStr">
        <is>
          <t xml:space="preserve">0</t>
        </is>
      </c>
      <c r="J145" s="4" t="inlineStr">
        <is>
          <t xml:space="preserve">0</t>
        </is>
      </c>
      <c r="K145" s="4" t="inlineStr">
        <is>
          <t xml:space="preserve">Feb-27</t>
        </is>
      </c>
    </row>
    <row r="146">
      <c r="A146" s="4" t="inlineStr">
        <is>
          <t xml:space="preserve">Jan-27</t>
        </is>
      </c>
      <c r="B146" s="4" t="inlineStr">
        <is>
          <t xml:space="preserve">140,751</t>
        </is>
      </c>
      <c r="C146" s="4" t="inlineStr">
        <is>
          <t xml:space="preserve">102,249</t>
        </is>
      </c>
      <c r="D146" s="4" t="inlineStr">
        <is>
          <t xml:space="preserve">38,503</t>
        </is>
      </c>
      <c r="E146" s="4" t="inlineStr">
        <is>
          <t xml:space="preserve">0</t>
        </is>
      </c>
      <c r="F146" s="4" t="inlineStr">
        <is>
          <t xml:space="preserve">0</t>
        </is>
      </c>
      <c r="G146" s="4" t="inlineStr">
        <is>
          <t xml:space="preserve">0</t>
        </is>
      </c>
      <c r="H146" s="4" t="inlineStr">
        <is>
          <t xml:space="preserve">0</t>
        </is>
      </c>
      <c r="I146" s="4" t="inlineStr">
        <is>
          <t xml:space="preserve">0</t>
        </is>
      </c>
      <c r="J146" s="4" t="inlineStr">
        <is>
          <t xml:space="preserve">0</t>
        </is>
      </c>
      <c r="K146" s="4" t="inlineStr">
        <is>
          <t xml:space="preserve">Mar-27</t>
        </is>
      </c>
    </row>
    <row r="147">
      <c r="A147" s="4" t="inlineStr">
        <is>
          <t xml:space="preserve">Feb-27</t>
        </is>
      </c>
      <c r="B147" s="4" t="inlineStr">
        <is>
          <t xml:space="preserve">181,250</t>
        </is>
      </c>
      <c r="C147" s="4" t="inlineStr">
        <is>
          <t xml:space="preserve">121,669</t>
        </is>
      </c>
      <c r="D147" s="4" t="inlineStr">
        <is>
          <t xml:space="preserve">59,581</t>
        </is>
      </c>
      <c r="E147" s="4" t="inlineStr">
        <is>
          <t xml:space="preserve">22</t>
        </is>
      </c>
      <c r="F147" s="4" t="inlineStr">
        <is>
          <t xml:space="preserve">86</t>
        </is>
      </c>
      <c r="G147" s="4" t="inlineStr">
        <is>
          <t xml:space="preserve">223,918</t>
        </is>
      </c>
      <c r="H147" s="4" t="inlineStr">
        <is>
          <t xml:space="preserve">98,083</t>
        </is>
      </c>
      <c r="I147" s="4" t="inlineStr">
        <is>
          <t xml:space="preserve">10,178</t>
        </is>
      </c>
      <c r="J147" s="4" t="inlineStr">
        <is>
          <t xml:space="preserve">1,141</t>
        </is>
      </c>
      <c r="K147" s="4" t="inlineStr">
        <is>
          <t xml:space="preserve">Apr-27</t>
        </is>
      </c>
    </row>
    <row r="148">
      <c r="A148" s="4" t="inlineStr">
        <is>
          <t xml:space="preserve">Mar-27</t>
        </is>
      </c>
      <c r="B148" s="4" t="inlineStr">
        <is>
          <t xml:space="preserve">175,250</t>
        </is>
      </c>
      <c r="C148" s="4" t="inlineStr">
        <is>
          <t xml:space="preserve">118,761</t>
        </is>
      </c>
      <c r="D148" s="4" t="inlineStr">
        <is>
          <t xml:space="preserve">56,489</t>
        </is>
      </c>
      <c r="E148" s="4" t="inlineStr">
        <is>
          <t xml:space="preserve">14</t>
        </is>
      </c>
      <c r="F148" s="4" t="inlineStr">
        <is>
          <t xml:space="preserve">61</t>
        </is>
      </c>
      <c r="G148" s="4" t="inlineStr">
        <is>
          <t xml:space="preserve">118,761</t>
        </is>
      </c>
      <c r="H148" s="4" t="inlineStr">
        <is>
          <t xml:space="preserve">56,489</t>
        </is>
      </c>
      <c r="I148" s="4" t="inlineStr">
        <is>
          <t xml:space="preserve">8,483</t>
        </is>
      </c>
      <c r="J148" s="4" t="inlineStr">
        <is>
          <t xml:space="preserve">926</t>
        </is>
      </c>
      <c r="K148" s="4" t="inlineStr">
        <is>
          <t xml:space="preserve">May-27</t>
        </is>
      </c>
    </row>
    <row r="149">
      <c r="A149" s="4" t="inlineStr">
        <is>
          <t xml:space="preserve">Apr-27</t>
        </is>
      </c>
      <c r="B149" s="4" t="inlineStr">
        <is>
          <t xml:space="preserve">175,250</t>
        </is>
      </c>
      <c r="C149" s="4" t="inlineStr">
        <is>
          <t xml:space="preserve">118,761</t>
        </is>
      </c>
      <c r="D149" s="4" t="inlineStr">
        <is>
          <t xml:space="preserve">56,489</t>
        </is>
      </c>
      <c r="E149" s="4" t="inlineStr">
        <is>
          <t xml:space="preserve">20</t>
        </is>
      </c>
      <c r="F149" s="4" t="inlineStr">
        <is>
          <t xml:space="preserve">98</t>
        </is>
      </c>
      <c r="G149" s="4" t="inlineStr">
        <is>
          <t xml:space="preserve">118,761</t>
        </is>
      </c>
      <c r="H149" s="4" t="inlineStr">
        <is>
          <t xml:space="preserve">56,489</t>
        </is>
      </c>
      <c r="I149" s="4" t="inlineStr">
        <is>
          <t xml:space="preserve">5,938</t>
        </is>
      </c>
      <c r="J149" s="4" t="inlineStr">
        <is>
          <t xml:space="preserve">576</t>
        </is>
      </c>
      <c r="K149" s="4" t="inlineStr">
        <is>
          <t xml:space="preserve">Jun-27</t>
        </is>
      </c>
    </row>
    <row r="150">
      <c r="A150" s="4" t="inlineStr">
        <is>
          <t xml:space="preserve">May-27</t>
        </is>
      </c>
      <c r="B150" s="4" t="inlineStr">
        <is>
          <t xml:space="preserve">176,685</t>
        </is>
      </c>
      <c r="C150" s="4" t="inlineStr">
        <is>
          <t xml:space="preserve">119,735</t>
        </is>
      </c>
      <c r="D150" s="4" t="inlineStr">
        <is>
          <t xml:space="preserve">56,950</t>
        </is>
      </c>
      <c r="E150" s="4" t="inlineStr">
        <is>
          <t xml:space="preserve">18</t>
        </is>
      </c>
      <c r="F150" s="4" t="inlineStr">
        <is>
          <t xml:space="preserve">73</t>
        </is>
      </c>
      <c r="G150" s="4" t="inlineStr">
        <is>
          <t xml:space="preserve">119,735</t>
        </is>
      </c>
      <c r="H150" s="4" t="inlineStr">
        <is>
          <t xml:space="preserve">56,950</t>
        </is>
      </c>
      <c r="I150" s="4" t="inlineStr">
        <is>
          <t xml:space="preserve">6,652</t>
        </is>
      </c>
      <c r="J150" s="4" t="inlineStr">
        <is>
          <t xml:space="preserve">780</t>
        </is>
      </c>
      <c r="K150" s="4" t="inlineStr">
        <is>
          <t xml:space="preserve">Jul-27</t>
        </is>
      </c>
    </row>
    <row r="151">
      <c r="A151" s="4" t="inlineStr">
        <is>
          <t xml:space="preserve">Jun-27</t>
        </is>
      </c>
      <c r="B151" s="4" t="inlineStr">
        <is>
          <t xml:space="preserve">178,120</t>
        </is>
      </c>
      <c r="C151" s="4" t="inlineStr">
        <is>
          <t xml:space="preserve">120,709</t>
        </is>
      </c>
      <c r="D151" s="4" t="inlineStr">
        <is>
          <t xml:space="preserve">57,411</t>
        </is>
      </c>
      <c r="E151" s="4" t="inlineStr">
        <is>
          <t xml:space="preserve">22</t>
        </is>
      </c>
      <c r="F151" s="4" t="inlineStr">
        <is>
          <t xml:space="preserve">85</t>
        </is>
      </c>
      <c r="G151" s="4" t="inlineStr">
        <is>
          <t xml:space="preserve">120,709</t>
        </is>
      </c>
      <c r="H151" s="4" t="inlineStr">
        <is>
          <t xml:space="preserve">57,411</t>
        </is>
      </c>
      <c r="I151" s="4" t="inlineStr">
        <is>
          <t xml:space="preserve">5,487</t>
        </is>
      </c>
      <c r="J151" s="4" t="inlineStr">
        <is>
          <t xml:space="preserve">675</t>
        </is>
      </c>
      <c r="K151" s="4" t="inlineStr">
        <is>
          <t xml:space="preserve">Aug-27</t>
        </is>
      </c>
    </row>
    <row r="152">
      <c r="A152" s="4" t="inlineStr">
        <is>
          <t xml:space="preserve">Jul-27</t>
        </is>
      </c>
      <c r="B152" s="4" t="inlineStr">
        <is>
          <t xml:space="preserve">212,417</t>
        </is>
      </c>
      <c r="C152" s="4" t="inlineStr">
        <is>
          <t xml:space="preserve">151,569</t>
        </is>
      </c>
      <c r="D152" s="4" t="inlineStr">
        <is>
          <t xml:space="preserve">60,848</t>
        </is>
      </c>
      <c r="E152" s="4" t="inlineStr">
        <is>
          <t xml:space="preserve">28</t>
        </is>
      </c>
      <c r="F152" s="4" t="inlineStr">
        <is>
          <t xml:space="preserve">122</t>
        </is>
      </c>
      <c r="G152" s="4" t="inlineStr">
        <is>
          <t xml:space="preserve">151,569</t>
        </is>
      </c>
      <c r="H152" s="4" t="inlineStr">
        <is>
          <t xml:space="preserve">60,848</t>
        </is>
      </c>
      <c r="I152" s="4" t="inlineStr">
        <is>
          <t xml:space="preserve">5,413</t>
        </is>
      </c>
      <c r="J152" s="4" t="inlineStr">
        <is>
          <t xml:space="preserve">499</t>
        </is>
      </c>
      <c r="K152" s="4" t="inlineStr">
        <is>
          <t xml:space="preserve">Sep-27</t>
        </is>
      </c>
    </row>
    <row r="153">
      <c r="A153" s="4" t="inlineStr">
        <is>
          <t xml:space="preserve">Aug-27</t>
        </is>
      </c>
      <c r="B153" s="4" t="inlineStr">
        <is>
          <t xml:space="preserve">202,828</t>
        </is>
      </c>
      <c r="C153" s="4" t="inlineStr">
        <is>
          <t xml:space="preserve">143,772</t>
        </is>
      </c>
      <c r="D153" s="4" t="inlineStr">
        <is>
          <t xml:space="preserve">59,056</t>
        </is>
      </c>
      <c r="E153" s="4" t="inlineStr">
        <is>
          <t xml:space="preserve">28</t>
        </is>
      </c>
      <c r="F153" s="4" t="inlineStr">
        <is>
          <t xml:space="preserve">122</t>
        </is>
      </c>
      <c r="G153" s="4" t="inlineStr">
        <is>
          <t xml:space="preserve">143,772</t>
        </is>
      </c>
      <c r="H153" s="4" t="inlineStr">
        <is>
          <t xml:space="preserve">59,056</t>
        </is>
      </c>
      <c r="I153" s="4" t="inlineStr">
        <is>
          <t xml:space="preserve">5,135</t>
        </is>
      </c>
      <c r="J153" s="4" t="inlineStr">
        <is>
          <t xml:space="preserve">484</t>
        </is>
      </c>
      <c r="K153" s="4" t="inlineStr">
        <is>
          <t xml:space="preserve">Oct-27</t>
        </is>
      </c>
    </row>
    <row r="154">
      <c r="A154" s="4" t="inlineStr">
        <is>
          <t xml:space="preserve">Sep-27</t>
        </is>
      </c>
      <c r="B154" s="4" t="inlineStr">
        <is>
          <t xml:space="preserve">240,150</t>
        </is>
      </c>
      <c r="C154" s="4" t="inlineStr">
        <is>
          <t xml:space="preserve">160,893</t>
        </is>
      </c>
      <c r="D154" s="4" t="inlineStr">
        <is>
          <t xml:space="preserve">79,257</t>
        </is>
      </c>
      <c r="E154" s="4" t="inlineStr">
        <is>
          <t xml:space="preserve">34</t>
        </is>
      </c>
      <c r="F154" s="4" t="inlineStr">
        <is>
          <t xml:space="preserve">159</t>
        </is>
      </c>
      <c r="G154" s="4" t="inlineStr">
        <is>
          <t xml:space="preserve">160,893</t>
        </is>
      </c>
      <c r="H154" s="4" t="inlineStr">
        <is>
          <t xml:space="preserve">79,257</t>
        </is>
      </c>
      <c r="I154" s="4" t="inlineStr">
        <is>
          <t xml:space="preserve">4,732</t>
        </is>
      </c>
      <c r="J154" s="4" t="inlineStr">
        <is>
          <t xml:space="preserve">498</t>
        </is>
      </c>
      <c r="K154" s="4" t="inlineStr">
        <is>
          <t xml:space="preserve">Nov-27</t>
        </is>
      </c>
    </row>
    <row r="155">
      <c r="A155" s="4" t="inlineStr">
        <is>
          <t xml:space="preserve">Oct-27</t>
        </is>
      </c>
      <c r="B155" s="4" t="inlineStr">
        <is>
          <t xml:space="preserve">259,621</t>
        </is>
      </c>
      <c r="C155" s="4" t="inlineStr">
        <is>
          <t xml:space="preserve">182,382</t>
        </is>
      </c>
      <c r="D155" s="4" t="inlineStr">
        <is>
          <t xml:space="preserve">77,240</t>
        </is>
      </c>
      <c r="E155" s="4" t="inlineStr">
        <is>
          <t xml:space="preserve">36</t>
        </is>
      </c>
      <c r="F155" s="4" t="inlineStr">
        <is>
          <t xml:space="preserve">146</t>
        </is>
      </c>
      <c r="G155" s="4" t="inlineStr">
        <is>
          <t xml:space="preserve">182,382</t>
        </is>
      </c>
      <c r="H155" s="4" t="inlineStr">
        <is>
          <t xml:space="preserve">77,240</t>
        </is>
      </c>
      <c r="I155" s="4" t="inlineStr">
        <is>
          <t xml:space="preserve">5,066</t>
        </is>
      </c>
      <c r="J155" s="4" t="inlineStr">
        <is>
          <t xml:space="preserve">529</t>
        </is>
      </c>
      <c r="K155" s="4" t="inlineStr">
        <is>
          <t xml:space="preserve">Dec-27</t>
        </is>
      </c>
    </row>
    <row r="156">
      <c r="A156" s="4" t="inlineStr">
        <is>
          <t xml:space="preserve">Nov-27</t>
        </is>
      </c>
      <c r="B156" s="4" t="inlineStr">
        <is>
          <t xml:space="preserve">318,497</t>
        </is>
      </c>
      <c r="C156" s="4" t="inlineStr">
        <is>
          <t xml:space="preserve">215,701</t>
        </is>
      </c>
      <c r="D156" s="4" t="inlineStr">
        <is>
          <t xml:space="preserve">102,796</t>
        </is>
      </c>
      <c r="E156" s="4" t="inlineStr">
        <is>
          <t xml:space="preserve">42</t>
        </is>
      </c>
      <c r="F156" s="4" t="inlineStr">
        <is>
          <t xml:space="preserve">183</t>
        </is>
      </c>
      <c r="G156" s="4" t="inlineStr">
        <is>
          <t xml:space="preserve">215,701</t>
        </is>
      </c>
      <c r="H156" s="4" t="inlineStr">
        <is>
          <t xml:space="preserve">102,796</t>
        </is>
      </c>
      <c r="I156" s="4" t="inlineStr">
        <is>
          <t xml:space="preserve">5,136</t>
        </is>
      </c>
      <c r="J156" s="4" t="inlineStr">
        <is>
          <t xml:space="preserve">562</t>
        </is>
      </c>
      <c r="K156" s="4" t="inlineStr">
        <is>
          <t xml:space="preserve">Jan-28</t>
        </is>
      </c>
    </row>
    <row r="157">
      <c r="A157" s="4" t="inlineStr">
        <is>
          <t xml:space="preserve">Dec-27</t>
        </is>
      </c>
      <c r="B157" s="4" t="inlineStr">
        <is>
          <t xml:space="preserve">332,074</t>
        </is>
      </c>
      <c r="C157" s="4" t="inlineStr">
        <is>
          <t xml:space="preserve">233,043</t>
        </is>
      </c>
      <c r="D157" s="4" t="inlineStr">
        <is>
          <t xml:space="preserve">99,031</t>
        </is>
      </c>
      <c r="E157" s="4" t="inlineStr">
        <is>
          <t xml:space="preserve">48</t>
        </is>
      </c>
      <c r="F157" s="4" t="inlineStr">
        <is>
          <t xml:space="preserve">220</t>
        </is>
      </c>
      <c r="G157" s="4" t="inlineStr">
        <is>
          <t xml:space="preserve">233,043</t>
        </is>
      </c>
      <c r="H157" s="4" t="inlineStr">
        <is>
          <t xml:space="preserve">99,031</t>
        </is>
      </c>
      <c r="I157" s="4" t="inlineStr">
        <is>
          <t xml:space="preserve">4,855</t>
        </is>
      </c>
      <c r="J157" s="4" t="inlineStr">
        <is>
          <t xml:space="preserve">450</t>
        </is>
      </c>
      <c r="K157" s="4" t="inlineStr">
        <is>
          <t xml:space="preserve">Feb-28</t>
        </is>
      </c>
    </row>
    <row r="159">
      <c r="A159" s="2" t="inlineStr">
        <is>
          <t xml:space="preserve">Budget effect by GL, v7 -&gt; v8 -&gt; v9 (2027, AG)</t>
        </is>
      </c>
    </row>
    <row r="160">
      <c r="A160" s="3" t="inlineStr">
        <is>
          <t xml:space="preserve">Line</t>
        </is>
      </c>
      <c r="B160" s="3" t="inlineStr">
        <is>
          <t xml:space="preserve">v7</t>
        </is>
      </c>
      <c r="C160" s="3" t="inlineStr">
        <is>
          <t xml:space="preserve">v8</t>
        </is>
      </c>
      <c r="D160" s="3" t="inlineStr">
        <is>
          <t xml:space="preserve">v9</t>
        </is>
      </c>
      <c r="E160" s="3" t="inlineStr">
        <is>
          <t xml:space="preserve">v9 - v8</t>
        </is>
      </c>
      <c r="F160" s="3" t="inlineStr">
        <is>
          <t xml:space="preserve">v9 - v7</t>
        </is>
      </c>
    </row>
    <row r="161">
      <c r="A161" s="4" t="inlineStr">
        <is>
          <t xml:space="preserve">5010</t>
        </is>
      </c>
      <c r="B161" s="4" t="inlineStr">
        <is>
          <t xml:space="preserve">1,353,574</t>
        </is>
      </c>
      <c r="C161" s="4" t="inlineStr">
        <is>
          <t xml:space="preserve">1,353,574</t>
        </is>
      </c>
      <c r="D161" s="4" t="inlineStr">
        <is>
          <t xml:space="preserve">1,353,574</t>
        </is>
      </c>
      <c r="E161" s="4" t="inlineStr">
        <is>
          <t xml:space="preserve">0</t>
        </is>
      </c>
      <c r="F161" s="4" t="inlineStr">
        <is>
          <t xml:space="preserve">0</t>
        </is>
      </c>
    </row>
    <row r="162">
      <c r="A162" s="4" t="inlineStr">
        <is>
          <t xml:space="preserve">5011</t>
        </is>
      </c>
      <c r="B162" s="4" t="inlineStr">
        <is>
          <t xml:space="preserve">1,248,196</t>
        </is>
      </c>
      <c r="C162" s="4" t="inlineStr">
        <is>
          <t xml:space="preserve">1,366,273</t>
        </is>
      </c>
      <c r="D162" s="4" t="inlineStr">
        <is>
          <t xml:space="preserve">1,327,486</t>
        </is>
      </c>
      <c r="E162" s="4" t="inlineStr">
        <is>
          <t xml:space="preserve">(38,787)</t>
        </is>
      </c>
      <c r="F162" s="4" t="inlineStr">
        <is>
          <t xml:space="preserve">+79,290</t>
        </is>
      </c>
    </row>
    <row r="163">
      <c r="A163" s="4" t="inlineStr">
        <is>
          <t xml:space="preserve">5012</t>
        </is>
      </c>
      <c r="B163" s="4" t="inlineStr">
        <is>
          <t xml:space="preserve">418,898</t>
        </is>
      </c>
      <c r="C163" s="4" t="inlineStr">
        <is>
          <t xml:space="preserve">453,859</t>
        </is>
      </c>
      <c r="D163" s="4" t="inlineStr">
        <is>
          <t xml:space="preserve">444,025</t>
        </is>
      </c>
      <c r="E163" s="4" t="inlineStr">
        <is>
          <t xml:space="preserve">(9,834)</t>
        </is>
      </c>
      <c r="F163" s="4" t="inlineStr">
        <is>
          <t xml:space="preserve">+25,126</t>
        </is>
      </c>
    </row>
    <row r="164">
      <c r="A164" s="4" t="inlineStr">
        <is>
          <t xml:space="preserve">5020</t>
        </is>
      </c>
      <c r="B164" s="4" t="inlineStr">
        <is>
          <t xml:space="preserve">298,140</t>
        </is>
      </c>
      <c r="C164" s="4" t="inlineStr">
        <is>
          <t xml:space="preserve">298,140</t>
        </is>
      </c>
      <c r="D164" s="4" t="inlineStr">
        <is>
          <t xml:space="preserve">298,140</t>
        </is>
      </c>
      <c r="E164" s="4" t="inlineStr">
        <is>
          <t xml:space="preserve">0</t>
        </is>
      </c>
      <c r="F164" s="4" t="inlineStr">
        <is>
          <t xml:space="preserve">0</t>
        </is>
      </c>
    </row>
    <row r="165">
      <c r="A165" s="4" t="inlineStr">
        <is>
          <t xml:space="preserve">5110 (PO row 33)</t>
        </is>
      </c>
      <c r="B165" s="4" t="inlineStr">
        <is>
          <t xml:space="preserve">525,310</t>
        </is>
      </c>
      <c r="C165" s="4" t="inlineStr">
        <is>
          <t xml:space="preserve">0</t>
        </is>
      </c>
      <c r="D165" s="4" t="inlineStr">
        <is>
          <t xml:space="preserve">0</t>
        </is>
      </c>
      <c r="E165" s="4" t="inlineStr">
        <is>
          <t xml:space="preserve">0</t>
        </is>
      </c>
      <c r="F165" s="4" t="inlineStr">
        <is>
          <t xml:space="preserve">(525,310)</t>
        </is>
      </c>
    </row>
    <row r="166">
      <c r="A166" s="4" t="inlineStr">
        <is>
          <t xml:space="preserve">5130 (PO row 34)</t>
        </is>
      </c>
      <c r="B166" s="4" t="inlineStr">
        <is>
          <t xml:space="preserve">19,105</t>
        </is>
      </c>
      <c r="C166" s="4" t="inlineStr">
        <is>
          <t xml:space="preserve">0</t>
        </is>
      </c>
      <c r="D166" s="4" t="inlineStr">
        <is>
          <t xml:space="preserve">0</t>
        </is>
      </c>
      <c r="E166" s="4" t="inlineStr">
        <is>
          <t xml:space="preserve">0</t>
        </is>
      </c>
      <c r="F166" s="4" t="inlineStr">
        <is>
          <t xml:space="preserve">(19,105)</t>
        </is>
      </c>
    </row>
    <row r="167">
      <c r="A167" s="4" t="inlineStr">
        <is>
          <t xml:space="preserve">5140 (PO row 35)</t>
        </is>
      </c>
      <c r="B167" s="4" t="inlineStr">
        <is>
          <t xml:space="preserve">108,404</t>
        </is>
      </c>
      <c r="C167" s="4" t="inlineStr">
        <is>
          <t xml:space="preserve">0</t>
        </is>
      </c>
      <c r="D167" s="4" t="inlineStr">
        <is>
          <t xml:space="preserve">0</t>
        </is>
      </c>
      <c r="E167" s="4" t="inlineStr">
        <is>
          <t xml:space="preserve">0</t>
        </is>
      </c>
      <c r="F167" s="4" t="inlineStr">
        <is>
          <t xml:space="preserve">(108,404)</t>
        </is>
      </c>
    </row>
    <row r="168">
      <c r="A168" s="4" t="inlineStr">
        <is>
          <t xml:space="preserve">2027 COO contribution (COO P&amp;L AG132)</t>
        </is>
      </c>
      <c r="B168" s="4" t="inlineStr">
        <is>
          <t xml:space="preserve">139,032</t>
        </is>
      </c>
      <c r="C168" s="4" t="inlineStr">
        <is>
          <t xml:space="preserve">638,814</t>
        </is>
      </c>
      <c r="D168" s="4" t="inlineStr">
        <is>
          <t xml:space="preserve">687,435</t>
        </is>
      </c>
      <c r="E168" s="4" t="inlineStr">
        <is>
          <t xml:space="preserve">+48,621</t>
        </is>
      </c>
      <c r="F168" s="4" t="inlineStr">
        <is>
          <t xml:space="preserve">+548,403</t>
        </is>
      </c>
    </row>
    <row r="169">
      <c r="A169" s="3" t="inlineStr">
        <is>
          <t xml:space="preserve">v10: the GL lines above are unchanged; the contribution is 159,136 (CO payroll, see 'Changes from v9').</t>
        </is>
      </c>
    </row>
    <row r="171">
      <c r="A171" s="2" t="inlineStr">
        <is>
          <t xml:space="preserve">Scope sensitivity and alternatives, CapEx and Dec-27 balance sheet (recalculated with the switches)</t>
        </is>
      </c>
    </row>
    <row r="172">
      <c r="A172" s="3" t="inlineStr">
        <is>
          <t xml:space="preserve">Case</t>
        </is>
      </c>
      <c r="B172" s="3" t="inlineStr">
        <is>
          <t xml:space="preserve">2027 CapEx: payroll capitalised</t>
        </is>
      </c>
      <c r="C172" s="3" t="inlineStr">
        <is>
          <t xml:space="preserve">2027 labour depreciation</t>
        </is>
      </c>
      <c r="D172" s="3" t="inlineStr">
        <is>
          <t xml:space="preserve">PO 5110-5140 2027 (expense)</t>
        </is>
      </c>
      <c r="E172" s="3" t="inlineStr">
        <is>
          <t xml:space="preserve">Dec-27 PP&amp;E in service (net)</t>
        </is>
      </c>
      <c r="F172" s="3" t="inlineStr">
        <is>
          <t xml:space="preserve">Dec-27 CIP (not yet in service)</t>
        </is>
      </c>
      <c r="G172" s="3" t="inlineStr">
        <is>
          <t xml:space="preserve">2027 COO contribution v10</t>
        </is>
      </c>
      <c r="H172" s="3" t="inlineStr">
        <is>
          <t xml:space="preserve">vs booked v10</t>
        </is>
      </c>
      <c r="I172" s="3" t="inlineStr">
        <is>
          <t xml:space="preserve">2027 COO contribution v9</t>
        </is>
      </c>
    </row>
    <row r="173">
      <c r="A173" s="4" t="inlineStr">
        <is>
          <t xml:space="preserve">Booked: Prod Payroll labour capitalised incl. the current staff; Sep-Dec 26 labour a 2026 cost; idle months rolled forward</t>
        </is>
      </c>
      <c r="B173" s="4" t="inlineStr">
        <is>
          <t xml:space="preserve">2,592,894</t>
        </is>
      </c>
      <c r="C173" s="4" t="inlineStr">
        <is>
          <t xml:space="preserve">104,417</t>
        </is>
      </c>
      <c r="D173" s="4" t="inlineStr">
        <is>
          <t xml:space="preserve">0</t>
        </is>
      </c>
      <c r="E173" s="4" t="inlineStr">
        <is>
          <t xml:space="preserve">1,837,906</t>
        </is>
      </c>
      <c r="F173" s="4" t="inlineStr">
        <is>
          <t xml:space="preserve">650,571</t>
        </is>
      </c>
      <c r="G173" s="4" t="inlineStr">
        <is>
          <t xml:space="preserve">159,136</t>
        </is>
      </c>
      <c r="H173" s="4" t="inlineStr">
        <is>
          <t xml:space="preserve">-</t>
        </is>
      </c>
      <c r="I173" s="4" t="inlineStr">
        <is>
          <t xml:space="preserve">687,435</t>
        </is>
      </c>
    </row>
    <row r="174">
      <c r="A174" s="4" t="inlineStr">
        <is>
          <t xml:space="preserve">Sensitivity (not booked): only the ramp capitalised; the current PO staff stay expensed (B131 = 0); v10 base without PO HC r20</t>
        </is>
      </c>
      <c r="B174" s="4" t="inlineStr">
        <is>
          <t xml:space="preserve">1,962,389</t>
        </is>
      </c>
      <c r="C174" s="4" t="inlineStr">
        <is>
          <t xml:space="preserve">73,095</t>
        </is>
      </c>
      <c r="D174" s="4" t="inlineStr">
        <is>
          <t xml:space="preserve">590,318</t>
        </is>
      </c>
      <c r="E174" s="4" t="inlineStr">
        <is>
          <t xml:space="preserve">1,347,101</t>
        </is>
      </c>
      <c r="F174" s="4" t="inlineStr">
        <is>
          <t xml:space="preserve">542,193</t>
        </is>
      </c>
      <c r="G174" s="4" t="inlineStr">
        <is>
          <t xml:space="preserve">(399,860)</t>
        </is>
      </c>
      <c r="H174" s="4" t="inlineStr">
        <is>
          <t xml:space="preserve">(558,996)</t>
        </is>
      </c>
      <c r="I174" s="4" t="inlineStr">
        <is>
          <t xml:space="preserve">65,936</t>
        </is>
      </c>
    </row>
    <row r="175">
      <c r="A175" s="4" t="inlineStr">
        <is>
          <t xml:space="preserve">Idle-month labour expensed (B135 = 0)</t>
        </is>
      </c>
      <c r="B175" s="4" t="inlineStr">
        <is>
          <t xml:space="preserve">2,452,143</t>
        </is>
      </c>
      <c r="C175" s="4" t="inlineStr">
        <is>
          <t xml:space="preserve">90,574</t>
        </is>
      </c>
      <c r="D175" s="4" t="inlineStr">
        <is>
          <t xml:space="preserve">140,751</t>
        </is>
      </c>
      <c r="E175" s="4" t="inlineStr">
        <is>
          <t xml:space="preserve">1,710,998</t>
        </is>
      </c>
      <c r="F175" s="4" t="inlineStr">
        <is>
          <t xml:space="preserve">650,571</t>
        </is>
      </c>
      <c r="G175" s="4" t="inlineStr">
        <is>
          <t xml:space="preserve">32,228</t>
        </is>
      </c>
      <c r="H175" s="4" t="inlineStr">
        <is>
          <t xml:space="preserve">(126,908)</t>
        </is>
      </c>
      <c r="I175" s="4" t="inlineStr">
        <is>
          <t xml:space="preserve">560,527</t>
        </is>
      </c>
    </row>
    <row r="176">
      <c r="A176" s="4" t="inlineStr">
        <is>
          <t xml:space="preserve">Idle-month labour expensed and the current staff expensed (B131 = 0, B135 = 0)</t>
        </is>
      </c>
      <c r="B176" s="4" t="inlineStr">
        <is>
          <t xml:space="preserve">1,873,327</t>
        </is>
      </c>
      <c r="C176" s="4" t="inlineStr">
        <is>
          <t xml:space="preserve">64,436</t>
        </is>
      </c>
      <c r="D176" s="4" t="inlineStr">
        <is>
          <t xml:space="preserve">679,380</t>
        </is>
      </c>
      <c r="E176" s="4" t="inlineStr">
        <is>
          <t xml:space="preserve">1,266,698</t>
        </is>
      </c>
      <c r="F176" s="4" t="inlineStr">
        <is>
          <t xml:space="preserve">542,193</t>
        </is>
      </c>
      <c r="G176" s="4" t="inlineStr">
        <is>
          <t xml:space="preserve">(480,264)</t>
        </is>
      </c>
      <c r="H176" s="4" t="inlineStr">
        <is>
          <t xml:space="preserve">(639,400)</t>
        </is>
      </c>
      <c r="I176" s="4" t="inlineStr">
        <is>
          <t xml:space="preserve">(14,467)</t>
        </is>
      </c>
    </row>
    <row r="177">
      <c r="A177" s="4" t="inlineStr">
        <is>
          <t xml:space="preserve">All Sep-Dec 26 labour capitalised (B132 = 1; only with a 2026 restatement)</t>
        </is>
      </c>
      <c r="B177" s="4" t="inlineStr">
        <is>
          <t xml:space="preserve">2,592,894</t>
        </is>
      </c>
      <c r="C177" s="4" t="inlineStr">
        <is>
          <t xml:space="preserve">165,112</t>
        </is>
      </c>
      <c r="D177" s="4" t="inlineStr">
        <is>
          <t xml:space="preserve">0</t>
        </is>
      </c>
      <c r="E177" s="4" t="inlineStr">
        <is>
          <t xml:space="preserve">2,171,148</t>
        </is>
      </c>
      <c r="F177" s="4" t="inlineStr">
        <is>
          <t xml:space="preserve">650,571</t>
        </is>
      </c>
      <c r="G177" s="4" t="inlineStr">
        <is>
          <t xml:space="preserve">98,441</t>
        </is>
      </c>
      <c r="H177" s="4" t="inlineStr">
        <is>
          <t xml:space="preserve">(60,695)</t>
        </is>
      </c>
      <c r="I177" s="4" t="inlineStr">
        <is>
          <t xml:space="preserve">626,740</t>
        </is>
      </c>
    </row>
    <row r="178">
      <c r="A178" s="4" t="inlineStr">
        <is>
          <t xml:space="preserve">B132 = 1 and the current staff expensed (B131 = 0)</t>
        </is>
      </c>
      <c r="B178" s="4" t="inlineStr">
        <is>
          <t xml:space="preserve">1,962,389</t>
        </is>
      </c>
      <c r="C178" s="4" t="inlineStr">
        <is>
          <t xml:space="preserve">106,510</t>
        </is>
      </c>
      <c r="D178" s="4" t="inlineStr">
        <is>
          <t xml:space="preserve">590,318</t>
        </is>
      </c>
      <c r="E178" s="4" t="inlineStr">
        <is>
          <t xml:space="preserve">1,543,814</t>
        </is>
      </c>
      <c r="F178" s="4" t="inlineStr">
        <is>
          <t xml:space="preserve">542,193</t>
        </is>
      </c>
      <c r="G178" s="4" t="inlineStr">
        <is>
          <t xml:space="preserve">(433,274)</t>
        </is>
      </c>
      <c r="H178" s="4" t="inlineStr">
        <is>
          <t xml:space="preserve">(592,411)</t>
        </is>
      </c>
      <c r="I178" s="4" t="inlineStr">
        <is>
          <t xml:space="preserve">32,522</t>
        </is>
      </c>
    </row>
    <row r="179">
      <c r="A179" s="3" t="inlineStr">
        <is>
          <t xml:space="preserve">v10: the B131 = 0 base excludes PO HC r20 (MH-01, booked in CO): PO 5110-5140 652,820 -&gt; 590,318 (5110 475,016, 5130 17,276, 5140 98,026).</t>
        </is>
      </c>
    </row>
    <row r="181">
      <c r="A181" s="2" t="inlineStr">
        <is>
          <t xml:space="preserve">Idle-month labour (critic v8 B2; switch B135, not booked)</t>
        </is>
      </c>
    </row>
    <row r="182">
      <c r="A182" s="3" t="inlineStr">
        <is>
          <t xml:space="preserve">Item</t>
        </is>
      </c>
      <c r="B182" s="3" t="inlineStr">
        <is>
          <t xml:space="preserve">Value</t>
        </is>
      </c>
      <c r="C182" s="3" t="inlineStr">
        <is>
          <t xml:space="preserve">Source</t>
        </is>
      </c>
    </row>
    <row r="183">
      <c r="A183" s="4" t="inlineStr">
        <is>
          <t xml:space="preserve">Months with no units built (Sep-26..Dec-27; lifts or trays)</t>
        </is>
      </c>
      <c r="B183" s="4" t="inlineStr">
        <is>
          <t xml:space="preserve">Oct-26, Jan-27</t>
        </is>
      </c>
      <c r="C183" s="4" t="inlineStr">
        <is>
          <t xml:space="preserve">DeploySum rows 24/25</t>
        </is>
      </c>
    </row>
    <row r="184">
      <c r="A184" s="4" t="inlineStr">
        <is>
          <t xml:space="preserve">Jan-27 production labour capitalised (B131 = 1): rolled into the Feb-27 builds while B135 = 1</t>
        </is>
      </c>
      <c r="B184" s="4" t="inlineStr">
        <is>
          <t xml:space="preserve">140,751</t>
        </is>
      </c>
      <c r="C184" s="4" t="inlineStr">
        <is>
          <t xml:space="preserve">'Depreciation Schedule'!F149</t>
        </is>
      </c>
    </row>
    <row r="185">
      <c r="A185" s="4" t="inlineStr">
        <is>
          <t xml:space="preserve">Expensed when B135 = 0: 5110 / 5130 / 5140 (Prod Payroll's own tax and benefit shares of the month)</t>
        </is>
      </c>
      <c r="B185" s="4" t="inlineStr">
        <is>
          <t xml:space="preserve">122,610 / 9,196 / 8,946</t>
        </is>
      </c>
      <c r="C185" s="4" t="inlineStr">
        <is>
          <t xml:space="preserve">'Depreciation Schedule'!rows 226-228 -&gt; PO!U33:U35</t>
        </is>
      </c>
    </row>
    <row r="186">
      <c r="A186" s="4" t="inlineStr">
        <is>
          <t xml:space="preserve">2027 depreciation the Feb-27 builds (Apr-27 go-lives) no longer carry</t>
        </is>
      </c>
      <c r="B186" s="4" t="inlineStr">
        <is>
          <t xml:space="preserve">+13,843</t>
        </is>
      </c>
      <c r="C186" s="4" t="inlineStr">
        <is>
          <t xml:space="preserve">'Depreciation Schedule'!R195</t>
        </is>
      </c>
    </row>
    <row r="187">
      <c r="A187" s="4" t="inlineStr">
        <is>
          <t xml:space="preserve">Net 2027 effect, booked policy (recalculated, B135 = 0)</t>
        </is>
      </c>
      <c r="B187" s="4" t="inlineStr">
        <is>
          <t xml:space="preserve">(126,908)</t>
        </is>
      </c>
      <c r="C187" s="4" t="inlineStr">
        <is>
          <t xml:space="preserve">COO P&amp;L!AG132 687,435 -&gt; 560,527</t>
        </is>
      </c>
    </row>
    <row r="188">
      <c r="A188" s="4" t="inlineStr">
        <is>
          <t xml:space="preserve">Net 2027 effect with the current 9 expensed (B131 = 0, B135 = 0; Jan-27 ramp labour only)</t>
        </is>
      </c>
      <c r="B188" s="4" t="inlineStr">
        <is>
          <t xml:space="preserve">(80,404)</t>
        </is>
      </c>
      <c r="C188" s="4" t="inlineStr">
        <is>
          <t xml:space="preserve">65,936 -&gt; (14,467)</t>
        </is>
      </c>
    </row>
    <row r="189">
      <c r="A189" s="4" t="inlineStr">
        <is>
          <t xml:space="preserve">CapEx 2027 / Dec-27 PP&amp;E in service / CIP with B135 = 0</t>
        </is>
      </c>
      <c r="B189" s="4" t="inlineStr">
        <is>
          <t xml:space="preserve">2,452,143 / 1,710,998 / 650,571</t>
        </is>
      </c>
      <c r="C189" s="4" t="inlineStr">
        <is>
          <t xml:space="preserve">'Depreciation Schedule'!B236:B239</t>
        </is>
      </c>
    </row>
    <row r="190">
      <c r="A190" s="4" t="inlineStr">
        <is>
          <t xml:space="preserve">Oct-26 (no builds)</t>
        </is>
      </c>
      <c r="B190" s="4" t="inlineStr">
        <is>
          <t xml:space="preserve">0</t>
        </is>
      </c>
      <c r="C190" s="4" t="inlineStr">
        <is>
          <t xml:space="preserve">B132 = 0: Oct-26 labour is a 2026 cost (B1); with B132 = 1 and B135 = 0 it would be a 2026 expense, outside the 2027 P&amp;L</t>
        </is>
      </c>
    </row>
    <row r="192">
      <c r="A192" s="2" t="inlineStr">
        <is>
          <t xml:space="preserve">Bridge: v7 'capitalised on top' (64,735) to the booked v9 labour depreciation</t>
        </is>
      </c>
    </row>
    <row r="193">
      <c r="A193" s="3" t="inlineStr">
        <is>
          <t xml:space="preserve">Step</t>
        </is>
      </c>
      <c r="B193" s="3" t="inlineStr">
        <is>
          <t xml:space="preserve">2027 depreciation</t>
        </is>
      </c>
      <c r="C193" s="3" t="inlineStr">
        <is>
          <t xml:space="preserve">Note</t>
        </is>
      </c>
    </row>
    <row r="194">
      <c r="A194" s="4" t="inlineStr">
        <is>
          <t xml:space="preserve">v7 'capitalised on top' (ramp only; annual average per unit built in 2027; 2027 labour only)</t>
        </is>
      </c>
      <c r="B194" s="4" t="inlineStr">
        <is>
          <t xml:space="preserve">64,735</t>
        </is>
      </c>
      <c r="C194" s="4" t="inlineStr">
        <is>
          <t xml:space="preserve">v7 figure, reproduced</t>
        </is>
      </c>
    </row>
    <row r="195">
      <c r="A195" s="4" t="inlineStr">
        <is>
          <t xml:space="preserve">+ the current 9 (whole model, v7 method)</t>
        </is>
      </c>
      <c r="B195" s="4" t="inlineStr">
        <is>
          <t xml:space="preserve">+21,754</t>
        </is>
      </c>
      <c r="C195" s="4" t="inlineStr">
        <is>
          <t xml:space="preserve"> 86,490</t>
        </is>
      </c>
    </row>
    <row r="196">
      <c r="A196" s="4" t="inlineStr">
        <is>
          <t xml:space="preserve">+ labour per unit by build month, zero-build months rolled forward (A-38)</t>
        </is>
      </c>
      <c r="B196" s="4" t="inlineStr">
        <is>
          <t xml:space="preserve">+17,927</t>
        </is>
      </c>
      <c r="C196" s="4" t="inlineStr">
        <is>
          <t xml:space="preserve"> 104,417 (booked v9)</t>
        </is>
      </c>
    </row>
    <row r="197">
      <c r="A197" s="4" t="inlineStr">
        <is>
          <t xml:space="preserve">v8 only: + Oct-Dec 26 labour in the Jan-Feb 27 go-lives (withdrawn in v9, critic v8 B1)</t>
        </is>
      </c>
      <c r="B197" s="4" t="inlineStr">
        <is>
          <t xml:space="preserve">+48,621</t>
        </is>
      </c>
      <c r="C197" s="4" t="inlineStr">
        <is>
          <t xml:space="preserve"> 153,038 (v8 booked)</t>
        </is>
      </c>
    </row>
    <row r="198">
      <c r="A198" s="4" t="inlineStr">
        <is>
          <t xml:space="preserve">B132 = 1 in v9 (one rule): v8's step + the Sep-26 builds' labour</t>
        </is>
      </c>
      <c r="B198" s="4" t="inlineStr">
        <is>
          <t xml:space="preserve">+60,695</t>
        </is>
      </c>
      <c r="C198" s="4" t="inlineStr">
        <is>
          <t xml:space="preserve"> 165,112 (of which Sep-26 builds +12,074)</t>
        </is>
      </c>
    </row>
    <row r="199">
      <c r="A199" s="4" t="inlineStr">
        <is>
          <t xml:space="preserve">Sensitivity on the same method (ramp only, monthly, B132 = 0)</t>
        </is>
      </c>
      <c r="B199" s="4" t="inlineStr">
        <is>
          <t xml:space="preserve">73,095</t>
        </is>
      </c>
      <c r="C199" s="4" t="inlineStr">
        <is>
          <t xml:space="preserve">v7 method 64,735; difference +8,360</t>
        </is>
      </c>
    </row>
    <row r="201">
      <c r="A201" s="2" t="inlineStr">
        <is>
          <t xml:space="preserve">Prod Payroll XLOOKUP replacement (row 48): cell by cell</t>
        </is>
      </c>
    </row>
    <row r="202">
      <c r="A202" s="3" t="inlineStr">
        <is>
          <t xml:space="preserve">Cell</t>
        </is>
      </c>
      <c r="B202" s="3" t="inlineStr">
        <is>
          <t xml:space="preserve">Old formula (v7)</t>
        </is>
      </c>
      <c r="C202" s="3" t="inlineStr">
        <is>
          <t xml:space="preserve">New formula (v8)</t>
        </is>
      </c>
      <c r="D202" s="3" t="inlineStr">
        <is>
          <t xml:space="preserve">x = MAX(C8, trays/week)</t>
        </is>
      </c>
      <c r="E202" s="3" t="inlineStr">
        <is>
          <t xml:space="preserve">Tier v8 (LibreOffice)</t>
        </is>
      </c>
      <c r="F202" s="3" t="inlineStr">
        <is>
          <t xml:space="preserve">Tier v7 scratch (SMALL/COUNTIF)</t>
        </is>
      </c>
      <c r="G202" s="3" t="inlineStr">
        <is>
          <t xml:space="preserve">Tier Python replica</t>
        </is>
      </c>
    </row>
    <row r="203">
      <c r="A203" s="4" t="inlineStr">
        <is>
          <t xml:space="preserve">B48</t>
        </is>
      </c>
      <c r="B203" s="4" t="inlineStr">
        <is>
          <t xml:space="preserve">_xlfn.xlookup(MAX($C$8,B47),$B$20:$O$20,$B$20:$O$20,MAX($B$20:$O$20),1)</t>
        </is>
      </c>
      <c r="C203" s="4" t="inlineStr">
        <is>
          <t xml:space="preserve">IF(MAX($C$8,B47)&gt;MAX($B$20:$O$20),MAX($B$20:$O$20),INDEX($B$20:$O$20,IFERROR(MATCH(MAX($C$8,B47),$B$20:$O$20,1),0)+ISNA(MATCH(MAX($C$8,B47),$B$20:$O$20,0))))</t>
        </is>
      </c>
      <c r="D203" s="4" t="inlineStr">
        <is>
          <t xml:space="preserve">10.00</t>
        </is>
      </c>
      <c r="E203" s="4" t="inlineStr">
        <is>
          <t xml:space="preserve">10</t>
        </is>
      </c>
      <c r="F203" s="4" t="inlineStr">
        <is>
          <t xml:space="preserve">10</t>
        </is>
      </c>
      <c r="G203" s="4" t="inlineStr">
        <is>
          <t xml:space="preserve">10</t>
        </is>
      </c>
    </row>
    <row r="204">
      <c r="A204" s="4" t="inlineStr">
        <is>
          <t xml:space="preserve">C48</t>
        </is>
      </c>
      <c r="B204" s="4" t="inlineStr">
        <is>
          <t xml:space="preserve">_xlfn.xlookup(MAX($C$8,C47),$B$20:$O$20,$B$20:$O$20,MAX($B$20:$O$20),1)</t>
        </is>
      </c>
      <c r="C204" s="4" t="inlineStr">
        <is>
          <t xml:space="preserve">IF(MAX($C$8,C47)&gt;MAX($B$20:$O$20),MAX($B$20:$O$20),INDEX($B$20:$O$20,IFERROR(MATCH(MAX($C$8,C47),$B$20:$O$20,1),0)+ISNA(MATCH(MAX($C$8,C47),$B$20:$O$20,0))))</t>
        </is>
      </c>
      <c r="D204" s="4" t="inlineStr">
        <is>
          <t xml:space="preserve">10.00</t>
        </is>
      </c>
      <c r="E204" s="4" t="inlineStr">
        <is>
          <t xml:space="preserve">10</t>
        </is>
      </c>
      <c r="F204" s="4" t="inlineStr">
        <is>
          <t xml:space="preserve">10</t>
        </is>
      </c>
      <c r="G204" s="4" t="inlineStr">
        <is>
          <t xml:space="preserve">10</t>
        </is>
      </c>
    </row>
    <row r="205">
      <c r="A205" s="4" t="inlineStr">
        <is>
          <t xml:space="preserve">D48</t>
        </is>
      </c>
      <c r="B205" s="4" t="inlineStr">
        <is>
          <t xml:space="preserve">_xlfn.xlookup(MAX($C$8,D47),$B$20:$O$20,$B$20:$O$20,MAX($B$20:$O$20),1)</t>
        </is>
      </c>
      <c r="C205" s="4" t="inlineStr">
        <is>
          <t xml:space="preserve">IF(MAX($C$8,D47)&gt;MAX($B$20:$O$20),MAX($B$20:$O$20),INDEX($B$20:$O$20,IFERROR(MATCH(MAX($C$8,D47),$B$20:$O$20,1),0)+ISNA(MATCH(MAX($C$8,D47),$B$20:$O$20,0))))</t>
        </is>
      </c>
      <c r="D205" s="4" t="inlineStr">
        <is>
          <t xml:space="preserve">14.00</t>
        </is>
      </c>
      <c r="E205" s="4" t="inlineStr">
        <is>
          <t xml:space="preserve">20</t>
        </is>
      </c>
      <c r="F205" s="4" t="inlineStr">
        <is>
          <t xml:space="preserve">20</t>
        </is>
      </c>
      <c r="G205" s="4" t="inlineStr">
        <is>
          <t xml:space="preserve">20</t>
        </is>
      </c>
    </row>
    <row r="206">
      <c r="A206" s="4" t="inlineStr">
        <is>
          <t xml:space="preserve">E48</t>
        </is>
      </c>
      <c r="B206" s="4" t="inlineStr">
        <is>
          <t xml:space="preserve">_xlfn.xlookup(MAX($C$8,E47),$B$20:$O$20,$B$20:$O$20,MAX($B$20:$O$20),1)</t>
        </is>
      </c>
      <c r="C206" s="4" t="inlineStr">
        <is>
          <t xml:space="preserve">IF(MAX($C$8,E47)&gt;MAX($B$20:$O$20),MAX($B$20:$O$20),INDEX($B$20:$O$20,IFERROR(MATCH(MAX($C$8,E47),$B$20:$O$20,1),0)+ISNA(MATCH(MAX($C$8,E47),$B$20:$O$20,0))))</t>
        </is>
      </c>
      <c r="D206" s="4" t="inlineStr">
        <is>
          <t xml:space="preserve">10.00</t>
        </is>
      </c>
      <c r="E206" s="4" t="inlineStr">
        <is>
          <t xml:space="preserve">10</t>
        </is>
      </c>
      <c r="F206" s="4" t="inlineStr">
        <is>
          <t xml:space="preserve">10</t>
        </is>
      </c>
      <c r="G206" s="4" t="inlineStr">
        <is>
          <t xml:space="preserve">10</t>
        </is>
      </c>
    </row>
    <row r="207">
      <c r="A207" s="4" t="inlineStr">
        <is>
          <t xml:space="preserve">F48</t>
        </is>
      </c>
      <c r="B207" s="4" t="inlineStr">
        <is>
          <t xml:space="preserve">_xlfn.xlookup(MAX($C$8,F47),$B$20:$O$20,$B$20:$O$20,MAX($B$20:$O$20),1)</t>
        </is>
      </c>
      <c r="C207" s="4" t="inlineStr">
        <is>
          <t xml:space="preserve">IF(MAX($C$8,F47)&gt;MAX($B$20:$O$20),MAX($B$20:$O$20),INDEX($B$20:$O$20,IFERROR(MATCH(MAX($C$8,F47),$B$20:$O$20,1),0)+ISNA(MATCH(MAX($C$8,F47),$B$20:$O$20,0))))</t>
        </is>
      </c>
      <c r="D207" s="4" t="inlineStr">
        <is>
          <t xml:space="preserve">10.00</t>
        </is>
      </c>
      <c r="E207" s="4" t="inlineStr">
        <is>
          <t xml:space="preserve">10</t>
        </is>
      </c>
      <c r="F207" s="4" t="inlineStr">
        <is>
          <t xml:space="preserve">10</t>
        </is>
      </c>
      <c r="G207" s="4" t="inlineStr">
        <is>
          <t xml:space="preserve">10</t>
        </is>
      </c>
    </row>
    <row r="208">
      <c r="A208" s="4" t="inlineStr">
        <is>
          <t xml:space="preserve">G48</t>
        </is>
      </c>
      <c r="B208" s="4" t="inlineStr">
        <is>
          <t xml:space="preserve">_xlfn.xlookup(MAX($C$8,G47),$B$20:$O$20,$B$20:$O$20,MAX($B$20:$O$20),1)</t>
        </is>
      </c>
      <c r="C208" s="4" t="inlineStr">
        <is>
          <t xml:space="preserve">IF(MAX($C$8,G47)&gt;MAX($B$20:$O$20),MAX($B$20:$O$20),INDEX($B$20:$O$20,IFERROR(MATCH(MAX($C$8,G47),$B$20:$O$20,1),0)+ISNA(MATCH(MAX($C$8,G47),$B$20:$O$20,0))))</t>
        </is>
      </c>
      <c r="D208" s="4" t="inlineStr">
        <is>
          <t xml:space="preserve">21.50</t>
        </is>
      </c>
      <c r="E208" s="4" t="inlineStr">
        <is>
          <t xml:space="preserve">30</t>
        </is>
      </c>
      <c r="F208" s="4" t="inlineStr">
        <is>
          <t xml:space="preserve">30</t>
        </is>
      </c>
      <c r="G208" s="4" t="inlineStr">
        <is>
          <t xml:space="preserve">30</t>
        </is>
      </c>
    </row>
    <row r="209">
      <c r="A209" s="4" t="inlineStr">
        <is>
          <t xml:space="preserve">H48</t>
        </is>
      </c>
      <c r="B209" s="4" t="inlineStr">
        <is>
          <t xml:space="preserve">_xlfn.xlookup(MAX($C$8,H47),$B$20:$O$20,$B$20:$O$20,MAX($B$20:$O$20),1)</t>
        </is>
      </c>
      <c r="C209" s="4" t="inlineStr">
        <is>
          <t xml:space="preserve">IF(MAX($C$8,H47)&gt;MAX($B$20:$O$20),MAX($B$20:$O$20),INDEX($B$20:$O$20,IFERROR(MATCH(MAX($C$8,H47),$B$20:$O$20,1),0)+ISNA(MATCH(MAX($C$8,H47),$B$20:$O$20,0))))</t>
        </is>
      </c>
      <c r="D209" s="4" t="inlineStr">
        <is>
          <t xml:space="preserve">13.77</t>
        </is>
      </c>
      <c r="E209" s="4" t="inlineStr">
        <is>
          <t xml:space="preserve">20</t>
        </is>
      </c>
      <c r="F209" s="4" t="inlineStr">
        <is>
          <t xml:space="preserve">20</t>
        </is>
      </c>
      <c r="G209" s="4" t="inlineStr">
        <is>
          <t xml:space="preserve">20</t>
        </is>
      </c>
    </row>
    <row r="210">
      <c r="A210" s="4" t="inlineStr">
        <is>
          <t xml:space="preserve">I48</t>
        </is>
      </c>
      <c r="B210" s="4" t="inlineStr">
        <is>
          <t xml:space="preserve">_xlfn.xlookup(MAX($C$8,I47),$B$20:$O$20,$B$20:$O$20,MAX($B$20:$O$20),1)</t>
        </is>
      </c>
      <c r="C210" s="4" t="inlineStr">
        <is>
          <t xml:space="preserve">IF(MAX($C$8,I47)&gt;MAX($B$20:$O$20),MAX($B$20:$O$20),INDEX($B$20:$O$20,IFERROR(MATCH(MAX($C$8,I47),$B$20:$O$20,1),0)+ISNA(MATCH(MAX($C$8,I47),$B$20:$O$20,0))))</t>
        </is>
      </c>
      <c r="D210" s="4" t="inlineStr">
        <is>
          <t xml:space="preserve">22.87</t>
        </is>
      </c>
      <c r="E210" s="4" t="inlineStr">
        <is>
          <t xml:space="preserve">30</t>
        </is>
      </c>
      <c r="F210" s="4" t="inlineStr">
        <is>
          <t xml:space="preserve">30</t>
        </is>
      </c>
      <c r="G210" s="4" t="inlineStr">
        <is>
          <t xml:space="preserve">30</t>
        </is>
      </c>
    </row>
    <row r="211">
      <c r="A211" s="4" t="inlineStr">
        <is>
          <t xml:space="preserve">J48</t>
        </is>
      </c>
      <c r="B211" s="4" t="inlineStr">
        <is>
          <t xml:space="preserve">_xlfn.xlookup(MAX($C$8,J47),$B$20:$O$20,$B$20:$O$20,MAX($B$20:$O$20),1)</t>
        </is>
      </c>
      <c r="C211" s="4" t="inlineStr">
        <is>
          <t xml:space="preserve">IF(MAX($C$8,J47)&gt;MAX($B$20:$O$20),MAX($B$20:$O$20),INDEX($B$20:$O$20,IFERROR(MATCH(MAX($C$8,J47),$B$20:$O$20,1),0)+ISNA(MATCH(MAX($C$8,J47),$B$20:$O$20,0))))</t>
        </is>
      </c>
      <c r="D211" s="4" t="inlineStr">
        <is>
          <t xml:space="preserve">16.48</t>
        </is>
      </c>
      <c r="E211" s="4" t="inlineStr">
        <is>
          <t xml:space="preserve">20</t>
        </is>
      </c>
      <c r="F211" s="4" t="inlineStr">
        <is>
          <t xml:space="preserve">20</t>
        </is>
      </c>
      <c r="G211" s="4" t="inlineStr">
        <is>
          <t xml:space="preserve">20</t>
        </is>
      </c>
    </row>
    <row r="212">
      <c r="A212" s="4" t="inlineStr">
        <is>
          <t xml:space="preserve">K48</t>
        </is>
      </c>
      <c r="B212" s="4" t="inlineStr">
        <is>
          <t xml:space="preserve">_xlfn.xlookup(MAX($C$8,K47),$B$20:$O$20,$B$20:$O$20,MAX($B$20:$O$20),1)</t>
        </is>
      </c>
      <c r="C212" s="4" t="inlineStr">
        <is>
          <t xml:space="preserve">IF(MAX($C$8,K47)&gt;MAX($B$20:$O$20),MAX($B$20:$O$20),INDEX($B$20:$O$20,IFERROR(MATCH(MAX($C$8,K47),$B$20:$O$20,1),0)+ISNA(MATCH(MAX($C$8,K47),$B$20:$O$20,0))))</t>
        </is>
      </c>
      <c r="D212" s="4" t="inlineStr">
        <is>
          <t xml:space="preserve">19.83</t>
        </is>
      </c>
      <c r="E212" s="4" t="inlineStr">
        <is>
          <t xml:space="preserve">20</t>
        </is>
      </c>
      <c r="F212" s="4" t="inlineStr">
        <is>
          <t xml:space="preserve">20</t>
        </is>
      </c>
      <c r="G212" s="4" t="inlineStr">
        <is>
          <t xml:space="preserve">20</t>
        </is>
      </c>
    </row>
    <row r="213">
      <c r="A213" s="4" t="inlineStr">
        <is>
          <t xml:space="preserve">L48</t>
        </is>
      </c>
      <c r="B213" s="4" t="inlineStr">
        <is>
          <t xml:space="preserve">_xlfn.xlookup(MAX($C$8,L47),$B$20:$O$20,$B$20:$O$20,MAX($B$20:$O$20),1)</t>
        </is>
      </c>
      <c r="C213" s="4" t="inlineStr">
        <is>
          <t xml:space="preserve">IF(MAX($C$8,L47)&gt;MAX($B$20:$O$20),MAX($B$20:$O$20),INDEX($B$20:$O$20,IFERROR(MATCH(MAX($C$8,L47),$B$20:$O$20,1),0)+ISNA(MATCH(MAX($C$8,L47),$B$20:$O$20,0))))</t>
        </is>
      </c>
      <c r="D213" s="4" t="inlineStr">
        <is>
          <t xml:space="preserve">27.55</t>
        </is>
      </c>
      <c r="E213" s="4" t="inlineStr">
        <is>
          <t xml:space="preserve">30</t>
        </is>
      </c>
      <c r="F213" s="4" t="inlineStr">
        <is>
          <t xml:space="preserve">30</t>
        </is>
      </c>
      <c r="G213" s="4" t="inlineStr">
        <is>
          <t xml:space="preserve">30</t>
        </is>
      </c>
    </row>
    <row r="214">
      <c r="A214" s="4" t="inlineStr">
        <is>
          <t xml:space="preserve">M48</t>
        </is>
      </c>
      <c r="B214" s="4" t="inlineStr">
        <is>
          <t xml:space="preserve">_xlfn.xlookup(MAX($C$8,M47),$B$20:$O$20,$B$20:$O$20,MAX($B$20:$O$20),1)</t>
        </is>
      </c>
      <c r="C214" s="4" t="inlineStr">
        <is>
          <t xml:space="preserve">IF(MAX($C$8,M47)&gt;MAX($B$20:$O$20),MAX($B$20:$O$20),INDEX($B$20:$O$20,IFERROR(MATCH(MAX($C$8,M47),$B$20:$O$20,1),0)+ISNA(MATCH(MAX($C$8,M47),$B$20:$O$20,0))))</t>
        </is>
      </c>
      <c r="D214" s="4" t="inlineStr">
        <is>
          <t xml:space="preserve">27.55</t>
        </is>
      </c>
      <c r="E214" s="4" t="inlineStr">
        <is>
          <t xml:space="preserve">30</t>
        </is>
      </c>
      <c r="F214" s="4" t="inlineStr">
        <is>
          <t xml:space="preserve">30</t>
        </is>
      </c>
      <c r="G214" s="4" t="inlineStr">
        <is>
          <t xml:space="preserve">30</t>
        </is>
      </c>
    </row>
    <row r="215">
      <c r="A215" s="4" t="inlineStr">
        <is>
          <t xml:space="preserve">N48</t>
        </is>
      </c>
      <c r="B215" s="4" t="inlineStr">
        <is>
          <t xml:space="preserve">_xlfn.xlookup(MAX($C$8,N47),$B$20:$O$20,$B$20:$O$20,MAX($B$20:$O$20),1)</t>
        </is>
      </c>
      <c r="C215" s="4" t="inlineStr">
        <is>
          <t xml:space="preserve">IF(MAX($C$8,N47)&gt;MAX($B$20:$O$20),MAX($B$20:$O$20),INDEX($B$20:$O$20,IFERROR(MATCH(MAX($C$8,N47),$B$20:$O$20,1),0)+ISNA(MATCH(MAX($C$8,N47),$B$20:$O$20,0))))</t>
        </is>
      </c>
      <c r="D215" s="4" t="inlineStr">
        <is>
          <t xml:space="preserve">37.10</t>
        </is>
      </c>
      <c r="E215" s="4" t="inlineStr">
        <is>
          <t xml:space="preserve">40</t>
        </is>
      </c>
      <c r="F215" s="4" t="inlineStr">
        <is>
          <t xml:space="preserve">40</t>
        </is>
      </c>
      <c r="G215" s="4" t="inlineStr">
        <is>
          <t xml:space="preserve">40</t>
        </is>
      </c>
    </row>
    <row r="216">
      <c r="A216" s="4" t="inlineStr">
        <is>
          <t xml:space="preserve">O48</t>
        </is>
      </c>
      <c r="B216" s="4" t="inlineStr">
        <is>
          <t xml:space="preserve">_xlfn.xlookup(MAX($C$8,O47),$B$20:$O$20,$B$20:$O$20,MAX($B$20:$O$20),1)</t>
        </is>
      </c>
      <c r="C216" s="4" t="inlineStr">
        <is>
          <t xml:space="preserve">IF(MAX($C$8,O47)&gt;MAX($B$20:$O$20),MAX($B$20:$O$20),INDEX($B$20:$O$20,IFERROR(MATCH(MAX($C$8,O47),$B$20:$O$20,1),0)+ISNA(MATCH(MAX($C$8,O47),$B$20:$O$20,0))))</t>
        </is>
      </c>
      <c r="D216" s="4" t="inlineStr">
        <is>
          <t xml:space="preserve">32.97</t>
        </is>
      </c>
      <c r="E216" s="4" t="inlineStr">
        <is>
          <t xml:space="preserve">40</t>
        </is>
      </c>
      <c r="F216" s="4" t="inlineStr">
        <is>
          <t xml:space="preserve">40</t>
        </is>
      </c>
      <c r="G216" s="4" t="inlineStr">
        <is>
          <t xml:space="preserve">40</t>
        </is>
      </c>
    </row>
    <row r="217">
      <c r="A217" s="4" t="inlineStr">
        <is>
          <t xml:space="preserve">P48</t>
        </is>
      </c>
      <c r="B217" s="4" t="inlineStr">
        <is>
          <t xml:space="preserve">_xlfn.xlookup(MAX($C$8,P47),$B$20:$O$20,$B$20:$O$20,MAX($B$20:$O$20),1)</t>
        </is>
      </c>
      <c r="C217" s="4" t="inlineStr">
        <is>
          <t xml:space="preserve">IF(MAX($C$8,P47)&gt;MAX($B$20:$O$20),MAX($B$20:$O$20),INDEX($B$20:$O$20,IFERROR(MATCH(MAX($C$8,P47),$B$20:$O$20,1),0)+ISNA(MATCH(MAX($C$8,P47),$B$20:$O$20,0))))</t>
        </is>
      </c>
      <c r="D217" s="4" t="inlineStr">
        <is>
          <t xml:space="preserve">42.70</t>
        </is>
      </c>
      <c r="E217" s="4" t="inlineStr">
        <is>
          <t xml:space="preserve">50</t>
        </is>
      </c>
      <c r="F217" s="4" t="inlineStr">
        <is>
          <t xml:space="preserve">50</t>
        </is>
      </c>
      <c r="G217" s="4" t="inlineStr">
        <is>
          <t xml:space="preserve">50</t>
        </is>
      </c>
    </row>
    <row r="218">
      <c r="A218" s="4" t="inlineStr">
        <is>
          <t xml:space="preserve">Q48</t>
        </is>
      </c>
      <c r="B218" s="4" t="inlineStr">
        <is>
          <t xml:space="preserve">_xlfn.xlookup(MAX($C$8,Q47),$B$20:$O$20,$B$20:$O$20,MAX($B$20:$O$20),1)</t>
        </is>
      </c>
      <c r="C218" s="4" t="inlineStr">
        <is>
          <t xml:space="preserve">IF(MAX($C$8,Q47)&gt;MAX($B$20:$O$20),MAX($B$20:$O$20),INDEX($B$20:$O$20,IFERROR(MATCH(MAX($C$8,Q47),$B$20:$O$20,1),0)+ISNA(MATCH(MAX($C$8,Q47),$B$20:$O$20,0))))</t>
        </is>
      </c>
      <c r="D218" s="4" t="inlineStr">
        <is>
          <t xml:space="preserve">49.68</t>
        </is>
      </c>
      <c r="E218" s="4" t="inlineStr">
        <is>
          <t xml:space="preserve">50</t>
        </is>
      </c>
      <c r="F218" s="4" t="inlineStr">
        <is>
          <t xml:space="preserve">50</t>
        </is>
      </c>
      <c r="G218" s="4" t="inlineStr">
        <is>
          <t xml:space="preserve">50</t>
        </is>
      </c>
    </row>
    <row r="219">
      <c r="A219" s="3" t="inlineStr">
        <is>
          <t xml:space="preserve">Model totals 2027 (v8 / Python replica): lift 1,622,423.15 / 1,622,423.15; tray 729,177.00 / 729,177.00; sup 241,293.75 / 241,293.75; total 2,592,893.90 / 2,592,893.90</t>
        </is>
      </c>
    </row>
    <row r="221">
      <c r="A221" s="2" t="inlineStr">
        <is>
          <t xml:space="preserve">Prod Payroll overlap with PO HC: two readings (B2)</t>
        </is>
      </c>
    </row>
    <row r="222">
      <c r="A222" s="0" t="inlineStr">
        <is>
          <t xml:space="preserve">v10: PO HC r20 (MH-01) is booked in CO through the Logistics&amp;WH model (user decision). Prod Payroll is unchanged and still counts 9 current staff. 9-of-9 reading: MH-01 is then capitalised (one of the 9) and expensed in CO: +2,821 of 2027 depreciation if taken out of the capitalised labour. 7-of-9 reading: no MH-01 overlap; PO HC r16 (Material Handling Team Lead) is in no expense line: (72,061) (I-41), 0 if r16 fills TL-01.</t>
        </is>
      </c>
    </row>
    <row r="223">
      <c r="A223" s="3" t="inlineStr">
        <is>
          <t xml:space="preserve">Reading</t>
        </is>
      </c>
      <c r="B223" s="3" t="inlineStr">
        <is>
          <t xml:space="preserve">Who overlaps</t>
        </is>
      </c>
      <c r="C223" s="3" t="inlineStr">
        <is>
          <t xml:space="preserve">I-05 net</t>
        </is>
      </c>
      <c r="D223" s="3" t="inlineStr">
        <is>
          <t xml:space="preserve">I-17 net</t>
        </is>
      </c>
      <c r="E223" s="3" t="inlineStr">
        <is>
          <t xml:space="preserve">I-05 + I-17</t>
        </is>
      </c>
    </row>
    <row r="224">
      <c r="A224" s="4" t="inlineStr">
        <is>
          <t xml:space="preserve">9 of 9 by count (v6)</t>
        </is>
      </c>
      <c r="B224" s="4" t="inlineStr">
        <is>
          <t xml:space="preserve">all 9 PO HC people = Prod Payroll's 9 current staff (7 lift + 2 tray, no names in the model)</t>
        </is>
      </c>
      <c r="C224" s="4" t="inlineStr">
        <is>
          <t xml:space="preserve">1,962,389</t>
        </is>
      </c>
      <c r="D224" s="4" t="inlineStr">
        <is>
          <t xml:space="preserve">336,530</t>
        </is>
      </c>
      <c r="E224" s="4" t="inlineStr">
        <is>
          <t xml:space="preserve">2,298,919 as shipped in v6: PO HC r20 taken out twice (in I-05 by count, in I-17 as MH-01 by name). Deduplicated, MH-01 counts as a new seat: 2,360,882</t>
        </is>
      </c>
    </row>
    <row r="225">
      <c r="A225" s="4" t="inlineStr">
        <is>
          <t xml:space="preserve">7 of 9 by role (critic B2)</t>
        </is>
      </c>
      <c r="B225" s="4" t="inlineStr">
        <is>
          <t xml:space="preserve">the 7 production staff (2 Team Lead, 2 Senior Production Technician, 1 Production Technician, 2 Production Associate) are Prod Payroll current staff; r20 Material Handler = MH-01 (name) and r16 Material Handling Team Lead (backfilled by MH-02) belong with Logistics&amp;WH</t>
        </is>
      </c>
      <c r="C225" s="4" t="inlineStr">
        <is>
          <t xml:space="preserve">2,102,502 (+140,112: 2 model seats at 70,056 each)</t>
        </is>
      </c>
      <c r="D225" s="4" t="inlineStr">
        <is>
          <t xml:space="preserve">336,530</t>
        </is>
      </c>
      <c r="E225" s="4" t="inlineStr">
        <is>
          <t xml:space="preserve">2,439,031 (no seat taken out twice)</t>
        </is>
      </c>
    </row>
    <row r="227">
      <c r="A227" s="2" t="inlineStr">
        <is>
          <t xml:space="preserve">Other v7 checks (critic v6 O1-O8, verifier V1; v7 figures, I-05 parts superseded by the capitalisation)</t>
        </is>
      </c>
    </row>
    <row r="228">
      <c r="A228" s="3" t="inlineStr">
        <is>
          <t xml:space="preserve">Item</t>
        </is>
      </c>
      <c r="B228" s="3" t="inlineStr">
        <is>
          <t xml:space="preserve">Point</t>
        </is>
      </c>
      <c r="C228" s="3" t="inlineStr">
        <is>
          <t xml:space="preserve">Finding</t>
        </is>
      </c>
      <c r="D228" s="3" t="inlineStr">
        <is>
          <t xml:space="preserve">Source</t>
        </is>
      </c>
    </row>
    <row r="229">
      <c r="A229" s="4" t="inlineStr">
        <is>
          <t xml:space="preserve">O1</t>
        </is>
      </c>
      <c r="B229" s="4" t="inlineStr">
        <is>
          <t xml:space="preserve">I-05 at PO HC burden rates</t>
        </is>
      </c>
      <c r="C229" s="4" t="inlineStr">
        <is>
          <t xml:space="preserve">PO HC 24.3% of salary vs the model's 15.6%: +141,924; ramp 2,104,313 (9-overlap)</t>
        </is>
      </c>
      <c r="D229" s="4" t="inlineStr">
        <is>
          <t xml:space="preserve">'HC-PO'!D6:D7; Prod Payroll B6:C7, H6:H7</t>
        </is>
      </c>
    </row>
    <row r="230">
      <c r="A230" s="4" t="inlineStr">
        <is>
          <t xml:space="preserve">O2</t>
        </is>
      </c>
      <c r="B230" s="4" t="inlineStr">
        <is>
          <t xml:space="preserve">SD models may be older than the roster</t>
        </is>
      </c>
      <c r="C230" s="4" t="inlineStr">
        <is>
          <t xml:space="preserve">Prod Payroll Sep-Dec 26 hires 15 (Sep-26: 3 lift, 1 tray, 1 sup; Nov-26: 6 lift, 3 tray, 1 sup); Logistics&amp;WH TL-01 Material Handling Team Lead Dec-26, MH-02 Material Handler Oct-26; none on the HC rosters (workfile saved 2026-10-07). Question: when were the models last updated? (I-38)</t>
        </is>
      </c>
      <c r="D230" s="4" t="inlineStr">
        <is>
          <t xml:space="preserve">Prod Payroll rows 31, 52, 71; HC tabs</t>
        </is>
      </c>
    </row>
    <row r="231">
      <c r="A231" s="4" t="inlineStr">
        <is>
          <t xml:space="preserve">O3</t>
        </is>
      </c>
      <c r="B231" s="4" t="inlineStr">
        <is>
          <t xml:space="preserve">FO/FE person</t>
        </is>
      </c>
      <c r="C231" s="4" t="inlineStr">
        <is>
          <t xml:space="preserve">Probable duplicate (name match only; title/salary differ; likely FO-&gt;FE move); upside pro rata to the months after the move (about 6,544 per month on the FO side)</t>
        </is>
      </c>
      <c r="D231" s="4" t="inlineStr">
        <is>
          <t xml:space="preserve">I-28; Decision #7</t>
        </is>
      </c>
    </row>
    <row r="232">
      <c r="A232" s="4" t="inlineStr">
        <is>
          <t xml:space="preserve">O4 / V1</t>
        </is>
      </c>
      <c r="B232" s="4" t="inlineStr">
        <is>
          <t xml:space="preserve">I-28 FO side with knock-ons</t>
        </is>
      </c>
      <c r="C232" s="4" t="inlineStr">
        <is>
          <t xml:space="preserve">Fld Ops Payroll B11 14 -&gt; 13, LibreOffice recalculation: +78,529.08 = payroll +78,198.12 + 5330 +330.96 (Fld Maint Budget!B29); supervisor headcount unchanged (True); after 217,561 (v6: +78,198, 217,230)</t>
        </is>
      </c>
      <c r="D232" s="4" t="inlineStr">
        <is>
          <t xml:space="preserve">scen_v7.py; COO P&amp;L!AG46, AG52:AG54</t>
        </is>
      </c>
    </row>
    <row r="233">
      <c r="A233" s="4" t="inlineStr">
        <is>
          <t xml:space="preserve">O5</t>
        </is>
      </c>
      <c r="B233" s="4" t="inlineStr">
        <is>
          <t xml:space="preserve">FE HC r35 is an open seat</t>
        </is>
      </c>
      <c r="C233" s="4" t="inlineStr">
        <is>
          <t xml:space="preserve">'Open Positions' (HC-FE row 34), no employee; A-29 amended (start relaxed); _2 excludes it, SD costs it from Jan-27: up to +173,774 (I-39)</t>
        </is>
      </c>
      <c r="D233" s="4" t="inlineStr">
        <is>
          <t xml:space="preserve">'HC-FE'!B34:F35; Fld Eng Budget r20</t>
        </is>
      </c>
    </row>
    <row r="234">
      <c r="A234" s="4" t="inlineStr">
        <is>
          <t xml:space="preserve">O6</t>
        </is>
      </c>
      <c r="B234" s="4" t="inlineStr">
        <is>
          <t xml:space="preserve">HC T&amp;B tax rates below FICA</t>
        </is>
      </c>
      <c r="C234" s="4" t="inlineStr">
        <is>
          <t xml:space="preserve">all five below 7.65% (3.57%-6.85%); PO/CO/PE up to (77,882); I-34 +76,600 if FE tax at 7.65% (I-37)</t>
        </is>
      </c>
      <c r="D234" s="4" t="inlineStr">
        <is>
          <t xml:space="preserve">'HC-*'!D6</t>
        </is>
      </c>
    </row>
    <row r="235">
      <c r="A235" s="4" t="inlineStr">
        <is>
          <t xml:space="preserve">O7</t>
        </is>
      </c>
      <c r="B235" s="4" t="inlineStr">
        <is>
          <t xml:space="preserve">Range asymmetry</t>
        </is>
      </c>
      <c r="C235" s="4" t="inlineStr">
        <is>
          <t xml:space="preserve">lower bound 1 (2,723,481) (9-overlap (2,645,332)); lower bound 2 (excl. I-05) (620,980); I-05 capitalised on top (690,337); upper 1,492,606</t>
        </is>
      </c>
      <c r="D235" s="4" t="inlineStr">
        <is>
          <t xml:space="preserve">Sign-flip statement</t>
        </is>
      </c>
    </row>
    <row r="236">
      <c r="A236" s="4" t="inlineStr">
        <is>
          <t xml:space="preserve">O8</t>
        </is>
      </c>
      <c r="B236" s="4" t="inlineStr">
        <is>
          <t xml:space="preserve">Privacy</t>
        </is>
      </c>
      <c r="C236" s="4" t="inlineStr">
        <is>
          <t xml:space="preserve">CONFIDENTIAL banner (md and Collation Notes); per-person amounts rounded to $5k in the md (A-35); no per-person CSV written in v7; scratch name lists deleted</t>
        </is>
      </c>
      <c r="D236" s="4" t="inlineStr">
        <is>
          <t xml:space="preserve">md; Collation Notes; run_build_v7.sh</t>
        </is>
      </c>
    </row>
    <row r="238">
      <c r="A238" s="2" t="inlineStr">
        <is>
          <t xml:space="preserve">Payroll reconciliation (v10): HC roster vs P&amp;L payroll lines (2027, salary + tax + benefits)</t>
        </is>
      </c>
    </row>
    <row r="239">
      <c r="A239" s="0" t="inlineStr">
        <is>
          <t xml:space="preserve">FO: SD Fld Ops Payroll = current 16 (= FO HC 16: 14 techs by count, coordinator and manager by name) 1,338,696 + ramp 2,618,543 = 3,957,239 (FO 5510-5540). Current salary 1,086,604 vs FO HC / COO book 5510 1,088,252 ((1,648): model average tech salary).</t>
        </is>
      </c>
    </row>
    <row r="240">
      <c r="A240" s="0" t="inlineStr">
        <is>
          <t xml:space="preserve">PO: PO HC 9 = 652,820. PO 5110-5140 2027 = 0 (capitalised, Decision #1). B131 = 0 base = PO HC less r20 (MH-01, now in CO): 590,318 (v9 652,820). Prod Payroll capitalises its 9 current staff by count (unchanged).</t>
        </is>
      </c>
    </row>
    <row r="241">
      <c r="A241" s="0" t="inlineStr">
        <is>
          <t xml:space="preserve">CO: CO 6610-6640 = CO HC roster 748,768 (6 people: the 5 of v9 + the new CO employee (user-confirmed, 110k)) + Logistics&amp;WH less LOG-01 398,492 (8 seats incl. MH-01) = 1,147,260 (v9 618,961).</t>
        </is>
      </c>
    </row>
    <row r="242">
      <c r="A242" s="0" t="inlineStr">
        <is>
          <t xml:space="preserve">PE: PE HC 9 = PE 6610-6640; r22 'transfer?' 254,785 (I-35). FE: budget = Fld Eng Budget; FE HC + r15 (I-28) + Aug-27 hire (I-36); burden +109,539 vs FE HC rates (I-34).</t>
        </is>
      </c>
    </row>
    <row r="243">
      <c r="A243" s="3" t="inlineStr">
        <is>
          <t xml:space="preserve">Dept</t>
        </is>
      </c>
      <c r="B243" s="3" t="inlineStr">
        <is>
          <t xml:space="preserve">GL</t>
        </is>
      </c>
      <c r="C243" s="3" t="inlineStr">
        <is>
          <t xml:space="preserve">HC people</t>
        </is>
      </c>
      <c r="D243" s="3" t="inlineStr">
        <is>
          <t xml:space="preserve">HC roster total</t>
        </is>
      </c>
      <c r="E243" s="3" t="inlineStr">
        <is>
          <t xml:space="preserve">v6 P&amp;L (= v5)</t>
        </is>
      </c>
      <c r="F243" s="3" t="inlineStr">
        <is>
          <t xml:space="preserve">COO book _2</t>
        </is>
      </c>
      <c r="G243" s="3" t="inlineStr">
        <is>
          <t xml:space="preserve">v10 P&amp;L line (2027)</t>
        </is>
      </c>
    </row>
    <row r="244">
      <c r="A244" s="4" t="inlineStr">
        <is>
          <t xml:space="preserve">FO</t>
        </is>
      </c>
      <c r="B244" s="4" t="inlineStr">
        <is>
          <t xml:space="preserve">5510/5530/5540</t>
        </is>
      </c>
      <c r="C244" s="5">
        <v>16</v>
      </c>
      <c r="D244" s="5">
        <v>1341297.54</v>
      </c>
      <c r="E244" s="5">
        <v>3957238.64</v>
      </c>
      <c r="F244" s="5">
        <v>1341297.54</v>
      </c>
      <c r="G244" s="5">
        <v>3957238.64</v>
      </c>
    </row>
    <row r="245">
      <c r="A245" s="4" t="inlineStr">
        <is>
          <t xml:space="preserve">PO</t>
        </is>
      </c>
      <c r="B245" s="4" t="inlineStr">
        <is>
          <t xml:space="preserve">5110/5130/5140</t>
        </is>
      </c>
      <c r="C245" s="5">
        <v>9</v>
      </c>
      <c r="D245" s="5">
        <v>652819.95</v>
      </c>
      <c r="E245" s="5">
        <v>652819.95</v>
      </c>
      <c r="F245" s="5">
        <v>652819.95</v>
      </c>
      <c r="G245" s="4" t="inlineStr">
        <is>
          <t xml:space="preserve">0 booked; B131 = 0: 590,318</t>
        </is>
      </c>
    </row>
    <row r="246">
      <c r="A246" s="4" t="inlineStr">
        <is>
          <t xml:space="preserve">CO</t>
        </is>
      </c>
      <c r="B246" s="4" t="inlineStr">
        <is>
          <t xml:space="preserve">6610/6630/6640</t>
        </is>
      </c>
      <c r="C246" s="5">
        <v>6</v>
      </c>
      <c r="D246" s="5">
        <v>748767.51</v>
      </c>
      <c r="E246" s="5">
        <v>618961.22</v>
      </c>
      <c r="F246" s="5">
        <v>618961.22</v>
      </c>
      <c r="G246" s="5">
        <v>1147259.93</v>
      </c>
    </row>
    <row r="247">
      <c r="A247" s="4" t="inlineStr">
        <is>
          <t xml:space="preserve">FE</t>
        </is>
      </c>
      <c r="B247" s="4" t="inlineStr">
        <is>
          <t xml:space="preserve">6610/6630/6640</t>
        </is>
      </c>
      <c r="C247" s="5">
        <v>7</v>
      </c>
      <c r="D247" s="5">
        <v>908979.5</v>
      </c>
      <c r="E247" s="5">
        <v>1133297.54</v>
      </c>
      <c r="F247" s="5">
        <v>752001.97</v>
      </c>
      <c r="G247" s="5">
        <v>1133297.54</v>
      </c>
    </row>
    <row r="248">
      <c r="A248" s="4" t="inlineStr">
        <is>
          <t xml:space="preserve">PE</t>
        </is>
      </c>
      <c r="B248" s="4" t="inlineStr">
        <is>
          <t xml:space="preserve">6610/6630/6640</t>
        </is>
      </c>
      <c r="C248" s="5">
        <v>9</v>
      </c>
      <c r="D248" s="5">
        <v>1211637.29</v>
      </c>
      <c r="E248" s="5">
        <v>1211637.29</v>
      </c>
      <c r="F248" s="5">
        <v>1211637.29</v>
      </c>
      <c r="G248" s="5">
        <v>1211637.29</v>
      </c>
    </row>
    <row r="250">
      <c r="A250" s="2" t="inlineStr">
        <is>
          <t xml:space="preserve">Duplicate scan (I-28): person matches across rosters (names not shown)</t>
        </is>
      </c>
    </row>
    <row r="251">
      <c r="A251" s="3" t="inlineStr">
        <is>
          <t xml:space="preserve">Person A</t>
        </is>
      </c>
      <c r="B251" s="3" t="inlineStr">
        <is>
          <t xml:space="preserve">Person B</t>
        </is>
      </c>
      <c r="C251" s="3" t="inlineStr">
        <is>
          <t xml:space="preserve">Match basis</t>
        </is>
      </c>
      <c r="D251" s="3" t="inlineStr">
        <is>
          <t xml:space="preserve">Classification</t>
        </is>
      </c>
    </row>
    <row r="252">
      <c r="A252" s="4" t="inlineStr">
        <is>
          <t xml:space="preserve">FO HC r15 Field Technician</t>
        </is>
      </c>
      <c r="B252" s="4" t="inlineStr">
        <is>
          <t xml:space="preserve">Fld Eng Budget r15 Field Engineer</t>
        </is>
      </c>
      <c r="C252" s="4" t="inlineStr">
        <is>
          <t xml:space="preserve">name</t>
        </is>
      </c>
      <c r="D252" s="4" t="inlineStr">
        <is>
          <t xml:space="preserve">PROBABLE DUPLICATE (name match only; title and salary differ; likely FO-&gt;FE move) across P&amp;L sources: FO 5510-5540 (Fld Ops Payroll current techs, by count) and FE 6610-6640 (Fld Eng Budget)</t>
        </is>
      </c>
    </row>
    <row r="253">
      <c r="A253" s="4" t="inlineStr">
        <is>
          <t xml:space="preserve">FO HC r21 Operations Coordinator</t>
        </is>
      </c>
      <c r="B253" s="4" t="inlineStr">
        <is>
          <t xml:space="preserve">Fld Ops Payroll r76 Operations Coordinator</t>
        </is>
      </c>
      <c r="C253" s="4" t="inlineStr">
        <is>
          <t xml:space="preserve">name</t>
        </is>
      </c>
      <c r="D253" s="4" t="inlineStr">
        <is>
          <t xml:space="preserve">same person, one P&amp;L source (FO 5510-5540 via Fld Ops Payroll)</t>
        </is>
      </c>
    </row>
    <row r="254">
      <c r="A254" s="4" t="inlineStr">
        <is>
          <t xml:space="preserve">FO HC r25 Field Maintenance Manager</t>
        </is>
      </c>
      <c r="B254" s="4" t="inlineStr">
        <is>
          <t xml:space="preserve">Fld Ops Payroll r77 Manager</t>
        </is>
      </c>
      <c r="C254" s="4" t="inlineStr">
        <is>
          <t xml:space="preserve">name</t>
        </is>
      </c>
      <c r="D254" s="4" t="inlineStr">
        <is>
          <t xml:space="preserve">same person, one P&amp;L source (FO 5510-5540 via Fld Ops Payroll)</t>
        </is>
      </c>
    </row>
    <row r="255">
      <c r="A255" s="4" t="inlineStr">
        <is>
          <t xml:space="preserve">PO HC r20 Material Handler</t>
        </is>
      </c>
      <c r="B255" s="4" t="inlineStr">
        <is>
          <t xml:space="preserve">Logistics&amp;WH MH-01 Material Handler</t>
        </is>
      </c>
      <c r="C255" s="4" t="inlineStr">
        <is>
          <t xml:space="preserve">name</t>
        </is>
      </c>
      <c r="D255" s="4" t="inlineStr">
        <is>
          <t xml:space="preserve">duplicate if the Logistics&amp;WH model is adopted (model not carried); excluded from the I-17 net increment</t>
        </is>
      </c>
    </row>
    <row r="256">
      <c r="A256" s="4" t="inlineStr">
        <is>
          <t xml:space="preserve">CO HC r17 Field Logistics Manager</t>
        </is>
      </c>
      <c r="B256" s="4" t="inlineStr">
        <is>
          <t xml:space="preserve">Logistics&amp;WH LOG-01 Logistics Manager</t>
        </is>
      </c>
      <c r="C256" s="4" t="inlineStr">
        <is>
          <t xml:space="preserve">name</t>
        </is>
      </c>
      <c r="D256" s="4" t="inlineStr">
        <is>
          <t xml:space="preserve">duplicate if the Logistics&amp;WH model is adopted (model not carried); excluded from the I-17 net increment</t>
        </is>
      </c>
    </row>
    <row r="257">
      <c r="A257" s="4" t="inlineStr">
        <is>
          <t xml:space="preserve">FE HC r14 Senior Field Robotics Engineer</t>
        </is>
      </c>
      <c r="B257" s="4" t="inlineStr">
        <is>
          <t xml:space="preserve">Fld Eng Budget r13 Field Engineer</t>
        </is>
      </c>
      <c r="C257" s="4" t="inlineStr">
        <is>
          <t xml:space="preserve">name</t>
        </is>
      </c>
      <c r="D257" s="4" t="inlineStr">
        <is>
          <t xml:space="preserve">same person, one P&amp;L source (FE 6610-6640 via Fld Eng Budget; FE HC is the roster, not costed separately)</t>
        </is>
      </c>
    </row>
    <row r="258">
      <c r="A258" s="4" t="inlineStr">
        <is>
          <t xml:space="preserve">FE HC r15 Associate Field Robotics Engineer</t>
        </is>
      </c>
      <c r="B258" s="4" t="inlineStr">
        <is>
          <t xml:space="preserve">Fld Eng Budget r14 Field Engineer</t>
        </is>
      </c>
      <c r="C258" s="4" t="inlineStr">
        <is>
          <t xml:space="preserve">name</t>
        </is>
      </c>
      <c r="D258" s="4" t="inlineStr">
        <is>
          <t xml:space="preserve">same person, one P&amp;L source (FE 6610-6640 via Fld Eng Budget; FE HC is the roster, not costed separately)</t>
        </is>
      </c>
    </row>
    <row r="259">
      <c r="A259" s="4" t="inlineStr">
        <is>
          <t xml:space="preserve">FE HC r16 Head of Service Delivery</t>
        </is>
      </c>
      <c r="B259" s="4" t="inlineStr">
        <is>
          <t xml:space="preserve">Fld Eng Budget r21 Head of Service Delivery</t>
        </is>
      </c>
      <c r="C259" s="4" t="inlineStr">
        <is>
          <t xml:space="preserve">name</t>
        </is>
      </c>
      <c r="D259" s="4" t="inlineStr">
        <is>
          <t xml:space="preserve">same person, one P&amp;L source (FE 6610-6640 via Fld Eng Budget; FE HC is the roster, not costed separately)</t>
        </is>
      </c>
    </row>
    <row r="260">
      <c r="A260" s="4" t="inlineStr">
        <is>
          <t xml:space="preserve">FE HC r17 Customer Support Manager</t>
        </is>
      </c>
      <c r="B260" s="4" t="inlineStr">
        <is>
          <t xml:space="preserve">Fld Eng Budget r17 Customer Support Manager</t>
        </is>
      </c>
      <c r="C260" s="4" t="inlineStr">
        <is>
          <t xml:space="preserve">name</t>
        </is>
      </c>
      <c r="D260" s="4" t="inlineStr">
        <is>
          <t xml:space="preserve">same person, one P&amp;L source (FE 6610-6640 via Fld Eng Budget; FE HC is the roster, not costed separately)</t>
        </is>
      </c>
    </row>
    <row r="261">
      <c r="A261" s="4" t="inlineStr">
        <is>
          <t xml:space="preserve">FE HC r18 Customer Support Specialist</t>
        </is>
      </c>
      <c r="B261" s="4" t="inlineStr">
        <is>
          <t xml:space="preserve">Fld Eng Budget r18 Customer Support Specialist</t>
        </is>
      </c>
      <c r="C261" s="4" t="inlineStr">
        <is>
          <t xml:space="preserve">name</t>
        </is>
      </c>
      <c r="D261" s="4" t="inlineStr">
        <is>
          <t xml:space="preserve">same person, one P&amp;L source (FE 6610-6640 via Fld Eng Budget; FE HC is the roster, not costed separately)</t>
        </is>
      </c>
    </row>
    <row r="262">
      <c r="A262" s="4" t="inlineStr">
        <is>
          <t xml:space="preserve">FE HC r19 Associate Field Robotics Engineer</t>
        </is>
      </c>
      <c r="B262" s="4" t="inlineStr">
        <is>
          <t xml:space="preserve">Fld Eng Budget r16 Field Engineer</t>
        </is>
      </c>
      <c r="C262" s="4" t="inlineStr">
        <is>
          <t xml:space="preserve">name</t>
        </is>
      </c>
      <c r="D262" s="4" t="inlineStr">
        <is>
          <t xml:space="preserve">same person, one P&amp;L source (FE 6610-6640 via Fld Eng Budget; FE HC is the roster, not costed separately)</t>
        </is>
      </c>
    </row>
    <row r="263">
      <c r="A263" s="4" t="inlineStr">
        <is>
          <t xml:space="preserve">FE HC r35 Field Engineer Manager</t>
        </is>
      </c>
      <c r="B263" s="4" t="inlineStr">
        <is>
          <t xml:space="preserve">Fld Eng Budget r20 Field Engineering Manager</t>
        </is>
      </c>
      <c r="C263" s="4" t="inlineStr">
        <is>
          <t xml:space="preserve">title + salary (start Dec-26 vs Jan-27)</t>
        </is>
      </c>
      <c r="D263" s="4" t="inlineStr">
        <is>
          <t xml:space="preserve">same seat (open position, no employee; start month relaxed, A-29), one P&amp;L source (FE 6610-6640 via Fld Eng Budget)</t>
        </is>
      </c>
    </row>
    <row r="265">
      <c r="A265" s="2" t="inlineStr">
        <is>
          <t xml:space="preserve">HC tabs: external-link formulas in the workfile, stored as cached values</t>
        </is>
      </c>
    </row>
    <row r="266">
      <c r="A266" s="3" t="inlineStr">
        <is>
          <t xml:space="preserve">Tab</t>
        </is>
      </c>
      <c r="B266" s="3" t="inlineStr">
        <is>
          <t xml:space="preserve">Cell</t>
        </is>
      </c>
      <c r="C266" s="3" t="inlineStr">
        <is>
          <t xml:space="preserve">Original formula (text)</t>
        </is>
      </c>
      <c r="D266" s="3" t="inlineStr">
        <is>
          <t xml:space="preserve">Stored value</t>
        </is>
      </c>
    </row>
    <row r="267">
      <c r="A267" s="4" t="inlineStr">
        <is>
          <t xml:space="preserve">HC-FO</t>
        </is>
      </c>
      <c r="B267" s="4" t="inlineStr">
        <is>
          <t xml:space="preserve">D6</t>
        </is>
      </c>
      <c r="C267" s="4" t="inlineStr">
        <is>
          <t xml:space="preserve">INDEX('[1]T&amp;B'!$S$13:$S$122,MATCH("FO",'[1]T&amp;B'!$R$13:$R$122,0))</t>
        </is>
      </c>
      <c r="D267" s="5">
        <v>0.06847090843043674</v>
      </c>
    </row>
    <row r="268">
      <c r="A268" s="4" t="inlineStr">
        <is>
          <t xml:space="preserve">HC-FO</t>
        </is>
      </c>
      <c r="B268" s="4" t="inlineStr">
        <is>
          <t xml:space="preserve">D7</t>
        </is>
      </c>
      <c r="C268" s="4" t="inlineStr">
        <is>
          <t xml:space="preserve">INDEX('[1]T&amp;B'!$T$13:$T$122,MATCH("FO",'[1]T&amp;B'!$R$13:$R$122,0))</t>
        </is>
      </c>
      <c r="D268" s="5">
        <v>0.1640537075149925</v>
      </c>
    </row>
    <row r="269">
      <c r="A269" s="4" t="inlineStr">
        <is>
          <t xml:space="preserve">HC-PO</t>
        </is>
      </c>
      <c r="B269" s="4" t="inlineStr">
        <is>
          <t xml:space="preserve">D6</t>
        </is>
      </c>
      <c r="C269" s="4" t="inlineStr">
        <is>
          <t xml:space="preserve">INDEX('[1]T&amp;B'!$S$13:$S$122,MATCH("PO",'[1]T&amp;B'!$R$13:$R$122,0))</t>
        </is>
      </c>
      <c r="D269" s="5">
        <v>0.0363688968844175</v>
      </c>
    </row>
    <row r="270">
      <c r="A270" s="4" t="inlineStr">
        <is>
          <t xml:space="preserve">HC-PO</t>
        </is>
      </c>
      <c r="B270" s="4" t="inlineStr">
        <is>
          <t xml:space="preserve">D7</t>
        </is>
      </c>
      <c r="C270" s="4" t="inlineStr">
        <is>
          <t xml:space="preserve">INDEX('[1]T&amp;B'!$T$13:$T$122,MATCH("PO",'[1]T&amp;B'!$R$13:$R$122,0))</t>
        </is>
      </c>
      <c r="D270" s="5">
        <v>0.2063626870194415</v>
      </c>
    </row>
    <row r="271">
      <c r="A271" s="4" t="inlineStr">
        <is>
          <t xml:space="preserve">HC-CO</t>
        </is>
      </c>
      <c r="B271" s="4" t="inlineStr">
        <is>
          <t xml:space="preserve">D6</t>
        </is>
      </c>
      <c r="C271" s="4" t="inlineStr">
        <is>
          <t xml:space="preserve">INDEX('[1]T&amp;B'!$S$13:$S$122,MATCH("CO",'[1]T&amp;B'!$R$13:$R$122,0))</t>
        </is>
      </c>
      <c r="D271" s="5">
        <v>0.05221456081868095</v>
      </c>
    </row>
    <row r="272">
      <c r="A272" s="4" t="inlineStr">
        <is>
          <t xml:space="preserve">HC-CO</t>
        </is>
      </c>
      <c r="B272" s="4" t="inlineStr">
        <is>
          <t xml:space="preserve">D7</t>
        </is>
      </c>
      <c r="C272" s="4" t="inlineStr">
        <is>
          <t xml:space="preserve">INDEX('[1]T&amp;B'!$T$13:$T$122,MATCH("CO",'[1]T&amp;B'!$R$13:$R$122,0))</t>
        </is>
      </c>
      <c r="D272" s="5">
        <v>0.11905805336231291</v>
      </c>
    </row>
    <row r="273">
      <c r="A273" s="4" t="inlineStr">
        <is>
          <t xml:space="preserve">HC-FE</t>
        </is>
      </c>
      <c r="B273" s="4" t="inlineStr">
        <is>
          <t xml:space="preserve">D6</t>
        </is>
      </c>
      <c r="C273" s="4" t="inlineStr">
        <is>
          <t xml:space="preserve">INDEX('[1]T&amp;B'!$S$13:$S$122,MATCH("FE",'[1]T&amp;B'!$R$13:$R$122,0))</t>
        </is>
      </c>
      <c r="D273" s="5">
        <v>0.04069206916139072</v>
      </c>
    </row>
    <row r="274">
      <c r="A274" s="4" t="inlineStr">
        <is>
          <t xml:space="preserve">HC-FE</t>
        </is>
      </c>
      <c r="B274" s="4" t="inlineStr">
        <is>
          <t xml:space="preserve">D7</t>
        </is>
      </c>
      <c r="C274" s="4" t="inlineStr">
        <is>
          <t xml:space="preserve">INDEX('[1]T&amp;B'!$T$13:$T$122,MATCH("FE",'[1]T&amp;B'!$R$13:$R$122,0))</t>
        </is>
      </c>
      <c r="D274" s="5">
        <v>0.07222908537898412</v>
      </c>
    </row>
    <row r="275">
      <c r="A275" s="4" t="inlineStr">
        <is>
          <t xml:space="preserve">HC-PE</t>
        </is>
      </c>
      <c r="B275" s="4" t="inlineStr">
        <is>
          <t xml:space="preserve">D6</t>
        </is>
      </c>
      <c r="C275" s="4" t="inlineStr">
        <is>
          <t xml:space="preserve">INDEX('[1]T&amp;B'!$S$13:$S$122,MATCH("PE",'[1]T&amp;B'!$R$13:$R$122,0))</t>
        </is>
      </c>
      <c r="D275" s="5">
        <v>0.03571466207894362</v>
      </c>
    </row>
    <row r="276">
      <c r="A276" s="4" t="inlineStr">
        <is>
          <t xml:space="preserve">HC-PE</t>
        </is>
      </c>
      <c r="B276" s="4" t="inlineStr">
        <is>
          <t xml:space="preserve">D7</t>
        </is>
      </c>
      <c r="C276" s="4" t="inlineStr">
        <is>
          <t xml:space="preserve">INDEX('[1]T&amp;B'!$T$13:$T$122,MATCH("PE",'[1]T&amp;B'!$R$13:$R$122,0))</t>
        </is>
      </c>
      <c r="D276" s="5">
        <v>0.08823232679686793</v>
      </c>
    </row>
    <row r="278">
      <c r="A278" s="2" t="inlineStr">
        <is>
          <t xml:space="preserve">Assumptions register</t>
        </is>
      </c>
    </row>
    <row r="279">
      <c r="A279" s="3" t="inlineStr">
        <is>
          <t xml:space="preserve">ID</t>
        </is>
      </c>
      <c r="B279" s="3" t="inlineStr">
        <is>
          <t xml:space="preserve">Assumption</t>
        </is>
      </c>
      <c r="C279" s="3" t="inlineStr">
        <is>
          <t xml:space="preserve">Value / effect</t>
        </is>
      </c>
      <c r="D279" s="3" t="inlineStr">
        <is>
          <t xml:space="preserve">Where</t>
        </is>
      </c>
      <c r="E279" s="3" t="inlineStr">
        <is>
          <t xml:space="preserve">Source</t>
        </is>
      </c>
    </row>
    <row r="280">
      <c r="A280" s="4" t="inlineStr">
        <is>
          <t xml:space="preserve">A-01</t>
        </is>
      </c>
      <c r="B280" s="4" t="inlineStr">
        <is>
          <t xml:space="preserve">2027 revenue = DeploySum recognized revenue Jan-Dec 27</t>
        </is>
      </c>
      <c r="C280" s="4" t="inlineStr">
        <is>
          <t xml:space="preserve">15,563,646</t>
        </is>
      </c>
      <c r="D280" s="4" t="inlineStr">
        <is>
          <t xml:space="preserve">PO!U12:AF12 &lt;- DeploySum!F40:Q40</t>
        </is>
      </c>
      <c r="E280" s="4" t="inlineStr">
        <is>
          <t xml:space="preserve">DeploySum 9/30/26 (row 39 in that file)</t>
        </is>
      </c>
    </row>
    <row r="281">
      <c r="A281" s="4" t="inlineStr">
        <is>
          <t xml:space="preserve">A-02</t>
        </is>
      </c>
      <c r="B281" s="4" t="inlineStr">
        <is>
          <t xml:space="preserve">All 2027 revenue maps to 4100 Subscription/Platform Fees</t>
        </is>
      </c>
      <c r="C281" s="4" t="inlineStr">
        <is>
          <t xml:space="preserve">4100 = 100%</t>
        </is>
      </c>
      <c r="D281" s="4" t="inlineStr">
        <is>
          <t xml:space="preserve">PO row 12</t>
        </is>
      </c>
      <c r="E281" s="4" t="inlineStr">
        <is>
          <t xml:space="preserve">orchestrator assumption (brief v3)</t>
        </is>
      </c>
    </row>
    <row r="282">
      <c r="A282" s="4" t="inlineStr">
        <is>
          <t xml:space="preserve">A-03</t>
        </is>
      </c>
      <c r="B282" s="4" t="inlineStr">
        <is>
          <t xml:space="preserve">4500 Implementation and 4900 One-Time revenue stay 0 in 2027</t>
        </is>
      </c>
      <c r="C282" s="4" t="inlineStr">
        <is>
          <t xml:space="preserve">0</t>
        </is>
      </c>
      <c r="D282" s="4" t="inlineStr">
        <is>
          <t xml:space="preserve">PO rows 13, 15 (unchanged)</t>
        </is>
      </c>
      <c r="E282" s="4" t="inlineStr">
        <is>
          <t xml:space="preserve">orchestrator assumption (brief v3: source does not split them)</t>
        </is>
      </c>
    </row>
    <row r="283">
      <c r="A283" s="4" t="inlineStr">
        <is>
          <t xml:space="preserve">A-04</t>
        </is>
      </c>
      <c r="B283" s="4" t="inlineStr">
        <is>
          <t xml:space="preserve">Straight-line depreciation, no salvage</t>
        </is>
      </c>
      <c r="C283" s="4" t="inlineStr">
        <is>
          <t xml:space="preserve">salvage 0%</t>
        </is>
      </c>
      <c r="D283" s="4" t="inlineStr">
        <is>
          <t xml:space="preserve">'Depreciation Schedule'!B12</t>
        </is>
      </c>
      <c r="E283" s="4" t="inlineStr">
        <is>
          <t xml:space="preserve">user-confirmed 2026-10-09</t>
        </is>
      </c>
    </row>
    <row r="284">
      <c r="A284" s="4" t="inlineStr">
        <is>
          <t xml:space="preserve">A-05</t>
        </is>
      </c>
      <c r="B284" s="4" t="inlineStr">
        <is>
          <t xml:space="preserve">SlipLift useful life</t>
        </is>
      </c>
      <c r="C284" s="4" t="inlineStr">
        <is>
          <t xml:space="preserve">84 months</t>
        </is>
      </c>
      <c r="D284" s="4" t="inlineStr">
        <is>
          <t xml:space="preserve">'Depreciation Schedule'!B9</t>
        </is>
      </c>
      <c r="E284" s="4" t="inlineStr">
        <is>
          <t xml:space="preserve">user-confirmed 2026-10-09</t>
        </is>
      </c>
    </row>
    <row r="285">
      <c r="A285" s="4" t="inlineStr">
        <is>
          <t xml:space="preserve">A-06</t>
        </is>
      </c>
      <c r="B285" s="4" t="inlineStr">
        <is>
          <t xml:space="preserve">SlipTray useful life</t>
        </is>
      </c>
      <c r="C285" s="4" t="inlineStr">
        <is>
          <t xml:space="preserve">120 months</t>
        </is>
      </c>
      <c r="D285" s="4" t="inlineStr">
        <is>
          <t xml:space="preserve">'Depreciation Schedule'!B10</t>
        </is>
      </c>
      <c r="E285" s="4" t="inlineStr">
        <is>
          <t xml:space="preserve">user-confirmed 2026-10-09</t>
        </is>
      </c>
    </row>
    <row r="286">
      <c r="A286" s="4" t="inlineStr">
        <is>
          <t xml:space="preserve">A-07</t>
        </is>
      </c>
      <c r="B286" s="4" t="inlineStr">
        <is>
          <t xml:space="preserve">SlipLift unit cost</t>
        </is>
      </c>
      <c r="C286" s="4" t="inlineStr">
        <is>
          <t xml:space="preserve">65,000</t>
        </is>
      </c>
      <c r="D286" s="4" t="inlineStr">
        <is>
          <t xml:space="preserve">'Depreciation Schedule'!B6</t>
        </is>
      </c>
      <c r="E286" s="4" t="inlineStr">
        <is>
          <t xml:space="preserve">source: DeploySum!A46 note 3</t>
        </is>
      </c>
    </row>
    <row r="287">
      <c r="A287" s="4" t="inlineStr">
        <is>
          <t xml:space="preserve">A-08</t>
        </is>
      </c>
      <c r="B287" s="4" t="inlineStr">
        <is>
          <t xml:space="preserve">SlipTray unit cost</t>
        </is>
      </c>
      <c r="C287" s="4" t="inlineStr">
        <is>
          <t xml:space="preserve">8,000</t>
        </is>
      </c>
      <c r="D287" s="4" t="inlineStr">
        <is>
          <t xml:space="preserve">'Depreciation Schedule'!B8</t>
        </is>
      </c>
      <c r="E287" s="4" t="inlineStr">
        <is>
          <t xml:space="preserve">source: DeploySum!A46 note 3</t>
        </is>
      </c>
    </row>
    <row r="288">
      <c r="A288" s="4" t="inlineStr">
        <is>
          <t xml:space="preserve">A-09</t>
        </is>
      </c>
      <c r="B288" s="4" t="inlineStr">
        <is>
          <t xml:space="preserve">SlipLift peripherals cost per lift</t>
        </is>
      </c>
      <c r="C288" s="4" t="inlineStr">
        <is>
          <t xml:space="preserve">4,137.50</t>
        </is>
      </c>
      <c r="D288" s="4" t="inlineStr">
        <is>
          <t xml:space="preserve">'Depreciation Schedule'!B7 (formula)</t>
        </is>
      </c>
      <c r="E288" s="4" t="inlineStr">
        <is>
          <t xml:space="preserve">source: derived from DeploySum R29/R24/R25; reconciles every month (note shows $4,138 rounded)</t>
        </is>
      </c>
    </row>
    <row r="289">
      <c r="A289" s="4" t="inlineStr">
        <is>
          <t xml:space="preserve">A-10</t>
        </is>
      </c>
      <c r="B289" s="4" t="inlineStr">
        <is>
          <t xml:space="preserve">Peripherals life = SlipLift life</t>
        </is>
      </c>
      <c r="C289" s="4" t="inlineStr">
        <is>
          <t xml:space="preserve">84 months</t>
        </is>
      </c>
      <c r="D289" s="4" t="inlineStr">
        <is>
          <t xml:space="preserve">'Depreciation Schedule'!B11</t>
        </is>
      </c>
      <c r="E289" s="4" t="inlineStr">
        <is>
          <t xml:space="preserve">builder assumption (I-33)</t>
        </is>
      </c>
    </row>
    <row r="290">
      <c r="A290" s="4" t="inlineStr">
        <is>
          <t xml:space="preserve">A-11</t>
        </is>
      </c>
      <c r="B290" s="4" t="inlineStr">
        <is>
          <t xml:space="preserve">Peripherals GL</t>
        </is>
      </c>
      <c r="C290" s="4" t="inlineStr">
        <is>
          <t xml:space="preserve">5020 Robot Peripherals</t>
        </is>
      </c>
      <c r="D290" s="4" t="inlineStr">
        <is>
          <t xml:space="preserve">'Depreciation Schedule'!B16</t>
        </is>
      </c>
      <c r="E290" s="4" t="inlineStr">
        <is>
          <t xml:space="preserve">builder assumption (I-33); alternative 5011</t>
        </is>
      </c>
    </row>
    <row r="291">
      <c r="A291" s="4" t="inlineStr">
        <is>
          <t xml:space="preserve">A-12</t>
        </is>
      </c>
      <c r="B291" s="4" t="inlineStr">
        <is>
          <t xml:space="preserve">SlipLift GL</t>
        </is>
      </c>
      <c r="C291" s="4" t="inlineStr">
        <is>
          <t xml:space="preserve">5011 SlipLift Depreciation</t>
        </is>
      </c>
      <c r="D291" s="4" t="inlineStr">
        <is>
          <t xml:space="preserve">'Depreciation Schedule'!B14</t>
        </is>
      </c>
      <c r="E291" s="4" t="inlineStr">
        <is>
          <t xml:space="preserve">user-confirmed (handoff)</t>
        </is>
      </c>
    </row>
    <row r="292">
      <c r="A292" s="4" t="inlineStr">
        <is>
          <t xml:space="preserve">A-13</t>
        </is>
      </c>
      <c r="B292" s="4" t="inlineStr">
        <is>
          <t xml:space="preserve">SlipTray GL</t>
        </is>
      </c>
      <c r="C292" s="4" t="inlineStr">
        <is>
          <t xml:space="preserve">5012 SlipCarrier Depreciation</t>
        </is>
      </c>
      <c r="D292" s="4" t="inlineStr">
        <is>
          <t xml:space="preserve">'Depreciation Schedule'!B15</t>
        </is>
      </c>
      <c r="E292" s="4" t="inlineStr">
        <is>
          <t xml:space="preserve">user-confirmed 2026-10-09 ('Trays = carriers')</t>
        </is>
      </c>
    </row>
    <row r="293">
      <c r="A293" s="4" t="inlineStr">
        <is>
          <t xml:space="preserve">A-14</t>
        </is>
      </c>
      <c r="B293" s="4" t="inlineStr">
        <is>
          <t xml:space="preserve">In-service = go-live month (DeploySum rows 19/20); full month of depreciation in that month</t>
        </is>
      </c>
      <c r="C293" s="4" t="inlineStr">
        <is>
          <t xml:space="preserve">start delay 0; sensitivity: 1-month delay lowers 2027 depreciation by 274,833; mid-month convention lowers it by 137,417</t>
        </is>
      </c>
      <c r="D293" s="4" t="inlineStr">
        <is>
          <t xml:space="preserve">'Depreciation Schedule'!B13</t>
        </is>
      </c>
      <c r="E293" s="4" t="inlineStr">
        <is>
          <t xml:space="preserve">brief v3 convention (orchestrator; labelled; user may change)</t>
        </is>
      </c>
    </row>
    <row r="294">
      <c r="A294" s="4" t="inlineStr">
        <is>
          <t xml:space="preserve">A-15</t>
        </is>
      </c>
      <c r="B294" s="4" t="inlineStr">
        <is>
          <t xml:space="preserve">Units built in 2027 for 2028 go-lives are not depreciated in 2027. v8: their capitalised labour (650,571) is not depreciated either: PP&amp;E not yet placed in service (CIP) at Dec-27 (A-41).</t>
        </is>
      </c>
      <c r="C294" s="4" t="inlineStr">
        <is>
          <t xml:space="preserve">CapEx 9,446,375 excluded</t>
        </is>
      </c>
      <c r="D294" s="4" t="inlineStr">
        <is>
          <t xml:space="preserve">'Depreciation Schedule' section 7</t>
        </is>
      </c>
      <c r="E294" s="4" t="inlineStr">
        <is>
          <t xml:space="preserve">follows A-14 (not in service)</t>
        </is>
      </c>
    </row>
    <row r="295">
      <c r="A295" s="4" t="inlineStr">
        <is>
          <t xml:space="preserve">A-16</t>
        </is>
      </c>
      <c r="B295" s="4" t="inlineStr">
        <is>
          <t xml:space="preserve">Existing fleet = PO Dec-26 monthly run rate</t>
        </is>
      </c>
      <c r="C295" s="4" t="inlineStr">
        <is>
          <t xml:space="preserve">159,270.72/month</t>
        </is>
      </c>
      <c r="D295" s="4" t="inlineStr">
        <is>
          <t xml:space="preserve">'Depreciation Schedule'!B21:B24 = PO!M19:M22</t>
        </is>
      </c>
      <c r="E295" s="4" t="inlineStr">
        <is>
          <t xml:space="preserve">orchestrator instruction (handoff)</t>
        </is>
      </c>
    </row>
    <row r="296">
      <c r="A296" s="4" t="inlineStr">
        <is>
          <t xml:space="preserve">A-17</t>
        </is>
      </c>
      <c r="B296" s="4" t="inlineStr">
        <is>
          <t xml:space="preserve">Existing run rates stay flat all of 2027 (no end-of-life, retirement or disposal)</t>
        </is>
      </c>
      <c r="C296" s="4" t="inlineStr">
        <is>
          <t xml:space="preserve">1,911,249; trend alternative on 5010 +276,164 to the contribution (+403,624 if the decline also ran through Oct-Dec 26)</t>
        </is>
      </c>
      <c r="D296" s="4" t="inlineStr">
        <is>
          <t xml:space="preserve">'Depreciation Schedule' rows 33-36</t>
        </is>
      </c>
      <c r="E296" s="4" t="inlineStr">
        <is>
          <t xml:space="preserve">builder assumption: no asset register in the files (I-32)</t>
        </is>
      </c>
    </row>
    <row r="297">
      <c r="A297" s="4" t="inlineStr">
        <is>
          <t xml:space="preserve">A-18</t>
        </is>
      </c>
      <c r="B297" s="4" t="inlineStr">
        <is>
          <t xml:space="preserve">Oct-Dec 26 go-lives covered by the PO run rate, not added explicitly; the risk runs both ways</t>
        </is>
      </c>
      <c r="C297" s="4" t="inlineStr">
        <is>
          <t xml:space="preserve">(39,057) if DeploySum's Q4 counts are right; +37,457 if PO's Dec-26 step-ups are Jan-27 units</t>
        </is>
      </c>
      <c r="D297" s="4" t="inlineStr">
        <is>
          <t xml:space="preserve">'Depreciation Schedule'!B17, section 5</t>
        </is>
      </c>
      <c r="E297" s="4" t="inlineStr">
        <is>
          <t xml:space="preserve">builder decision between the brief's two options; PO owner to confirm what the step-ups are (I-31)</t>
        </is>
      </c>
    </row>
    <row r="298">
      <c r="A298" s="4" t="inlineStr">
        <is>
          <t xml:space="preserve">A-19</t>
        </is>
      </c>
      <c r="B298" s="4" t="inlineStr">
        <is>
          <t xml:space="preserve">SlipBot 5010 continues at the Dec-26 run rate; no new SlipBots</t>
        </is>
      </c>
      <c r="C298" s="4" t="inlineStr">
        <is>
          <t xml:space="preserve">1,353,574</t>
        </is>
      </c>
      <c r="D298" s="4" t="inlineStr">
        <is>
          <t xml:space="preserve">'Depreciation Schedule'!B21</t>
        </is>
      </c>
      <c r="E298" s="4" t="inlineStr">
        <is>
          <t xml:space="preserve">builder assumption (flat carry, A-17); status user to confirm (I-32); no builds per DeploySum note 4</t>
        </is>
      </c>
    </row>
    <row r="299">
      <c r="A299" s="4" t="inlineStr">
        <is>
          <t xml:space="preserve">A-20</t>
        </is>
      </c>
      <c r="B299" s="4" t="inlineStr">
        <is>
          <t xml:space="preserve">'$000s' labels on DeploySum hold dollars; relabelled to '$' with comments</t>
        </is>
      </c>
      <c r="C299" s="4" t="inlineStr">
        <is>
          <t xml:space="preserve">13 labels</t>
        </is>
      </c>
      <c r="D299" s="4" t="inlineStr">
        <is>
          <t xml:space="preserve">DeploySum col A</t>
        </is>
      </c>
      <c r="E299" s="4" t="inlineStr">
        <is>
          <t xml:space="preserve">orchestrator instruction; evidence in I-30</t>
        </is>
      </c>
    </row>
    <row r="300">
      <c r="A300" s="4" t="inlineStr">
        <is>
          <t xml:space="preserve">A-21</t>
        </is>
      </c>
      <c r="B300" s="4" t="inlineStr">
        <is>
          <t xml:space="preserve">ARR row (39) kept empty to keep the SD row map</t>
        </is>
      </c>
      <c r="C300" s="4" t="inlineStr">
        <is>
          <t xml:space="preserve">no data</t>
        </is>
      </c>
      <c r="D300" s="4" t="inlineStr">
        <is>
          <t xml:space="preserve">DeploySum row 39</t>
        </is>
      </c>
      <c r="E300" s="4" t="inlineStr">
        <is>
          <t xml:space="preserve">brief v2 item 1</t>
        </is>
      </c>
    </row>
    <row r="301">
      <c r="A301" s="4" t="inlineStr">
        <is>
          <t xml:space="preserve">A-22</t>
        </is>
      </c>
      <c r="B301" s="4" t="inlineStr">
        <is>
          <t xml:space="preserve">Revenue includes unsigned and forecast bookings, taken at 100%</t>
        </is>
      </c>
      <c r="C301" s="4" t="inlineStr">
        <is>
          <t xml:space="preserve">Sep-Dec 26 bookings 3,544,300 incl. 2,264,000 unsigned; FY27 bookings 29,452,766 all forecast</t>
        </is>
      </c>
      <c r="D301" s="4" t="inlineStr">
        <is>
          <t xml:space="preserve">DeploySum!A49 (note 5); DeploySum rows 7-13, 40</t>
        </is>
      </c>
      <c r="E301" s="4" t="inlineStr">
        <is>
          <t xml:space="preserve">source: 9/30/26 sales plan; no probability weighting applied (builder: taken as given)</t>
        </is>
      </c>
    </row>
    <row r="302">
      <c r="A302" s="4" t="inlineStr">
        <is>
          <t xml:space="preserve">A-23</t>
        </is>
      </c>
      <c r="B302" s="4" t="inlineStr">
        <is>
          <t xml:space="preserve">Existing-fleet base is the PO Dec-26 forecast, not an actual</t>
        </is>
      </c>
      <c r="C302" s="4" t="inlineStr">
        <is>
          <t xml:space="preserve">159,270.72/month (PO!M19:M22; Sep-Dec 26 are forecast columns J:M; actuals run to Aug-26)</t>
        </is>
      </c>
      <c r="D302" s="4" t="inlineStr">
        <is>
          <t xml:space="preserve">'Depreciation Schedule'!B21:B24</t>
        </is>
      </c>
      <c r="E302" s="4" t="inlineStr">
        <is>
          <t xml:space="preserve">builder note (PO 2026 file); refresh when Q4-26 actuals close</t>
        </is>
      </c>
    </row>
    <row r="303">
      <c r="A303" s="4" t="inlineStr">
        <is>
          <t xml:space="preserve">A-24</t>
        </is>
      </c>
      <c r="B303" s="4" t="inlineStr">
        <is>
          <t xml:space="preserve">DeploySum F40:Q40 (2027 revenue) are static cached values from the 9/30/26 file, not live links</t>
        </is>
      </c>
      <c r="C303" s="4" t="inlineStr">
        <is>
          <t xml:space="preserve">12 of 12 months static; PO!U12:AF12 link to them (formulas)</t>
        </is>
      </c>
      <c r="D303" s="4" t="inlineStr">
        <is>
          <t xml:space="preserve">DeploySum!F40:Q40 -&gt; PO!U12:AF12</t>
        </is>
      </c>
      <c r="E303" s="4" t="inlineStr">
        <is>
          <t xml:space="preserve">build v3 (external workbook [1] not supplied); a plan change needs a new resolved export</t>
        </is>
      </c>
    </row>
    <row r="304">
      <c r="A304" s="4" t="inlineStr">
        <is>
          <t xml:space="preserve">A-25</t>
        </is>
      </c>
      <c r="B304" s="4" t="inlineStr">
        <is>
          <t xml:space="preserve">Revenue start timing vs go-live: revenue follows the plan's own recognition timing; depreciation starts in the go-live month (A-14)</t>
        </is>
      </c>
      <c r="C304" s="4" t="inlineStr">
        <is>
          <t xml:space="preserve">not determinable: the workbook cannot show whether revenue starts in the go-live month</t>
        </is>
      </c>
      <c r="D304" s="4" t="inlineStr">
        <is>
          <t xml:space="preserve">DeploySum row 40 vs rows 19/20; 'Depreciation Schedule'!B13</t>
        </is>
      </c>
      <c r="E304" s="4" t="inlineStr">
        <is>
          <t xml:space="preserve">builder note; plan owner to confirm (Revenue Roll-up not supplied)</t>
        </is>
      </c>
    </row>
    <row r="305">
      <c r="A305" s="4" t="inlineStr">
        <is>
          <t xml:space="preserve">A-26</t>
        </is>
      </c>
      <c r="B305" s="4" t="inlineStr">
        <is>
          <t xml:space="preserve">Head of Service Delivery annual salary (current employee), entered in v5</t>
        </is>
      </c>
      <c r="C305" s="4" t="inlineStr">
        <is>
          <t xml:space="preserve">205,000/year in B21; model: full year from 2027-01-01, +3% from 2027-10-01, tax 6.8%, benefits 16.4%: 2027 cost 254,454</t>
        </is>
      </c>
      <c r="D305" s="4" t="inlineStr">
        <is>
          <t xml:space="preserve">Fld Eng Budget!B21 -&gt; rows 67-71, 78-80 -&gt; FE rows 67-69</t>
        </is>
      </c>
      <c r="E305" s="4" t="inlineStr">
        <is>
          <t xml:space="preserve">user-confirmed 2026-10-09 ('Head of Service delivery salary is $205k annually'); treatment = existing workbook logic</t>
        </is>
      </c>
    </row>
    <row r="306">
      <c r="A306" s="4" t="inlineStr">
        <is>
          <t xml:space="preserve">A-27</t>
        </is>
      </c>
      <c r="B306" s="4" t="inlineStr">
        <is>
          <t xml:space="preserve">Net increment of an SD payroll model = model 2027 total less the model's own cost of the people already on an HC roster (same model rates)</t>
        </is>
      </c>
      <c r="C306" s="4" t="inlineStr">
        <is>
          <t xml:space="preserve">I-05 1,962,389; I-17 336,530</t>
        </is>
      </c>
      <c r="D306" s="4" t="inlineStr">
        <is>
          <t xml:space="preserve">Prod Payroll; SD Logistics&amp;WH Payroll</t>
        </is>
      </c>
      <c r="E306" s="4" t="inlineStr">
        <is>
          <t xml:space="preserve">builder definition (v6, handoff: 'model total minus the overlap already in PO')</t>
        </is>
      </c>
    </row>
    <row r="307">
      <c r="A307" s="4" t="inlineStr">
        <is>
          <t xml:space="preserve">A-28</t>
        </is>
      </c>
      <c r="B307" s="4" t="inlineStr">
        <is>
          <t xml:space="preserve">Prod Payroll tray and supervisor rows evaluated by replacing XLOOKUP (match_mode 1) with an equivalent SMALL/COUNTIF formula in a scratch copy only. v8: the 16 XLOOKUP cells are replaced in the workbook by an INDEX/MATCH equivalent (Prod Payroll!B48:Q48): tiers and model totals identical to the scratch method; the scratch copy is no longer needed.</t>
        </is>
      </c>
      <c r="C307" s="4" t="inlineStr">
        <is>
          <t xml:space="preserve">model 2027 2,592,894; Python replica agrees to 5e-10</t>
        </is>
      </c>
      <c r="D307" s="4" t="inlineStr">
        <is>
          <t xml:space="preserve">Prod Payroll!B48:Q48 (v8: replaced in the workbook)</t>
        </is>
      </c>
      <c r="E307" s="4" t="inlineStr">
        <is>
          <t xml:space="preserve">builder method (v6)</t>
        </is>
      </c>
    </row>
    <row r="308">
      <c r="A308" s="4" t="inlineStr">
        <is>
          <t xml:space="preserve">A-29</t>
        </is>
      </c>
      <c r="B308" s="4" t="inlineStr">
        <is>
          <t xml:space="preserve">Person match: name where present (all tokens of the shorter name in the longer, same first token); otherwise title + salary + start; one-to-one. v7: start month relaxed for FE HC r35, an open seat ('Open Positions', no employee), matched seat-to-seat with Fld Eng Budget r20 (HC Dec-26, SD Jan-27; I-39).</t>
        </is>
      </c>
      <c r="C308" s="4" t="inlineStr">
        <is>
          <t xml:space="preserve">12 pairs; anonymous model rows (Prod Payroll current staff, Fld Ops Payroll current techs) matched by headcount only</t>
        </is>
      </c>
      <c r="D308" s="4" t="inlineStr">
        <is>
          <t xml:space="preserve">recon_v6.py</t>
        </is>
      </c>
      <c r="E308" s="4" t="inlineStr">
        <is>
          <t xml:space="preserve">handoff rule</t>
        </is>
      </c>
    </row>
    <row r="309">
      <c r="A309" s="4" t="inlineStr">
        <is>
          <t xml:space="preserve">A-30</t>
        </is>
      </c>
      <c r="B309" s="4" t="inlineStr">
        <is>
          <t xml:space="preserve">HC tab tax/benefit rates (D6:D7) linked to an external T&amp;B workbook are kept as the workfile's cached values</t>
        </is>
      </c>
      <c r="C309" s="4" t="inlineStr">
        <is>
          <t xml:space="preserve">10 cells</t>
        </is>
      </c>
      <c r="D309" s="4" t="inlineStr">
        <is>
          <t xml:space="preserve">'HC-*'!D6:D7</t>
        </is>
      </c>
      <c r="E309" s="4" t="inlineStr">
        <is>
          <t xml:space="preserve">builder (as DeploySum in v3)</t>
        </is>
      </c>
    </row>
    <row r="310">
      <c r="A310" s="4" t="inlineStr">
        <is>
          <t xml:space="preserve">A-31</t>
        </is>
      </c>
      <c r="B310" s="4" t="inlineStr">
        <is>
          <t xml:space="preserve">Employer FICA reference rate 7.65% (6.2% Social Security + 1.45% Medicare), used only to test the HC T&amp;B tax rates (I-37)</t>
        </is>
      </c>
      <c r="C310" s="4" t="inlineStr">
        <is>
          <t xml:space="preserve">PO/CO/PE gap up to 77,882; FO/FE up to 34,169</t>
        </is>
      </c>
      <c r="D310" s="4" t="inlineStr">
        <is>
          <t xml:space="preserve">figures_v7.py</t>
        </is>
      </c>
      <c r="E310" s="4" t="inlineStr">
        <is>
          <t xml:space="preserve">statutory rates; wage base not modelled (upper bound)</t>
        </is>
      </c>
    </row>
    <row r="311">
      <c r="A311" s="4" t="inlineStr">
        <is>
          <t xml:space="preserve">A-32</t>
        </is>
      </c>
      <c r="B311" s="4" t="inlineStr">
        <is>
          <t xml:space="preserve">Capitalised case (Decision #1): ramp split to lifts and trays from the model (lift / tray ramp = model total less its current-staff cost); supervisors allocated pro rata to the lift : tray ramp cost. v8: superseded for the booked figure by A-36..A-41; reproduced as the bridge check (64,735).</t>
        </is>
      </c>
      <c r="C311" s="4" t="inlineStr">
        <is>
          <t xml:space="preserve">lift 1,291,250, tray 671,139 (supervisors 65.8% to lifts); check with the model-total split: depreciation 65,458 vs 64,735</t>
        </is>
      </c>
      <c r="D311" s="4" t="inlineStr">
        <is>
          <t xml:space="preserve">Prod Payroll rows 41, 62, 79</t>
        </is>
      </c>
      <c r="E311" s="4" t="inlineStr">
        <is>
          <t xml:space="preserve">builder assumption (v7, handoff fallback shown)</t>
        </is>
      </c>
    </row>
    <row r="312">
      <c r="A312" s="4" t="inlineStr">
        <is>
          <t xml:space="preserve">A-33</t>
        </is>
      </c>
      <c r="B312" s="4" t="inlineStr">
        <is>
          <t xml:space="preserve">Capitalised case: 2027 ramp labour spread evenly over the units built in 2027; units go live 2 months after build; depreciation per the Depreciation Schedule (full month from go-live, 84 / 120 months); units built Nov-Dec 27 (2028 go-lives) carry labour but no 2027 depreciation. v8: superseded for the booked figure by A-36..A-41; reproduced as the bridge check (64,735).</t>
        </is>
      </c>
      <c r="C312" s="4" t="inlineStr">
        <is>
          <t xml:space="preserve">units built 312 lifts / 1355 trays; live in 2027 222 / 952; depreciation 64,735 (9) / 69,357 (7)</t>
        </is>
      </c>
      <c r="D312" s="4" t="inlineStr">
        <is>
          <t xml:space="preserve">DeploySum rows 19-20, 24-25, 33-34; 'Depreciation Schedule' rows 38-62</t>
        </is>
      </c>
      <c r="E312" s="4" t="inlineStr">
        <is>
          <t xml:space="preserve">builder assumption (v7); lag checked on the DeploySum rows (DeploySum note 1)</t>
        </is>
      </c>
    </row>
    <row r="313">
      <c r="A313" s="4" t="inlineStr">
        <is>
          <t xml:space="preserve">A-34</t>
        </is>
      </c>
      <c r="B313" s="4" t="inlineStr">
        <is>
          <t xml:space="preserve">7-overlap reading (B2): the 2 Prod Payroll current seats no PO HC production person fills are costed at the model's average current cost per head; capitalised case keeps the 9-overlap lift / tray mix</t>
        </is>
      </c>
      <c r="C313" s="4" t="inlineStr">
        <is>
          <t xml:space="preserve">+140,112 (139,984 to 140,560 as tray or lift seats)</t>
        </is>
      </c>
      <c r="D313" s="4" t="inlineStr">
        <is>
          <t xml:space="preserve">Prod Payroll B9, C9, H10; 'HC-PO'!C14:C22</t>
        </is>
      </c>
      <c r="E313" s="4" t="inlineStr">
        <is>
          <t xml:space="preserve">builder assumption (v7)</t>
        </is>
      </c>
    </row>
    <row r="314">
      <c r="A314" s="4" t="inlineStr">
        <is>
          <t xml:space="preserve">A-35</t>
        </is>
      </c>
      <c r="B314" s="4" t="inlineStr">
        <is>
          <t xml:space="preserve">md privacy: per-person amounts for identified employees rounded to the nearest $5k ('~'); Collation Notes keeps exact figures (restricted workbook)</t>
        </is>
      </c>
      <c r="C314" s="4" t="inlineStr">
        <is>
          <t xml:space="preserve">md only</t>
        </is>
      </c>
      <c r="D314" s="4" t="inlineStr">
        <is>
          <t xml:space="preserve">paylist_v7.py</t>
        </is>
      </c>
      <c r="E314" s="4" t="inlineStr">
        <is>
          <t xml:space="preserve">critic v6 O8 / handoff</t>
        </is>
      </c>
    </row>
    <row r="315">
      <c r="A315" s="4" t="inlineStr">
        <is>
          <t xml:space="preserve">A-36</t>
        </is>
      </c>
      <c r="B315" s="4" t="inlineStr">
        <is>
          <t xml:space="preserve">Production labour capitalised (Decision #1 RESOLVED): every Prod Payroll cost row (rows 41, 62, 79) is capitalised into the units built that month; the current staff are included (switch B131 = 1)</t>
        </is>
      </c>
      <c r="C315" s="4" t="inlineStr">
        <is>
          <t xml:space="preserve">2027 2,592,894; 2027 depreciation 104,417</t>
        </is>
      </c>
      <c r="D315" s="4" t="inlineStr">
        <is>
          <t xml:space="preserve">'Depreciation Schedule'!B131, rows 137-149</t>
        </is>
      </c>
      <c r="E315" s="4" t="inlineStr">
        <is>
          <t xml:space="preserve">user-confirmed 2026-10-10; scope per brief v5 (orchestrator); Finance to confirm (I-40)</t>
        </is>
      </c>
    </row>
    <row r="316">
      <c r="A316" s="4" t="inlineStr">
        <is>
          <t xml:space="preserve">A-37</t>
        </is>
      </c>
      <c r="B316" s="4" t="inlineStr">
        <is>
          <t xml:space="preserve">Supervisors are allocated to lifts and trays pro rata to the month's lift : tray capitalised labour (v7 A-32, now by month)</t>
        </is>
      </c>
      <c r="C316" s="4" t="inlineStr">
        <is>
          <t xml:space="preserve">2027 supervisors 241,294: 166,821 to lifts</t>
        </is>
      </c>
      <c r="D316" s="4" t="inlineStr">
        <is>
          <t xml:space="preserve">'Depreciation Schedule'!row 146</t>
        </is>
      </c>
      <c r="E316" s="4" t="inlineStr">
        <is>
          <t xml:space="preserve">builder (v7 A-32 carried to monthly)</t>
        </is>
      </c>
    </row>
    <row r="317">
      <c r="A317" s="4" t="inlineStr">
        <is>
          <t xml:space="preserve">A-38</t>
        </is>
      </c>
      <c r="B317" s="4" t="inlineStr">
        <is>
          <t xml:space="preserve">Labour per unit = the build month's capitalised labour / units built that month; a month with no units built rolls its labour into the next build month (work in progress) while B135 = 1 (booked), or expenses it in PO 5110-5140 when B135 = 0 (v9 switch, critic v8 B2)</t>
        </is>
      </c>
      <c r="C317" s="4" t="inlineStr">
        <is>
          <t xml:space="preserve">Jan-27 140,751 into Feb-27 builds (booked); expensed instead: (126,908) net in 2027. Oct-26: 0 (B132 = 0)</t>
        </is>
      </c>
      <c r="D317" s="4" t="inlineStr">
        <is>
          <t xml:space="preserve">'Depreciation Schedule'!B135, rows 152-157, 221-228</t>
        </is>
      </c>
      <c r="E317" s="4" t="inlineStr">
        <is>
          <t xml:space="preserve">builder assumption (v8); Finance to confirm idle-month treatment (I-40)</t>
        </is>
      </c>
    </row>
    <row r="318">
      <c r="A318" s="4" t="inlineStr">
        <is>
          <t xml:space="preserve">A-39</t>
        </is>
      </c>
      <c r="B318" s="4" t="inlineStr">
        <is>
          <t xml:space="preserve">Build-to-go-live lag 2 months (DeploySum note 1); labour joins the vintage cost at go-live and is depreciated like the unit (full month from go-live + B13, 84 / 120 months, salvage B12)</t>
        </is>
      </c>
      <c r="C318" s="4" t="inlineStr">
        <is>
          <t xml:space="preserve">lag check 0 (DeploySum go-lives = builds 2 months earlier, every 2027 month)</t>
        </is>
      </c>
      <c r="D318" s="4" t="inlineStr">
        <is>
          <t xml:space="preserve">'Depreciation Schedule'!B133:B134, rows 165-189</t>
        </is>
      </c>
      <c r="E318" s="4" t="inlineStr">
        <is>
          <t xml:space="preserve">DeploySum note 1; Depreciation Schedule logic (brief v5)</t>
        </is>
      </c>
    </row>
    <row r="319">
      <c r="A319" s="4" t="inlineStr">
        <is>
          <t xml:space="preserve">A-40</t>
        </is>
      </c>
      <c r="B319" s="4" t="inlineStr">
        <is>
          <t xml:space="preserve">Sep-Dec 26 model months (v9, orchestrator ruling on critic v8 B1): one rule for all of them. Their labour is a 2026 period cost (the 2026 books expense 5100) and is not capitalised (B132 = 0): neither the Oct-Dec 26 labour of the Jan-Feb 27 go-lives nor the Sep-26 labour of the Nov-26 go-lives. B132 = 1 capitalises all of it, the Sep-26 builds included (rows 231-232)</t>
        </is>
      </c>
      <c r="C319" s="4" t="inlineStr">
        <is>
          <t xml:space="preserve">0 capitalised (v8: 381,863 into Jan-Feb 27; Sep-26 90,851 not added); B132 = 1: (60,695)</t>
        </is>
      </c>
      <c r="D319" s="4" t="inlineStr">
        <is>
          <t xml:space="preserve">'Depreciation Schedule'!B132, rows 159-161, 231-233, B207:B209</t>
        </is>
      </c>
      <c r="E319" s="4" t="inlineStr">
        <is>
          <t xml:space="preserve">orchestrator ruling (v9); v8 builder assumption withdrawn</t>
        </is>
      </c>
    </row>
    <row r="320">
      <c r="A320" s="4" t="inlineStr">
        <is>
          <t xml:space="preserve">A-41</t>
        </is>
      </c>
      <c r="B320" s="4" t="inlineStr">
        <is>
          <t xml:space="preserve">Builds for 2028 go-lives (Nov-Dec 27) carry labour that is not depreciated in 2027: PP&amp;E not yet placed in service (CIP) at Dec-27</t>
        </is>
      </c>
      <c r="C320" s="4" t="inlineStr">
        <is>
          <t xml:space="preserve">650,571</t>
        </is>
      </c>
      <c r="D320" s="4" t="inlineStr">
        <is>
          <t xml:space="preserve">'Depreciation Schedule'!row 160, B204, B239</t>
        </is>
      </c>
      <c r="E320" s="4" t="inlineStr">
        <is>
          <t xml:space="preserve">follows A-14 / A-15</t>
        </is>
      </c>
    </row>
    <row r="321">
      <c r="A321" s="4" t="inlineStr">
        <is>
          <t xml:space="preserve">A-42</t>
        </is>
      </c>
      <c r="B321" s="4" t="inlineStr">
        <is>
          <t xml:space="preserve">Idle-month labour expensed (B135 = 0 only) is split to 5110 / 5130 / 5140 with Prod Payroll's own payroll-tax and benefit shares of the month (rows 37+58+75 and 38+59+76 over row 81)</t>
        </is>
      </c>
      <c r="C321" s="4" t="inlineStr">
        <is>
          <t xml:space="preserve">Jan-27: 122,610 / 9,196 / 8,946 (0 booked)</t>
        </is>
      </c>
      <c r="D321" s="4" t="inlineStr">
        <is>
          <t xml:space="preserve">'Depreciation Schedule'!rows 224-228; PO!U33:AF35</t>
        </is>
      </c>
      <c r="E321" s="4" t="inlineStr">
        <is>
          <t xml:space="preserve">builder (v9)</t>
        </is>
      </c>
    </row>
    <row r="322">
      <c r="A322" s="4" t="inlineStr">
        <is>
          <t xml:space="preserve">A-43</t>
        </is>
      </c>
      <c r="B322" s="4" t="inlineStr">
        <is>
          <t xml:space="preserve">new CO employee (user-confirmed, 110k): current employee in seat for all of 2027 (Jan-Dec 27), CO HC rates (D6 / D7), CO 3% raise from Oct-27 (D8); HC-CO r18 start Jan-27 so no 2026 column moves</t>
        </is>
      </c>
      <c r="C322" s="4" t="inlineStr">
        <is>
          <t xml:space="preserve">2027 cost 129,806</t>
        </is>
      </c>
      <c r="D322" s="4" t="inlineStr">
        <is>
          <t xml:space="preserve">'HC-CO'!B18:Z18; CO!U67:AF69</t>
        </is>
      </c>
      <c r="E322" s="4" t="inlineStr">
        <is>
          <t xml:space="preserve">user (salary 110,000, 2026-10-10); builder (timing)</t>
        </is>
      </c>
    </row>
    <row r="323">
      <c r="A323" s="4" t="inlineStr">
        <is>
          <t xml:space="preserve">A-44</t>
        </is>
      </c>
      <c r="B323" s="4" t="inlineStr">
        <is>
          <t xml:space="preserve">Logistics&amp;WH seats booked at the model's own burden rates (6.8% / 16.4%), not CO HC rates</t>
        </is>
      </c>
      <c r="C323" s="4" t="inlineStr">
        <is>
          <t xml:space="preserve">+19,396 at CO HC rates (caveat)</t>
        </is>
      </c>
      <c r="D323" s="4" t="inlineStr">
        <is>
          <t xml:space="preserve">'Logistics&amp;WH Payroll'!B5:B6; CO!U68:AF69</t>
        </is>
      </c>
      <c r="E323" s="4" t="inlineStr">
        <is>
          <t xml:space="preserve">orchestrator (handoff v10)</t>
        </is>
      </c>
    </row>
    <row r="324">
      <c r="A324" s="4" t="inlineStr">
        <is>
          <t xml:space="preserve">A-45</t>
        </is>
      </c>
      <c r="B324" s="4" t="inlineStr">
        <is>
          <t xml:space="preserve">Logistics&amp;WH new-hire cost ($1,000 per 2027 hire) booked in 6610, as the FO model books it in 5510</t>
        </is>
      </c>
      <c r="C324" s="4" t="inlineStr">
        <is>
          <t xml:space="preserve">5,000 (5 hires)</t>
        </is>
      </c>
      <c r="D324" s="4" t="inlineStr">
        <is>
          <t xml:space="preserve">'Logistics&amp;WH Payroll'!row 46; CO!U67:AF67</t>
        </is>
      </c>
      <c r="E324" s="4" t="inlineStr">
        <is>
          <t xml:space="preserve">builder (v10)</t>
        </is>
      </c>
    </row>
    <row r="326">
      <c r="A326" s="2" t="inlineStr">
        <is>
          <t xml:space="preserve">Issues (v10) - severity: HIGH = blocks sign-off or &gt; $250k; MED = $50k-250k or owner confirmation; LOW = &lt; $50k or hygiene; RESOLVED = closed by a user answer</t>
        </is>
      </c>
    </row>
    <row r="327">
      <c r="A327" s="3" t="inlineStr">
        <is>
          <t xml:space="preserve">ID</t>
        </is>
      </c>
      <c r="B327" s="3" t="inlineStr">
        <is>
          <t xml:space="preserve">Sev</t>
        </is>
      </c>
      <c r="C327" s="3" t="inlineStr">
        <is>
          <t xml:space="preserve">Location</t>
        </is>
      </c>
      <c r="D327" s="3" t="inlineStr">
        <is>
          <t xml:space="preserve">Finding</t>
        </is>
      </c>
      <c r="E327" s="3" t="inlineStr">
        <is>
          <t xml:space="preserve">Evidence</t>
        </is>
      </c>
      <c r="F327" s="3" t="inlineStr">
        <is>
          <t xml:space="preserve">2027 impact</t>
        </is>
      </c>
      <c r="G327" s="3" t="inlineStr">
        <is>
          <t xml:space="preserve">Basis</t>
        </is>
      </c>
      <c r="H327" s="3" t="inlineStr">
        <is>
          <t xml:space="preserve">Recommended action</t>
        </is>
      </c>
    </row>
    <row r="328">
      <c r="A328" s="4" t="inlineStr">
        <is>
          <t xml:space="preserve">I-01</t>
        </is>
      </c>
      <c r="B328" s="4" t="inlineStr">
        <is>
          <t xml:space="preserve">MED</t>
        </is>
      </c>
      <c r="C328" s="4" t="inlineStr">
        <is>
          <t xml:space="preserve">PO!U12:AF12; PO!R12; PO!U13:AF13; PO!U15:AF15; DeploySum!F40:Q40</t>
        </is>
      </c>
      <c r="D328" s="4" t="inlineStr">
        <is>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is>
      </c>
      <c r="E328" s="4" t="inlineStr">
        <is>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is>
      </c>
      <c r="F328" s="4" t="inlineStr">
        <is>
          <t xml:space="preserve">not determinable (2026 4500+4900 = 1,060,861)</t>
        </is>
      </c>
      <c r="G328" s="4" t="inlineStr">
        <is>
          <t xml:space="preserve">impact not determinable; owner confirmation needed</t>
        </is>
      </c>
      <c r="H328" s="4" t="inlineStr">
        <is>
          <t xml:space="preserve">Finance/PO owner to confirm the 4100 mapping and whether 2027 implementation or one-time revenue should be budgeted on 4500/4900.</t>
        </is>
      </c>
    </row>
    <row r="329">
      <c r="A329" s="4" t="inlineStr">
        <is>
          <t xml:space="preserve">I-02</t>
        </is>
      </c>
      <c r="B329" s="4" t="inlineStr">
        <is>
          <t xml:space="preserve">HIGH</t>
        </is>
      </c>
      <c r="C329" s="4" t="inlineStr">
        <is>
          <t xml:space="preserve">FO!AG63; FO!AG116; FE!AG63; FE!AG116; COO P&amp;L!AG132</t>
        </is>
      </c>
      <c r="D329" s="4" t="inlineStr">
        <is>
          <t xml:space="preserve">Replacing FO and FE with the SD versions adds 6,828,802 to 2027 COO cost (COGS + Opex). The SD build is much heavier than the COO book's FO/FE. (v4: restated in cost terms; the earlier evidence quoted 2027 Net Income from before revenue was budgeted.)</t>
        </is>
      </c>
      <c r="E329" s="4" t="inlineStr">
        <is>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is>
      </c>
      <c r="F329" s="4" t="inlineStr">
        <is>
          <t xml:space="preserve">(6,828,802) on the contribution</t>
        </is>
      </c>
      <c r="G329" s="4" t="inlineStr">
        <is>
          <t xml:space="preserve">impact (6,828,802)</t>
        </is>
      </c>
      <c r="H329" s="4" t="inlineStr">
        <is>
          <t xml:space="preserve">COO and SD owner to review the FO/FE 2027 drivers (headcount, spare parts, deployment freight) before sign-off.</t>
        </is>
      </c>
    </row>
    <row r="330">
      <c r="A330" s="4" t="inlineStr">
        <is>
          <t xml:space="preserve">I-03</t>
        </is>
      </c>
      <c r="B330" s="4" t="inlineStr">
        <is>
          <t xml:space="preserve">LOW</t>
        </is>
      </c>
      <c r="C330" s="4" t="inlineStr">
        <is>
          <t xml:space="preserve">DeploySum!A3:R49 (Collation Notes lists the formulas)</t>
        </is>
      </c>
      <c r="D330" s="4" t="inlineStr">
        <is>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is>
      </c>
      <c r="E330" s="4" t="inlineStr">
        <is>
          <t xml:space="preserve">DeploySum errors: v2 {'#REF!': 463, '#N/A': 35}, v3 none (498 resolved). Every mapped cell B:R equals the 9/30/26 cached value (mismatches: 0). New-file sha256 645e31303dcbbbd6...</t>
        </is>
      </c>
      <c r="F330" s="4" t="inlineStr">
        <is>
          <t xml:space="preserve">0</t>
        </is>
      </c>
      <c r="G330" s="4" t="inlineStr">
        <is>
          <t xml:space="preserve">hygiene</t>
        </is>
      </c>
      <c r="H330" s="4" t="inlineStr">
        <is>
          <t xml:space="preserve">Refresh DeploySum from a new resolved export when the plan changes. Keep the row map (ARR row 39 kept).</t>
        </is>
      </c>
    </row>
    <row r="331">
      <c r="A331" s="4" t="inlineStr">
        <is>
          <t xml:space="preserve">I-04</t>
        </is>
      </c>
      <c r="B331" s="4" t="inlineStr">
        <is>
          <t xml:space="preserve">LOW</t>
        </is>
      </c>
      <c r="C331" s="4" t="inlineStr">
        <is>
          <t xml:space="preserve">DeploySum!B53:R66; DeploySum!A69:R76 (v3 check block)</t>
        </is>
      </c>
      <c r="D331" s="4" t="inlineStr">
        <is>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is>
      </c>
      <c r="E331" s="4" t="inlineStr">
        <is>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is>
      </c>
      <c r="F331" s="4" t="inlineStr">
        <is>
          <t xml:space="preserve">0</t>
        </is>
      </c>
      <c r="G331" s="4" t="inlineStr">
        <is>
          <t xml:space="preserve">hygiene</t>
        </is>
      </c>
      <c r="H331" s="4" t="inlineStr">
        <is>
          <t xml:space="preserve">Optional: replace rows 54-64 with formulas (or document the source) so they update with the plan.</t>
        </is>
      </c>
    </row>
    <row r="332">
      <c r="A332" s="4" t="inlineStr">
        <is>
          <t xml:space="preserve">I-05</t>
        </is>
      </c>
      <c r="B332" s="4" t="inlineStr">
        <is>
          <t xml:space="preserve">RESOLVED</t>
        </is>
      </c>
      <c r="C332" s="4" t="inlineStr">
        <is>
          <t xml:space="preserve">Prod Payroll!B24:S81 (hidden); Prod Payroll!S41, S62, S79, S81; PO!AG33:AG36; 'HC-PO'!B14:Z22, Z67:Z70; 'Depreciation Schedule'!A128:S241; PO!U20:AF21</t>
        </is>
      </c>
      <c r="D332" s="4" t="inlineStr">
        <is>
          <t xml:space="preserve">RESOLVED by policy in v8 (Decision #1, user-confirmed 2026-10-10: production labour is capitalised). The whole Prod Payroll model is in the budget as capitalised labour: 2,592,894 for 2027 (lift 1,622,423, tray 729,177, supervisors 241,294; the 9 current staff 630,504 at model rates, the ramp 1,962,389). PO 5110-5140 2027 = 0 (formulas, labelled capitalised; v7 652,820), and the labour reaches 2027 only as depreciation of the units it builds: 104,417 (5011 79,290, 5012 25,126; v9: Sep-Dec 26 labour stays a 2026 cost, B132 = 0). This is a reclassification: 2027 CapEx +2,592,894; at Dec-27 1,837,906 PP&amp;E in service (net) and 650,571 PP&amp;E not yet placed in service (CIP). Remaining exposure = depreciation only, plus the policy scope and idle months (I-40) and the material-handling roles (I-41). Was (v7, HIGH): the 1,962,389 net ramp was not in the budget and its treatment was open.</t>
        </is>
      </c>
      <c r="E332" s="4" t="inlineStr">
        <is>
          <t xml:space="preserve">Prod Payroll computes in the workbook (16 XLOOKUP cells replaced, A-28): S81 2,592,893.90; Python replica from the input cells, max monthly difference 4.7e-10. 2027 labour 2,592,894 = into 2027 go-lives 1,942,323 + into 2028 go-lives (CIP) 650,571; depreciable labour in the 2027 vintages 1,942,323, 1,837,906 net at Dec-27. Average labour per unit built in 2027: lift 5,735 (8.8% of 65,000), tray 593 (7.4% of 8,000).</t>
        </is>
      </c>
      <c r="F332" s="4" t="inlineStr">
        <is>
          <t xml:space="preserve">(104,417) depreciation (in the headline) and +652,820 PO 5110-5140 removed: +548,403 vs v7</t>
        </is>
      </c>
      <c r="G332" s="4" t="inlineStr">
        <is>
          <t xml:space="preserve">resolved (was HIGH); scope exposure in I-40</t>
        </is>
      </c>
      <c r="H332" s="4" t="inlineStr">
        <is>
          <t xml:space="preserve">None for I-05. Finance: confirm the scope and idle months (I-40, Decision #10) and the rate base of the current 9 (O7). PO owner: the material-handling roles (I-41). SD owner: the model date (I-38).</t>
        </is>
      </c>
    </row>
    <row r="333">
      <c r="A333" s="4" t="inlineStr">
        <is>
          <t xml:space="preserve">I-06</t>
        </is>
      </c>
      <c r="B333" s="4" t="inlineStr">
        <is>
          <t xml:space="preserve">LOW</t>
        </is>
      </c>
      <c r="C333" s="4" t="inlineStr">
        <is>
          <t xml:space="preserve">Fld Maint Budget!B30 (comment); Fld Ops Payroll!B11; FO!AG44; FO!AG52</t>
        </is>
      </c>
      <c r="D333" s="4" t="inlineStr">
        <is>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is>
      </c>
      <c r="E333" s="4" t="inlineStr">
        <is>
          <t xml:space="preserve">FO 5310 (FO!AG44 = 575,268) = MeLi techs in role 346,920 + Merida contractors 123,900 + MeLi supervisor 104,448 (Fld Maint Budget rows 70-72 x B10/B11; row 84 = 575,268). FO 5510 current techs: Fld Ops Payroll!F20:Q20 = 14 each month (formula =$B$11); current-tech payroll 2027 1,094,774.</t>
        </is>
      </c>
      <c r="F333" s="4" t="inlineStr">
        <is>
          <t xml:space="preserve">0</t>
        </is>
      </c>
      <c r="G333" s="4" t="inlineStr">
        <is>
          <t xml:space="preserve">impact 0</t>
        </is>
      </c>
      <c r="H333" s="4" t="inlineStr">
        <is>
          <t xml:space="preserve">SD owner to confirm and delete the stale CONFIRM comment on Fld Maint Budget!B30.</t>
        </is>
      </c>
    </row>
    <row r="334">
      <c r="A334" s="4" t="inlineStr">
        <is>
          <t xml:space="preserve">I-07</t>
        </is>
      </c>
      <c r="B334" s="4" t="inlineStr">
        <is>
          <t xml:space="preserve">MED</t>
        </is>
      </c>
      <c r="C334" s="4" t="inlineStr">
        <is>
          <t xml:space="preserve">PO!U19:AF22; 'Depreciation Schedule'!A1:S126; COO P&amp;L!AG19:AG22</t>
        </is>
      </c>
      <c r="D334" s="4" t="inlineStr">
        <is>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is>
      </c>
      <c r="E334" s="4" t="inlineStr">
        <is>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 v8: + capitalised production labour (sections 8-9). v9: 104,417 (5011 79,290, 5012 25,126; v8 153,038): 2027 depreciation 3,423,225 (v8 3,471,846).</t>
        </is>
      </c>
      <c r="F334" s="4" t="inlineStr">
        <is>
          <t xml:space="preserve">not determinable (component decisions in I-31..I-33)</t>
        </is>
      </c>
      <c r="G334" s="4" t="inlineStr">
        <is>
          <t xml:space="preserve">impact not determinable; owner confirmation needed</t>
        </is>
      </c>
      <c r="H334" s="4" t="inlineStr">
        <is>
          <t xml:space="preserve">PO owner/Finance to confirm the run-rate approach against the fixed-asset register, and resolve I-31..I-33.</t>
        </is>
      </c>
    </row>
    <row r="335">
      <c r="A335" s="4" t="inlineStr">
        <is>
          <t xml:space="preserve">I-08</t>
        </is>
      </c>
      <c r="B335" s="4" t="inlineStr">
        <is>
          <t xml:space="preserve">LOW</t>
        </is>
      </c>
      <c r="C335" s="4" t="inlineStr">
        <is>
          <t xml:space="preserve">PO!U28; PO!Y28; PO!AD28; PO!U38; PO!U42</t>
        </is>
      </c>
      <c r="D335" s="4" t="inlineStr">
        <is>
          <t xml:space="preserve">Typed plugs are added onto the driver formula in 2027 month cells (+15,000, +5,000). They are not visible in the method columns R:T.</t>
        </is>
      </c>
      <c r="E335" s="4" t="inlineStr">
        <is>
          <t xml:space="preserve">PO!U28 +5,000; PO!Y28 +5,000; PO!AD28 +5,000; PO!U38 +15,000; PO!U42 +15,000. Total plugs 45,000.</t>
        </is>
      </c>
      <c r="F335" s="4" t="inlineStr">
        <is>
          <t xml:space="preserve">45,000</t>
        </is>
      </c>
      <c r="G335" s="4" t="inlineStr">
        <is>
          <t xml:space="preserve">impact 45,000</t>
        </is>
      </c>
      <c r="H335" s="4" t="inlineStr">
        <is>
          <t xml:space="preserve">PO owner to move these amounts into a documented input (column S or a manual row), or remove them.</t>
        </is>
      </c>
    </row>
    <row r="336">
      <c r="A336" s="4" t="inlineStr">
        <is>
          <t xml:space="preserve">I-09</t>
        </is>
      </c>
      <c r="B336" s="4" t="inlineStr">
        <is>
          <t xml:space="preserve">LOW</t>
        </is>
      </c>
      <c r="C336" s="4" t="inlineStr">
        <is>
          <t xml:space="preserve">PE!W74:AF74; PE!W76</t>
        </is>
      </c>
      <c r="D336" s="4" t="inlineStr">
        <is>
          <t xml:space="preserve">Typed numbers overwrite the driver formula in some 2027 months (manual overrides inside a formula row).</t>
        </is>
      </c>
      <c r="E336" s="4" t="inlineStr">
        <is>
          <t xml:space="preserve">PE!W74=1,500, PE!X74=1,500, PE!Y74=2,000, PE!Z74=2,000, PE!AA74=2,500, PE!AB74=2,500, PE!AC74=3,000, PE!AD74=3,000, PE!AE74=3,500, PE!AF74=4,000, PE!W76=300. Total typed 25,800.</t>
        </is>
      </c>
      <c r="F336" s="4" t="inlineStr">
        <is>
          <t xml:space="preserve">25,800</t>
        </is>
      </c>
      <c r="G336" s="4" t="inlineStr">
        <is>
          <t xml:space="preserve">impact 25,800</t>
        </is>
      </c>
      <c r="H336" s="4" t="inlineStr">
        <is>
          <t xml:space="preserve">PE owner to confirm the overrides, or set the row method to Manual.</t>
        </is>
      </c>
    </row>
    <row r="337">
      <c r="A337" s="4" t="inlineStr">
        <is>
          <t xml:space="preserve">I-10</t>
        </is>
      </c>
      <c r="B337" s="4" t="inlineStr">
        <is>
          <t xml:space="preserve">MED</t>
        </is>
      </c>
      <c r="C337" s="4" t="inlineStr">
        <is>
          <t xml:space="preserve">FO!AG58; FO!AG67; FO!AG91; FE!AG91; FO!AG116</t>
        </is>
      </c>
      <c r="D337" s="4" t="inlineStr">
        <is>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is>
      </c>
      <c r="E337" s="4" t="inlineStr">
        <is>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is>
      </c>
      <c r="F337" s="4" t="inlineStr">
        <is>
          <t xml:space="preserve">not determinable (2026 base 384,425)</t>
        </is>
      </c>
      <c r="G337" s="4" t="inlineStr">
        <is>
          <t xml:space="preserve">impact not determinable; owner confirmation needed</t>
        </is>
      </c>
      <c r="H337" s="4" t="inlineStr">
        <is>
          <t xml:space="preserve">SD owner to confirm whether these costs stop in 2027 or are budgeted elsewhere.</t>
        </is>
      </c>
    </row>
    <row r="338">
      <c r="A338" s="4" t="inlineStr">
        <is>
          <t xml:space="preserve">I-11</t>
        </is>
      </c>
      <c r="B338" s="4" t="inlineStr">
        <is>
          <t xml:space="preserve">MED</t>
        </is>
      </c>
      <c r="C338" s="4" t="inlineStr">
        <is>
          <t xml:space="preserve">COO P&amp;L!AG12; COO P&amp;L!AG52; COO P&amp;L!AG19; COO P&amp;L!AG47 (+ variance table)</t>
        </is>
      </c>
      <c r="D338" s="4" t="inlineStr">
        <is>
          <t xml:space="preserve">98 rows have a 2027 budget that differs from 2026 by more than 50% and more than $50k (v3 values; list below).</t>
        </is>
      </c>
      <c r="E338" s="4" t="inlineStr">
        <is>
          <t xml:space="preserve">v3 values: 98 rows (v2: 98). Largest COO P&amp;L GL moves: COO P&amp;L!N12 6,363,078 -&gt; AG12 15,563,646; COO P&amp;L!N52 887,966 -&gt; AG52 3,238,031; COO P&amp;L!N47 319,694 -&gt; AG47 1,554,365; COO P&amp;L!N20 100,360 -&gt; AG20 1,248,196. v9: 99 rows (regenerated vs v7: 0 added, 23 changed, 1 removed; production labour capitalised).</t>
        </is>
      </c>
      <c r="F338" s="4" t="inlineStr">
        <is>
          <t xml:space="preserve">not determinable</t>
        </is>
      </c>
      <c r="G338" s="4" t="inlineStr">
        <is>
          <t xml:space="preserve">impact not determinable; owner confirmation needed</t>
        </is>
      </c>
      <c r="H338" s="4" t="inlineStr">
        <is>
          <t xml:space="preserve">Each dept owner to comment on their rows in the variance table.</t>
        </is>
      </c>
    </row>
    <row r="339">
      <c r="A339" s="4" t="inlineStr">
        <is>
          <t xml:space="preserve">I-12</t>
        </is>
      </c>
      <c r="B339" s="4" t="inlineStr">
        <is>
          <t xml:space="preserve">MED</t>
        </is>
      </c>
      <c r="C339" s="4" t="inlineStr">
        <is>
          <t xml:space="preserve">Fld Maint Budget!B8; Fld Maint Budget!B78:M78; FO!AG46</t>
        </is>
      </c>
      <c r="D339" s="4" t="inlineStr">
        <is>
          <t xml:space="preserve">Site setup kit cost is flagged as a placeholder (Fld Maint Budget!D8: 'PLACEHOLDER – update when the kit list is priced (Spare Parts, Tool Kits, 5S for'). It feeds FO 5330.</t>
        </is>
      </c>
      <c r="E339" s="4" t="inlineStr">
        <is>
          <t xml:space="preserve">Fld Maint Budget!B8 = 4,500 $/new site; 'Site setup kits' 2027 (B78:M78) = 274,500. FO!N46 23,121 -&gt; AG46 288,069.</t>
        </is>
      </c>
      <c r="F339" s="4" t="inlineStr">
        <is>
          <t xml:space="preserve">not determinable (exposure 274,500)</t>
        </is>
      </c>
      <c r="G339" s="4" t="inlineStr">
        <is>
          <t xml:space="preserve">impact not determinable; owner confirmation needed</t>
        </is>
      </c>
      <c r="H339" s="4" t="inlineStr">
        <is>
          <t xml:space="preserve">SD owner to price the kit list and replace B8.</t>
        </is>
      </c>
    </row>
    <row r="340">
      <c r="A340" s="4" t="inlineStr">
        <is>
          <t xml:space="preserve">I-13</t>
        </is>
      </c>
      <c r="B340" s="4" t="inlineStr">
        <is>
          <t xml:space="preserve">MED</t>
        </is>
      </c>
      <c r="C340" s="4" t="inlineStr">
        <is>
          <t xml:space="preserve">Fld Ops Payroll!M11; Fld Ops Payroll!B12; Fld Ops Payroll!M14</t>
        </is>
      </c>
      <c r="D340" s="4" t="inlineStr">
        <is>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is>
      </c>
      <c r="E340" s="4" t="inlineStr">
        <is>
          <t xml:space="preserve">M11 = 40, B12 = 0.6, M14 = 'No'. Expansion tech payroll 2027 (Fld Ops Payroll!F47:Q47) = 337,514.</t>
        </is>
      </c>
      <c r="F340" s="4" t="inlineStr">
        <is>
          <t xml:space="preserve">not determinable (exposure 337,514)</t>
        </is>
      </c>
      <c r="G340" s="4" t="inlineStr">
        <is>
          <t xml:space="preserve">impact not determinable; owner confirmation needed</t>
        </is>
      </c>
      <c r="H340" s="4" t="inlineStr">
        <is>
          <t xml:space="preserve">SD owner to confirm or replace B12; M11 matters only if M14 is set to Yes.</t>
        </is>
      </c>
    </row>
    <row r="341">
      <c r="A341" s="4" t="inlineStr">
        <is>
          <t xml:space="preserve">I-14</t>
        </is>
      </c>
      <c r="B341" s="4" t="inlineStr">
        <is>
          <t xml:space="preserve">MED</t>
        </is>
      </c>
      <c r="C341" s="4" t="inlineStr">
        <is>
          <t xml:space="preserve">Prod Payroll!M7; Prod Payroll!B9; Prod Payroll!A33; Fld Ops Payroll!B9; Old Draft!B142 (SD, not carried)</t>
        </is>
      </c>
      <c r="D341" s="4" t="inlineStr">
        <is>
          <t xml:space="preserve">More placeholder inputs: Prod Payroll new-hire cost, current headcount and absence factors (no budget effect while Prod Payroll is broken), and the Fld Ops Payroll new-hire cost per tech, which hidden Old Draft!B142 says overlaps an onboarding line. v8: Prod Payroll now computes and drives the budget (capitalised labour, I-05), so these placeholders (M7 new-hire cost, B9 / C9 current staff, the absence factors) now move 5011 / 5012 depreciation.</t>
        </is>
      </c>
      <c r="E341" s="4" t="inlineStr">
        <is>
          <t xml:space="preserve">Fld Ops Payroll!B9 = 2,000; new-hire cost in FO 2027 (Fld Ops Payroll rows 34, 46, 59, 72, F:Q) = 138,000. Old Draft!B142: '7. Onboarding: 10 new hires Jan – Sep. The $2,000 Fld Ops Payroll placeholder (B9) overlaps this line; replace it with the actual cost here '.</t>
        </is>
      </c>
      <c r="F341" s="4" t="inlineStr">
        <is>
          <t xml:space="preserve">not determinable (exposure 138,000)</t>
        </is>
      </c>
      <c r="G341" s="4" t="inlineStr">
        <is>
          <t xml:space="preserve">impact not determinable; owner confirmation needed</t>
        </is>
      </c>
      <c r="H341" s="4" t="inlineStr">
        <is>
          <t xml:space="preserve">SD owner to confirm B9 (and that onboarding is not also budgeted elsewhere).</t>
        </is>
      </c>
    </row>
    <row r="342">
      <c r="A342" s="4" t="inlineStr">
        <is>
          <t xml:space="preserve">I-15</t>
        </is>
      </c>
      <c r="B342" s="4" t="inlineStr">
        <is>
          <t xml:space="preserve">LOW</t>
        </is>
      </c>
      <c r="C342" s="4" t="inlineStr">
        <is>
          <t xml:space="preserve">Fld Maint Budget!B12 (comment); Fld Maint Budget!B11; Fld Ops Payroll!H11; Fld Ops Payroll!E12</t>
        </is>
      </c>
      <c r="D342" s="4" t="inlineStr">
        <is>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is>
      </c>
      <c r="E342" s="4" t="inlineStr">
        <is>
          <t xml:space="preserve">MeLi supervisor in 5310 2027 = 104,448 (Fld Maint Budget!B11 = 8,704/month x B12 = 1). FO HC r25 Field Maintenance Manager (Fld Ops Payroll row 77) 2027 = 120,900; incremental supervisors (row 73) 2027 = 193,632.</t>
        </is>
      </c>
      <c r="F342" s="4" t="inlineStr">
        <is>
          <t xml:space="preserve">0</t>
        </is>
      </c>
      <c r="G342" s="4" t="inlineStr">
        <is>
          <t xml:space="preserve">impact 0</t>
        </is>
      </c>
      <c r="H342" s="4" t="inlineStr">
        <is>
          <t xml:space="preserve">SD owner to confirm and delete the stale comment.</t>
        </is>
      </c>
    </row>
    <row r="343">
      <c r="A343" s="4" t="inlineStr">
        <is>
          <t xml:space="preserve">I-16</t>
        </is>
      </c>
      <c r="B343" s="4" t="inlineStr">
        <is>
          <t xml:space="preserve">LOW</t>
        </is>
      </c>
      <c r="C343" s="4" t="inlineStr">
        <is>
          <t xml:space="preserve">Fld Maint T&amp;E Data!M5:M388 (SD, hidden, not carried)</t>
        </is>
      </c>
      <c r="D343" s="4" t="inlineStr">
        <is>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is>
      </c>
      <c r="E343" s="4" t="inlineStr">
        <is>
          <t xml:space="preserve">Top booked-&gt;budget GL pairs: 5050-&gt;5360 x34, 6100-&gt;5360 x16, 5360-&gt;5050 x14, 7550-&gt;5330 x12, 6100-&gt;5050 x8.</t>
        </is>
      </c>
      <c r="F343" s="4" t="inlineStr">
        <is>
          <t xml:space="preserve">27,804</t>
        </is>
      </c>
      <c r="G343" s="4" t="inlineStr">
        <is>
          <t xml:space="preserve">impact 27,804</t>
        </is>
      </c>
      <c r="H343" s="4" t="inlineStr">
        <is>
          <t xml:space="preserve">Finance to post the reclasses (or confirm none are needed).</t>
        </is>
      </c>
    </row>
    <row r="344">
      <c r="A344" s="4" t="inlineStr">
        <is>
          <t xml:space="preserve">I-17</t>
        </is>
      </c>
      <c r="B344" s="4" t="inlineStr">
        <is>
          <t xml:space="preserve">RESOLVED</t>
        </is>
      </c>
      <c r="C344" s="4" t="inlineStr">
        <is>
          <t xml:space="preserve">'Logistics&amp;WH Payroll'!A14:S51; CO!U67:AF69; 'HC-CO'!B17:C17; 'HC-PO'!B20:C20; PO!U33:AF35</t>
        </is>
      </c>
      <c r="D344" s="4" t="inlineStr">
        <is>
          <t xml:space="preserve">RESOLVED (user decision 2026-10-10: 'The WH and logistics numbers should hit central operations'; 'Yes, the material handler should move to CO.'). v10 copies the SD Logistics&amp;WH Payroll tab into the workbook and books it in CO 6610-6640 (2027) by formula, less seat LOG-01 (= CO HC r17, already in CO): 398,492 = the 7 new seats (336,530) + MH-01 (61,963 at model rates; = PO HC r20, which leaves the PO 5110-5140 B131 base). New-hire cost (5,000) to 6610. Was (v9, HIGH): not carried; (336,530) net, (398,492) at the 9-overlap, (471,093) at the 7-overlap.</t>
        </is>
      </c>
      <c r="E344" s="4" t="inlineStr">
        <is>
          <t xml:space="preserve">Seats: LOG-01 148,949 (on payroll); INV-01 55,652 (Feb-27); TL-01 64,544 (Dec-26); TL-02 33,032 (Jul-27); MH-01 61,963 (on payroll); MH-02 61,963 (Oct-26); MH-06 31,751 (Jul-27); MH-03 52,712 (Mar-27); MH-04 36,876 (Jun-27). CO 6610-6640 check (v10 - HC-CO - logistics less LOG-01) = 0.00.</t>
        </is>
      </c>
      <c r="F344" s="4" t="inlineStr">
        <is>
          <t xml:space="preserve">(398,492) booked in the headline</t>
        </is>
      </c>
      <c r="G344" s="4" t="inlineStr">
        <is>
          <t xml:space="preserve">user decision</t>
        </is>
      </c>
      <c r="H344" s="4" t="inlineStr">
        <is>
          <t xml:space="preserve">None for the booking. Open: burden rates (A-44, +19,396 at CO HC rates); r16 vs TL-01 (I-41); Q4-26 hires on no roster (I-38).</t>
        </is>
      </c>
    </row>
    <row r="345">
      <c r="A345" s="4" t="inlineStr">
        <is>
          <t xml:space="preserve">I-18</t>
        </is>
      </c>
      <c r="B345" s="4" t="inlineStr">
        <is>
          <t xml:space="preserve">LOW</t>
        </is>
      </c>
      <c r="C345" s="4" t="inlineStr">
        <is>
          <t xml:space="preserve">Fld Ops Payroll!B10; Fld Ops Payroll!B15; Fld Ops Payroll!B16</t>
        </is>
      </c>
      <c r="D345" s="4" t="inlineStr">
        <is>
          <t xml:space="preserve">The hiring horizon ends at Dec-27 (DeploySum row 54). Hires for Jan-28 go-lives use an Oct-Dec 27 average default rather than a forecast (documented by the author).</t>
        </is>
      </c>
      <c r="E345" s="4" t="inlineStr">
        <is>
          <t xml:space="preserve">B10 = 1; B15 = =ROUND(AVERAGE(DeploySum!O54:Q54),0) = 7; B16 = =ROUND(AVERAGE(DeploySum!O57:Q57),0) = 2; cell notes on B10/B15/B16.</t>
        </is>
      </c>
      <c r="F345" s="4" t="inlineStr">
        <is>
          <t xml:space="preserve">not determinable</t>
        </is>
      </c>
      <c r="G345" s="4" t="inlineStr">
        <is>
          <t xml:space="preserve">hygiene</t>
        </is>
      </c>
      <c r="H345" s="4" t="inlineStr">
        <is>
          <t xml:space="preserve">Overwrite B15/B16 if a 2028 go-live forecast exists.</t>
        </is>
      </c>
    </row>
    <row r="346">
      <c r="A346" s="4" t="inlineStr">
        <is>
          <t xml:space="preserve">I-19</t>
        </is>
      </c>
      <c r="B346" s="4" t="inlineStr">
        <is>
          <t xml:space="preserve">LOW</t>
        </is>
      </c>
      <c r="C346" s="4" t="inlineStr">
        <is>
          <t xml:space="preserve">FE!U30:AF75 (rows 30-31, 67-69, 74-75); Fld Eng Budget rows 28-33, 85-91</t>
        </is>
      </c>
      <c r="D346" s="4" t="inlineStr">
        <is>
          <t xml:space="preserve">FE and Fld Eng Budget link in both directions: Fld Eng Budget reads FE 2026 columns, and FE 2027 rows read Fld Eng Budget. LibreOffice recalculated with no errors (no cell-level circularity), but the structure is easy to break.</t>
        </is>
      </c>
      <c r="E346" s="4" t="inlineStr">
        <is>
          <t xml:space="preserve">Fld Eng Budget has 68 references to FE; FE has 84 references to Fld Eng Budget.</t>
        </is>
      </c>
      <c r="F346" s="4" t="inlineStr">
        <is>
          <t xml:space="preserve">not determinable</t>
        </is>
      </c>
      <c r="G346" s="4" t="inlineStr">
        <is>
          <t xml:space="preserve">hygiene</t>
        </is>
      </c>
      <c r="H346" s="4" t="inlineStr">
        <is>
          <t xml:space="preserve">Check Fld Eng Budget before editing the FE 2026 columns it reads.</t>
        </is>
      </c>
    </row>
    <row r="347">
      <c r="A347" s="4" t="inlineStr">
        <is>
          <t xml:space="preserve">I-20</t>
        </is>
      </c>
      <c r="B347" s="4" t="inlineStr">
        <is>
          <t xml:space="preserve">LOW</t>
        </is>
      </c>
      <c r="C347" s="4" t="inlineStr">
        <is>
          <t xml:space="preserve">SD sheets Prod Payroll, Old Draft, Fld Maint T&amp;E Data (hidden); DeploySum!A41:A42 (hidden rows 41-42)</t>
        </is>
      </c>
      <c r="D347" s="4" t="inlineStr">
        <is>
          <t xml:space="preserve">SD has 3 hidden sheets; Prod Payroll is carried and kept hidden, the others are not carried (FO/FE do not depend on them). DeploySum row visibility for rows 3-49 now follows the 9/30/26 file.</t>
        </is>
      </c>
      <c r="E347" s="4" t="inlineStr">
        <is>
          <t xml:space="preserve">Hidden in output: ['Prod Payroll']. DeploySum hidden rows v2 [30, 32, 33, 34, 35, 36, 40, 41, 42] -&gt; v3 [41, 42] (rows 30, 32-36 and recognized revenue row 40 are now visible, as in the 9/30/26 file).</t>
        </is>
      </c>
      <c r="F347" s="4" t="inlineStr">
        <is>
          <t xml:space="preserve">not determinable</t>
        </is>
      </c>
      <c r="G347" s="4" t="inlineStr">
        <is>
          <t xml:space="preserve">hygiene</t>
        </is>
      </c>
      <c r="H347" s="4" t="inlineStr">
        <is>
          <t xml:space="preserve">None, unless reviewers want Old Draft / T&amp;E Data in the pack.</t>
        </is>
      </c>
    </row>
    <row r="348">
      <c r="A348" s="4" t="inlineStr">
        <is>
          <t xml:space="preserve">I-21</t>
        </is>
      </c>
      <c r="B348" s="4" t="inlineStr">
        <is>
          <t xml:space="preserve">LOW</t>
        </is>
      </c>
      <c r="C348" s="4" t="inlineStr">
        <is>
          <t xml:space="preserve">Fld Maint T&amp;E Data!Q26 (SD)</t>
        </is>
      </c>
      <c r="D348" s="4" t="inlineStr">
        <is>
          <t xml:space="preserve">Old Draft dependence is contained: 1 cell(s) outside Old Draft read it, none in the FO/FE chain, so the output has 0 references to it.</t>
        </is>
      </c>
      <c r="E348" s="4" t="inlineStr">
        <is>
          <t xml:space="preserve">SD Fld Maint T&amp;E Data: 1 cell(s) e.g. Q26: ='Old Draft'!B28*'Old Draft'!B23. SD dependency map: Old Draft -&gt; {'Fld Maint T&amp;E Data': 458, 'Fld Ops Payroll': 131, 'DeploySum': 112}.</t>
        </is>
      </c>
      <c r="F348" s="4" t="inlineStr">
        <is>
          <t xml:space="preserve">not determinable</t>
        </is>
      </c>
      <c r="G348" s="4" t="inlineStr">
        <is>
          <t xml:space="preserve">hygiene</t>
        </is>
      </c>
      <c r="H348" s="4" t="inlineStr">
        <is>
          <t xml:space="preserve">None for the budget. Consider deleting Old Draft once the reference is re-pointed.</t>
        </is>
      </c>
    </row>
    <row r="349">
      <c r="A349" s="4" t="inlineStr">
        <is>
          <t xml:space="preserve">I-22</t>
        </is>
      </c>
      <c r="B349" s="4" t="inlineStr">
        <is>
          <t xml:space="preserve">LOW</t>
        </is>
      </c>
      <c r="C349" s="4" t="inlineStr">
        <is>
          <t xml:space="preserve">COO P&amp;L!A23:A24, B27, B37 (same rows on FO, PO, CO, FE, PE)</t>
        </is>
      </c>
      <c r="D349" s="4" t="inlineStr">
        <is>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is>
      </c>
      <c r="E349" s="4" t="inlineStr">
        <is>
          <t xml:space="preserve">Subtotal scan on 6 sheets: 0 skipped lines with values. Non-empty cells on row 23 by tab: {COO P&amp;L: 0, FO: 0, PO: 0, CO: 0, FE: 0, PE: 0}. COO P&amp;L dept-sum formulas omitting a dept: 0.</t>
        </is>
      </c>
      <c r="F349" s="4" t="inlineStr">
        <is>
          <t xml:space="preserve">not determinable</t>
        </is>
      </c>
      <c r="G349" s="4" t="inlineStr">
        <is>
          <t xml:space="preserve">hygiene</t>
        </is>
      </c>
      <c r="H349" s="4" t="inlineStr">
        <is>
          <t xml:space="preserve">Optionally relabel row 23 as a header, or lock it.</t>
        </is>
      </c>
    </row>
    <row r="350">
      <c r="A350" s="4" t="inlineStr">
        <is>
          <t xml:space="preserve">I-23</t>
        </is>
      </c>
      <c r="B350" s="4" t="inlineStr">
        <is>
          <t xml:space="preserve">LOW</t>
        </is>
      </c>
      <c r="C350" s="4" t="inlineStr">
        <is>
          <t xml:space="preserve">COO P&amp;L!B65:M65; COO P&amp;L!C141</t>
        </is>
      </c>
      <c r="D350" s="4" t="inlineStr">
        <is>
          <t xml:space="preserve">COO P&amp;L row 65 (labelled 'Expense') holds an unlabelled gross-margin % formula (=IFERROR(B64/B16,"")). With 2027 revenue now budgeted, it shows a 2027 margin (AG65 = 21.9%). Row 141 shows an extreme ratio for Feb-26 caused by negative 2026 payroll postings.</t>
        </is>
      </c>
      <c r="E350" s="4" t="inlineStr">
        <is>
          <t xml:space="preserve">COO P&amp;L!C141 = -14.33 (ratio). PO!N67 (308,059) -&gt; AG67 0; PE!N35 (56,264) -&gt; AG35 0.</t>
        </is>
      </c>
      <c r="F350" s="4" t="inlineStr">
        <is>
          <t xml:space="preserve">not determinable</t>
        </is>
      </c>
      <c r="G350" s="4" t="inlineStr">
        <is>
          <t xml:space="preserve">hygiene</t>
        </is>
      </c>
      <c r="H350" s="4" t="inlineStr">
        <is>
          <t xml:space="preserve">Label row 65. Finance to explain the negative 2026 payroll postings in PO 6610 and PE 5140. v7: the PO 6610 and PE 5140 credits are also evidence for Decision #1 (production labour capitalised, B1); Finance's answer settles both. v8: Decision #1 is resolved (capitalised); the 2026 credits now bear on the 2026 policy and the scope (I-40). v9: 2026 labour stays a 2026 cost (B132 = 0), consistent with the 2026 books expensing 5100.</t>
        </is>
      </c>
    </row>
    <row r="351">
      <c r="A351" s="4" t="inlineStr">
        <is>
          <t xml:space="preserve">I-24</t>
        </is>
      </c>
      <c r="B351" s="4" t="inlineStr">
        <is>
          <t xml:space="preserve">LOW</t>
        </is>
      </c>
      <c r="C351" s="4" t="inlineStr">
        <is>
          <t xml:space="preserve">Workbook defined names (xl/workbook.xml &lt;definedNames&gt;, workbook scope, no cell); list in 02-build_pruned_names_v2.csv</t>
        </is>
      </c>
      <c r="D351" s="4" t="inlineStr">
        <is>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is>
      </c>
      <c r="E351" s="4" t="inlineStr">
        <is>
          <t xml:space="preserve">Before 14,310, after 8,965. Usage scan covered cell formulas, data validations, conditional formats, charts, print areas/titles and other names (counts in the notes file). Names referenced: 0 from parts, 0 from other names. Pruned names still referenced: 0.</t>
        </is>
      </c>
      <c r="F351" s="4" t="inlineStr">
        <is>
          <t xml:space="preserve">not determinable</t>
        </is>
      </c>
      <c r="G351" s="4" t="inlineStr">
        <is>
          <t xml:space="preserve">hygiene</t>
        </is>
      </c>
      <c r="H351" s="4" t="inlineStr">
        <is>
          <t xml:space="preserve">Optional: purge the remaining constant-valued legacy names in Name Manager.</t>
        </is>
      </c>
    </row>
    <row r="352">
      <c r="A352" s="4" t="inlineStr">
        <is>
          <t xml:space="preserve">I-25</t>
        </is>
      </c>
      <c r="B352" s="4" t="inlineStr">
        <is>
          <t xml:space="preserve">LOW</t>
        </is>
      </c>
      <c r="C352" s="4" t="inlineStr">
        <is>
          <t xml:space="preserve">Prod Payroll!B24:S81; DeploySum!A1 (notes)</t>
        </is>
      </c>
      <c r="D352" s="4" t="inlineStr">
        <is>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 v8: Prod Payroll's XLOOKUP cells are replaced by an INDEX/MATCH equivalent (A-28), so LibreOffice evaluates the whole model.</t>
        </is>
      </c>
      <c r="E352" s="4" t="inlineStr">
        <is>
          <t xml:space="preserve">Errors v2 -&gt; v3: DeploySum {'#REF!': 463, '#N/A': 35} -&gt; none; Prod Payroll {'#REF!': 796} -&gt; {'#NAME?': 430}. New errors: 0. v8: Prod Payroll errors 430 -&gt; 0.</t>
        </is>
      </c>
      <c r="F352" s="4" t="inlineStr">
        <is>
          <t xml:space="preserve">not determinable</t>
        </is>
      </c>
      <c r="G352" s="4" t="inlineStr">
        <is>
          <t xml:space="preserve">hygiene</t>
        </is>
      </c>
      <c r="H352" s="4" t="inlineStr">
        <is>
          <t xml:space="preserve">None; disclosed for reviewers.</t>
        </is>
      </c>
    </row>
    <row r="353">
      <c r="A353" s="4" t="inlineStr">
        <is>
          <t xml:space="preserve">I-26</t>
        </is>
      </c>
      <c r="B353" s="4" t="inlineStr">
        <is>
          <t xml:space="preserve">RESOLVED</t>
        </is>
      </c>
      <c r="C353" s="4" t="inlineStr">
        <is>
          <t xml:space="preserve">Fld Eng Budget!B21; Fld Eng Budget!B67:M67; FE!AG67</t>
        </is>
      </c>
      <c r="D353" s="4" t="inlineStr">
        <is>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is>
      </c>
      <c r="E353" s="4" t="inlineStr">
        <is>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is>
      </c>
      <c r="F353" s="4" t="inlineStr">
        <is>
          <t xml:space="preserve">(254,454) on the contribution (in the v5 headline)</t>
        </is>
      </c>
      <c r="G353" s="4" t="inlineStr">
        <is>
          <t xml:space="preserve">resolved; was MED (owner confirmation)</t>
        </is>
      </c>
      <c r="H353" s="4" t="inlineStr">
        <is>
          <t xml:space="preserve">None. v6: the Head of Service Delivery is on FE HC r16 and Fld Eng Budget r21 only, not on CO HC or PE HC (I-28).</t>
        </is>
      </c>
    </row>
    <row r="354">
      <c r="A354" s="4" t="inlineStr">
        <is>
          <t xml:space="preserve">I-27</t>
        </is>
      </c>
      <c r="B354" s="4" t="inlineStr">
        <is>
          <t xml:space="preserve">LOW</t>
        </is>
      </c>
      <c r="C354" s="4" t="inlineStr">
        <is>
          <t xml:space="preserve">Logistics&amp;WH Payroll!B56 (SD, not carried); FO!U52:AF52</t>
        </is>
      </c>
      <c r="D354" s="4" t="inlineStr">
        <is>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 v10: the Logistics&amp;WH tab is now in the workbook ('Logistics&amp;WH Payroll'!B56); MH-05 is still in neither model.</t>
        </is>
      </c>
      <c r="E354" s="4" t="inlineStr">
        <is>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is>
      </c>
      <c r="F354" s="4" t="inlineStr">
        <is>
          <t xml:space="preserve">38,133 base pay missing (before burden)</t>
        </is>
      </c>
      <c r="G354" s="4" t="inlineStr">
        <is>
          <t xml:space="preserve">impact 38,133</t>
        </is>
      </c>
      <c r="H354" s="4" t="inlineStr">
        <is>
          <t xml:space="preserve">SD/PO owners to decide where MH-05 is budgeted and add it.</t>
        </is>
      </c>
    </row>
    <row r="355">
      <c r="A355" s="4" t="inlineStr">
        <is>
          <t xml:space="preserve">I-28</t>
        </is>
      </c>
      <c r="B355" s="4" t="inlineStr">
        <is>
          <t xml:space="preserve">MED</t>
        </is>
      </c>
      <c r="C355" s="4" t="inlineStr">
        <is>
          <t xml:space="preserve">'HC-FO'!B15:D15; Fld Eng Budget!A15:C15, row 61; Fld Ops Payroll!B11; 'HC-FE'!B41:D41; 'HC-CO'; 'HC-PE'</t>
        </is>
      </c>
      <c r="D355" s="4" t="inlineStr">
        <is>
          <t xml:space="preserve">v6 answers the person-level question with the HC rosters. Every person on FE HC, CO HC, PE HC, PO HC, FO HC, SD Fld Eng Budget, SD Fld Ops Payroll, SD Logistics&amp;WH and SD Prod Payroll was compared by name where present, otherwise by title + salary + start (A-29). CO and PE: no person on the FE roster is on CO HC or PE HC (0 name matches, 0 title + salary matches). The Head of Service Delivery is on FE HC r16 and Fld Eng Budget r21 only (nearest title elsewhere: PE HC r22 Head of Production and Delivery, a different person at a different salary; I-35). One person is probably costed twice in the budget (name match only; title and salary differ; likely FO-&gt;FE move): Fld Eng Budget r15 Field Engineer (75,000, 'current employee') has the same full name as FO HC r15 Field Technician (70,021), one of the 14 current techs Fld Ops Payroll costs by count (B11 = 14). FE HC has no salary for this person; its r41 'Field Engineer' row is open (no name, salary or start).</t>
        </is>
      </c>
      <c r="E355" s="4" t="inlineStr">
        <is>
          <t xml:space="preserve">FE side 2027: salary 75,562.50, with SD burden 93,093. FO side, recalculated with Fld Ops Payroll B11 14 -&gt; 13 (v7): +78,529 = payroll 78,198 (one current tech at model rates, salary 63,472.50) + 331 on 5330 (Fld Maint Budget!B29 = B30 + Fld Ops Payroll!B11); supervisor headcount unchanged in every month. v6 stated 78,198 (payroll only). Pair scan: 9 same-person pairs inside one P&amp;L source (FE HC &lt;-&gt; Fld Eng Budget 7, FO HC &lt;-&gt; Fld Ops Payroll 2); 1 duplicate across P&amp;L sources; 2 with the not-carried Logistics&amp;WH model (I-17). Roster-to-P&amp;L map: 02-build_roster_map_v6.csv (no names).</t>
        </is>
      </c>
      <c r="F355" s="4" t="inlineStr">
        <is>
          <t xml:space="preserve">+78,529 to +93,093 (budget overstated by one person if the duplicate is confirmed; pro rata if the move happens mid-year)</t>
        </is>
      </c>
      <c r="G355" s="4" t="inlineStr">
        <is>
          <t xml:space="preserve">impact 93,093 ($50k-250k)</t>
        </is>
      </c>
      <c r="H355" s="4" t="inlineStr">
        <is>
          <t xml:space="preserve">SD / FO owners: confirm whether this person moved from FO to FE. Then remove them from one side (Fld Ops Payroll B11 14 -&gt; 13, or Fld Eng Budget row 15) and, if the move is real, give FE HC r41 the salary and start month. No budget value changed in v6 or v7.</t>
        </is>
      </c>
    </row>
    <row r="356">
      <c r="A356" s="4" t="inlineStr">
        <is>
          <t xml:space="preserve">I-29</t>
        </is>
      </c>
      <c r="B356" s="4" t="inlineStr">
        <is>
          <t xml:space="preserve">LOW</t>
        </is>
      </c>
      <c r="C356" s="4" t="inlineStr">
        <is>
          <t xml:space="preserve">Prod Payroll!M9; Fld Ops Payroll!M7; Fld Eng Budget!B59 (row formula); PO!AD33; PO!AD34; PO!AD35; CO!AD67; CO!AD68; CO!AD69; PE!AD67; PE!AD68; PE!AD69</t>
        </is>
      </c>
      <c r="D356" s="4" t="inlineStr">
        <is>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is>
      </c>
      <c r="E356" s="4" t="inlineStr">
        <is>
          <t xml:space="preserve">Prod Payroll!M5 = 0.03, M6 = 2027-10-01, M9 = 6. Steps found in typed rows: PO!AD33 3.00%; PO!AD34 3.00%; PO!AD35 3.00%; CO!AD67 3.00%; CO!AD68 3.00%; CO!AD69 3.00%; PE!AD67 3.00%; PE!AD68 3.00%; PE!AD69 3.00%; FE!AD67 3.00%; FE!AD68 3.00%; FE!AD69 3.00%.</t>
        </is>
      </c>
      <c r="F356" s="4" t="inlineStr">
        <is>
          <t xml:space="preserve">not determinable</t>
        </is>
      </c>
      <c r="G356" s="4" t="inlineStr">
        <is>
          <t xml:space="preserve">hygiene</t>
        </is>
      </c>
      <c r="H356" s="4" t="inlineStr">
        <is>
          <t xml:space="preserve">Payroll owners to confirm whether the eligibility rule should apply to all departments.</t>
        </is>
      </c>
    </row>
    <row r="357">
      <c r="A357" s="4" t="inlineStr">
        <is>
          <t xml:space="preserve">I-30</t>
        </is>
      </c>
      <c r="B357" s="4" t="inlineStr">
        <is>
          <t xml:space="preserve">LOW</t>
        </is>
      </c>
      <c r="C357" s="4" t="inlineStr">
        <is>
          <t xml:space="preserve">DeploySum!A2, A7, A9, A11, A13, A29, A30, A35, A38, A39, A40, A41, A42</t>
        </is>
      </c>
      <c r="D357" s="4" t="inlineStr">
        <is>
          <t xml:space="preserve">The source labels say '$000s', but the values are whole dollars. v3 relabelled the 13 cells to '$' (A2 text: 'Dollars in $ (relabelled in v3; the source said $000s)'). Each cell has a comment quoting the original label, so the change is visible, not silent.</t>
        </is>
      </c>
      <c r="E357" s="4" t="inlineStr">
        <is>
          <t xml:space="preserve">E.g. DeploySum!R13 total bookings 29,452,766 and R29 Production CapEx 32,410,900 are dollars: CapEx = units x unit cost in dollars (section 'Unit-cost reconciliation'), and recognized revenue is the same order as PO's 2026 revenue in dollars.</t>
        </is>
      </c>
      <c r="F357" s="4" t="inlineStr">
        <is>
          <t xml:space="preserve">0</t>
        </is>
      </c>
      <c r="G357" s="4" t="inlineStr">
        <is>
          <t xml:space="preserve">hygiene</t>
        </is>
      </c>
      <c r="H357" s="4" t="inlineStr">
        <is>
          <t xml:space="preserve">Plan owner to fix the labels in the source (Revenue Roll-up / Deploy) so the next export is right.</t>
        </is>
      </c>
    </row>
    <row r="358">
      <c r="A358" s="4" t="inlineStr">
        <is>
          <t xml:space="preserve">I-31</t>
        </is>
      </c>
      <c r="B358" s="4" t="inlineStr">
        <is>
          <t xml:space="preserve">LOW</t>
        </is>
      </c>
      <c r="C358" s="4" t="inlineStr">
        <is>
          <t xml:space="preserve">'Depreciation Schedule'!A88:D97; PO!J20:M22; DeploySum!C19:E20</t>
        </is>
      </c>
      <c r="D358" s="4" t="inlineStr">
        <is>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is>
      </c>
      <c r="E358" s="4" t="inlineStr">
        <is>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is>
      </c>
      <c r="F358" s="4" t="inlineStr">
        <is>
          <t xml:space="preserve">(39,057) to +37,457 (5020 Dec step: up to +12,300 more)</t>
        </is>
      </c>
      <c r="G358" s="4" t="inlineStr">
        <is>
          <t xml:space="preserve">impact 39,057 (&lt; $50k)</t>
        </is>
      </c>
      <c r="H358" s="4" t="inlineStr">
        <is>
          <t xml:space="preserve">PO owner to say what the Oct/Nov/Dec-26 step-ups on PO rows 20-22 are (which go-lives, which month). Then the user chooses: keep the PO run rate (current), or Sep-26 run rate + DeploySum Oct-Dec 26 vintages. Do not do both.</t>
        </is>
      </c>
    </row>
    <row r="359">
      <c r="A359" s="4" t="inlineStr">
        <is>
          <t xml:space="preserve">I-32</t>
        </is>
      </c>
      <c r="B359" s="4" t="inlineStr">
        <is>
          <t xml:space="preserve">HIGH</t>
        </is>
      </c>
      <c r="C359" s="4" t="inlineStr">
        <is>
          <t xml:space="preserve">'Depreciation Schedule'!B21:B24; PO!M19:M22; PO!U19:AF19</t>
        </is>
      </c>
      <c r="D359" s="4" t="inlineStr">
        <is>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is>
      </c>
      <c r="E359" s="4" t="inlineStr">
        <is>
          <t xml:space="preserve">Dec-26 run rates (PO!M): 5010 112,797.85, 5011 20,444.90, 5012 6,502.64, 5020 19,525.33; 2027 existing total 1,911,249. 5010 2026 actuals Jan-Aug 141,122.35 -&gt; 127,510.00, forecast Sep-Dec flat 112,797.85; 2026 total 1,492,329.</t>
        </is>
      </c>
      <c r="F359" s="4" t="inlineStr">
        <is>
          <t xml:space="preserve">up to +1,353,574 (5010 = 0); trend +276,164 (continued from Sep-26: +403,624); 5020 base up to +98,543</t>
        </is>
      </c>
      <c r="G359" s="4" t="inlineStr">
        <is>
          <t xml:space="preserve">impact 1,353,574</t>
        </is>
      </c>
      <c r="H359" s="4" t="inlineStr">
        <is>
          <t xml:space="preserve">USER DECISION: confirm SlipBot fleet status (fully depreciated / retired / ongoing / declining as in 2026) and the end-of-life month for any existing asset group. Change the section 2 input on the schedule if the run rate stops.</t>
        </is>
      </c>
    </row>
    <row r="360">
      <c r="A360" s="4" t="inlineStr">
        <is>
          <t xml:space="preserve">I-33</t>
        </is>
      </c>
      <c r="B360" s="4" t="inlineStr">
        <is>
          <t xml:space="preserve">MED</t>
        </is>
      </c>
      <c r="C360" s="4" t="inlineStr">
        <is>
          <t xml:space="preserve">'Depreciation Schedule'!B7, B11, B16; PO!U22:AF22</t>
        </is>
      </c>
      <c r="D360" s="4" t="inlineStr">
        <is>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is>
      </c>
      <c r="E360" s="4" t="inlineStr">
        <is>
          <t xml:space="preserve">2027 new-peripheral depreciation 63,836 (Dec-27 12,313.99/month). Moving it to 5011 changes the GL split only, not the total. A different life changes the amount in proportion (e.g. 60 months: 89,370).</t>
        </is>
      </c>
      <c r="F360" s="4" t="inlineStr">
        <is>
          <t xml:space="preserve">63,836</t>
        </is>
      </c>
      <c r="G360" s="4" t="inlineStr">
        <is>
          <t xml:space="preserve">impact 63,836</t>
        </is>
      </c>
      <c r="H360" s="4" t="inlineStr">
        <is>
          <t xml:space="preserve">User to confirm the peripherals GL (5020 or 5011) and life; both are input cells.</t>
        </is>
      </c>
    </row>
    <row r="361">
      <c r="A361" s="4" t="inlineStr">
        <is>
          <t xml:space="preserve">I-34</t>
        </is>
      </c>
      <c r="B361" s="4" t="inlineStr">
        <is>
          <t xml:space="preserve">MED</t>
        </is>
      </c>
      <c r="C361" s="4" t="inlineStr">
        <is>
          <t xml:space="preserve">Fld Eng Budget!B22:B23; Fld Ops Payroll!B7:B8; 'HC-FE'!D6:D7; FE!AG68:AG69</t>
        </is>
      </c>
      <c r="D361" s="4" t="inlineStr">
        <is>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is>
      </c>
      <c r="E361" s="4" t="inlineStr">
        <is>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is>
      </c>
      <c r="F361" s="4" t="inlineStr">
        <is>
          <t xml:space="preserve">+109,539 if the FE HC rates are right; +76,600 if the FE tax rate is at least 7.65%</t>
        </is>
      </c>
      <c r="G361" s="4" t="inlineStr">
        <is>
          <t xml:space="preserve">impact 109,539 ($50k-250k)</t>
        </is>
      </c>
      <c r="H361" s="4" t="inlineStr">
        <is>
          <t xml:space="preserve">User / Finance: choose the FE burden rates (FE HC T&amp;B rates or the SD field rates). If FE HC, set Fld Eng Budget B22:B23 to the FE rates.</t>
        </is>
      </c>
    </row>
    <row r="362">
      <c r="A362" s="4" t="inlineStr">
        <is>
          <t xml:space="preserve">I-35</t>
        </is>
      </c>
      <c r="B362" s="4" t="inlineStr">
        <is>
          <t xml:space="preserve">MED</t>
        </is>
      </c>
      <c r="C362" s="4" t="inlineStr">
        <is>
          <t xml:space="preserve">'HC-PE'!A22:Z22; PE!AG67:AG69</t>
        </is>
      </c>
      <c r="D362" s="4" t="inlineStr">
        <is>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is>
      </c>
      <c r="E362" s="4" t="inlineStr">
        <is>
          <t xml:space="preserve">2027 cost: salary 226,688 + payroll tax 8,096 (3.57%) + benefits 20,001 (8.82%) = 254,785. The HC tabs have Transfers In/Out blocks (rows 51-64) for such moves; none is filled.</t>
        </is>
      </c>
      <c r="F362" s="4" t="inlineStr">
        <is>
          <t xml:space="preserve">up to +254,785 (leaves COO from Jan-27); 0 if it moves within COO and is budgeted once</t>
        </is>
      </c>
      <c r="G362" s="4" t="inlineStr">
        <is>
          <t xml:space="preserve">impact not determinable; owner confirmation needed (exposure 254,785)</t>
        </is>
      </c>
      <c r="H362" s="4" t="inlineStr">
        <is>
          <t xml:space="preserve">PE owner to confirm the transfer, the month and the receiving department; record it in the Transfers Out / In blocks so it is budgeted once.</t>
        </is>
      </c>
    </row>
    <row r="363">
      <c r="A363" s="4" t="inlineStr">
        <is>
          <t xml:space="preserve">I-36</t>
        </is>
      </c>
      <c r="B363" s="4" t="inlineStr">
        <is>
          <t xml:space="preserve">LOW</t>
        </is>
      </c>
      <c r="C363" s="4" t="inlineStr">
        <is>
          <t xml:space="preserve">Fld Eng Budget!A15:C15, A19:C19; 'HC-FE'!B41:F41; FE!AG67</t>
        </is>
      </c>
      <c r="D363" s="4" t="inlineStr">
        <is>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is>
      </c>
      <c r="E363" s="4" t="inlineStr">
        <is>
          <t xml:space="preserve">Gap 103,133 = r15 75,562.50 + r19 27,570.83. Matched people: 2027 monthly salary identical (max difference 0.00). The COO book's FE 6610 (675,701) is FE HC less FE HC r35 Field Engineer Manager (141,050, from Dec-26).</t>
        </is>
      </c>
      <c r="F363" s="4" t="inlineStr">
        <is>
          <t xml:space="preserve">+33,967 if the Aug-27 hire is not approved (salary 27,571 + SD burden)</t>
        </is>
      </c>
      <c r="G363" s="4" t="inlineStr">
        <is>
          <t xml:space="preserve">impact 33,967 (&lt; $50k)</t>
        </is>
      </c>
      <c r="H363" s="4" t="inlineStr">
        <is>
          <t xml:space="preserve">FE owner to confirm the Aug-27 Customer Support Specialist hire and add it to FE HC if approved; the r15 row is handled under I-28.</t>
        </is>
      </c>
    </row>
    <row r="364">
      <c r="A364" s="4" t="inlineStr">
        <is>
          <t xml:space="preserve">I-37</t>
        </is>
      </c>
      <c r="B364" s="4" t="inlineStr">
        <is>
          <t xml:space="preserve">MED</t>
        </is>
      </c>
      <c r="C364" s="4" t="inlineStr">
        <is>
          <t xml:space="preserve">'HC-FO'!D6; 'HC-PO'!D6; 'HC-CO'!D6; 'HC-FE'!D6; 'HC-PE'!D6; PO!AG34; CO!AG68; PE!AG68; Fld Ops Payroll!B7; Fld Eng Budget!B22</t>
        </is>
      </c>
      <c r="D364" s="4" t="inlineStr">
        <is>
          <t xml:space="preserve">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PO, CO and PE payroll tax in the budget uses these rates, so it may be under-budgeted; FO and FE use the SD rate 6.8%, also below 7.65%. FE's I-34 upside rests on the FE rate. v8: PO production payroll is capitalised (PO 5110-5140 = 0), so PO's part is no longer an expensed P&amp;L risk; the model's own 7.5% applies. v10: the CO base now includes the new CO employee (user-confirmed, 110k) (CO HC rate) and the logistics salaries (model rate 6.8%): CO + PE gap at 7.65% (62,207) (v9 (56,801)).</t>
        </is>
      </c>
      <c r="E364" s="4" t="inlineStr">
        <is>
          <t xml:space="preserve">At 7.65% on every 2027 salary dollar (upper bound): PO +21,081, CO +12,834, PE +43,967 = +77,882 of tax; FO +26,350 and FE +7,819 against the SD 6.8%. I-34 at an FE tax rate of 7.65%: +76,600 instead of +109,539.</t>
        </is>
      </c>
      <c r="F364" s="4" t="inlineStr">
        <is>
          <t xml:space="preserve">up to (62,207) CO/PE (v9 (56,801)); up to (34,169) FO/FE</t>
        </is>
      </c>
      <c r="G364" s="4" t="inlineStr">
        <is>
          <t xml:space="preserve">impact 62,207 ($50k-250k)</t>
        </is>
      </c>
      <c r="H364" s="4" t="inlineStr">
        <is>
          <t xml:space="preserve">Finance: confirm what the T&amp;B tax rates include (FICA, FUTA/SUTA, wage-base caps) and the rate to budget per department. Then reset 'HC-*'!D6 and, if needed, Fld Ops Payroll!B7 / Fld Eng Budget!B22.</t>
        </is>
      </c>
    </row>
    <row r="365">
      <c r="A365" s="4" t="inlineStr">
        <is>
          <t xml:space="preserve">I-38</t>
        </is>
      </c>
      <c r="B365" s="4" t="inlineStr">
        <is>
          <t xml:space="preserve">MED</t>
        </is>
      </c>
      <c r="C365" s="4" t="inlineStr">
        <is>
          <t xml:space="preserve">Prod Payroll!B31:E31, B52:E52, B71:E71; Logistics&amp;WH Payroll (SD, not carried) TL-01, MH-02; 'HC-PO'</t>
        </is>
      </c>
      <c r="D365" s="4" t="inlineStr">
        <is>
          <t xml:space="preserve">The SD payroll models hire people before 2027 that the HC rosters do not show: Prod Payroll 15 (Sep-26: 3 lift, 1 tray, 1 sup; Nov-26: 6 lift, 3 tray, 1 sup) and Logistics&amp;WH TL-01 Material Handling Team Lead (Dec-26), MH-02 Material Handler (Oct-26). None of them is on an HC roster; the workfile was last saved 2026-10-07, so at least the Sep-26 hires should be on it if they happened. The models may be older than the roster. v8: the model drives the budget (capitalised labour and its depreciation), so its date matters more. v9: with B132 = 0 the Q4-26 model ramp hires that are on no roster no longer create any asset: their Sep-Dec 26 labour is a 2026 cost and is in no 2027 vintage (v8 put 381,863 of Oct-Dec 26 labour into the Jan-Feb 27 vintages). The model date still sets the 2027 hires and their capitalised labour. v10: the Logistics&amp;WH model is in the budget (CO): TL-01 (Dec-26) and MH-02 (Oct-26) are booked for all of 2027 although no roster holds them; if they were not hired, CO is overstated by their 2027 cost (TL-01 64,544, MH-02 61,963 at model rates).</t>
        </is>
      </c>
      <c r="E365" s="4" t="inlineStr">
        <is>
          <t xml:space="preserve">Workfile saved 2026-10-07 (file properties); the SD book's properties show 2026-10-09 (a re-save, not the model date). The models' Sep-Dec 26 hires set the 2027 opening ramp (Prod Payroll: 15 ramp staff in Jan-27).</t>
        </is>
      </c>
      <c r="F365" s="4" t="inlineStr">
        <is>
          <t xml:space="preserve">not determinable</t>
        </is>
      </c>
      <c r="G365" s="4" t="inlineStr">
        <is>
          <t xml:space="preserve">impact not determinable; owner confirmation needed</t>
        </is>
      </c>
      <c r="H365" s="4" t="inlineStr">
        <is>
          <t xml:space="preserve">SD / PO owners: when were Prod Payroll and Logistics&amp;WH Payroll last updated? Were the Sep-Dec 26 hires made, deferred or dropped? Refresh the models before Decision #6.</t>
        </is>
      </c>
    </row>
    <row r="366">
      <c r="A366" s="4" t="inlineStr">
        <is>
          <t xml:space="preserve">I-39</t>
        </is>
      </c>
      <c r="B366" s="4" t="inlineStr">
        <is>
          <t xml:space="preserve">MED</t>
        </is>
      </c>
      <c r="C366" s="4" t="inlineStr">
        <is>
          <t xml:space="preserve">'HC-FE'!B34:F35; Fld Eng Budget!A20:C20, row 66; FE!AG67</t>
        </is>
      </c>
      <c r="D366" s="4" t="inlineStr">
        <is>
          <t xml:space="preserve">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is>
      </c>
      <c r="E366" s="4" t="inlineStr">
        <is>
          <t xml:space="preserve">2027 cost in the budget (salary + SD burden): 173,774; COO book _2 gap vs FE HC: 141,050 of salary.</t>
        </is>
      </c>
      <c r="F366" s="4" t="inlineStr">
        <is>
          <t xml:space="preserve">up to +173,774 if the seat stays open all of 2027</t>
        </is>
      </c>
      <c r="G366" s="4" t="inlineStr">
        <is>
          <t xml:space="preserve">impact 173,774 ($50k-250k)</t>
        </is>
      </c>
      <c r="H366" s="4" t="inlineStr">
        <is>
          <t xml:space="preserve">FE owner: is the Field Engineer Manager seat filled, and from when? Set Fld Eng Budget!C20 to the start month.</t>
        </is>
      </c>
    </row>
    <row r="367">
      <c r="A367" s="4" t="inlineStr">
        <is>
          <t xml:space="preserve">I-40</t>
        </is>
      </c>
      <c r="B367" s="4" t="inlineStr">
        <is>
          <t xml:space="preserve">HIGH</t>
        </is>
      </c>
      <c r="C367" s="4" t="inlineStr">
        <is>
          <t xml:space="preserve">'Depreciation Schedule'!B131:B132, B135, rows 141-155, 221-228; PO!U33:AF35; COO P&amp;L!N36</t>
        </is>
      </c>
      <c r="D367" s="4" t="inlineStr">
        <is>
          <t xml:space="preserve">Scope of the capitalisation policy (Decision #10). The user confirmed that production labour is capitalised; brief v5 reads the policy as covering the whole Prod Payroll model, including the 9 current PO staff (PO 5110-5140). The 2026 books point to a partial policy: COO 5100 production labour of 208,574 was expensed in 2026 (PO 197,323, PE 11,473), next to credits that fit a capitalised-labour credit (PO 6000 (309,871), PE 5140 (56,264); I-23). v9 (orchestrator ruling on critic v8 B1): all Sep-Dec 26 model labour stays a 2026 period cost (B132 = 0; v8 capitalised Oct-Dec 26 into the Jan-Feb 27 vintages, which double counted the 2026 PO forecast). Idle-month labour (months with no builds roll into the next build, A-38) may have to be expensed as a period cost; v9 quantifies it with switch B135 (critic v8 B2). v10: the B131 base excludes PO HC r20 (MH-01, in CO): sensitivity (558,996) -&gt; (399,860) (v9 (621,499) -&gt; 65,936).</t>
        </is>
      </c>
      <c r="E367" s="4" t="inlineStr">
        <is>
          <t xml:space="preserve">v9 figures: Current 9 expensed ('Depreciation Schedule'!B131 = 0; ramp only capitalised): contribution 65,936 ((621,499)); 2027 labour depreciation 73,095. Idle-month labour expensed (B135 = 0): Jan-27 140,751 expensed, Feb-27 builds' depreciation +13,843: net (126,908) (560,527); with the current 9 expensed too (80,404) ((14,467)). All Sep-Dec 26 labour capitalised (B132 = 1, only with a 2026 restatement): (60,695). Rate base of the current 9 (O7): PO HC 652,820 vs model 630,504, gap 22,315 (2027 depreciation (899) if the HC cost is capitalised).</t>
        </is>
      </c>
      <c r="F367" s="4" t="inlineStr">
        <is>
          <t xml:space="preserve">(558,996) if the current staff stay expensed; (126,908) if idle-month labour is expensed; together (639,400)</t>
        </is>
      </c>
      <c r="G367" s="4" t="inlineStr">
        <is>
          <t xml:space="preserve">impact 558,996 (&gt; $250k)</t>
        </is>
      </c>
      <c r="H367" s="4" t="inlineStr">
        <is>
          <t xml:space="preserve">Finance: confirm that the policy covers the current production staff, whether idle-month labour is capitalised or expensed, and the rate base of the current 9 (PO HC or model rates, gap 22,315); set 'Depreciation Schedule'!B131 / B135 to match (the workbook recalculates PO and the depreciation). B132 stays 0 unless 2026 is restated.</t>
        </is>
      </c>
    </row>
    <row r="368">
      <c r="A368" s="4" t="inlineStr">
        <is>
          <t xml:space="preserve">I-41</t>
        </is>
      </c>
      <c r="B368" s="4" t="inlineStr">
        <is>
          <t xml:space="preserve">MED</t>
        </is>
      </c>
      <c r="C368" s="4" t="inlineStr">
        <is>
          <t xml:space="preserve">PO!U33:AF35; 'HC-PO'!B16:Z16, B20:Z20; Logistics&amp;WH MH-01, MH-02</t>
        </is>
      </c>
      <c r="D368" s="4" t="inlineStr">
        <is>
          <t xml:space="preserve">PO 5110-5140 = 0 removes all 9 PO HC people from the expense, including the 2 material-handling roles (r16 Material Handling Team Lead, r20 Material Handler). Prod Payroll's 9 current staff match PO HC 9 by count only; on the 7-of-9 role reading (v7 B2) the 2 are warehouse staff tied to Logistics&amp;WH (r20 = MH-01 by name; MH-02 backfills r16), so their cost is not production labour and would stay an expense. v10: PO HC r20 (MH-01) is booked in CO through the Logistics&amp;WH model (user decision) and left the PO B131 base, so I-41 is down to r16 (Material Handling Team Lead): (72,061) on the 7-of-9 reading, 0 if r16 fills Logistics&amp;WH TL-01 (same title, Dec-26). On the 9-of-9 count reading MH-01 is still one of Prod Payroll's 9 current staff (model unchanged): capitalised in PO and expensed in CO; taking one head (70,056) out of the capitalised labour gives +2,821 of 2027 depreciation.</t>
        </is>
      </c>
      <c r="E368" s="4" t="inlineStr">
        <is>
          <t xml:space="preserve">The 2 people together at PO HC rates: 134,563 (2027 salary x (1 + 3.64% + 20.64%)). The 2 Prod Payroll seats they would leave stay in the model and are capitalised.</t>
        </is>
      </c>
      <c r="F368" s="4" t="inlineStr">
        <is>
          <t xml:space="preserve">(72,061) (v10, r16 only; v9 (134,563) for r16 + r20)</t>
        </is>
      </c>
      <c r="G368" s="4" t="inlineStr">
        <is>
          <t xml:space="preserve">impact 72,061 ($50k-250k)</t>
        </is>
      </c>
      <c r="H368" s="4" t="inlineStr">
        <is>
          <t xml:space="preserve">PO owner: are r16 / r20 production or warehouse staff? If warehouse, budget them outside the capitalised labour (keep their PO HC cost in 5110-5140 or move it to 5350 Warehouse).</t>
        </is>
      </c>
    </row>
    <row r="370">
      <c r="A370" s="2" t="inlineStr">
        <is>
          <t xml:space="preserve">'$000s' relabel (DeploySum)</t>
        </is>
      </c>
    </row>
    <row r="371">
      <c r="A371" s="3" t="inlineStr">
        <is>
          <t xml:space="preserve">Cell</t>
        </is>
      </c>
      <c r="B371" s="3" t="inlineStr">
        <is>
          <t xml:space="preserve">Source label</t>
        </is>
      </c>
      <c r="C371" s="3" t="inlineStr">
        <is>
          <t xml:space="preserve">v3 label</t>
        </is>
      </c>
    </row>
    <row r="372">
      <c r="A372" s="4" t="inlineStr">
        <is>
          <t xml:space="preserve">A2</t>
        </is>
      </c>
      <c r="B372" s="4" t="inlineStr">
        <is>
          <t xml:space="preserve">Bookings, deployments and production by month (base case). Dollars in $000s. Sep–Dec 26 = remaining 2026 (existing + forecast contracts); FY2027 = Jan–Dec 27.</t>
        </is>
      </c>
      <c r="C372" s="4" t="inlineStr">
        <is>
          <t xml:space="preserve">Bookings, deployments and production by month (base case). Dollars in $ (relabelled in v3; the source said $000s). Sep–Dec 26 = remaining 2026 (existing + forecast contracts); FY2027 = Jan–Dec 27.</t>
        </is>
      </c>
    </row>
    <row r="373">
      <c r="A373" s="4" t="inlineStr">
        <is>
          <t xml:space="preserve">A7</t>
        </is>
      </c>
      <c r="B373" s="4" t="inlineStr">
        <is>
          <t xml:space="preserve">New logos – bookings ($000s)</t>
        </is>
      </c>
      <c r="C373" s="4" t="inlineStr">
        <is>
          <t xml:space="preserve">New logos – bookings ($)</t>
        </is>
      </c>
    </row>
    <row r="374">
      <c r="A374" s="4" t="inlineStr">
        <is>
          <t xml:space="preserve">A9</t>
        </is>
      </c>
      <c r="B374" s="4" t="inlineStr">
        <is>
          <t xml:space="preserve">Expansion – bookings ($000s)</t>
        </is>
      </c>
      <c r="C374" s="4" t="inlineStr">
        <is>
          <t xml:space="preserve">Expansion – bookings ($)</t>
        </is>
      </c>
    </row>
    <row r="375">
      <c r="A375" s="4" t="inlineStr">
        <is>
          <t xml:space="preserve">A11</t>
        </is>
      </c>
      <c r="B375" s="4" t="inlineStr">
        <is>
          <t xml:space="preserve">Existing &amp; forecast contracts – bookings ($000s)</t>
        </is>
      </c>
      <c r="C375" s="4" t="inlineStr">
        <is>
          <t xml:space="preserve">Existing &amp; forecast contracts – bookings ($)</t>
        </is>
      </c>
    </row>
    <row r="376">
      <c r="A376" s="4" t="inlineStr">
        <is>
          <t xml:space="preserve">A13</t>
        </is>
      </c>
      <c r="B376" s="4" t="inlineStr">
        <is>
          <t xml:space="preserve">Total bookings ($000s)</t>
        </is>
      </c>
      <c r="C376" s="4" t="inlineStr">
        <is>
          <t xml:space="preserve">Total bookings ($)</t>
        </is>
      </c>
    </row>
    <row r="377">
      <c r="A377" s="4" t="inlineStr">
        <is>
          <t xml:space="preserve">A29</t>
        </is>
      </c>
      <c r="B377" s="4" t="inlineStr">
        <is>
          <t xml:space="preserve">Production CapEx ($000s)</t>
        </is>
      </c>
      <c r="C377" s="4" t="inlineStr">
        <is>
          <t xml:space="preserve">Production CapEx ($)</t>
        </is>
      </c>
    </row>
    <row r="378">
      <c r="A378" s="4" t="inlineStr">
        <is>
          <t xml:space="preserve">A30</t>
        </is>
      </c>
      <c r="B378" s="4" t="inlineStr">
        <is>
          <t xml:space="preserve">Deployment freight – expensed ($000s)</t>
        </is>
      </c>
      <c r="C378" s="4" t="inlineStr">
        <is>
          <t xml:space="preserve">Deployment freight – expensed ($)</t>
        </is>
      </c>
    </row>
    <row r="379">
      <c r="A379" s="4" t="inlineStr">
        <is>
          <t xml:space="preserve">A35</t>
        </is>
      </c>
      <c r="B379" s="4" t="inlineStr">
        <is>
          <t xml:space="preserve">CapEx for 2028 go-lives – estimate ($000s)</t>
        </is>
      </c>
      <c r="C379" s="4" t="inlineStr">
        <is>
          <t xml:space="preserve">CapEx for 2028 go-lives – estimate ($)</t>
        </is>
      </c>
    </row>
    <row r="380">
      <c r="A380" s="4" t="inlineStr">
        <is>
          <t xml:space="preserve">A38</t>
        </is>
      </c>
      <c r="B380" s="4" t="inlineStr">
        <is>
          <t xml:space="preserve">CARR – end of period ($000s)</t>
        </is>
      </c>
      <c r="C380" s="4" t="inlineStr">
        <is>
          <t xml:space="preserve">CARR – end of period ($)</t>
        </is>
      </c>
    </row>
    <row r="381">
      <c r="A381" s="4" t="inlineStr">
        <is>
          <t xml:space="preserve">A39</t>
        </is>
      </c>
      <c r="B381" s="4" t="inlineStr">
        <is>
          <t xml:space="preserve">ARR – end of period ($000s)</t>
        </is>
      </c>
      <c r="C381" s="4" t="inlineStr">
        <is>
          <t xml:space="preserve">ARR – end of period ($)</t>
        </is>
      </c>
    </row>
    <row r="382">
      <c r="A382" s="4" t="inlineStr">
        <is>
          <t xml:space="preserve">A40</t>
        </is>
      </c>
      <c r="B382" s="4" t="inlineStr">
        <is>
          <t xml:space="preserve">Recognized revenue ($000s)</t>
        </is>
      </c>
      <c r="C382" s="4" t="inlineStr">
        <is>
          <t xml:space="preserve">Recognized revenue ($)</t>
        </is>
      </c>
    </row>
    <row r="383">
      <c r="A383" s="4" t="inlineStr">
        <is>
          <t xml:space="preserve">A41</t>
        </is>
      </c>
      <c r="B383" s="4" t="inlineStr">
        <is>
          <t xml:space="preserve">Billings ($000s)</t>
        </is>
      </c>
      <c r="C383" s="4" t="inlineStr">
        <is>
          <t xml:space="preserve">Billings ($)</t>
        </is>
      </c>
    </row>
    <row r="384">
      <c r="A384" s="4" t="inlineStr">
        <is>
          <t xml:space="preserve">A42</t>
        </is>
      </c>
      <c r="B384" s="4" t="inlineStr">
        <is>
          <t xml:space="preserve">Deferred revenue – end of period ($000s)</t>
        </is>
      </c>
      <c r="C384" s="4" t="inlineStr">
        <is>
          <t xml:space="preserve">Deferred revenue – end of period ($)</t>
        </is>
      </c>
    </row>
    <row r="386">
      <c r="A386" s="2" t="inlineStr">
        <is>
          <t xml:space="preserve">DeploySum external-link formulas in the 9/30/26 file, stored as cached values</t>
        </is>
      </c>
    </row>
    <row r="387">
      <c r="A387" s="3" t="inlineStr">
        <is>
          <t xml:space="preserve">v3 cell</t>
        </is>
      </c>
      <c r="B387" s="3" t="inlineStr">
        <is>
          <t xml:space="preserve">New-file cell</t>
        </is>
      </c>
      <c r="C387" s="3" t="inlineStr">
        <is>
          <t xml:space="preserve">Original formula (text)</t>
        </is>
      </c>
      <c r="D387" s="3" t="inlineStr">
        <is>
          <t xml:space="preserve">Stored value</t>
        </is>
      </c>
    </row>
    <row r="388">
      <c r="A388" s="4" t="inlineStr">
        <is>
          <t xml:space="preserve">A3</t>
        </is>
      </c>
      <c r="B388" s="4" t="inlineStr">
        <is>
          <t xml:space="preserve">A3</t>
        </is>
      </c>
      <c r="C388" s="4" t="inlineStr">
        <is>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is>
      </c>
      <c r="D388" s="4" t="inlineStr">
        <is>
          <t xml:space="preserve">Tie-out to Deploy Detail (bookings $, deployments, production): OK</t>
        </is>
      </c>
    </row>
    <row r="389">
      <c r="A389" s="4" t="inlineStr">
        <is>
          <t xml:space="preserve">B4</t>
        </is>
      </c>
      <c r="B389" s="4" t="inlineStr">
        <is>
          <t xml:space="preserve">B4</t>
        </is>
      </c>
      <c r="C389" s="4" t="inlineStr">
        <is>
          <t xml:space="preserve">'[1]Revenue Roll-up'!D17</t>
        </is>
      </c>
      <c r="D389" s="4" t="inlineStr">
        <is>
          <t xml:space="preserve">2026-09-30 00:00:00</t>
        </is>
      </c>
    </row>
    <row r="390">
      <c r="A390" s="4" t="inlineStr">
        <is>
          <t xml:space="preserve">C4</t>
        </is>
      </c>
      <c r="B390" s="4" t="inlineStr">
        <is>
          <t xml:space="preserve">C4</t>
        </is>
      </c>
      <c r="C390" s="4" t="inlineStr">
        <is>
          <t xml:space="preserve">'[1]Revenue Roll-up'!E17</t>
        </is>
      </c>
      <c r="D390" s="4" t="inlineStr">
        <is>
          <t xml:space="preserve">2026-10-31 00:00:00</t>
        </is>
      </c>
    </row>
    <row r="391">
      <c r="A391" s="4" t="inlineStr">
        <is>
          <t xml:space="preserve">D4</t>
        </is>
      </c>
      <c r="B391" s="4" t="inlineStr">
        <is>
          <t xml:space="preserve">D4</t>
        </is>
      </c>
      <c r="C391" s="4" t="inlineStr">
        <is>
          <t xml:space="preserve">'[1]Revenue Roll-up'!F17</t>
        </is>
      </c>
      <c r="D391" s="4" t="inlineStr">
        <is>
          <t xml:space="preserve">2026-11-30 00:00:00</t>
        </is>
      </c>
    </row>
    <row r="392">
      <c r="A392" s="4" t="inlineStr">
        <is>
          <t xml:space="preserve">E4</t>
        </is>
      </c>
      <c r="B392" s="4" t="inlineStr">
        <is>
          <t xml:space="preserve">E4</t>
        </is>
      </c>
      <c r="C392" s="4" t="inlineStr">
        <is>
          <t xml:space="preserve">'[1]Revenue Roll-up'!G17</t>
        </is>
      </c>
      <c r="D392" s="4" t="inlineStr">
        <is>
          <t xml:space="preserve">2026-12-31 00:00:00</t>
        </is>
      </c>
    </row>
    <row r="393">
      <c r="A393" s="4" t="inlineStr">
        <is>
          <t xml:space="preserve">F4</t>
        </is>
      </c>
      <c r="B393" s="4" t="inlineStr">
        <is>
          <t xml:space="preserve">F4</t>
        </is>
      </c>
      <c r="C393" s="4" t="inlineStr">
        <is>
          <t xml:space="preserve">'[1]Revenue Roll-up'!H17</t>
        </is>
      </c>
      <c r="D393" s="4" t="inlineStr">
        <is>
          <t xml:space="preserve">2027-01-31 00:00:00</t>
        </is>
      </c>
    </row>
    <row r="394">
      <c r="A394" s="4" t="inlineStr">
        <is>
          <t xml:space="preserve">G4</t>
        </is>
      </c>
      <c r="B394" s="4" t="inlineStr">
        <is>
          <t xml:space="preserve">G4</t>
        </is>
      </c>
      <c r="C394" s="4" t="inlineStr">
        <is>
          <t xml:space="preserve">'[1]Revenue Roll-up'!I17</t>
        </is>
      </c>
      <c r="D394" s="4" t="inlineStr">
        <is>
          <t xml:space="preserve">2027-02-28 00:00:00</t>
        </is>
      </c>
    </row>
    <row r="395">
      <c r="A395" s="4" t="inlineStr">
        <is>
          <t xml:space="preserve">H4</t>
        </is>
      </c>
      <c r="B395" s="4" t="inlineStr">
        <is>
          <t xml:space="preserve">H4</t>
        </is>
      </c>
      <c r="C395" s="4" t="inlineStr">
        <is>
          <t xml:space="preserve">'[1]Revenue Roll-up'!J17</t>
        </is>
      </c>
      <c r="D395" s="4" t="inlineStr">
        <is>
          <t xml:space="preserve">2027-03-31 00:00:00</t>
        </is>
      </c>
    </row>
    <row r="396">
      <c r="A396" s="4" t="inlineStr">
        <is>
          <t xml:space="preserve">I4</t>
        </is>
      </c>
      <c r="B396" s="4" t="inlineStr">
        <is>
          <t xml:space="preserve">I4</t>
        </is>
      </c>
      <c r="C396" s="4" t="inlineStr">
        <is>
          <t xml:space="preserve">'[1]Revenue Roll-up'!K17</t>
        </is>
      </c>
      <c r="D396" s="4" t="inlineStr">
        <is>
          <t xml:space="preserve">2027-04-30 00:00:00</t>
        </is>
      </c>
    </row>
    <row r="397">
      <c r="A397" s="4" t="inlineStr">
        <is>
          <t xml:space="preserve">J4</t>
        </is>
      </c>
      <c r="B397" s="4" t="inlineStr">
        <is>
          <t xml:space="preserve">J4</t>
        </is>
      </c>
      <c r="C397" s="4" t="inlineStr">
        <is>
          <t xml:space="preserve">'[1]Revenue Roll-up'!L17</t>
        </is>
      </c>
      <c r="D397" s="4" t="inlineStr">
        <is>
          <t xml:space="preserve">2027-05-31 00:00:00</t>
        </is>
      </c>
    </row>
    <row r="398">
      <c r="A398" s="4" t="inlineStr">
        <is>
          <t xml:space="preserve">K4</t>
        </is>
      </c>
      <c r="B398" s="4" t="inlineStr">
        <is>
          <t xml:space="preserve">K4</t>
        </is>
      </c>
      <c r="C398" s="4" t="inlineStr">
        <is>
          <t xml:space="preserve">'[1]Revenue Roll-up'!M17</t>
        </is>
      </c>
      <c r="D398" s="4" t="inlineStr">
        <is>
          <t xml:space="preserve">2027-06-30 00:00:00</t>
        </is>
      </c>
    </row>
    <row r="399">
      <c r="A399" s="4" t="inlineStr">
        <is>
          <t xml:space="preserve">L4</t>
        </is>
      </c>
      <c r="B399" s="4" t="inlineStr">
        <is>
          <t xml:space="preserve">L4</t>
        </is>
      </c>
      <c r="C399" s="4" t="inlineStr">
        <is>
          <t xml:space="preserve">'[1]Revenue Roll-up'!N17</t>
        </is>
      </c>
      <c r="D399" s="4" t="inlineStr">
        <is>
          <t xml:space="preserve">2027-07-31 00:00:00</t>
        </is>
      </c>
    </row>
    <row r="400">
      <c r="A400" s="4" t="inlineStr">
        <is>
          <t xml:space="preserve">M4</t>
        </is>
      </c>
      <c r="B400" s="4" t="inlineStr">
        <is>
          <t xml:space="preserve">M4</t>
        </is>
      </c>
      <c r="C400" s="4" t="inlineStr">
        <is>
          <t xml:space="preserve">'[1]Revenue Roll-up'!O17</t>
        </is>
      </c>
      <c r="D400" s="4" t="inlineStr">
        <is>
          <t xml:space="preserve">2027-08-31 00:00:00</t>
        </is>
      </c>
    </row>
    <row r="401">
      <c r="A401" s="4" t="inlineStr">
        <is>
          <t xml:space="preserve">N4</t>
        </is>
      </c>
      <c r="B401" s="4" t="inlineStr">
        <is>
          <t xml:space="preserve">N4</t>
        </is>
      </c>
      <c r="C401" s="4" t="inlineStr">
        <is>
          <t xml:space="preserve">'[1]Revenue Roll-up'!P17</t>
        </is>
      </c>
      <c r="D401" s="4" t="inlineStr">
        <is>
          <t xml:space="preserve">2027-09-30 00:00:00</t>
        </is>
      </c>
    </row>
    <row r="402">
      <c r="A402" s="4" t="inlineStr">
        <is>
          <t xml:space="preserve">O4</t>
        </is>
      </c>
      <c r="B402" s="4" t="inlineStr">
        <is>
          <t xml:space="preserve">O4</t>
        </is>
      </c>
      <c r="C402" s="4" t="inlineStr">
        <is>
          <t xml:space="preserve">'[1]Revenue Roll-up'!Q17</t>
        </is>
      </c>
      <c r="D402" s="4" t="inlineStr">
        <is>
          <t xml:space="preserve">2027-10-31 00:00:00</t>
        </is>
      </c>
    </row>
    <row r="403">
      <c r="A403" s="4" t="inlineStr">
        <is>
          <t xml:space="preserve">P4</t>
        </is>
      </c>
      <c r="B403" s="4" t="inlineStr">
        <is>
          <t xml:space="preserve">P4</t>
        </is>
      </c>
      <c r="C403" s="4" t="inlineStr">
        <is>
          <t xml:space="preserve">'[1]Revenue Roll-up'!R17</t>
        </is>
      </c>
      <c r="D403" s="4" t="inlineStr">
        <is>
          <t xml:space="preserve">2027-11-30 00:00:00</t>
        </is>
      </c>
    </row>
    <row r="404">
      <c r="A404" s="4" t="inlineStr">
        <is>
          <t xml:space="preserve">Q4</t>
        </is>
      </c>
      <c r="B404" s="4" t="inlineStr">
        <is>
          <t xml:space="preserve">Q4</t>
        </is>
      </c>
      <c r="C404" s="4" t="inlineStr">
        <is>
          <t xml:space="preserve">'[1]Revenue Roll-up'!S17</t>
        </is>
      </c>
      <c r="D404" s="4" t="inlineStr">
        <is>
          <t xml:space="preserve">2027-12-31 00:00:00</t>
        </is>
      </c>
    </row>
    <row r="405">
      <c r="A405" s="4" t="inlineStr">
        <is>
          <t xml:space="preserve">B6</t>
        </is>
      </c>
      <c r="B405" s="4" t="inlineStr">
        <is>
          <t xml:space="preserve">B6</t>
        </is>
      </c>
      <c r="C405" s="4" t="inlineStr">
        <is>
          <t xml:space="preserve">'[1]Revenue Roll-up'!D51</t>
        </is>
      </c>
      <c r="D405" s="5">
        <v>0</v>
      </c>
    </row>
    <row r="406">
      <c r="A406" s="4" t="inlineStr">
        <is>
          <t xml:space="preserve">C6</t>
        </is>
      </c>
      <c r="B406" s="4" t="inlineStr">
        <is>
          <t xml:space="preserve">C6</t>
        </is>
      </c>
      <c r="C406" s="4" t="inlineStr">
        <is>
          <t xml:space="preserve">'[1]Revenue Roll-up'!E51</t>
        </is>
      </c>
      <c r="D406" s="5">
        <v>0</v>
      </c>
    </row>
    <row r="407">
      <c r="A407" s="4" t="inlineStr">
        <is>
          <t xml:space="preserve">D6</t>
        </is>
      </c>
      <c r="B407" s="4" t="inlineStr">
        <is>
          <t xml:space="preserve">D6</t>
        </is>
      </c>
      <c r="C407" s="4" t="inlineStr">
        <is>
          <t xml:space="preserve">'[1]Revenue Roll-up'!F51</t>
        </is>
      </c>
      <c r="D407" s="5">
        <v>0</v>
      </c>
    </row>
    <row r="408">
      <c r="A408" s="4" t="inlineStr">
        <is>
          <t xml:space="preserve">E6</t>
        </is>
      </c>
      <c r="B408" s="4" t="inlineStr">
        <is>
          <t xml:space="preserve">E6</t>
        </is>
      </c>
      <c r="C408" s="4" t="inlineStr">
        <is>
          <t xml:space="preserve">'[1]Revenue Roll-up'!G51</t>
        </is>
      </c>
      <c r="D408" s="5">
        <v>0</v>
      </c>
    </row>
    <row r="409">
      <c r="A409" s="4" t="inlineStr">
        <is>
          <t xml:space="preserve">F6</t>
        </is>
      </c>
      <c r="B409" s="4" t="inlineStr">
        <is>
          <t xml:space="preserve">F6</t>
        </is>
      </c>
      <c r="C409" s="4" t="inlineStr">
        <is>
          <t xml:space="preserve">'[1]Revenue Roll-up'!H51</t>
        </is>
      </c>
      <c r="D409" s="5">
        <v>3</v>
      </c>
    </row>
    <row r="410">
      <c r="A410" s="4" t="inlineStr">
        <is>
          <t xml:space="preserve">G6</t>
        </is>
      </c>
      <c r="B410" s="4" t="inlineStr">
        <is>
          <t xml:space="preserve">G6</t>
        </is>
      </c>
      <c r="C410" s="4" t="inlineStr">
        <is>
          <t xml:space="preserve">'[1]Revenue Roll-up'!I51</t>
        </is>
      </c>
      <c r="D410" s="5">
        <v>3</v>
      </c>
    </row>
    <row r="411">
      <c r="A411" s="4" t="inlineStr">
        <is>
          <t xml:space="preserve">H6</t>
        </is>
      </c>
      <c r="B411" s="4" t="inlineStr">
        <is>
          <t xml:space="preserve">H6</t>
        </is>
      </c>
      <c r="C411" s="4" t="inlineStr">
        <is>
          <t xml:space="preserve">'[1]Revenue Roll-up'!J51</t>
        </is>
      </c>
      <c r="D411" s="5">
        <v>4</v>
      </c>
    </row>
    <row r="412">
      <c r="A412" s="4" t="inlineStr">
        <is>
          <t xml:space="preserve">I6</t>
        </is>
      </c>
      <c r="B412" s="4" t="inlineStr">
        <is>
          <t xml:space="preserve">I6</t>
        </is>
      </c>
      <c r="C412" s="4" t="inlineStr">
        <is>
          <t xml:space="preserve">'[1]Revenue Roll-up'!K51</t>
        </is>
      </c>
      <c r="D412" s="5">
        <v>4</v>
      </c>
    </row>
    <row r="413">
      <c r="A413" s="4" t="inlineStr">
        <is>
          <t xml:space="preserve">J6</t>
        </is>
      </c>
      <c r="B413" s="4" t="inlineStr">
        <is>
          <t xml:space="preserve">J6</t>
        </is>
      </c>
      <c r="C413" s="4" t="inlineStr">
        <is>
          <t xml:space="preserve">'[1]Revenue Roll-up'!L51</t>
        </is>
      </c>
      <c r="D413" s="5">
        <v>5</v>
      </c>
    </row>
    <row r="414">
      <c r="A414" s="4" t="inlineStr">
        <is>
          <t xml:space="preserve">K6</t>
        </is>
      </c>
      <c r="B414" s="4" t="inlineStr">
        <is>
          <t xml:space="preserve">K6</t>
        </is>
      </c>
      <c r="C414" s="4" t="inlineStr">
        <is>
          <t xml:space="preserve">'[1]Revenue Roll-up'!M51</t>
        </is>
      </c>
      <c r="D414" s="5">
        <v>6</v>
      </c>
    </row>
    <row r="415">
      <c r="A415" s="4" t="inlineStr">
        <is>
          <t xml:space="preserve">L6</t>
        </is>
      </c>
      <c r="B415" s="4" t="inlineStr">
        <is>
          <t xml:space="preserve">L6</t>
        </is>
      </c>
      <c r="C415" s="4" t="inlineStr">
        <is>
          <t xml:space="preserve">'[1]Revenue Roll-up'!N51</t>
        </is>
      </c>
      <c r="D415" s="5">
        <v>6</v>
      </c>
    </row>
    <row r="416">
      <c r="A416" s="4" t="inlineStr">
        <is>
          <t xml:space="preserve">M6</t>
        </is>
      </c>
      <c r="B416" s="4" t="inlineStr">
        <is>
          <t xml:space="preserve">M6</t>
        </is>
      </c>
      <c r="C416" s="4" t="inlineStr">
        <is>
          <t xml:space="preserve">'[1]Revenue Roll-up'!O51</t>
        </is>
      </c>
      <c r="D416" s="5">
        <v>7</v>
      </c>
    </row>
    <row r="417">
      <c r="A417" s="4" t="inlineStr">
        <is>
          <t xml:space="preserve">N6</t>
        </is>
      </c>
      <c r="B417" s="4" t="inlineStr">
        <is>
          <t xml:space="preserve">N6</t>
        </is>
      </c>
      <c r="C417" s="4" t="inlineStr">
        <is>
          <t xml:space="preserve">'[1]Revenue Roll-up'!P51</t>
        </is>
      </c>
      <c r="D417" s="5">
        <v>8</v>
      </c>
    </row>
    <row r="418">
      <c r="A418" s="4" t="inlineStr">
        <is>
          <t xml:space="preserve">O6</t>
        </is>
      </c>
      <c r="B418" s="4" t="inlineStr">
        <is>
          <t xml:space="preserve">O6</t>
        </is>
      </c>
      <c r="C418" s="4" t="inlineStr">
        <is>
          <t xml:space="preserve">'[1]Revenue Roll-up'!Q51</t>
        </is>
      </c>
      <c r="D418" s="5">
        <v>9</v>
      </c>
    </row>
    <row r="419">
      <c r="A419" s="4" t="inlineStr">
        <is>
          <t xml:space="preserve">P6</t>
        </is>
      </c>
      <c r="B419" s="4" t="inlineStr">
        <is>
          <t xml:space="preserve">P6</t>
        </is>
      </c>
      <c r="C419" s="4" t="inlineStr">
        <is>
          <t xml:space="preserve">'[1]Revenue Roll-up'!R51</t>
        </is>
      </c>
      <c r="D419" s="5">
        <v>10</v>
      </c>
    </row>
    <row r="420">
      <c r="A420" s="4" t="inlineStr">
        <is>
          <t xml:space="preserve">Q6</t>
        </is>
      </c>
      <c r="B420" s="4" t="inlineStr">
        <is>
          <t xml:space="preserve">Q6</t>
        </is>
      </c>
      <c r="C420" s="4" t="inlineStr">
        <is>
          <t xml:space="preserve">'[1]Revenue Roll-up'!S51</t>
        </is>
      </c>
      <c r="D420" s="5">
        <v>11</v>
      </c>
    </row>
    <row r="421">
      <c r="A421" s="4" t="inlineStr">
        <is>
          <t xml:space="preserve">R6</t>
        </is>
      </c>
      <c r="B421" s="4" t="inlineStr">
        <is>
          <t xml:space="preserve">R6</t>
        </is>
      </c>
      <c r="C421" s="4" t="inlineStr">
        <is>
          <t xml:space="preserve">'[1]Revenue Roll-up'!U51</t>
        </is>
      </c>
      <c r="D421" s="5">
        <v>76</v>
      </c>
    </row>
    <row r="422">
      <c r="A422" s="4" t="inlineStr">
        <is>
          <t xml:space="preserve">B7</t>
        </is>
      </c>
      <c r="B422" s="4" t="inlineStr">
        <is>
          <t xml:space="preserve">B7</t>
        </is>
      </c>
      <c r="C422" s="4" t="inlineStr">
        <is>
          <t xml:space="preserve">'[1]Revenue Roll-up'!D50</t>
        </is>
      </c>
      <c r="D422" s="5">
        <v>0</v>
      </c>
    </row>
    <row r="423">
      <c r="A423" s="4" t="inlineStr">
        <is>
          <t xml:space="preserve">C7</t>
        </is>
      </c>
      <c r="B423" s="4" t="inlineStr">
        <is>
          <t xml:space="preserve">C7</t>
        </is>
      </c>
      <c r="C423" s="4" t="inlineStr">
        <is>
          <t xml:space="preserve">'[1]Revenue Roll-up'!E50</t>
        </is>
      </c>
      <c r="D423" s="5">
        <v>0</v>
      </c>
    </row>
    <row r="424">
      <c r="A424" s="4" t="inlineStr">
        <is>
          <t xml:space="preserve">D7</t>
        </is>
      </c>
      <c r="B424" s="4" t="inlineStr">
        <is>
          <t xml:space="preserve">D7</t>
        </is>
      </c>
      <c r="C424" s="4" t="inlineStr">
        <is>
          <t xml:space="preserve">'[1]Revenue Roll-up'!F50</t>
        </is>
      </c>
      <c r="D424" s="5">
        <v>0</v>
      </c>
    </row>
    <row r="425">
      <c r="A425" s="4" t="inlineStr">
        <is>
          <t xml:space="preserve">E7</t>
        </is>
      </c>
      <c r="B425" s="4" t="inlineStr">
        <is>
          <t xml:space="preserve">E7</t>
        </is>
      </c>
      <c r="C425" s="4" t="inlineStr">
        <is>
          <t xml:space="preserve">'[1]Revenue Roll-up'!G50</t>
        </is>
      </c>
      <c r="D425" s="5">
        <v>0</v>
      </c>
    </row>
    <row r="426">
      <c r="A426" s="4" t="inlineStr">
        <is>
          <t xml:space="preserve">F7</t>
        </is>
      </c>
      <c r="B426" s="4" t="inlineStr">
        <is>
          <t xml:space="preserve">F7</t>
        </is>
      </c>
      <c r="C426" s="4" t="inlineStr">
        <is>
          <t xml:space="preserve">'[1]Revenue Roll-up'!H50</t>
        </is>
      </c>
      <c r="D426" s="5">
        <v>948000</v>
      </c>
    </row>
    <row r="427">
      <c r="A427" s="4" t="inlineStr">
        <is>
          <t xml:space="preserve">G7</t>
        </is>
      </c>
      <c r="B427" s="4" t="inlineStr">
        <is>
          <t xml:space="preserve">G7</t>
        </is>
      </c>
      <c r="C427" s="4" t="inlineStr">
        <is>
          <t xml:space="preserve">'[1]Revenue Roll-up'!I50</t>
        </is>
      </c>
      <c r="D427" s="5">
        <v>948000</v>
      </c>
    </row>
    <row r="428">
      <c r="A428" s="4" t="inlineStr">
        <is>
          <t xml:space="preserve">H7</t>
        </is>
      </c>
      <c r="B428" s="4" t="inlineStr">
        <is>
          <t xml:space="preserve">H7</t>
        </is>
      </c>
      <c r="C428" s="4" t="inlineStr">
        <is>
          <t xml:space="preserve">'[1]Revenue Roll-up'!J50</t>
        </is>
      </c>
      <c r="D428" s="5">
        <v>1264000</v>
      </c>
    </row>
    <row r="429">
      <c r="A429" s="4" t="inlineStr">
        <is>
          <t xml:space="preserve">I7</t>
        </is>
      </c>
      <c r="B429" s="4" t="inlineStr">
        <is>
          <t xml:space="preserve">I7</t>
        </is>
      </c>
      <c r="C429" s="4" t="inlineStr">
        <is>
          <t xml:space="preserve">'[1]Revenue Roll-up'!K50</t>
        </is>
      </c>
      <c r="D429" s="5">
        <v>1264000</v>
      </c>
    </row>
    <row r="430">
      <c r="A430" s="4" t="inlineStr">
        <is>
          <t xml:space="preserve">J7</t>
        </is>
      </c>
      <c r="B430" s="4" t="inlineStr">
        <is>
          <t xml:space="preserve">J7</t>
        </is>
      </c>
      <c r="C430" s="4" t="inlineStr">
        <is>
          <t xml:space="preserve">'[1]Revenue Roll-up'!L50</t>
        </is>
      </c>
      <c r="D430" s="5">
        <v>1580000</v>
      </c>
    </row>
    <row r="431">
      <c r="A431" s="4" t="inlineStr">
        <is>
          <t xml:space="preserve">K7</t>
        </is>
      </c>
      <c r="B431" s="4" t="inlineStr">
        <is>
          <t xml:space="preserve">K7</t>
        </is>
      </c>
      <c r="C431" s="4" t="inlineStr">
        <is>
          <t xml:space="preserve">'[1]Revenue Roll-up'!M50</t>
        </is>
      </c>
      <c r="D431" s="5">
        <v>1896000</v>
      </c>
    </row>
    <row r="432">
      <c r="A432" s="4" t="inlineStr">
        <is>
          <t xml:space="preserve">L7</t>
        </is>
      </c>
      <c r="B432" s="4" t="inlineStr">
        <is>
          <t xml:space="preserve">L7</t>
        </is>
      </c>
      <c r="C432" s="4" t="inlineStr">
        <is>
          <t xml:space="preserve">'[1]Revenue Roll-up'!N50</t>
        </is>
      </c>
      <c r="D432" s="5">
        <v>1896000</v>
      </c>
    </row>
    <row r="433">
      <c r="A433" s="4" t="inlineStr">
        <is>
          <t xml:space="preserve">M7</t>
        </is>
      </c>
      <c r="B433" s="4" t="inlineStr">
        <is>
          <t xml:space="preserve">M7</t>
        </is>
      </c>
      <c r="C433" s="4" t="inlineStr">
        <is>
          <t xml:space="preserve">'[1]Revenue Roll-up'!O50</t>
        </is>
      </c>
      <c r="D433" s="5">
        <v>2212000</v>
      </c>
    </row>
    <row r="434">
      <c r="A434" s="4" t="inlineStr">
        <is>
          <t xml:space="preserve">N7</t>
        </is>
      </c>
      <c r="B434" s="4" t="inlineStr">
        <is>
          <t xml:space="preserve">N7</t>
        </is>
      </c>
      <c r="C434" s="4" t="inlineStr">
        <is>
          <t xml:space="preserve">'[1]Revenue Roll-up'!P50</t>
        </is>
      </c>
      <c r="D434" s="5">
        <v>2528000</v>
      </c>
    </row>
    <row r="435">
      <c r="A435" s="4" t="inlineStr">
        <is>
          <t xml:space="preserve">O7</t>
        </is>
      </c>
      <c r="B435" s="4" t="inlineStr">
        <is>
          <t xml:space="preserve">O7</t>
        </is>
      </c>
      <c r="C435" s="4" t="inlineStr">
        <is>
          <t xml:space="preserve">'[1]Revenue Roll-up'!Q50</t>
        </is>
      </c>
      <c r="D435" s="5">
        <v>2844000</v>
      </c>
    </row>
    <row r="436">
      <c r="A436" s="4" t="inlineStr">
        <is>
          <t xml:space="preserve">P7</t>
        </is>
      </c>
      <c r="B436" s="4" t="inlineStr">
        <is>
          <t xml:space="preserve">P7</t>
        </is>
      </c>
      <c r="C436" s="4" t="inlineStr">
        <is>
          <t xml:space="preserve">'[1]Revenue Roll-up'!R50</t>
        </is>
      </c>
      <c r="D436" s="5">
        <v>3160000</v>
      </c>
    </row>
    <row r="437">
      <c r="A437" s="4" t="inlineStr">
        <is>
          <t xml:space="preserve">Q7</t>
        </is>
      </c>
      <c r="B437" s="4" t="inlineStr">
        <is>
          <t xml:space="preserve">Q7</t>
        </is>
      </c>
      <c r="C437" s="4" t="inlineStr">
        <is>
          <t xml:space="preserve">'[1]Revenue Roll-up'!S50</t>
        </is>
      </c>
      <c r="D437" s="5">
        <v>3476000</v>
      </c>
    </row>
    <row r="438">
      <c r="A438" s="4" t="inlineStr">
        <is>
          <t xml:space="preserve">R7</t>
        </is>
      </c>
      <c r="B438" s="4" t="inlineStr">
        <is>
          <t xml:space="preserve">R7</t>
        </is>
      </c>
      <c r="C438" s="4" t="inlineStr">
        <is>
          <t xml:space="preserve">'[1]Revenue Roll-up'!U50</t>
        </is>
      </c>
      <c r="D438" s="5">
        <v>24016000</v>
      </c>
    </row>
    <row r="439">
      <c r="A439" s="4" t="inlineStr">
        <is>
          <t xml:space="preserve">B8</t>
        </is>
      </c>
      <c r="B439" s="4" t="inlineStr">
        <is>
          <t xml:space="preserve">B8</t>
        </is>
      </c>
      <c r="C439" s="4" t="inlineStr">
        <is>
          <t xml:space="preserve">'[1]Revenue Roll-up'!D65</t>
        </is>
      </c>
      <c r="D439" s="5">
        <v>0</v>
      </c>
    </row>
    <row r="440">
      <c r="A440" s="4" t="inlineStr">
        <is>
          <t xml:space="preserve">C8</t>
        </is>
      </c>
      <c r="B440" s="4" t="inlineStr">
        <is>
          <t xml:space="preserve">C8</t>
        </is>
      </c>
      <c r="C440" s="4" t="inlineStr">
        <is>
          <t xml:space="preserve">'[1]Revenue Roll-up'!E65</t>
        </is>
      </c>
      <c r="D440" s="5">
        <v>0</v>
      </c>
    </row>
    <row r="441">
      <c r="A441" s="4" t="inlineStr">
        <is>
          <t xml:space="preserve">D8</t>
        </is>
      </c>
      <c r="B441" s="4" t="inlineStr">
        <is>
          <t xml:space="preserve">D8</t>
        </is>
      </c>
      <c r="C441" s="4" t="inlineStr">
        <is>
          <t xml:space="preserve">'[1]Revenue Roll-up'!F65</t>
        </is>
      </c>
      <c r="D441" s="5">
        <v>0</v>
      </c>
    </row>
    <row r="442">
      <c r="A442" s="4" t="inlineStr">
        <is>
          <t xml:space="preserve">E8</t>
        </is>
      </c>
      <c r="B442" s="4" t="inlineStr">
        <is>
          <t xml:space="preserve">E8</t>
        </is>
      </c>
      <c r="C442" s="4" t="inlineStr">
        <is>
          <t xml:space="preserve">'[1]Revenue Roll-up'!G65</t>
        </is>
      </c>
      <c r="D442" s="5">
        <v>0</v>
      </c>
    </row>
    <row r="443">
      <c r="A443" s="4" t="inlineStr">
        <is>
          <t xml:space="preserve">F8</t>
        </is>
      </c>
      <c r="B443" s="4" t="inlineStr">
        <is>
          <t xml:space="preserve">F8</t>
        </is>
      </c>
      <c r="C443" s="4" t="inlineStr">
        <is>
          <t xml:space="preserve">'[1]Revenue Roll-up'!H65</t>
        </is>
      </c>
      <c r="D443" s="5">
        <v>1</v>
      </c>
    </row>
    <row r="444">
      <c r="A444" s="4" t="inlineStr">
        <is>
          <t xml:space="preserve">G8</t>
        </is>
      </c>
      <c r="B444" s="4" t="inlineStr">
        <is>
          <t xml:space="preserve">G8</t>
        </is>
      </c>
      <c r="C444" s="4" t="inlineStr">
        <is>
          <t xml:space="preserve">'[1]Revenue Roll-up'!I65</t>
        </is>
      </c>
      <c r="D444" s="5">
        <v>1</v>
      </c>
    </row>
    <row r="445">
      <c r="A445" s="4" t="inlineStr">
        <is>
          <t xml:space="preserve">H8</t>
        </is>
      </c>
      <c r="B445" s="4" t="inlineStr">
        <is>
          <t xml:space="preserve">H8</t>
        </is>
      </c>
      <c r="C445" s="4" t="inlineStr">
        <is>
          <t xml:space="preserve">'[1]Revenue Roll-up'!J65</t>
        </is>
      </c>
      <c r="D445" s="5">
        <v>2</v>
      </c>
    </row>
    <row r="446">
      <c r="A446" s="4" t="inlineStr">
        <is>
          <t xml:space="preserve">I8</t>
        </is>
      </c>
      <c r="B446" s="4" t="inlineStr">
        <is>
          <t xml:space="preserve">I8</t>
        </is>
      </c>
      <c r="C446" s="4" t="inlineStr">
        <is>
          <t xml:space="preserve">'[1]Revenue Roll-up'!K65</t>
        </is>
      </c>
      <c r="D446" s="5">
        <v>1</v>
      </c>
    </row>
    <row r="447">
      <c r="A447" s="4" t="inlineStr">
        <is>
          <t xml:space="preserve">J8</t>
        </is>
      </c>
      <c r="B447" s="4" t="inlineStr">
        <is>
          <t xml:space="preserve">J8</t>
        </is>
      </c>
      <c r="C447" s="4" t="inlineStr">
        <is>
          <t xml:space="preserve">'[1]Revenue Roll-up'!L65</t>
        </is>
      </c>
      <c r="D447" s="5">
        <v>1</v>
      </c>
    </row>
    <row r="448">
      <c r="A448" s="4" t="inlineStr">
        <is>
          <t xml:space="preserve">K8</t>
        </is>
      </c>
      <c r="B448" s="4" t="inlineStr">
        <is>
          <t xml:space="preserve">K8</t>
        </is>
      </c>
      <c r="C448" s="4" t="inlineStr">
        <is>
          <t xml:space="preserve">'[1]Revenue Roll-up'!M65</t>
        </is>
      </c>
      <c r="D448" s="5">
        <v>2</v>
      </c>
    </row>
    <row r="449">
      <c r="A449" s="4" t="inlineStr">
        <is>
          <t xml:space="preserve">L8</t>
        </is>
      </c>
      <c r="B449" s="4" t="inlineStr">
        <is>
          <t xml:space="preserve">L8</t>
        </is>
      </c>
      <c r="C449" s="4" t="inlineStr">
        <is>
          <t xml:space="preserve">'[1]Revenue Roll-up'!N65</t>
        </is>
      </c>
      <c r="D449" s="5">
        <v>2</v>
      </c>
    </row>
    <row r="450">
      <c r="A450" s="4" t="inlineStr">
        <is>
          <t xml:space="preserve">M8</t>
        </is>
      </c>
      <c r="B450" s="4" t="inlineStr">
        <is>
          <t xml:space="preserve">M8</t>
        </is>
      </c>
      <c r="C450" s="4" t="inlineStr">
        <is>
          <t xml:space="preserve">'[1]Revenue Roll-up'!O65</t>
        </is>
      </c>
      <c r="D450" s="5">
        <v>3</v>
      </c>
    </row>
    <row r="451">
      <c r="A451" s="4" t="inlineStr">
        <is>
          <t xml:space="preserve">N8</t>
        </is>
      </c>
      <c r="B451" s="4" t="inlineStr">
        <is>
          <t xml:space="preserve">N8</t>
        </is>
      </c>
      <c r="C451" s="4" t="inlineStr">
        <is>
          <t xml:space="preserve">'[1]Revenue Roll-up'!P65</t>
        </is>
      </c>
      <c r="D451" s="5">
        <v>2</v>
      </c>
    </row>
    <row r="452">
      <c r="A452" s="4" t="inlineStr">
        <is>
          <t xml:space="preserve">O8</t>
        </is>
      </c>
      <c r="B452" s="4" t="inlineStr">
        <is>
          <t xml:space="preserve">O8</t>
        </is>
      </c>
      <c r="C452" s="4" t="inlineStr">
        <is>
          <t xml:space="preserve">'[1]Revenue Roll-up'!Q65</t>
        </is>
      </c>
      <c r="D452" s="5">
        <v>3</v>
      </c>
    </row>
    <row r="453">
      <c r="A453" s="4" t="inlineStr">
        <is>
          <t xml:space="preserve">P8</t>
        </is>
      </c>
      <c r="B453" s="4" t="inlineStr">
        <is>
          <t xml:space="preserve">P8</t>
        </is>
      </c>
      <c r="C453" s="4" t="inlineStr">
        <is>
          <t xml:space="preserve">'[1]Revenue Roll-up'!R65</t>
        </is>
      </c>
      <c r="D453" s="5">
        <v>4</v>
      </c>
    </row>
    <row r="454">
      <c r="A454" s="4" t="inlineStr">
        <is>
          <t xml:space="preserve">Q8</t>
        </is>
      </c>
      <c r="B454" s="4" t="inlineStr">
        <is>
          <t xml:space="preserve">Q8</t>
        </is>
      </c>
      <c r="C454" s="4" t="inlineStr">
        <is>
          <t xml:space="preserve">'[1]Revenue Roll-up'!S65</t>
        </is>
      </c>
      <c r="D454" s="5">
        <v>3</v>
      </c>
    </row>
    <row r="455">
      <c r="A455" s="4" t="inlineStr">
        <is>
          <t xml:space="preserve">R8</t>
        </is>
      </c>
      <c r="B455" s="4" t="inlineStr">
        <is>
          <t xml:space="preserve">R8</t>
        </is>
      </c>
      <c r="C455" s="4" t="inlineStr">
        <is>
          <t xml:space="preserve">'[1]Revenue Roll-up'!U65</t>
        </is>
      </c>
      <c r="D455" s="5">
        <v>25</v>
      </c>
    </row>
    <row r="456">
      <c r="A456" s="4" t="inlineStr">
        <is>
          <t xml:space="preserve">B9</t>
        </is>
      </c>
      <c r="B456" s="4" t="inlineStr">
        <is>
          <t xml:space="preserve">B9</t>
        </is>
      </c>
      <c r="C456" s="4" t="inlineStr">
        <is>
          <t xml:space="preserve">'[1]Revenue Roll-up'!D64</t>
        </is>
      </c>
      <c r="D456" s="5">
        <v>0</v>
      </c>
    </row>
    <row r="457">
      <c r="A457" s="4" t="inlineStr">
        <is>
          <t xml:space="preserve">C9</t>
        </is>
      </c>
      <c r="B457" s="4" t="inlineStr">
        <is>
          <t xml:space="preserve">C9</t>
        </is>
      </c>
      <c r="C457" s="4" t="inlineStr">
        <is>
          <t xml:space="preserve">'[1]Revenue Roll-up'!E64</t>
        </is>
      </c>
      <c r="D457" s="5">
        <v>0</v>
      </c>
    </row>
    <row r="458">
      <c r="A458" s="4" t="inlineStr">
        <is>
          <t xml:space="preserve">D9</t>
        </is>
      </c>
      <c r="B458" s="4" t="inlineStr">
        <is>
          <t xml:space="preserve">D9</t>
        </is>
      </c>
      <c r="C458" s="4" t="inlineStr">
        <is>
          <t xml:space="preserve">'[1]Revenue Roll-up'!F64</t>
        </is>
      </c>
      <c r="D458" s="5">
        <v>0</v>
      </c>
    </row>
    <row r="459">
      <c r="A459" s="4" t="inlineStr">
        <is>
          <t xml:space="preserve">E9</t>
        </is>
      </c>
      <c r="B459" s="4" t="inlineStr">
        <is>
          <t xml:space="preserve">E9</t>
        </is>
      </c>
      <c r="C459" s="4" t="inlineStr">
        <is>
          <t xml:space="preserve">'[1]Revenue Roll-up'!G64</t>
        </is>
      </c>
      <c r="D459" s="5">
        <v>0</v>
      </c>
    </row>
    <row r="460">
      <c r="A460" s="4" t="inlineStr">
        <is>
          <t xml:space="preserve">F9</t>
        </is>
      </c>
      <c r="B460" s="4" t="inlineStr">
        <is>
          <t xml:space="preserve">F9</t>
        </is>
      </c>
      <c r="C460" s="4" t="inlineStr">
        <is>
          <t xml:space="preserve">'[1]Revenue Roll-up'!H64</t>
        </is>
      </c>
      <c r="D460" s="5">
        <v>255142.5</v>
      </c>
    </row>
    <row r="461">
      <c r="A461" s="4" t="inlineStr">
        <is>
          <t xml:space="preserve">G9</t>
        </is>
      </c>
      <c r="B461" s="4" t="inlineStr">
        <is>
          <t xml:space="preserve">G9</t>
        </is>
      </c>
      <c r="C461" s="4" t="inlineStr">
        <is>
          <t xml:space="preserve">'[1]Revenue Roll-up'!I64</t>
        </is>
      </c>
      <c r="D461" s="5">
        <v>255142.5</v>
      </c>
    </row>
    <row r="462">
      <c r="A462" s="4" t="inlineStr">
        <is>
          <t xml:space="preserve">H9</t>
        </is>
      </c>
      <c r="B462" s="4" t="inlineStr">
        <is>
          <t xml:space="preserve">H9</t>
        </is>
      </c>
      <c r="C462" s="4" t="inlineStr">
        <is>
          <t xml:space="preserve">'[1]Revenue Roll-up'!J64</t>
        </is>
      </c>
      <c r="D462" s="5">
        <v>255142.5</v>
      </c>
    </row>
    <row r="463">
      <c r="A463" s="4" t="inlineStr">
        <is>
          <t xml:space="preserve">I9</t>
        </is>
      </c>
      <c r="B463" s="4" t="inlineStr">
        <is>
          <t xml:space="preserve">I9</t>
        </is>
      </c>
      <c r="C463" s="4" t="inlineStr">
        <is>
          <t xml:space="preserve">'[1]Revenue Roll-up'!K64</t>
        </is>
      </c>
      <c r="D463" s="5">
        <v>255142.5</v>
      </c>
    </row>
    <row r="464">
      <c r="A464" s="4" t="inlineStr">
        <is>
          <t xml:space="preserve">J9</t>
        </is>
      </c>
      <c r="B464" s="4" t="inlineStr">
        <is>
          <t xml:space="preserve">J9</t>
        </is>
      </c>
      <c r="C464" s="4" t="inlineStr">
        <is>
          <t xml:space="preserve">'[1]Revenue Roll-up'!L64</t>
        </is>
      </c>
      <c r="D464" s="5">
        <v>321502.5</v>
      </c>
    </row>
    <row r="465">
      <c r="A465" s="4" t="inlineStr">
        <is>
          <t xml:space="preserve">K9</t>
        </is>
      </c>
      <c r="B465" s="4" t="inlineStr">
        <is>
          <t xml:space="preserve">K9</t>
        </is>
      </c>
      <c r="C465" s="4" t="inlineStr">
        <is>
          <t xml:space="preserve">'[1]Revenue Roll-up'!M64</t>
        </is>
      </c>
      <c r="D465" s="5">
        <v>387862.5</v>
      </c>
    </row>
    <row r="466">
      <c r="A466" s="4" t="inlineStr">
        <is>
          <t xml:space="preserve">L9</t>
        </is>
      </c>
      <c r="B466" s="4" t="inlineStr">
        <is>
          <t xml:space="preserve">L9</t>
        </is>
      </c>
      <c r="C466" s="4" t="inlineStr">
        <is>
          <t xml:space="preserve">'[1]Revenue Roll-up'!N64</t>
        </is>
      </c>
      <c r="D466" s="5">
        <v>476342.5</v>
      </c>
    </row>
    <row r="467">
      <c r="A467" s="4" t="inlineStr">
        <is>
          <t xml:space="preserve">M9</t>
        </is>
      </c>
      <c r="B467" s="4" t="inlineStr">
        <is>
          <t xml:space="preserve">M9</t>
        </is>
      </c>
      <c r="C467" s="4" t="inlineStr">
        <is>
          <t xml:space="preserve">'[1]Revenue Roll-up'!O64</t>
        </is>
      </c>
      <c r="D467" s="5">
        <v>515526.5</v>
      </c>
    </row>
    <row r="468">
      <c r="A468" s="4" t="inlineStr">
        <is>
          <t xml:space="preserve">N9</t>
        </is>
      </c>
      <c r="B468" s="4" t="inlineStr">
        <is>
          <t xml:space="preserve">N9</t>
        </is>
      </c>
      <c r="C468" s="4" t="inlineStr">
        <is>
          <t xml:space="preserve">'[1]Revenue Roll-up'!P64</t>
        </is>
      </c>
      <c r="D468" s="5">
        <v>576830.5</v>
      </c>
    </row>
    <row r="469">
      <c r="A469" s="4" t="inlineStr">
        <is>
          <t xml:space="preserve">O9</t>
        </is>
      </c>
      <c r="B469" s="4" t="inlineStr">
        <is>
          <t xml:space="preserve">O9</t>
        </is>
      </c>
      <c r="C469" s="4" t="inlineStr">
        <is>
          <t xml:space="preserve">'[1]Revenue Roll-up'!Q64</t>
        </is>
      </c>
      <c r="D469" s="5">
        <v>643822.5</v>
      </c>
    </row>
    <row r="470">
      <c r="A470" s="4" t="inlineStr">
        <is>
          <t xml:space="preserve">P9</t>
        </is>
      </c>
      <c r="B470" s="4" t="inlineStr">
        <is>
          <t xml:space="preserve">P9</t>
        </is>
      </c>
      <c r="C470" s="4" t="inlineStr">
        <is>
          <t xml:space="preserve">'[1]Revenue Roll-up'!R64</t>
        </is>
      </c>
      <c r="D470" s="5">
        <v>710814.5</v>
      </c>
    </row>
    <row r="471">
      <c r="A471" s="4" t="inlineStr">
        <is>
          <t xml:space="preserve">Q9</t>
        </is>
      </c>
      <c r="B471" s="4" t="inlineStr">
        <is>
          <t xml:space="preserve">Q9</t>
        </is>
      </c>
      <c r="C471" s="4" t="inlineStr">
        <is>
          <t xml:space="preserve">'[1]Revenue Roll-up'!S64</t>
        </is>
      </c>
      <c r="D471" s="5">
        <v>783494.5</v>
      </c>
    </row>
    <row r="472">
      <c r="A472" s="4" t="inlineStr">
        <is>
          <t xml:space="preserve">R9</t>
        </is>
      </c>
      <c r="B472" s="4" t="inlineStr">
        <is>
          <t xml:space="preserve">R9</t>
        </is>
      </c>
      <c r="C472" s="4" t="inlineStr">
        <is>
          <t xml:space="preserve">'[1]Revenue Roll-up'!U64</t>
        </is>
      </c>
      <c r="D472" s="5">
        <v>5436766</v>
      </c>
    </row>
    <row r="473">
      <c r="A473" s="4" t="inlineStr">
        <is>
          <t xml:space="preserve">B10</t>
        </is>
      </c>
      <c r="B473" s="4" t="inlineStr">
        <is>
          <t xml:space="preserve">B10</t>
        </is>
      </c>
      <c r="C473" s="4" t="inlineStr">
        <is>
          <t xml:space="preserve">COUNTIF('[1]Deploy Detail'!K21:K62,"&gt;0")</t>
        </is>
      </c>
      <c r="D473" s="5">
        <v>3</v>
      </c>
    </row>
    <row r="474">
      <c r="A474" s="4" t="inlineStr">
        <is>
          <t xml:space="preserve">C10</t>
        </is>
      </c>
      <c r="B474" s="4" t="inlineStr">
        <is>
          <t xml:space="preserve">C10</t>
        </is>
      </c>
      <c r="C474" s="4" t="inlineStr">
        <is>
          <t xml:space="preserve">COUNTIF('[1]Deploy Detail'!L21:L62,"&gt;0")</t>
        </is>
      </c>
      <c r="D474" s="5">
        <v>0</v>
      </c>
    </row>
    <row r="475">
      <c r="A475" s="4" t="inlineStr">
        <is>
          <t xml:space="preserve">D10</t>
        </is>
      </c>
      <c r="B475" s="4" t="inlineStr">
        <is>
          <t xml:space="preserve">D10</t>
        </is>
      </c>
      <c r="C475" s="4" t="inlineStr">
        <is>
          <t xml:space="preserve">COUNTIF('[1]Deploy Detail'!M21:M62,"&gt;0")</t>
        </is>
      </c>
      <c r="D475" s="5">
        <v>3</v>
      </c>
    </row>
    <row r="476">
      <c r="A476" s="4" t="inlineStr">
        <is>
          <t xml:space="preserve">E10</t>
        </is>
      </c>
      <c r="B476" s="4" t="inlineStr">
        <is>
          <t xml:space="preserve">E10</t>
        </is>
      </c>
      <c r="C476" s="4" t="inlineStr">
        <is>
          <t xml:space="preserve">COUNTIF('[1]Deploy Detail'!N21:N62,"&gt;0")</t>
        </is>
      </c>
      <c r="D476" s="5">
        <v>2</v>
      </c>
    </row>
    <row r="477">
      <c r="A477" s="4" t="inlineStr">
        <is>
          <t xml:space="preserve">F10</t>
        </is>
      </c>
      <c r="B477" s="4" t="inlineStr">
        <is>
          <t xml:space="preserve">F10</t>
        </is>
      </c>
      <c r="C477" s="4" t="inlineStr">
        <is>
          <t xml:space="preserve">COUNTIF('[1]Deploy Detail'!O21:O62,"&gt;0")</t>
        </is>
      </c>
      <c r="D477" s="5">
        <v>0</v>
      </c>
    </row>
    <row r="478">
      <c r="A478" s="4" t="inlineStr">
        <is>
          <t xml:space="preserve">G10</t>
        </is>
      </c>
      <c r="B478" s="4" t="inlineStr">
        <is>
          <t xml:space="preserve">G10</t>
        </is>
      </c>
      <c r="C478" s="4" t="inlineStr">
        <is>
          <t xml:space="preserve">COUNTIF('[1]Deploy Detail'!P21:P62,"&gt;0")</t>
        </is>
      </c>
      <c r="D478" s="5">
        <v>0</v>
      </c>
    </row>
    <row r="479">
      <c r="A479" s="4" t="inlineStr">
        <is>
          <t xml:space="preserve">H10</t>
        </is>
      </c>
      <c r="B479" s="4" t="inlineStr">
        <is>
          <t xml:space="preserve">H10</t>
        </is>
      </c>
      <c r="C479" s="4" t="inlineStr">
        <is>
          <t xml:space="preserve">COUNTIF('[1]Deploy Detail'!Q21:Q62,"&gt;0")</t>
        </is>
      </c>
      <c r="D479" s="5">
        <v>0</v>
      </c>
    </row>
    <row r="480">
      <c r="A480" s="4" t="inlineStr">
        <is>
          <t xml:space="preserve">I10</t>
        </is>
      </c>
      <c r="B480" s="4" t="inlineStr">
        <is>
          <t xml:space="preserve">I10</t>
        </is>
      </c>
      <c r="C480" s="4" t="inlineStr">
        <is>
          <t xml:space="preserve">COUNTIF('[1]Deploy Detail'!R21:R62,"&gt;0")</t>
        </is>
      </c>
      <c r="D480" s="5">
        <v>0</v>
      </c>
    </row>
    <row r="481">
      <c r="A481" s="4" t="inlineStr">
        <is>
          <t xml:space="preserve">J10</t>
        </is>
      </c>
      <c r="B481" s="4" t="inlineStr">
        <is>
          <t xml:space="preserve">J10</t>
        </is>
      </c>
      <c r="C481" s="4" t="inlineStr">
        <is>
          <t xml:space="preserve">COUNTIF('[1]Deploy Detail'!S21:S62,"&gt;0")</t>
        </is>
      </c>
      <c r="D481" s="5">
        <v>0</v>
      </c>
    </row>
    <row r="482">
      <c r="A482" s="4" t="inlineStr">
        <is>
          <t xml:space="preserve">K10</t>
        </is>
      </c>
      <c r="B482" s="4" t="inlineStr">
        <is>
          <t xml:space="preserve">K10</t>
        </is>
      </c>
      <c r="C482" s="4" t="inlineStr">
        <is>
          <t xml:space="preserve">COUNTIF('[1]Deploy Detail'!T21:T62,"&gt;0")</t>
        </is>
      </c>
      <c r="D482" s="5">
        <v>0</v>
      </c>
    </row>
    <row r="483">
      <c r="A483" s="4" t="inlineStr">
        <is>
          <t xml:space="preserve">L10</t>
        </is>
      </c>
      <c r="B483" s="4" t="inlineStr">
        <is>
          <t xml:space="preserve">L10</t>
        </is>
      </c>
      <c r="C483" s="4" t="inlineStr">
        <is>
          <t xml:space="preserve">COUNTIF('[1]Deploy Detail'!U21:U62,"&gt;0")</t>
        </is>
      </c>
      <c r="D483" s="5">
        <v>0</v>
      </c>
    </row>
    <row r="484">
      <c r="A484" s="4" t="inlineStr">
        <is>
          <t xml:space="preserve">M10</t>
        </is>
      </c>
      <c r="B484" s="4" t="inlineStr">
        <is>
          <t xml:space="preserve">M10</t>
        </is>
      </c>
      <c r="C484" s="4" t="inlineStr">
        <is>
          <t xml:space="preserve">COUNTIF('[1]Deploy Detail'!V21:V62,"&gt;0")</t>
        </is>
      </c>
      <c r="D484" s="5">
        <v>0</v>
      </c>
    </row>
    <row r="485">
      <c r="A485" s="4" t="inlineStr">
        <is>
          <t xml:space="preserve">N10</t>
        </is>
      </c>
      <c r="B485" s="4" t="inlineStr">
        <is>
          <t xml:space="preserve">N10</t>
        </is>
      </c>
      <c r="C485" s="4" t="inlineStr">
        <is>
          <t xml:space="preserve">COUNTIF('[1]Deploy Detail'!W21:W62,"&gt;0")</t>
        </is>
      </c>
      <c r="D485" s="5">
        <v>0</v>
      </c>
    </row>
    <row r="486">
      <c r="A486" s="4" t="inlineStr">
        <is>
          <t xml:space="preserve">O10</t>
        </is>
      </c>
      <c r="B486" s="4" t="inlineStr">
        <is>
          <t xml:space="preserve">O10</t>
        </is>
      </c>
      <c r="C486" s="4" t="inlineStr">
        <is>
          <t xml:space="preserve">COUNTIF('[1]Deploy Detail'!X21:X62,"&gt;0")</t>
        </is>
      </c>
      <c r="D486" s="5">
        <v>0</v>
      </c>
    </row>
    <row r="487">
      <c r="A487" s="4" t="inlineStr">
        <is>
          <t xml:space="preserve">P10</t>
        </is>
      </c>
      <c r="B487" s="4" t="inlineStr">
        <is>
          <t xml:space="preserve">P10</t>
        </is>
      </c>
      <c r="C487" s="4" t="inlineStr">
        <is>
          <t xml:space="preserve">COUNTIF('[1]Deploy Detail'!Y21:Y62,"&gt;0")</t>
        </is>
      </c>
      <c r="D487" s="5">
        <v>0</v>
      </c>
    </row>
    <row r="488">
      <c r="A488" s="4" t="inlineStr">
        <is>
          <t xml:space="preserve">Q10</t>
        </is>
      </c>
      <c r="B488" s="4" t="inlineStr">
        <is>
          <t xml:space="preserve">Q10</t>
        </is>
      </c>
      <c r="C488" s="4" t="inlineStr">
        <is>
          <t xml:space="preserve">COUNTIF('[1]Deploy Detail'!Z21:Z62,"&gt;0")</t>
        </is>
      </c>
      <c r="D488" s="5">
        <v>0</v>
      </c>
    </row>
    <row r="489">
      <c r="A489" s="4" t="inlineStr">
        <is>
          <t xml:space="preserve">B11</t>
        </is>
      </c>
      <c r="B489" s="4" t="inlineStr">
        <is>
          <t xml:space="preserve">B11</t>
        </is>
      </c>
      <c r="C489" s="4" t="inlineStr">
        <is>
          <t xml:space="preserve">'[1]Deploy Detail'!K63</t>
        </is>
      </c>
      <c r="D489" s="5">
        <v>1280300</v>
      </c>
    </row>
    <row r="490">
      <c r="A490" s="4" t="inlineStr">
        <is>
          <t xml:space="preserve">C11</t>
        </is>
      </c>
      <c r="B490" s="4" t="inlineStr">
        <is>
          <t xml:space="preserve">C11</t>
        </is>
      </c>
      <c r="C490" s="4" t="inlineStr">
        <is>
          <t xml:space="preserve">'[1]Deploy Detail'!L63</t>
        </is>
      </c>
      <c r="D490" s="5">
        <v>0</v>
      </c>
    </row>
    <row r="491">
      <c r="A491" s="4" t="inlineStr">
        <is>
          <t xml:space="preserve">D11</t>
        </is>
      </c>
      <c r="B491" s="4" t="inlineStr">
        <is>
          <t xml:space="preserve">D11</t>
        </is>
      </c>
      <c r="C491" s="4" t="inlineStr">
        <is>
          <t xml:space="preserve">'[1]Deploy Detail'!M63</t>
        </is>
      </c>
      <c r="D491" s="5">
        <v>1632000</v>
      </c>
    </row>
    <row r="492">
      <c r="A492" s="4" t="inlineStr">
        <is>
          <t xml:space="preserve">E11</t>
        </is>
      </c>
      <c r="B492" s="4" t="inlineStr">
        <is>
          <t xml:space="preserve">E11</t>
        </is>
      </c>
      <c r="C492" s="4" t="inlineStr">
        <is>
          <t xml:space="preserve">'[1]Deploy Detail'!N63</t>
        </is>
      </c>
      <c r="D492" s="5">
        <v>632000</v>
      </c>
    </row>
    <row r="493">
      <c r="A493" s="4" t="inlineStr">
        <is>
          <t xml:space="preserve">F11</t>
        </is>
      </c>
      <c r="B493" s="4" t="inlineStr">
        <is>
          <t xml:space="preserve">F11</t>
        </is>
      </c>
      <c r="C493" s="4" t="inlineStr">
        <is>
          <t xml:space="preserve">'[1]Deploy Detail'!O63</t>
        </is>
      </c>
      <c r="D493" s="5">
        <v>0</v>
      </c>
    </row>
    <row r="494">
      <c r="A494" s="4" t="inlineStr">
        <is>
          <t xml:space="preserve">G11</t>
        </is>
      </c>
      <c r="B494" s="4" t="inlineStr">
        <is>
          <t xml:space="preserve">G11</t>
        </is>
      </c>
      <c r="C494" s="4" t="inlineStr">
        <is>
          <t xml:space="preserve">'[1]Deploy Detail'!P63</t>
        </is>
      </c>
      <c r="D494" s="5">
        <v>0</v>
      </c>
    </row>
    <row r="495">
      <c r="A495" s="4" t="inlineStr">
        <is>
          <t xml:space="preserve">H11</t>
        </is>
      </c>
      <c r="B495" s="4" t="inlineStr">
        <is>
          <t xml:space="preserve">H11</t>
        </is>
      </c>
      <c r="C495" s="4" t="inlineStr">
        <is>
          <t xml:space="preserve">'[1]Deploy Detail'!Q63</t>
        </is>
      </c>
      <c r="D495" s="5">
        <v>0</v>
      </c>
    </row>
    <row r="496">
      <c r="A496" s="4" t="inlineStr">
        <is>
          <t xml:space="preserve">I11</t>
        </is>
      </c>
      <c r="B496" s="4" t="inlineStr">
        <is>
          <t xml:space="preserve">I11</t>
        </is>
      </c>
      <c r="C496" s="4" t="inlineStr">
        <is>
          <t xml:space="preserve">'[1]Deploy Detail'!R63</t>
        </is>
      </c>
      <c r="D496" s="5">
        <v>0</v>
      </c>
    </row>
    <row r="497">
      <c r="A497" s="4" t="inlineStr">
        <is>
          <t xml:space="preserve">J11</t>
        </is>
      </c>
      <c r="B497" s="4" t="inlineStr">
        <is>
          <t xml:space="preserve">J11</t>
        </is>
      </c>
      <c r="C497" s="4" t="inlineStr">
        <is>
          <t xml:space="preserve">'[1]Deploy Detail'!S63</t>
        </is>
      </c>
      <c r="D497" s="5">
        <v>0</v>
      </c>
    </row>
    <row r="498">
      <c r="A498" s="4" t="inlineStr">
        <is>
          <t xml:space="preserve">K11</t>
        </is>
      </c>
      <c r="B498" s="4" t="inlineStr">
        <is>
          <t xml:space="preserve">K11</t>
        </is>
      </c>
      <c r="C498" s="4" t="inlineStr">
        <is>
          <t xml:space="preserve">'[1]Deploy Detail'!T63</t>
        </is>
      </c>
      <c r="D498" s="5">
        <v>0</v>
      </c>
    </row>
    <row r="499">
      <c r="A499" s="4" t="inlineStr">
        <is>
          <t xml:space="preserve">L11</t>
        </is>
      </c>
      <c r="B499" s="4" t="inlineStr">
        <is>
          <t xml:space="preserve">L11</t>
        </is>
      </c>
      <c r="C499" s="4" t="inlineStr">
        <is>
          <t xml:space="preserve">'[1]Deploy Detail'!U63</t>
        </is>
      </c>
      <c r="D499" s="5">
        <v>0</v>
      </c>
    </row>
    <row r="500">
      <c r="A500" s="4" t="inlineStr">
        <is>
          <t xml:space="preserve">M11</t>
        </is>
      </c>
      <c r="B500" s="4" t="inlineStr">
        <is>
          <t xml:space="preserve">M11</t>
        </is>
      </c>
      <c r="C500" s="4" t="inlineStr">
        <is>
          <t xml:space="preserve">'[1]Deploy Detail'!V63</t>
        </is>
      </c>
      <c r="D500" s="5">
        <v>0</v>
      </c>
    </row>
    <row r="501">
      <c r="A501" s="4" t="inlineStr">
        <is>
          <t xml:space="preserve">N11</t>
        </is>
      </c>
      <c r="B501" s="4" t="inlineStr">
        <is>
          <t xml:space="preserve">N11</t>
        </is>
      </c>
      <c r="C501" s="4" t="inlineStr">
        <is>
          <t xml:space="preserve">'[1]Deploy Detail'!W63</t>
        </is>
      </c>
      <c r="D501" s="5">
        <v>0</v>
      </c>
    </row>
    <row r="502">
      <c r="A502" s="4" t="inlineStr">
        <is>
          <t xml:space="preserve">O11</t>
        </is>
      </c>
      <c r="B502" s="4" t="inlineStr">
        <is>
          <t xml:space="preserve">O11</t>
        </is>
      </c>
      <c r="C502" s="4" t="inlineStr">
        <is>
          <t xml:space="preserve">'[1]Deploy Detail'!X63</t>
        </is>
      </c>
      <c r="D502" s="5">
        <v>0</v>
      </c>
    </row>
    <row r="503">
      <c r="A503" s="4" t="inlineStr">
        <is>
          <t xml:space="preserve">P11</t>
        </is>
      </c>
      <c r="B503" s="4" t="inlineStr">
        <is>
          <t xml:space="preserve">P11</t>
        </is>
      </c>
      <c r="C503" s="4" t="inlineStr">
        <is>
          <t xml:space="preserve">'[1]Deploy Detail'!Y63</t>
        </is>
      </c>
      <c r="D503" s="5">
        <v>0</v>
      </c>
    </row>
    <row r="504">
      <c r="A504" s="4" t="inlineStr">
        <is>
          <t xml:space="preserve">Q11</t>
        </is>
      </c>
      <c r="B504" s="4" t="inlineStr">
        <is>
          <t xml:space="preserve">Q11</t>
        </is>
      </c>
      <c r="C504" s="4" t="inlineStr">
        <is>
          <t xml:space="preserve">'[1]Deploy Detail'!Z63</t>
        </is>
      </c>
      <c r="D504" s="5">
        <v>0</v>
      </c>
    </row>
    <row r="505">
      <c r="A505" s="4" t="inlineStr">
        <is>
          <t xml:space="preserve">R11</t>
        </is>
      </c>
      <c r="B505" s="4" t="inlineStr">
        <is>
          <t xml:space="preserve">R11</t>
        </is>
      </c>
      <c r="C505" s="4" t="inlineStr">
        <is>
          <t xml:space="preserve">'[1]Deploy Detail'!AB63</t>
        </is>
      </c>
      <c r="D505" s="5">
        <v>0</v>
      </c>
    </row>
    <row r="506">
      <c r="A506" s="4" t="inlineStr">
        <is>
          <t xml:space="preserve">B16</t>
        </is>
      </c>
      <c r="B506" s="4" t="inlineStr">
        <is>
          <t xml:space="preserve">B16</t>
        </is>
      </c>
      <c r="C506" s="4" t="inlineStr">
        <is>
          <t xml:space="preserve">COUNTIFS('[1]2026 Exist New'!$U$9:$U$50,"Yes",'[1]2026 Exist New'!$E$9:$E$50,"SlipLift",'[1]2026 Exist New'!$I$9:$I$50,"&gt;"&amp;EOMONTH(B$4,-1),'[1]2026 Exist New'!$I$9:$I$50,"&lt;="&amp;B$4)+[1]Deploy!D36+[1]Deploy!D41</t>
        </is>
      </c>
      <c r="D506" s="5">
        <v>0</v>
      </c>
    </row>
    <row r="507">
      <c r="A507" s="4" t="inlineStr">
        <is>
          <t xml:space="preserve">C16</t>
        </is>
      </c>
      <c r="B507" s="4" t="inlineStr">
        <is>
          <t xml:space="preserve">C16</t>
        </is>
      </c>
      <c r="C507" s="4" t="inlineStr">
        <is>
          <t xml:space="preserve">COUNTIFS('[1]2026 Exist New'!$U$9:$U$50,"Yes",'[1]2026 Exist New'!$E$9:$E$50,"SlipLift",'[1]2026 Exist New'!$I$9:$I$50,"&gt;"&amp;EOMONTH(C$4,-1),'[1]2026 Exist New'!$I$9:$I$50,"&lt;="&amp;C$4)+[1]Deploy!E36+[1]Deploy!E41</t>
        </is>
      </c>
      <c r="D507" s="5">
        <v>2</v>
      </c>
    </row>
    <row r="508">
      <c r="A508" s="4" t="inlineStr">
        <is>
          <t xml:space="preserve">D16</t>
        </is>
      </c>
      <c r="B508" s="4" t="inlineStr">
        <is>
          <t xml:space="preserve">D16</t>
        </is>
      </c>
      <c r="C508" s="4" t="inlineStr">
        <is>
          <t xml:space="preserve">COUNTIFS('[1]2026 Exist New'!$U$9:$U$50,"Yes",'[1]2026 Exist New'!$E$9:$E$50,"SlipLift",'[1]2026 Exist New'!$I$9:$I$50,"&gt;"&amp;EOMONTH(D$4,-1),'[1]2026 Exist New'!$I$9:$I$50,"&lt;="&amp;D$4)+[1]Deploy!F36+[1]Deploy!F41</t>
        </is>
      </c>
      <c r="D508" s="5">
        <v>2</v>
      </c>
    </row>
    <row r="509">
      <c r="A509" s="4" t="inlineStr">
        <is>
          <t xml:space="preserve">E16</t>
        </is>
      </c>
      <c r="B509" s="4" t="inlineStr">
        <is>
          <t xml:space="preserve">E16</t>
        </is>
      </c>
      <c r="C509" s="4" t="inlineStr">
        <is>
          <t xml:space="preserve">COUNTIFS('[1]2026 Exist New'!$U$9:$U$50,"Yes",'[1]2026 Exist New'!$E$9:$E$50,"SlipLift",'[1]2026 Exist New'!$I$9:$I$50,"&gt;"&amp;EOMONTH(E$4,-1),'[1]2026 Exist New'!$I$9:$I$50,"&lt;="&amp;E$4)+[1]Deploy!G36+[1]Deploy!G41</t>
        </is>
      </c>
      <c r="D509" s="5">
        <v>0</v>
      </c>
    </row>
    <row r="510">
      <c r="A510" s="4" t="inlineStr">
        <is>
          <t xml:space="preserve">F16</t>
        </is>
      </c>
      <c r="B510" s="4" t="inlineStr">
        <is>
          <t xml:space="preserve">F16</t>
        </is>
      </c>
      <c r="C510" s="4" t="inlineStr">
        <is>
          <t xml:space="preserve">COUNTIFS('[1]2026 Exist New'!$U$9:$U$50,"Yes",'[1]2026 Exist New'!$E$9:$E$50,"SlipLift",'[1]2026 Exist New'!$I$9:$I$50,"&gt;"&amp;EOMONTH(F$4,-1),'[1]2026 Exist New'!$I$9:$I$50,"&lt;="&amp;F$4)+[1]Deploy!H36+[1]Deploy!H41</t>
        </is>
      </c>
      <c r="D510" s="5">
        <v>3</v>
      </c>
    </row>
    <row r="511">
      <c r="A511" s="4" t="inlineStr">
        <is>
          <t xml:space="preserve">G16</t>
        </is>
      </c>
      <c r="B511" s="4" t="inlineStr">
        <is>
          <t xml:space="preserve">G16</t>
        </is>
      </c>
      <c r="C511" s="4" t="inlineStr">
        <is>
          <t xml:space="preserve">COUNTIFS('[1]2026 Exist New'!$U$9:$U$50,"Yes",'[1]2026 Exist New'!$E$9:$E$50,"SlipLift",'[1]2026 Exist New'!$I$9:$I$50,"&gt;"&amp;EOMONTH(G$4,-1),'[1]2026 Exist New'!$I$9:$I$50,"&lt;="&amp;G$4)+[1]Deploy!I36+[1]Deploy!I41</t>
        </is>
      </c>
      <c r="D511" s="5">
        <v>2</v>
      </c>
    </row>
    <row r="512">
      <c r="A512" s="4" t="inlineStr">
        <is>
          <t xml:space="preserve">H16</t>
        </is>
      </c>
      <c r="B512" s="4" t="inlineStr">
        <is>
          <t xml:space="preserve">H16</t>
        </is>
      </c>
      <c r="C512" s="4" t="inlineStr">
        <is>
          <t xml:space="preserve">COUNTIFS('[1]2026 Exist New'!$U$9:$U$50,"Yes",'[1]2026 Exist New'!$E$9:$E$50,"SlipLift",'[1]2026 Exist New'!$I$9:$I$50,"&gt;"&amp;EOMONTH(H$4,-1),'[1]2026 Exist New'!$I$9:$I$50,"&lt;="&amp;H$4)+[1]Deploy!J36+[1]Deploy!J41</t>
        </is>
      </c>
      <c r="D512" s="5">
        <v>0</v>
      </c>
    </row>
    <row r="513">
      <c r="A513" s="4" t="inlineStr">
        <is>
          <t xml:space="preserve">I16</t>
        </is>
      </c>
      <c r="B513" s="4" t="inlineStr">
        <is>
          <t xml:space="preserve">I16</t>
        </is>
      </c>
      <c r="C513" s="4" t="inlineStr">
        <is>
          <t xml:space="preserve">COUNTIFS('[1]2026 Exist New'!$U$9:$U$50,"Yes",'[1]2026 Exist New'!$E$9:$E$50,"SlipLift",'[1]2026 Exist New'!$I$9:$I$50,"&gt;"&amp;EOMONTH(I$4,-1),'[1]2026 Exist New'!$I$9:$I$50,"&lt;="&amp;I$4)+[1]Deploy!K36+[1]Deploy!K41</t>
        </is>
      </c>
      <c r="D513" s="5">
        <v>5</v>
      </c>
    </row>
    <row r="514">
      <c r="A514" s="4" t="inlineStr">
        <is>
          <t xml:space="preserve">J16</t>
        </is>
      </c>
      <c r="B514" s="4" t="inlineStr">
        <is>
          <t xml:space="preserve">J16</t>
        </is>
      </c>
      <c r="C514" s="4" t="inlineStr">
        <is>
          <t xml:space="preserve">COUNTIFS('[1]2026 Exist New'!$U$9:$U$50,"Yes",'[1]2026 Exist New'!$E$9:$E$50,"SlipLift",'[1]2026 Exist New'!$I$9:$I$50,"&gt;"&amp;EOMONTH(J$4,-1),'[1]2026 Exist New'!$I$9:$I$50,"&lt;="&amp;J$4)+[1]Deploy!L36+[1]Deploy!L41</t>
        </is>
      </c>
      <c r="D514" s="5">
        <v>4</v>
      </c>
    </row>
    <row r="515">
      <c r="A515" s="4" t="inlineStr">
        <is>
          <t xml:space="preserve">K16</t>
        </is>
      </c>
      <c r="B515" s="4" t="inlineStr">
        <is>
          <t xml:space="preserve">K16</t>
        </is>
      </c>
      <c r="C515" s="4" t="inlineStr">
        <is>
          <t xml:space="preserve">COUNTIFS('[1]2026 Exist New'!$U$9:$U$50,"Yes",'[1]2026 Exist New'!$E$9:$E$50,"SlipLift",'[1]2026 Exist New'!$I$9:$I$50,"&gt;"&amp;EOMONTH(K$4,-1),'[1]2026 Exist New'!$I$9:$I$50,"&lt;="&amp;K$4)+[1]Deploy!M36+[1]Deploy!M41</t>
        </is>
      </c>
      <c r="D515" s="5">
        <v>6</v>
      </c>
    </row>
    <row r="516">
      <c r="A516" s="4" t="inlineStr">
        <is>
          <t xml:space="preserve">L16</t>
        </is>
      </c>
      <c r="B516" s="4" t="inlineStr">
        <is>
          <t xml:space="preserve">L16</t>
        </is>
      </c>
      <c r="C516" s="4" t="inlineStr">
        <is>
          <t xml:space="preserve">COUNTIFS('[1]2026 Exist New'!$U$9:$U$50,"Yes",'[1]2026 Exist New'!$E$9:$E$50,"SlipLift",'[1]2026 Exist New'!$I$9:$I$50,"&gt;"&amp;EOMONTH(L$4,-1),'[1]2026 Exist New'!$I$9:$I$50,"&lt;="&amp;L$4)+[1]Deploy!N36+[1]Deploy!N41</t>
        </is>
      </c>
      <c r="D516" s="5">
        <v>5</v>
      </c>
    </row>
    <row r="517">
      <c r="A517" s="4" t="inlineStr">
        <is>
          <t xml:space="preserve">M16</t>
        </is>
      </c>
      <c r="B517" s="4" t="inlineStr">
        <is>
          <t xml:space="preserve">M16</t>
        </is>
      </c>
      <c r="C517" s="4" t="inlineStr">
        <is>
          <t xml:space="preserve">COUNTIFS('[1]2026 Exist New'!$U$9:$U$50,"Yes",'[1]2026 Exist New'!$E$9:$E$50,"SlipLift",'[1]2026 Exist New'!$I$9:$I$50,"&gt;"&amp;EOMONTH(M$4,-1),'[1]2026 Exist New'!$I$9:$I$50,"&lt;="&amp;M$4)+[1]Deploy!O36+[1]Deploy!O41</t>
        </is>
      </c>
      <c r="D517" s="5">
        <v>6</v>
      </c>
    </row>
    <row r="518">
      <c r="A518" s="4" t="inlineStr">
        <is>
          <t xml:space="preserve">N16</t>
        </is>
      </c>
      <c r="B518" s="4" t="inlineStr">
        <is>
          <t xml:space="preserve">N16</t>
        </is>
      </c>
      <c r="C518" s="4" t="inlineStr">
        <is>
          <t xml:space="preserve">COUNTIFS('[1]2026 Exist New'!$U$9:$U$50,"Yes",'[1]2026 Exist New'!$E$9:$E$50,"SlipLift",'[1]2026 Exist New'!$I$9:$I$50,"&gt;"&amp;EOMONTH(N$4,-1),'[1]2026 Exist New'!$I$9:$I$50,"&lt;="&amp;N$4)+[1]Deploy!P36+[1]Deploy!P41</t>
        </is>
      </c>
      <c r="D518" s="5">
        <v>8</v>
      </c>
    </row>
    <row r="519">
      <c r="A519" s="4" t="inlineStr">
        <is>
          <t xml:space="preserve">O16</t>
        </is>
      </c>
      <c r="B519" s="4" t="inlineStr">
        <is>
          <t xml:space="preserve">O16</t>
        </is>
      </c>
      <c r="C519" s="4" t="inlineStr">
        <is>
          <t xml:space="preserve">COUNTIFS('[1]2026 Exist New'!$U$9:$U$50,"Yes",'[1]2026 Exist New'!$E$9:$E$50,"SlipLift",'[1]2026 Exist New'!$I$9:$I$50,"&gt;"&amp;EOMONTH(O$4,-1),'[1]2026 Exist New'!$I$9:$I$50,"&lt;="&amp;O$4)+[1]Deploy!Q36+[1]Deploy!Q41</t>
        </is>
      </c>
      <c r="D519" s="5">
        <v>8</v>
      </c>
    </row>
    <row r="520">
      <c r="A520" s="4" t="inlineStr">
        <is>
          <t xml:space="preserve">P16</t>
        </is>
      </c>
      <c r="B520" s="4" t="inlineStr">
        <is>
          <t xml:space="preserve">P16</t>
        </is>
      </c>
      <c r="C520" s="4" t="inlineStr">
        <is>
          <t xml:space="preserve">COUNTIFS('[1]2026 Exist New'!$U$9:$U$50,"Yes",'[1]2026 Exist New'!$E$9:$E$50,"SlipLift",'[1]2026 Exist New'!$I$9:$I$50,"&gt;"&amp;EOMONTH(P$4,-1),'[1]2026 Exist New'!$I$9:$I$50,"&lt;="&amp;P$4)+[1]Deploy!R36+[1]Deploy!R41</t>
        </is>
      </c>
      <c r="D520" s="5">
        <v>10</v>
      </c>
    </row>
    <row r="521">
      <c r="A521" s="4" t="inlineStr">
        <is>
          <t xml:space="preserve">Q16</t>
        </is>
      </c>
      <c r="B521" s="4" t="inlineStr">
        <is>
          <t xml:space="preserve">Q16</t>
        </is>
      </c>
      <c r="C521" s="4" t="inlineStr">
        <is>
          <t xml:space="preserve">COUNTIFS('[1]2026 Exist New'!$U$9:$U$50,"Yes",'[1]2026 Exist New'!$E$9:$E$50,"SlipLift",'[1]2026 Exist New'!$I$9:$I$50,"&gt;"&amp;EOMONTH(Q$4,-1),'[1]2026 Exist New'!$I$9:$I$50,"&lt;="&amp;Q$4)+[1]Deploy!S36+[1]Deploy!S41</t>
        </is>
      </c>
      <c r="D521" s="5">
        <v>10</v>
      </c>
    </row>
    <row r="522">
      <c r="A522" s="4" t="inlineStr">
        <is>
          <t xml:space="preserve">R16</t>
        </is>
      </c>
      <c r="B522" s="4" t="inlineStr">
        <is>
          <t xml:space="preserve">R16</t>
        </is>
      </c>
      <c r="C522" s="4" t="inlineStr">
        <is>
          <t xml:space="preserve">COUNTIFS('[1]2026 Exist New'!$U$9:$U$50,"Yes",'[1]2026 Exist New'!$E$9:$E$50,"SlipLift",'[1]2026 Exist New'!$I$9:$I$50,"&gt;"&amp;EOMONTH($F$4,-1),'[1]2026 Exist New'!$I$9:$I$50,"&lt;="&amp;$Q$4)+[1]Deploy!U36+[1]Deploy!U41</t>
        </is>
      </c>
      <c r="D522" s="5">
        <v>67</v>
      </c>
    </row>
    <row r="523">
      <c r="A523" s="4" t="inlineStr">
        <is>
          <t xml:space="preserve">B17</t>
        </is>
      </c>
      <c r="B523" s="4" t="inlineStr">
        <is>
          <t xml:space="preserve">B17</t>
        </is>
      </c>
      <c r="C523" s="4" t="inlineStr">
        <is>
          <t xml:space="preserve">COUNTIFS('[1]2026 Exist New'!$U$9:$U$50,"Yes",'[1]2026 Exist New'!$E$9:$E$50,"SlipBot",'[1]2026 Exist New'!$I$9:$I$50,"&gt;"&amp;EOMONTH(B$4,-1),'[1]2026 Exist New'!$I$9:$I$50,"&lt;="&amp;B$4)</t>
        </is>
      </c>
      <c r="D523" s="5">
        <v>0</v>
      </c>
    </row>
    <row r="524">
      <c r="A524" s="4" t="inlineStr">
        <is>
          <t xml:space="preserve">C17</t>
        </is>
      </c>
      <c r="B524" s="4" t="inlineStr">
        <is>
          <t xml:space="preserve">C17</t>
        </is>
      </c>
      <c r="C524" s="4" t="inlineStr">
        <is>
          <t xml:space="preserve">COUNTIFS('[1]2026 Exist New'!$U$9:$U$50,"Yes",'[1]2026 Exist New'!$E$9:$E$50,"SlipBot",'[1]2026 Exist New'!$I$9:$I$50,"&gt;"&amp;EOMONTH(C$4,-1),'[1]2026 Exist New'!$I$9:$I$50,"&lt;="&amp;C$4)</t>
        </is>
      </c>
      <c r="D524" s="5">
        <v>0</v>
      </c>
    </row>
    <row r="525">
      <c r="A525" s="4" t="inlineStr">
        <is>
          <t xml:space="preserve">D17</t>
        </is>
      </c>
      <c r="B525" s="4" t="inlineStr">
        <is>
          <t xml:space="preserve">D17</t>
        </is>
      </c>
      <c r="C525" s="4" t="inlineStr">
        <is>
          <t xml:space="preserve">COUNTIFS('[1]2026 Exist New'!$U$9:$U$50,"Yes",'[1]2026 Exist New'!$E$9:$E$50,"SlipBot",'[1]2026 Exist New'!$I$9:$I$50,"&gt;"&amp;EOMONTH(D$4,-1),'[1]2026 Exist New'!$I$9:$I$50,"&lt;="&amp;D$4)</t>
        </is>
      </c>
      <c r="D525" s="5">
        <v>0</v>
      </c>
    </row>
    <row r="526">
      <c r="A526" s="4" t="inlineStr">
        <is>
          <t xml:space="preserve">E17</t>
        </is>
      </c>
      <c r="B526" s="4" t="inlineStr">
        <is>
          <t xml:space="preserve">E17</t>
        </is>
      </c>
      <c r="C526" s="4" t="inlineStr">
        <is>
          <t xml:space="preserve">COUNTIFS('[1]2026 Exist New'!$U$9:$U$50,"Yes",'[1]2026 Exist New'!$E$9:$E$50,"SlipBot",'[1]2026 Exist New'!$I$9:$I$50,"&gt;"&amp;EOMONTH(E$4,-1),'[1]2026 Exist New'!$I$9:$I$50,"&lt;="&amp;E$4)</t>
        </is>
      </c>
      <c r="D526" s="5">
        <v>0</v>
      </c>
    </row>
    <row r="527">
      <c r="A527" s="4" t="inlineStr">
        <is>
          <t xml:space="preserve">F17</t>
        </is>
      </c>
      <c r="B527" s="4" t="inlineStr">
        <is>
          <t xml:space="preserve">F17</t>
        </is>
      </c>
      <c r="C527" s="4" t="inlineStr">
        <is>
          <t xml:space="preserve">COUNTIFS('[1]2026 Exist New'!$U$9:$U$50,"Yes",'[1]2026 Exist New'!$E$9:$E$50,"SlipBot",'[1]2026 Exist New'!$I$9:$I$50,"&gt;"&amp;EOMONTH(F$4,-1),'[1]2026 Exist New'!$I$9:$I$50,"&lt;="&amp;F$4)</t>
        </is>
      </c>
      <c r="D527" s="5">
        <v>0</v>
      </c>
    </row>
    <row r="528">
      <c r="A528" s="4" t="inlineStr">
        <is>
          <t xml:space="preserve">G17</t>
        </is>
      </c>
      <c r="B528" s="4" t="inlineStr">
        <is>
          <t xml:space="preserve">G17</t>
        </is>
      </c>
      <c r="C528" s="4" t="inlineStr">
        <is>
          <t xml:space="preserve">COUNTIFS('[1]2026 Exist New'!$U$9:$U$50,"Yes",'[1]2026 Exist New'!$E$9:$E$50,"SlipBot",'[1]2026 Exist New'!$I$9:$I$50,"&gt;"&amp;EOMONTH(G$4,-1),'[1]2026 Exist New'!$I$9:$I$50,"&lt;="&amp;G$4)</t>
        </is>
      </c>
      <c r="D528" s="5">
        <v>0</v>
      </c>
    </row>
    <row r="529">
      <c r="A529" s="4" t="inlineStr">
        <is>
          <t xml:space="preserve">H17</t>
        </is>
      </c>
      <c r="B529" s="4" t="inlineStr">
        <is>
          <t xml:space="preserve">H17</t>
        </is>
      </c>
      <c r="C529" s="4" t="inlineStr">
        <is>
          <t xml:space="preserve">COUNTIFS('[1]2026 Exist New'!$U$9:$U$50,"Yes",'[1]2026 Exist New'!$E$9:$E$50,"SlipBot",'[1]2026 Exist New'!$I$9:$I$50,"&gt;"&amp;EOMONTH(H$4,-1),'[1]2026 Exist New'!$I$9:$I$50,"&lt;="&amp;H$4)</t>
        </is>
      </c>
      <c r="D529" s="5">
        <v>0</v>
      </c>
    </row>
    <row r="530">
      <c r="A530" s="4" t="inlineStr">
        <is>
          <t xml:space="preserve">I17</t>
        </is>
      </c>
      <c r="B530" s="4" t="inlineStr">
        <is>
          <t xml:space="preserve">I17</t>
        </is>
      </c>
      <c r="C530" s="4" t="inlineStr">
        <is>
          <t xml:space="preserve">COUNTIFS('[1]2026 Exist New'!$U$9:$U$50,"Yes",'[1]2026 Exist New'!$E$9:$E$50,"SlipBot",'[1]2026 Exist New'!$I$9:$I$50,"&gt;"&amp;EOMONTH(I$4,-1),'[1]2026 Exist New'!$I$9:$I$50,"&lt;="&amp;I$4)</t>
        </is>
      </c>
      <c r="D530" s="5">
        <v>0</v>
      </c>
    </row>
    <row r="531">
      <c r="A531" s="4" t="inlineStr">
        <is>
          <t xml:space="preserve">J17</t>
        </is>
      </c>
      <c r="B531" s="4" t="inlineStr">
        <is>
          <t xml:space="preserve">J17</t>
        </is>
      </c>
      <c r="C531" s="4" t="inlineStr">
        <is>
          <t xml:space="preserve">COUNTIFS('[1]2026 Exist New'!$U$9:$U$50,"Yes",'[1]2026 Exist New'!$E$9:$E$50,"SlipBot",'[1]2026 Exist New'!$I$9:$I$50,"&gt;"&amp;EOMONTH(J$4,-1),'[1]2026 Exist New'!$I$9:$I$50,"&lt;="&amp;J$4)</t>
        </is>
      </c>
      <c r="D531" s="5">
        <v>0</v>
      </c>
    </row>
    <row r="532">
      <c r="A532" s="4" t="inlineStr">
        <is>
          <t xml:space="preserve">K17</t>
        </is>
      </c>
      <c r="B532" s="4" t="inlineStr">
        <is>
          <t xml:space="preserve">K17</t>
        </is>
      </c>
      <c r="C532" s="4" t="inlineStr">
        <is>
          <t xml:space="preserve">COUNTIFS('[1]2026 Exist New'!$U$9:$U$50,"Yes",'[1]2026 Exist New'!$E$9:$E$50,"SlipBot",'[1]2026 Exist New'!$I$9:$I$50,"&gt;"&amp;EOMONTH(K$4,-1),'[1]2026 Exist New'!$I$9:$I$50,"&lt;="&amp;K$4)</t>
        </is>
      </c>
      <c r="D532" s="5">
        <v>0</v>
      </c>
    </row>
    <row r="533">
      <c r="A533" s="4" t="inlineStr">
        <is>
          <t xml:space="preserve">L17</t>
        </is>
      </c>
      <c r="B533" s="4" t="inlineStr">
        <is>
          <t xml:space="preserve">L17</t>
        </is>
      </c>
      <c r="C533" s="4" t="inlineStr">
        <is>
          <t xml:space="preserve">COUNTIFS('[1]2026 Exist New'!$U$9:$U$50,"Yes",'[1]2026 Exist New'!$E$9:$E$50,"SlipBot",'[1]2026 Exist New'!$I$9:$I$50,"&gt;"&amp;EOMONTH(L$4,-1),'[1]2026 Exist New'!$I$9:$I$50,"&lt;="&amp;L$4)</t>
        </is>
      </c>
      <c r="D533" s="5">
        <v>0</v>
      </c>
    </row>
    <row r="534">
      <c r="A534" s="4" t="inlineStr">
        <is>
          <t xml:space="preserve">M17</t>
        </is>
      </c>
      <c r="B534" s="4" t="inlineStr">
        <is>
          <t xml:space="preserve">M17</t>
        </is>
      </c>
      <c r="C534" s="4" t="inlineStr">
        <is>
          <t xml:space="preserve">COUNTIFS('[1]2026 Exist New'!$U$9:$U$50,"Yes",'[1]2026 Exist New'!$E$9:$E$50,"SlipBot",'[1]2026 Exist New'!$I$9:$I$50,"&gt;"&amp;EOMONTH(M$4,-1),'[1]2026 Exist New'!$I$9:$I$50,"&lt;="&amp;M$4)</t>
        </is>
      </c>
      <c r="D534" s="5">
        <v>0</v>
      </c>
    </row>
    <row r="535">
      <c r="A535" s="4" t="inlineStr">
        <is>
          <t xml:space="preserve">N17</t>
        </is>
      </c>
      <c r="B535" s="4" t="inlineStr">
        <is>
          <t xml:space="preserve">N17</t>
        </is>
      </c>
      <c r="C535" s="4" t="inlineStr">
        <is>
          <t xml:space="preserve">COUNTIFS('[1]2026 Exist New'!$U$9:$U$50,"Yes",'[1]2026 Exist New'!$E$9:$E$50,"SlipBot",'[1]2026 Exist New'!$I$9:$I$50,"&gt;"&amp;EOMONTH(N$4,-1),'[1]2026 Exist New'!$I$9:$I$50,"&lt;="&amp;N$4)</t>
        </is>
      </c>
      <c r="D535" s="5">
        <v>0</v>
      </c>
    </row>
    <row r="536">
      <c r="A536" s="4" t="inlineStr">
        <is>
          <t xml:space="preserve">O17</t>
        </is>
      </c>
      <c r="B536" s="4" t="inlineStr">
        <is>
          <t xml:space="preserve">O17</t>
        </is>
      </c>
      <c r="C536" s="4" t="inlineStr">
        <is>
          <t xml:space="preserve">COUNTIFS('[1]2026 Exist New'!$U$9:$U$50,"Yes",'[1]2026 Exist New'!$E$9:$E$50,"SlipBot",'[1]2026 Exist New'!$I$9:$I$50,"&gt;"&amp;EOMONTH(O$4,-1),'[1]2026 Exist New'!$I$9:$I$50,"&lt;="&amp;O$4)</t>
        </is>
      </c>
      <c r="D536" s="5">
        <v>0</v>
      </c>
    </row>
    <row r="537">
      <c r="A537" s="4" t="inlineStr">
        <is>
          <t xml:space="preserve">P17</t>
        </is>
      </c>
      <c r="B537" s="4" t="inlineStr">
        <is>
          <t xml:space="preserve">P17</t>
        </is>
      </c>
      <c r="C537" s="4" t="inlineStr">
        <is>
          <t xml:space="preserve">COUNTIFS('[1]2026 Exist New'!$U$9:$U$50,"Yes",'[1]2026 Exist New'!$E$9:$E$50,"SlipBot",'[1]2026 Exist New'!$I$9:$I$50,"&gt;"&amp;EOMONTH(P$4,-1),'[1]2026 Exist New'!$I$9:$I$50,"&lt;="&amp;P$4)</t>
        </is>
      </c>
      <c r="D537" s="5">
        <v>0</v>
      </c>
    </row>
    <row r="538">
      <c r="A538" s="4" t="inlineStr">
        <is>
          <t xml:space="preserve">Q17</t>
        </is>
      </c>
      <c r="B538" s="4" t="inlineStr">
        <is>
          <t xml:space="preserve">Q17</t>
        </is>
      </c>
      <c r="C538" s="4" t="inlineStr">
        <is>
          <t xml:space="preserve">COUNTIFS('[1]2026 Exist New'!$U$9:$U$50,"Yes",'[1]2026 Exist New'!$E$9:$E$50,"SlipBot",'[1]2026 Exist New'!$I$9:$I$50,"&gt;"&amp;EOMONTH(Q$4,-1),'[1]2026 Exist New'!$I$9:$I$50,"&lt;="&amp;Q$4)</t>
        </is>
      </c>
      <c r="D538" s="5">
        <v>0</v>
      </c>
    </row>
    <row r="539">
      <c r="A539" s="4" t="inlineStr">
        <is>
          <t xml:space="preserve">R17</t>
        </is>
      </c>
      <c r="B539" s="4" t="inlineStr">
        <is>
          <t xml:space="preserve">R17</t>
        </is>
      </c>
      <c r="C539" s="4" t="inlineStr">
        <is>
          <t xml:space="preserve">COUNTIFS('[1]2026 Exist New'!$U$9:$U$50,"Yes",'[1]2026 Exist New'!$E$9:$E$50,"SlipBot",'[1]2026 Exist New'!$I$9:$I$50,"&gt;"&amp;EOMONTH($F$4,-1),'[1]2026 Exist New'!$I$9:$I$50,"&lt;="&amp;$Q$4)</t>
        </is>
      </c>
      <c r="D539" s="5">
        <v>0</v>
      </c>
    </row>
    <row r="540">
      <c r="A540" s="4" t="inlineStr">
        <is>
          <t xml:space="preserve">B19</t>
        </is>
      </c>
      <c r="B540" s="4" t="inlineStr">
        <is>
          <t xml:space="preserve">B19</t>
        </is>
      </c>
      <c r="C540" s="4" t="inlineStr">
        <is>
          <t xml:space="preserve">[1]Deploy!D47</t>
        </is>
      </c>
      <c r="D540" s="5">
        <v>0</v>
      </c>
    </row>
    <row r="541">
      <c r="A541" s="4" t="inlineStr">
        <is>
          <t xml:space="preserve">C19</t>
        </is>
      </c>
      <c r="B541" s="4" t="inlineStr">
        <is>
          <t xml:space="preserve">C19</t>
        </is>
      </c>
      <c r="C541" s="4" t="inlineStr">
        <is>
          <t xml:space="preserve">[1]Deploy!E47</t>
        </is>
      </c>
      <c r="D541" s="5">
        <v>9</v>
      </c>
    </row>
    <row r="542">
      <c r="A542" s="4" t="inlineStr">
        <is>
          <t xml:space="preserve">D19</t>
        </is>
      </c>
      <c r="B542" s="4" t="inlineStr">
        <is>
          <t xml:space="preserve">D19</t>
        </is>
      </c>
      <c r="C542" s="4" t="inlineStr">
        <is>
          <t xml:space="preserve">[1]Deploy!F47</t>
        </is>
      </c>
      <c r="D542" s="5">
        <v>9</v>
      </c>
    </row>
    <row r="543">
      <c r="A543" s="4" t="inlineStr">
        <is>
          <t xml:space="preserve">E19</t>
        </is>
      </c>
      <c r="B543" s="4" t="inlineStr">
        <is>
          <t xml:space="preserve">E19</t>
        </is>
      </c>
      <c r="C543" s="4" t="inlineStr">
        <is>
          <t xml:space="preserve">[1]Deploy!G47</t>
        </is>
      </c>
      <c r="D543" s="5">
        <v>0</v>
      </c>
    </row>
    <row r="544">
      <c r="A544" s="4" t="inlineStr">
        <is>
          <t xml:space="preserve">F19</t>
        </is>
      </c>
      <c r="B544" s="4" t="inlineStr">
        <is>
          <t xml:space="preserve">F19</t>
        </is>
      </c>
      <c r="C544" s="4" t="inlineStr">
        <is>
          <t xml:space="preserve">[1]Deploy!H47</t>
        </is>
      </c>
      <c r="D544" s="5">
        <v>20</v>
      </c>
    </row>
    <row r="545">
      <c r="A545" s="4" t="inlineStr">
        <is>
          <t xml:space="preserve">G19</t>
        </is>
      </c>
      <c r="B545" s="4" t="inlineStr">
        <is>
          <t xml:space="preserve">G19</t>
        </is>
      </c>
      <c r="C545" s="4" t="inlineStr">
        <is>
          <t xml:space="preserve">[1]Deploy!I47</t>
        </is>
      </c>
      <c r="D545" s="5">
        <v>8</v>
      </c>
    </row>
    <row r="546">
      <c r="A546" s="4" t="inlineStr">
        <is>
          <t xml:space="preserve">H19</t>
        </is>
      </c>
      <c r="B546" s="4" t="inlineStr">
        <is>
          <t xml:space="preserve">H19</t>
        </is>
      </c>
      <c r="C546" s="4" t="inlineStr">
        <is>
          <t xml:space="preserve">[1]Deploy!J47</t>
        </is>
      </c>
      <c r="D546" s="5">
        <v>0</v>
      </c>
    </row>
    <row r="547">
      <c r="A547" s="4" t="inlineStr">
        <is>
          <t xml:space="preserve">I19</t>
        </is>
      </c>
      <c r="B547" s="4" t="inlineStr">
        <is>
          <t xml:space="preserve">I19</t>
        </is>
      </c>
      <c r="C547" s="4" t="inlineStr">
        <is>
          <t xml:space="preserve">[1]Deploy!K47</t>
        </is>
      </c>
      <c r="D547" s="5">
        <v>22</v>
      </c>
    </row>
    <row r="548">
      <c r="A548" s="4" t="inlineStr">
        <is>
          <t xml:space="preserve">J19</t>
        </is>
      </c>
      <c r="B548" s="4" t="inlineStr">
        <is>
          <t xml:space="preserve">J19</t>
        </is>
      </c>
      <c r="C548" s="4" t="inlineStr">
        <is>
          <t xml:space="preserve">[1]Deploy!L47</t>
        </is>
      </c>
      <c r="D548" s="5">
        <v>14</v>
      </c>
    </row>
    <row r="549">
      <c r="A549" s="4" t="inlineStr">
        <is>
          <t xml:space="preserve">K19</t>
        </is>
      </c>
      <c r="B549" s="4" t="inlineStr">
        <is>
          <t xml:space="preserve">K19</t>
        </is>
      </c>
      <c r="C549" s="4" t="inlineStr">
        <is>
          <t xml:space="preserve">[1]Deploy!M47</t>
        </is>
      </c>
      <c r="D549" s="5">
        <v>20</v>
      </c>
    </row>
    <row r="550">
      <c r="A550" s="4" t="inlineStr">
        <is>
          <t xml:space="preserve">L19</t>
        </is>
      </c>
      <c r="B550" s="4" t="inlineStr">
        <is>
          <t xml:space="preserve">L19</t>
        </is>
      </c>
      <c r="C550" s="4" t="inlineStr">
        <is>
          <t xml:space="preserve">[1]Deploy!N47</t>
        </is>
      </c>
      <c r="D550" s="5">
        <v>18</v>
      </c>
    </row>
    <row r="551">
      <c r="A551" s="4" t="inlineStr">
        <is>
          <t xml:space="preserve">M19</t>
        </is>
      </c>
      <c r="B551" s="4" t="inlineStr">
        <is>
          <t xml:space="preserve">M19</t>
        </is>
      </c>
      <c r="C551" s="4" t="inlineStr">
        <is>
          <t xml:space="preserve">[1]Deploy!O47</t>
        </is>
      </c>
      <c r="D551" s="5">
        <v>22</v>
      </c>
    </row>
    <row r="552">
      <c r="A552" s="4" t="inlineStr">
        <is>
          <t xml:space="preserve">N19</t>
        </is>
      </c>
      <c r="B552" s="4" t="inlineStr">
        <is>
          <t xml:space="preserve">N19</t>
        </is>
      </c>
      <c r="C552" s="4" t="inlineStr">
        <is>
          <t xml:space="preserve">[1]Deploy!P47</t>
        </is>
      </c>
      <c r="D552" s="5">
        <v>28</v>
      </c>
    </row>
    <row r="553">
      <c r="A553" s="4" t="inlineStr">
        <is>
          <t xml:space="preserve">O19</t>
        </is>
      </c>
      <c r="B553" s="4" t="inlineStr">
        <is>
          <t xml:space="preserve">O19</t>
        </is>
      </c>
      <c r="C553" s="4" t="inlineStr">
        <is>
          <t xml:space="preserve">[1]Deploy!Q47</t>
        </is>
      </c>
      <c r="D553" s="5">
        <v>28</v>
      </c>
    </row>
    <row r="554">
      <c r="A554" s="4" t="inlineStr">
        <is>
          <t xml:space="preserve">P19</t>
        </is>
      </c>
      <c r="B554" s="4" t="inlineStr">
        <is>
          <t xml:space="preserve">P19</t>
        </is>
      </c>
      <c r="C554" s="4" t="inlineStr">
        <is>
          <t xml:space="preserve">[1]Deploy!R47</t>
        </is>
      </c>
      <c r="D554" s="5">
        <v>34</v>
      </c>
    </row>
    <row r="555">
      <c r="A555" s="4" t="inlineStr">
        <is>
          <t xml:space="preserve">Q19</t>
        </is>
      </c>
      <c r="B555" s="4" t="inlineStr">
        <is>
          <t xml:space="preserve">Q19</t>
        </is>
      </c>
      <c r="C555" s="4" t="inlineStr">
        <is>
          <t xml:space="preserve">[1]Deploy!S47</t>
        </is>
      </c>
      <c r="D555" s="5">
        <v>36</v>
      </c>
    </row>
    <row r="556">
      <c r="A556" s="4" t="inlineStr">
        <is>
          <t xml:space="preserve">R19</t>
        </is>
      </c>
      <c r="B556" s="4" t="inlineStr">
        <is>
          <t xml:space="preserve">R19</t>
        </is>
      </c>
      <c r="C556" s="4" t="inlineStr">
        <is>
          <t xml:space="preserve">[1]Deploy!U47</t>
        </is>
      </c>
      <c r="D556" s="5">
        <v>250</v>
      </c>
    </row>
    <row r="557">
      <c r="A557" s="4" t="inlineStr">
        <is>
          <t xml:space="preserve">B20</t>
        </is>
      </c>
      <c r="B557" s="4" t="inlineStr">
        <is>
          <t xml:space="preserve">B20</t>
        </is>
      </c>
      <c r="C557" s="4" t="inlineStr">
        <is>
          <t xml:space="preserve">[1]Deploy!D48</t>
        </is>
      </c>
      <c r="D557" s="5">
        <v>0</v>
      </c>
    </row>
    <row r="558">
      <c r="A558" s="4" t="inlineStr">
        <is>
          <t xml:space="preserve">C20</t>
        </is>
      </c>
      <c r="B558" s="4" t="inlineStr">
        <is>
          <t xml:space="preserve">C20</t>
        </is>
      </c>
      <c r="C558" s="4" t="inlineStr">
        <is>
          <t xml:space="preserve">[1]Deploy!E48</t>
        </is>
      </c>
      <c r="D558" s="5">
        <v>35</v>
      </c>
    </row>
    <row r="559">
      <c r="A559" s="4" t="inlineStr">
        <is>
          <t xml:space="preserve">D20</t>
        </is>
      </c>
      <c r="B559" s="4" t="inlineStr">
        <is>
          <t xml:space="preserve">D20</t>
        </is>
      </c>
      <c r="C559" s="4" t="inlineStr">
        <is>
          <t xml:space="preserve">[1]Deploy!F48</t>
        </is>
      </c>
      <c r="D559" s="5">
        <v>32</v>
      </c>
    </row>
    <row r="560">
      <c r="A560" s="4" t="inlineStr">
        <is>
          <t xml:space="preserve">E20</t>
        </is>
      </c>
      <c r="B560" s="4" t="inlineStr">
        <is>
          <t xml:space="preserve">E20</t>
        </is>
      </c>
      <c r="C560" s="4" t="inlineStr">
        <is>
          <t xml:space="preserve">[1]Deploy!G48</t>
        </is>
      </c>
      <c r="D560" s="5">
        <v>0</v>
      </c>
    </row>
    <row r="561">
      <c r="A561" s="4" t="inlineStr">
        <is>
          <t xml:space="preserve">F20</t>
        </is>
      </c>
      <c r="B561" s="4" t="inlineStr">
        <is>
          <t xml:space="preserve">F20</t>
        </is>
      </c>
      <c r="C561" s="4" t="inlineStr">
        <is>
          <t xml:space="preserve">[1]Deploy!H48</t>
        </is>
      </c>
      <c r="D561" s="5">
        <v>60</v>
      </c>
    </row>
    <row r="562">
      <c r="A562" s="4" t="inlineStr">
        <is>
          <t xml:space="preserve">G20</t>
        </is>
      </c>
      <c r="B562" s="4" t="inlineStr">
        <is>
          <t xml:space="preserve">G20</t>
        </is>
      </c>
      <c r="C562" s="4" t="inlineStr">
        <is>
          <t xml:space="preserve">[1]Deploy!I48</t>
        </is>
      </c>
      <c r="D562" s="5">
        <v>24</v>
      </c>
    </row>
    <row r="563">
      <c r="A563" s="4" t="inlineStr">
        <is>
          <t xml:space="preserve">H20</t>
        </is>
      </c>
      <c r="B563" s="4" t="inlineStr">
        <is>
          <t xml:space="preserve">H20</t>
        </is>
      </c>
      <c r="C563" s="4" t="inlineStr">
        <is>
          <t xml:space="preserve">[1]Deploy!J48</t>
        </is>
      </c>
      <c r="D563" s="5">
        <v>0</v>
      </c>
    </row>
    <row r="564">
      <c r="A564" s="4" t="inlineStr">
        <is>
          <t xml:space="preserve">I20</t>
        </is>
      </c>
      <c r="B564" s="4" t="inlineStr">
        <is>
          <t xml:space="preserve">I20</t>
        </is>
      </c>
      <c r="C564" s="4" t="inlineStr">
        <is>
          <t xml:space="preserve">[1]Deploy!K48</t>
        </is>
      </c>
      <c r="D564" s="5">
        <v>86</v>
      </c>
    </row>
    <row r="565">
      <c r="A565" s="4" t="inlineStr">
        <is>
          <t xml:space="preserve">J20</t>
        </is>
      </c>
      <c r="B565" s="4" t="inlineStr">
        <is>
          <t xml:space="preserve">J20</t>
        </is>
      </c>
      <c r="C565" s="4" t="inlineStr">
        <is>
          <t xml:space="preserve">[1]Deploy!L48</t>
        </is>
      </c>
      <c r="D565" s="5">
        <v>61</v>
      </c>
    </row>
    <row r="566">
      <c r="A566" s="4" t="inlineStr">
        <is>
          <t xml:space="preserve">K20</t>
        </is>
      </c>
      <c r="B566" s="4" t="inlineStr">
        <is>
          <t xml:space="preserve">K20</t>
        </is>
      </c>
      <c r="C566" s="4" t="inlineStr">
        <is>
          <t xml:space="preserve">[1]Deploy!M48</t>
        </is>
      </c>
      <c r="D566" s="5">
        <v>98</v>
      </c>
    </row>
    <row r="567">
      <c r="A567" s="4" t="inlineStr">
        <is>
          <t xml:space="preserve">L20</t>
        </is>
      </c>
      <c r="B567" s="4" t="inlineStr">
        <is>
          <t xml:space="preserve">L20</t>
        </is>
      </c>
      <c r="C567" s="4" t="inlineStr">
        <is>
          <t xml:space="preserve">[1]Deploy!N48</t>
        </is>
      </c>
      <c r="D567" s="5">
        <v>73</v>
      </c>
    </row>
    <row r="568">
      <c r="A568" s="4" t="inlineStr">
        <is>
          <t xml:space="preserve">M20</t>
        </is>
      </c>
      <c r="B568" s="4" t="inlineStr">
        <is>
          <t xml:space="preserve">M20</t>
        </is>
      </c>
      <c r="C568" s="4" t="inlineStr">
        <is>
          <t xml:space="preserve">[1]Deploy!O48</t>
        </is>
      </c>
      <c r="D568" s="5">
        <v>85</v>
      </c>
    </row>
    <row r="569">
      <c r="A569" s="4" t="inlineStr">
        <is>
          <t xml:space="preserve">N20</t>
        </is>
      </c>
      <c r="B569" s="4" t="inlineStr">
        <is>
          <t xml:space="preserve">N20</t>
        </is>
      </c>
      <c r="C569" s="4" t="inlineStr">
        <is>
          <t xml:space="preserve">[1]Deploy!P48</t>
        </is>
      </c>
      <c r="D569" s="5">
        <v>122</v>
      </c>
    </row>
    <row r="570">
      <c r="A570" s="4" t="inlineStr">
        <is>
          <t xml:space="preserve">O20</t>
        </is>
      </c>
      <c r="B570" s="4" t="inlineStr">
        <is>
          <t xml:space="preserve">O20</t>
        </is>
      </c>
      <c r="C570" s="4" t="inlineStr">
        <is>
          <t xml:space="preserve">[1]Deploy!Q48</t>
        </is>
      </c>
      <c r="D570" s="5">
        <v>122</v>
      </c>
    </row>
    <row r="571">
      <c r="A571" s="4" t="inlineStr">
        <is>
          <t xml:space="preserve">P20</t>
        </is>
      </c>
      <c r="B571" s="4" t="inlineStr">
        <is>
          <t xml:space="preserve">P20</t>
        </is>
      </c>
      <c r="C571" s="4" t="inlineStr">
        <is>
          <t xml:space="preserve">[1]Deploy!R48</t>
        </is>
      </c>
      <c r="D571" s="5">
        <v>159</v>
      </c>
    </row>
    <row r="572">
      <c r="A572" s="4" t="inlineStr">
        <is>
          <t xml:space="preserve">Q20</t>
        </is>
      </c>
      <c r="B572" s="4" t="inlineStr">
        <is>
          <t xml:space="preserve">Q20</t>
        </is>
      </c>
      <c r="C572" s="4" t="inlineStr">
        <is>
          <t xml:space="preserve">[1]Deploy!S48</t>
        </is>
      </c>
      <c r="D572" s="5">
        <v>146</v>
      </c>
    </row>
    <row r="573">
      <c r="A573" s="4" t="inlineStr">
        <is>
          <t xml:space="preserve">R20</t>
        </is>
      </c>
      <c r="B573" s="4" t="inlineStr">
        <is>
          <t xml:space="preserve">R20</t>
        </is>
      </c>
      <c r="C573" s="4" t="inlineStr">
        <is>
          <t xml:space="preserve">[1]Deploy!U48</t>
        </is>
      </c>
      <c r="D573" s="5">
        <v>1036</v>
      </c>
    </row>
    <row r="574">
      <c r="A574" s="4" t="inlineStr">
        <is>
          <t xml:space="preserve">B21</t>
        </is>
      </c>
      <c r="B574" s="4" t="inlineStr">
        <is>
          <t xml:space="preserve">B21</t>
        </is>
      </c>
      <c r="C574" s="4" t="inlineStr">
        <is>
          <t xml:space="preserve">[1]Deploy!D49</t>
        </is>
      </c>
      <c r="D574" s="5">
        <v>0</v>
      </c>
    </row>
    <row r="575">
      <c r="A575" s="4" t="inlineStr">
        <is>
          <t xml:space="preserve">C21</t>
        </is>
      </c>
      <c r="B575" s="4" t="inlineStr">
        <is>
          <t xml:space="preserve">C21</t>
        </is>
      </c>
      <c r="C575" s="4" t="inlineStr">
        <is>
          <t xml:space="preserve">[1]Deploy!E49</t>
        </is>
      </c>
      <c r="D575" s="5">
        <v>0</v>
      </c>
    </row>
    <row r="576">
      <c r="A576" s="4" t="inlineStr">
        <is>
          <t xml:space="preserve">D21</t>
        </is>
      </c>
      <c r="B576" s="4" t="inlineStr">
        <is>
          <t xml:space="preserve">D21</t>
        </is>
      </c>
      <c r="C576" s="4" t="inlineStr">
        <is>
          <t xml:space="preserve">[1]Deploy!F49</t>
        </is>
      </c>
      <c r="D576" s="5">
        <v>0</v>
      </c>
    </row>
    <row r="577">
      <c r="A577" s="4" t="inlineStr">
        <is>
          <t xml:space="preserve">E21</t>
        </is>
      </c>
      <c r="B577" s="4" t="inlineStr">
        <is>
          <t xml:space="preserve">E21</t>
        </is>
      </c>
      <c r="C577" s="4" t="inlineStr">
        <is>
          <t xml:space="preserve">[1]Deploy!G49</t>
        </is>
      </c>
      <c r="D577" s="5">
        <v>0</v>
      </c>
    </row>
    <row r="578">
      <c r="A578" s="4" t="inlineStr">
        <is>
          <t xml:space="preserve">F21</t>
        </is>
      </c>
      <c r="B578" s="4" t="inlineStr">
        <is>
          <t xml:space="preserve">F21</t>
        </is>
      </c>
      <c r="C578" s="4" t="inlineStr">
        <is>
          <t xml:space="preserve">[1]Deploy!H49</t>
        </is>
      </c>
      <c r="D578" s="5">
        <v>0</v>
      </c>
    </row>
    <row r="579">
      <c r="A579" s="4" t="inlineStr">
        <is>
          <t xml:space="preserve">G21</t>
        </is>
      </c>
      <c r="B579" s="4" t="inlineStr">
        <is>
          <t xml:space="preserve">G21</t>
        </is>
      </c>
      <c r="C579" s="4" t="inlineStr">
        <is>
          <t xml:space="preserve">[1]Deploy!I49</t>
        </is>
      </c>
      <c r="D579" s="5">
        <v>0</v>
      </c>
    </row>
    <row r="580">
      <c r="A580" s="4" t="inlineStr">
        <is>
          <t xml:space="preserve">H21</t>
        </is>
      </c>
      <c r="B580" s="4" t="inlineStr">
        <is>
          <t xml:space="preserve">H21</t>
        </is>
      </c>
      <c r="C580" s="4" t="inlineStr">
        <is>
          <t xml:space="preserve">[1]Deploy!J49</t>
        </is>
      </c>
      <c r="D580" s="5">
        <v>0</v>
      </c>
    </row>
    <row r="581">
      <c r="A581" s="4" t="inlineStr">
        <is>
          <t xml:space="preserve">I21</t>
        </is>
      </c>
      <c r="B581" s="4" t="inlineStr">
        <is>
          <t xml:space="preserve">I21</t>
        </is>
      </c>
      <c r="C581" s="4" t="inlineStr">
        <is>
          <t xml:space="preserve">[1]Deploy!K49</t>
        </is>
      </c>
      <c r="D581" s="5">
        <v>0</v>
      </c>
    </row>
    <row r="582">
      <c r="A582" s="4" t="inlineStr">
        <is>
          <t xml:space="preserve">J21</t>
        </is>
      </c>
      <c r="B582" s="4" t="inlineStr">
        <is>
          <t xml:space="preserve">J21</t>
        </is>
      </c>
      <c r="C582" s="4" t="inlineStr">
        <is>
          <t xml:space="preserve">[1]Deploy!L49</t>
        </is>
      </c>
      <c r="D582" s="5">
        <v>0</v>
      </c>
    </row>
    <row r="583">
      <c r="A583" s="4" t="inlineStr">
        <is>
          <t xml:space="preserve">K21</t>
        </is>
      </c>
      <c r="B583" s="4" t="inlineStr">
        <is>
          <t xml:space="preserve">K21</t>
        </is>
      </c>
      <c r="C583" s="4" t="inlineStr">
        <is>
          <t xml:space="preserve">[1]Deploy!M49</t>
        </is>
      </c>
      <c r="D583" s="5">
        <v>0</v>
      </c>
    </row>
    <row r="584">
      <c r="A584" s="4" t="inlineStr">
        <is>
          <t xml:space="preserve">L21</t>
        </is>
      </c>
      <c r="B584" s="4" t="inlineStr">
        <is>
          <t xml:space="preserve">L21</t>
        </is>
      </c>
      <c r="C584" s="4" t="inlineStr">
        <is>
          <t xml:space="preserve">[1]Deploy!N49</t>
        </is>
      </c>
      <c r="D584" s="5">
        <v>0</v>
      </c>
    </row>
    <row r="585">
      <c r="A585" s="4" t="inlineStr">
        <is>
          <t xml:space="preserve">M21</t>
        </is>
      </c>
      <c r="B585" s="4" t="inlineStr">
        <is>
          <t xml:space="preserve">M21</t>
        </is>
      </c>
      <c r="C585" s="4" t="inlineStr">
        <is>
          <t xml:space="preserve">[1]Deploy!O49</t>
        </is>
      </c>
      <c r="D585" s="5">
        <v>0</v>
      </c>
    </row>
    <row r="586">
      <c r="A586" s="4" t="inlineStr">
        <is>
          <t xml:space="preserve">N21</t>
        </is>
      </c>
      <c r="B586" s="4" t="inlineStr">
        <is>
          <t xml:space="preserve">N21</t>
        </is>
      </c>
      <c r="C586" s="4" t="inlineStr">
        <is>
          <t xml:space="preserve">[1]Deploy!P49</t>
        </is>
      </c>
      <c r="D586" s="5">
        <v>0</v>
      </c>
    </row>
    <row r="587">
      <c r="A587" s="4" t="inlineStr">
        <is>
          <t xml:space="preserve">O21</t>
        </is>
      </c>
      <c r="B587" s="4" t="inlineStr">
        <is>
          <t xml:space="preserve">O21</t>
        </is>
      </c>
      <c r="C587" s="4" t="inlineStr">
        <is>
          <t xml:space="preserve">[1]Deploy!Q49</t>
        </is>
      </c>
      <c r="D587" s="5">
        <v>0</v>
      </c>
    </row>
    <row r="588">
      <c r="A588" s="4" t="inlineStr">
        <is>
          <t xml:space="preserve">P21</t>
        </is>
      </c>
      <c r="B588" s="4" t="inlineStr">
        <is>
          <t xml:space="preserve">P21</t>
        </is>
      </c>
      <c r="C588" s="4" t="inlineStr">
        <is>
          <t xml:space="preserve">[1]Deploy!R49</t>
        </is>
      </c>
      <c r="D588" s="5">
        <v>0</v>
      </c>
    </row>
    <row r="589">
      <c r="A589" s="4" t="inlineStr">
        <is>
          <t xml:space="preserve">Q21</t>
        </is>
      </c>
      <c r="B589" s="4" t="inlineStr">
        <is>
          <t xml:space="preserve">Q21</t>
        </is>
      </c>
      <c r="C589" s="4" t="inlineStr">
        <is>
          <t xml:space="preserve">[1]Deploy!S49</t>
        </is>
      </c>
      <c r="D589" s="5">
        <v>0</v>
      </c>
    </row>
    <row r="590">
      <c r="A590" s="4" t="inlineStr">
        <is>
          <t xml:space="preserve">R21</t>
        </is>
      </c>
      <c r="B590" s="4" t="inlineStr">
        <is>
          <t xml:space="preserve">R21</t>
        </is>
      </c>
      <c r="C590" s="4" t="inlineStr">
        <is>
          <t xml:space="preserve">[1]Deploy!U49</t>
        </is>
      </c>
      <c r="D590" s="5">
        <v>0</v>
      </c>
    </row>
    <row r="591">
      <c r="A591" s="4" t="inlineStr">
        <is>
          <t xml:space="preserve">B24</t>
        </is>
      </c>
      <c r="B591" s="4" t="inlineStr">
        <is>
          <t xml:space="preserve">B24</t>
        </is>
      </c>
      <c r="C591" s="4" t="inlineStr">
        <is>
          <t xml:space="preserve">[1]Deploy!D53</t>
        </is>
      </c>
      <c r="D591" s="5">
        <v>9</v>
      </c>
    </row>
    <row r="592">
      <c r="A592" s="4" t="inlineStr">
        <is>
          <t xml:space="preserve">C24</t>
        </is>
      </c>
      <c r="B592" s="4" t="inlineStr">
        <is>
          <t xml:space="preserve">C24</t>
        </is>
      </c>
      <c r="C592" s="4" t="inlineStr">
        <is>
          <t xml:space="preserve">[1]Deploy!E53</t>
        </is>
      </c>
      <c r="D592" s="5">
        <v>0</v>
      </c>
    </row>
    <row r="593">
      <c r="A593" s="4" t="inlineStr">
        <is>
          <t xml:space="preserve">D24</t>
        </is>
      </c>
      <c r="B593" s="4" t="inlineStr">
        <is>
          <t xml:space="preserve">D24</t>
        </is>
      </c>
      <c r="C593" s="4" t="inlineStr">
        <is>
          <t xml:space="preserve">[1]Deploy!F53</t>
        </is>
      </c>
      <c r="D593" s="5">
        <v>20</v>
      </c>
    </row>
    <row r="594">
      <c r="A594" s="4" t="inlineStr">
        <is>
          <t xml:space="preserve">E24</t>
        </is>
      </c>
      <c r="B594" s="4" t="inlineStr">
        <is>
          <t xml:space="preserve">E24</t>
        </is>
      </c>
      <c r="C594" s="4" t="inlineStr">
        <is>
          <t xml:space="preserve">[1]Deploy!G53</t>
        </is>
      </c>
      <c r="D594" s="5">
        <v>8</v>
      </c>
    </row>
    <row r="595">
      <c r="A595" s="4" t="inlineStr">
        <is>
          <t xml:space="preserve">F24</t>
        </is>
      </c>
      <c r="B595" s="4" t="inlineStr">
        <is>
          <t xml:space="preserve">F24</t>
        </is>
      </c>
      <c r="C595" s="4" t="inlineStr">
        <is>
          <t xml:space="preserve">[1]Deploy!H53</t>
        </is>
      </c>
      <c r="D595" s="5">
        <v>0</v>
      </c>
    </row>
    <row r="596">
      <c r="A596" s="4" t="inlineStr">
        <is>
          <t xml:space="preserve">G24</t>
        </is>
      </c>
      <c r="B596" s="4" t="inlineStr">
        <is>
          <t xml:space="preserve">G24</t>
        </is>
      </c>
      <c r="C596" s="4" t="inlineStr">
        <is>
          <t xml:space="preserve">[1]Deploy!I53</t>
        </is>
      </c>
      <c r="D596" s="5">
        <v>22</v>
      </c>
    </row>
    <row r="597">
      <c r="A597" s="4" t="inlineStr">
        <is>
          <t xml:space="preserve">H24</t>
        </is>
      </c>
      <c r="B597" s="4" t="inlineStr">
        <is>
          <t xml:space="preserve">H24</t>
        </is>
      </c>
      <c r="C597" s="4" t="inlineStr">
        <is>
          <t xml:space="preserve">[1]Deploy!J53</t>
        </is>
      </c>
      <c r="D597" s="5">
        <v>14</v>
      </c>
    </row>
    <row r="598">
      <c r="A598" s="4" t="inlineStr">
        <is>
          <t xml:space="preserve">I24</t>
        </is>
      </c>
      <c r="B598" s="4" t="inlineStr">
        <is>
          <t xml:space="preserve">I24</t>
        </is>
      </c>
      <c r="C598" s="4" t="inlineStr">
        <is>
          <t xml:space="preserve">[1]Deploy!K53</t>
        </is>
      </c>
      <c r="D598" s="5">
        <v>20</v>
      </c>
    </row>
    <row r="599">
      <c r="A599" s="4" t="inlineStr">
        <is>
          <t xml:space="preserve">J24</t>
        </is>
      </c>
      <c r="B599" s="4" t="inlineStr">
        <is>
          <t xml:space="preserve">J24</t>
        </is>
      </c>
      <c r="C599" s="4" t="inlineStr">
        <is>
          <t xml:space="preserve">[1]Deploy!L53</t>
        </is>
      </c>
      <c r="D599" s="5">
        <v>18</v>
      </c>
    </row>
    <row r="600">
      <c r="A600" s="4" t="inlineStr">
        <is>
          <t xml:space="preserve">K24</t>
        </is>
      </c>
      <c r="B600" s="4" t="inlineStr">
        <is>
          <t xml:space="preserve">K24</t>
        </is>
      </c>
      <c r="C600" s="4" t="inlineStr">
        <is>
          <t xml:space="preserve">[1]Deploy!M53</t>
        </is>
      </c>
      <c r="D600" s="5">
        <v>22</v>
      </c>
    </row>
    <row r="601">
      <c r="A601" s="4" t="inlineStr">
        <is>
          <t xml:space="preserve">L24</t>
        </is>
      </c>
      <c r="B601" s="4" t="inlineStr">
        <is>
          <t xml:space="preserve">L24</t>
        </is>
      </c>
      <c r="C601" s="4" t="inlineStr">
        <is>
          <t xml:space="preserve">[1]Deploy!N53</t>
        </is>
      </c>
      <c r="D601" s="5">
        <v>28</v>
      </c>
    </row>
    <row r="602">
      <c r="A602" s="4" t="inlineStr">
        <is>
          <t xml:space="preserve">M24</t>
        </is>
      </c>
      <c r="B602" s="4" t="inlineStr">
        <is>
          <t xml:space="preserve">M24</t>
        </is>
      </c>
      <c r="C602" s="4" t="inlineStr">
        <is>
          <t xml:space="preserve">[1]Deploy!O53</t>
        </is>
      </c>
      <c r="D602" s="5">
        <v>28</v>
      </c>
    </row>
    <row r="603">
      <c r="A603" s="4" t="inlineStr">
        <is>
          <t xml:space="preserve">N24</t>
        </is>
      </c>
      <c r="B603" s="4" t="inlineStr">
        <is>
          <t xml:space="preserve">N24</t>
        </is>
      </c>
      <c r="C603" s="4" t="inlineStr">
        <is>
          <t xml:space="preserve">[1]Deploy!P53</t>
        </is>
      </c>
      <c r="D603" s="5">
        <v>34</v>
      </c>
    </row>
    <row r="604">
      <c r="A604" s="4" t="inlineStr">
        <is>
          <t xml:space="preserve">O24</t>
        </is>
      </c>
      <c r="B604" s="4" t="inlineStr">
        <is>
          <t xml:space="preserve">O24</t>
        </is>
      </c>
      <c r="C604" s="4" t="inlineStr">
        <is>
          <t xml:space="preserve">[1]Deploy!Q53</t>
        </is>
      </c>
      <c r="D604" s="5">
        <v>36</v>
      </c>
    </row>
    <row r="605">
      <c r="A605" s="4" t="inlineStr">
        <is>
          <t xml:space="preserve">P24</t>
        </is>
      </c>
      <c r="B605" s="4" t="inlineStr">
        <is>
          <t xml:space="preserve">P24</t>
        </is>
      </c>
      <c r="C605" s="4" t="inlineStr">
        <is>
          <t xml:space="preserve">[1]Deploy!R53</t>
        </is>
      </c>
      <c r="D605" s="5">
        <v>42</v>
      </c>
    </row>
    <row r="606">
      <c r="A606" s="4" t="inlineStr">
        <is>
          <t xml:space="preserve">Q24</t>
        </is>
      </c>
      <c r="B606" s="4" t="inlineStr">
        <is>
          <t xml:space="preserve">Q24</t>
        </is>
      </c>
      <c r="C606" s="4" t="inlineStr">
        <is>
          <t xml:space="preserve">[1]Deploy!S53</t>
        </is>
      </c>
      <c r="D606" s="5">
        <v>48</v>
      </c>
    </row>
    <row r="607">
      <c r="A607" s="4" t="inlineStr">
        <is>
          <t xml:space="preserve">R24</t>
        </is>
      </c>
      <c r="B607" s="4" t="inlineStr">
        <is>
          <t xml:space="preserve">R24</t>
        </is>
      </c>
      <c r="C607" s="4" t="inlineStr">
        <is>
          <t xml:space="preserve">[1]Deploy!U53</t>
        </is>
      </c>
      <c r="D607" s="5">
        <v>312</v>
      </c>
    </row>
    <row r="608">
      <c r="A608" s="4" t="inlineStr">
        <is>
          <t xml:space="preserve">B25</t>
        </is>
      </c>
      <c r="B608" s="4" t="inlineStr">
        <is>
          <t xml:space="preserve">B25</t>
        </is>
      </c>
      <c r="C608" s="4" t="inlineStr">
        <is>
          <t xml:space="preserve">[1]Deploy!D54</t>
        </is>
      </c>
      <c r="D608" s="5">
        <v>32</v>
      </c>
    </row>
    <row r="609">
      <c r="A609" s="4" t="inlineStr">
        <is>
          <t xml:space="preserve">C25</t>
        </is>
      </c>
      <c r="B609" s="4" t="inlineStr">
        <is>
          <t xml:space="preserve">C25</t>
        </is>
      </c>
      <c r="C609" s="4" t="inlineStr">
        <is>
          <t xml:space="preserve">[1]Deploy!E54</t>
        </is>
      </c>
      <c r="D609" s="5">
        <v>0</v>
      </c>
    </row>
    <row r="610">
      <c r="A610" s="4" t="inlineStr">
        <is>
          <t xml:space="preserve">D25</t>
        </is>
      </c>
      <c r="B610" s="4" t="inlineStr">
        <is>
          <t xml:space="preserve">D25</t>
        </is>
      </c>
      <c r="C610" s="4" t="inlineStr">
        <is>
          <t xml:space="preserve">[1]Deploy!F54</t>
        </is>
      </c>
      <c r="D610" s="5">
        <v>60</v>
      </c>
    </row>
    <row r="611">
      <c r="A611" s="4" t="inlineStr">
        <is>
          <t xml:space="preserve">E25</t>
        </is>
      </c>
      <c r="B611" s="4" t="inlineStr">
        <is>
          <t xml:space="preserve">E25</t>
        </is>
      </c>
      <c r="C611" s="4" t="inlineStr">
        <is>
          <t xml:space="preserve">[1]Deploy!G54</t>
        </is>
      </c>
      <c r="D611" s="5">
        <v>24</v>
      </c>
    </row>
    <row r="612">
      <c r="A612" s="4" t="inlineStr">
        <is>
          <t xml:space="preserve">F25</t>
        </is>
      </c>
      <c r="B612" s="4" t="inlineStr">
        <is>
          <t xml:space="preserve">F25</t>
        </is>
      </c>
      <c r="C612" s="4" t="inlineStr">
        <is>
          <t xml:space="preserve">[1]Deploy!H54</t>
        </is>
      </c>
      <c r="D612" s="5">
        <v>0</v>
      </c>
    </row>
    <row r="613">
      <c r="A613" s="4" t="inlineStr">
        <is>
          <t xml:space="preserve">G25</t>
        </is>
      </c>
      <c r="B613" s="4" t="inlineStr">
        <is>
          <t xml:space="preserve">G25</t>
        </is>
      </c>
      <c r="C613" s="4" t="inlineStr">
        <is>
          <t xml:space="preserve">[1]Deploy!I54</t>
        </is>
      </c>
      <c r="D613" s="5">
        <v>86</v>
      </c>
    </row>
    <row r="614">
      <c r="A614" s="4" t="inlineStr">
        <is>
          <t xml:space="preserve">H25</t>
        </is>
      </c>
      <c r="B614" s="4" t="inlineStr">
        <is>
          <t xml:space="preserve">H25</t>
        </is>
      </c>
      <c r="C614" s="4" t="inlineStr">
        <is>
          <t xml:space="preserve">[1]Deploy!J54</t>
        </is>
      </c>
      <c r="D614" s="5">
        <v>61</v>
      </c>
    </row>
    <row r="615">
      <c r="A615" s="4" t="inlineStr">
        <is>
          <t xml:space="preserve">I25</t>
        </is>
      </c>
      <c r="B615" s="4" t="inlineStr">
        <is>
          <t xml:space="preserve">I25</t>
        </is>
      </c>
      <c r="C615" s="4" t="inlineStr">
        <is>
          <t xml:space="preserve">[1]Deploy!K54</t>
        </is>
      </c>
      <c r="D615" s="5">
        <v>98</v>
      </c>
    </row>
    <row r="616">
      <c r="A616" s="4" t="inlineStr">
        <is>
          <t xml:space="preserve">J25</t>
        </is>
      </c>
      <c r="B616" s="4" t="inlineStr">
        <is>
          <t xml:space="preserve">J25</t>
        </is>
      </c>
      <c r="C616" s="4" t="inlineStr">
        <is>
          <t xml:space="preserve">[1]Deploy!L54</t>
        </is>
      </c>
      <c r="D616" s="5">
        <v>73</v>
      </c>
    </row>
    <row r="617">
      <c r="A617" s="4" t="inlineStr">
        <is>
          <t xml:space="preserve">K25</t>
        </is>
      </c>
      <c r="B617" s="4" t="inlineStr">
        <is>
          <t xml:space="preserve">K25</t>
        </is>
      </c>
      <c r="C617" s="4" t="inlineStr">
        <is>
          <t xml:space="preserve">[1]Deploy!M54</t>
        </is>
      </c>
      <c r="D617" s="5">
        <v>85</v>
      </c>
    </row>
    <row r="618">
      <c r="A618" s="4" t="inlineStr">
        <is>
          <t xml:space="preserve">L25</t>
        </is>
      </c>
      <c r="B618" s="4" t="inlineStr">
        <is>
          <t xml:space="preserve">L25</t>
        </is>
      </c>
      <c r="C618" s="4" t="inlineStr">
        <is>
          <t xml:space="preserve">[1]Deploy!N54</t>
        </is>
      </c>
      <c r="D618" s="5">
        <v>122</v>
      </c>
    </row>
    <row r="619">
      <c r="A619" s="4" t="inlineStr">
        <is>
          <t xml:space="preserve">M25</t>
        </is>
      </c>
      <c r="B619" s="4" t="inlineStr">
        <is>
          <t xml:space="preserve">M25</t>
        </is>
      </c>
      <c r="C619" s="4" t="inlineStr">
        <is>
          <t xml:space="preserve">[1]Deploy!O54</t>
        </is>
      </c>
      <c r="D619" s="5">
        <v>122</v>
      </c>
    </row>
    <row r="620">
      <c r="A620" s="4" t="inlineStr">
        <is>
          <t xml:space="preserve">N25</t>
        </is>
      </c>
      <c r="B620" s="4" t="inlineStr">
        <is>
          <t xml:space="preserve">N25</t>
        </is>
      </c>
      <c r="C620" s="4" t="inlineStr">
        <is>
          <t xml:space="preserve">[1]Deploy!P54</t>
        </is>
      </c>
      <c r="D620" s="5">
        <v>159</v>
      </c>
    </row>
    <row r="621">
      <c r="A621" s="4" t="inlineStr">
        <is>
          <t xml:space="preserve">O25</t>
        </is>
      </c>
      <c r="B621" s="4" t="inlineStr">
        <is>
          <t xml:space="preserve">O25</t>
        </is>
      </c>
      <c r="C621" s="4" t="inlineStr">
        <is>
          <t xml:space="preserve">[1]Deploy!Q54</t>
        </is>
      </c>
      <c r="D621" s="5">
        <v>146</v>
      </c>
    </row>
    <row r="622">
      <c r="A622" s="4" t="inlineStr">
        <is>
          <t xml:space="preserve">P25</t>
        </is>
      </c>
      <c r="B622" s="4" t="inlineStr">
        <is>
          <t xml:space="preserve">P25</t>
        </is>
      </c>
      <c r="C622" s="4" t="inlineStr">
        <is>
          <t xml:space="preserve">[1]Deploy!R54</t>
        </is>
      </c>
      <c r="D622" s="5">
        <v>183</v>
      </c>
    </row>
    <row r="623">
      <c r="A623" s="4" t="inlineStr">
        <is>
          <t xml:space="preserve">Q25</t>
        </is>
      </c>
      <c r="B623" s="4" t="inlineStr">
        <is>
          <t xml:space="preserve">Q25</t>
        </is>
      </c>
      <c r="C623" s="4" t="inlineStr">
        <is>
          <t xml:space="preserve">[1]Deploy!S54</t>
        </is>
      </c>
      <c r="D623" s="5">
        <v>220</v>
      </c>
    </row>
    <row r="624">
      <c r="A624" s="4" t="inlineStr">
        <is>
          <t xml:space="preserve">R25</t>
        </is>
      </c>
      <c r="B624" s="4" t="inlineStr">
        <is>
          <t xml:space="preserve">R25</t>
        </is>
      </c>
      <c r="C624" s="4" t="inlineStr">
        <is>
          <t xml:space="preserve">[1]Deploy!U54</t>
        </is>
      </c>
      <c r="D624" s="5">
        <v>1355</v>
      </c>
    </row>
    <row r="625">
      <c r="A625" s="4" t="inlineStr">
        <is>
          <t xml:space="preserve">B26</t>
        </is>
      </c>
      <c r="B625" s="4" t="inlineStr">
        <is>
          <t xml:space="preserve">B26</t>
        </is>
      </c>
      <c r="C625" s="4" t="inlineStr">
        <is>
          <t xml:space="preserve">[1]Deploy!D55</t>
        </is>
      </c>
      <c r="D625" s="5">
        <v>0</v>
      </c>
    </row>
    <row r="626">
      <c r="A626" s="4" t="inlineStr">
        <is>
          <t xml:space="preserve">C26</t>
        </is>
      </c>
      <c r="B626" s="4" t="inlineStr">
        <is>
          <t xml:space="preserve">C26</t>
        </is>
      </c>
      <c r="C626" s="4" t="inlineStr">
        <is>
          <t xml:space="preserve">[1]Deploy!E55</t>
        </is>
      </c>
      <c r="D626" s="5">
        <v>0</v>
      </c>
    </row>
    <row r="627">
      <c r="A627" s="4" t="inlineStr">
        <is>
          <t xml:space="preserve">D26</t>
        </is>
      </c>
      <c r="B627" s="4" t="inlineStr">
        <is>
          <t xml:space="preserve">D26</t>
        </is>
      </c>
      <c r="C627" s="4" t="inlineStr">
        <is>
          <t xml:space="preserve">[1]Deploy!F55</t>
        </is>
      </c>
      <c r="D627" s="5">
        <v>0</v>
      </c>
    </row>
    <row r="628">
      <c r="A628" s="4" t="inlineStr">
        <is>
          <t xml:space="preserve">E26</t>
        </is>
      </c>
      <c r="B628" s="4" t="inlineStr">
        <is>
          <t xml:space="preserve">E26</t>
        </is>
      </c>
      <c r="C628" s="4" t="inlineStr">
        <is>
          <t xml:space="preserve">[1]Deploy!G55</t>
        </is>
      </c>
      <c r="D628" s="5">
        <v>0</v>
      </c>
    </row>
    <row r="629">
      <c r="A629" s="4" t="inlineStr">
        <is>
          <t xml:space="preserve">F26</t>
        </is>
      </c>
      <c r="B629" s="4" t="inlineStr">
        <is>
          <t xml:space="preserve">F26</t>
        </is>
      </c>
      <c r="C629" s="4" t="inlineStr">
        <is>
          <t xml:space="preserve">[1]Deploy!H55</t>
        </is>
      </c>
      <c r="D629" s="5">
        <v>0</v>
      </c>
    </row>
    <row r="630">
      <c r="A630" s="4" t="inlineStr">
        <is>
          <t xml:space="preserve">G26</t>
        </is>
      </c>
      <c r="B630" s="4" t="inlineStr">
        <is>
          <t xml:space="preserve">G26</t>
        </is>
      </c>
      <c r="C630" s="4" t="inlineStr">
        <is>
          <t xml:space="preserve">[1]Deploy!I55</t>
        </is>
      </c>
      <c r="D630" s="5">
        <v>0</v>
      </c>
    </row>
    <row r="631">
      <c r="A631" s="4" t="inlineStr">
        <is>
          <t xml:space="preserve">H26</t>
        </is>
      </c>
      <c r="B631" s="4" t="inlineStr">
        <is>
          <t xml:space="preserve">H26</t>
        </is>
      </c>
      <c r="C631" s="4" t="inlineStr">
        <is>
          <t xml:space="preserve">[1]Deploy!J55</t>
        </is>
      </c>
      <c r="D631" s="5">
        <v>0</v>
      </c>
    </row>
    <row r="632">
      <c r="A632" s="4" t="inlineStr">
        <is>
          <t xml:space="preserve">I26</t>
        </is>
      </c>
      <c r="B632" s="4" t="inlineStr">
        <is>
          <t xml:space="preserve">I26</t>
        </is>
      </c>
      <c r="C632" s="4" t="inlineStr">
        <is>
          <t xml:space="preserve">[1]Deploy!K55</t>
        </is>
      </c>
      <c r="D632" s="5">
        <v>0</v>
      </c>
    </row>
    <row r="633">
      <c r="A633" s="4" t="inlineStr">
        <is>
          <t xml:space="preserve">J26</t>
        </is>
      </c>
      <c r="B633" s="4" t="inlineStr">
        <is>
          <t xml:space="preserve">J26</t>
        </is>
      </c>
      <c r="C633" s="4" t="inlineStr">
        <is>
          <t xml:space="preserve">[1]Deploy!L55</t>
        </is>
      </c>
      <c r="D633" s="5">
        <v>0</v>
      </c>
    </row>
    <row r="634">
      <c r="A634" s="4" t="inlineStr">
        <is>
          <t xml:space="preserve">K26</t>
        </is>
      </c>
      <c r="B634" s="4" t="inlineStr">
        <is>
          <t xml:space="preserve">K26</t>
        </is>
      </c>
      <c r="C634" s="4" t="inlineStr">
        <is>
          <t xml:space="preserve">[1]Deploy!M55</t>
        </is>
      </c>
      <c r="D634" s="5">
        <v>0</v>
      </c>
    </row>
    <row r="635">
      <c r="A635" s="4" t="inlineStr">
        <is>
          <t xml:space="preserve">L26</t>
        </is>
      </c>
      <c r="B635" s="4" t="inlineStr">
        <is>
          <t xml:space="preserve">L26</t>
        </is>
      </c>
      <c r="C635" s="4" t="inlineStr">
        <is>
          <t xml:space="preserve">[1]Deploy!N55</t>
        </is>
      </c>
      <c r="D635" s="5">
        <v>0</v>
      </c>
    </row>
    <row r="636">
      <c r="A636" s="4" t="inlineStr">
        <is>
          <t xml:space="preserve">M26</t>
        </is>
      </c>
      <c r="B636" s="4" t="inlineStr">
        <is>
          <t xml:space="preserve">M26</t>
        </is>
      </c>
      <c r="C636" s="4" t="inlineStr">
        <is>
          <t xml:space="preserve">[1]Deploy!O55</t>
        </is>
      </c>
      <c r="D636" s="5">
        <v>0</v>
      </c>
    </row>
    <row r="637">
      <c r="A637" s="4" t="inlineStr">
        <is>
          <t xml:space="preserve">N26</t>
        </is>
      </c>
      <c r="B637" s="4" t="inlineStr">
        <is>
          <t xml:space="preserve">N26</t>
        </is>
      </c>
      <c r="C637" s="4" t="inlineStr">
        <is>
          <t xml:space="preserve">[1]Deploy!P55</t>
        </is>
      </c>
      <c r="D637" s="5">
        <v>0</v>
      </c>
    </row>
    <row r="638">
      <c r="A638" s="4" t="inlineStr">
        <is>
          <t xml:space="preserve">O26</t>
        </is>
      </c>
      <c r="B638" s="4" t="inlineStr">
        <is>
          <t xml:space="preserve">O26</t>
        </is>
      </c>
      <c r="C638" s="4" t="inlineStr">
        <is>
          <t xml:space="preserve">[1]Deploy!Q55</t>
        </is>
      </c>
      <c r="D638" s="5">
        <v>0</v>
      </c>
    </row>
    <row r="639">
      <c r="A639" s="4" t="inlineStr">
        <is>
          <t xml:space="preserve">P26</t>
        </is>
      </c>
      <c r="B639" s="4" t="inlineStr">
        <is>
          <t xml:space="preserve">P26</t>
        </is>
      </c>
      <c r="C639" s="4" t="inlineStr">
        <is>
          <t xml:space="preserve">[1]Deploy!R55</t>
        </is>
      </c>
      <c r="D639" s="5">
        <v>0</v>
      </c>
    </row>
    <row r="640">
      <c r="A640" s="4" t="inlineStr">
        <is>
          <t xml:space="preserve">Q26</t>
        </is>
      </c>
      <c r="B640" s="4" t="inlineStr">
        <is>
          <t xml:space="preserve">Q26</t>
        </is>
      </c>
      <c r="C640" s="4" t="inlineStr">
        <is>
          <t xml:space="preserve">[1]Deploy!S55</t>
        </is>
      </c>
      <c r="D640" s="5">
        <v>0</v>
      </c>
    </row>
    <row r="641">
      <c r="A641" s="4" t="inlineStr">
        <is>
          <t xml:space="preserve">R26</t>
        </is>
      </c>
      <c r="B641" s="4" t="inlineStr">
        <is>
          <t xml:space="preserve">R26</t>
        </is>
      </c>
      <c r="C641" s="4" t="inlineStr">
        <is>
          <t xml:space="preserve">[1]Deploy!U55</t>
        </is>
      </c>
      <c r="D641" s="5">
        <v>0</v>
      </c>
    </row>
    <row r="642">
      <c r="A642" s="4" t="inlineStr">
        <is>
          <t xml:space="preserve">B29</t>
        </is>
      </c>
      <c r="B642" s="4" t="inlineStr">
        <is>
          <t xml:space="preserve">B29</t>
        </is>
      </c>
      <c r="C642" s="4" t="inlineStr">
        <is>
          <t xml:space="preserve">[1]Deploy!D68</t>
        </is>
      </c>
      <c r="D642" s="5">
        <v>878237.5</v>
      </c>
    </row>
    <row r="643">
      <c r="A643" s="4" t="inlineStr">
        <is>
          <t xml:space="preserve">C29</t>
        </is>
      </c>
      <c r="B643" s="4" t="inlineStr">
        <is>
          <t xml:space="preserve">C29</t>
        </is>
      </c>
      <c r="C643" s="4" t="inlineStr">
        <is>
          <t xml:space="preserve">[1]Deploy!E68</t>
        </is>
      </c>
      <c r="D643" s="5">
        <v>0</v>
      </c>
    </row>
    <row r="644">
      <c r="A644" s="4" t="inlineStr">
        <is>
          <t xml:space="preserve">D29</t>
        </is>
      </c>
      <c r="B644" s="4" t="inlineStr">
        <is>
          <t xml:space="preserve">D29</t>
        </is>
      </c>
      <c r="C644" s="4" t="inlineStr">
        <is>
          <t xml:space="preserve">[1]Deploy!F68</t>
        </is>
      </c>
      <c r="D644" s="5">
        <v>1862750</v>
      </c>
    </row>
    <row r="645">
      <c r="A645" s="4" t="inlineStr">
        <is>
          <t xml:space="preserve">E29</t>
        </is>
      </c>
      <c r="B645" s="4" t="inlineStr">
        <is>
          <t xml:space="preserve">E29</t>
        </is>
      </c>
      <c r="C645" s="4" t="inlineStr">
        <is>
          <t xml:space="preserve">[1]Deploy!G68</t>
        </is>
      </c>
      <c r="D645" s="5">
        <v>745100</v>
      </c>
    </row>
    <row r="646">
      <c r="A646" s="4" t="inlineStr">
        <is>
          <t xml:space="preserve">F29</t>
        </is>
      </c>
      <c r="B646" s="4" t="inlineStr">
        <is>
          <t xml:space="preserve">F29</t>
        </is>
      </c>
      <c r="C646" s="4" t="inlineStr">
        <is>
          <t xml:space="preserve">[1]Deploy!H68</t>
        </is>
      </c>
      <c r="D646" s="5">
        <v>0</v>
      </c>
    </row>
    <row r="647">
      <c r="A647" s="4" t="inlineStr">
        <is>
          <t xml:space="preserve">G29</t>
        </is>
      </c>
      <c r="B647" s="4" t="inlineStr">
        <is>
          <t xml:space="preserve">G29</t>
        </is>
      </c>
      <c r="C647" s="4" t="inlineStr">
        <is>
          <t xml:space="preserve">[1]Deploy!I68</t>
        </is>
      </c>
      <c r="D647" s="5">
        <v>2209025</v>
      </c>
    </row>
    <row r="648">
      <c r="A648" s="4" t="inlineStr">
        <is>
          <t xml:space="preserve">H29</t>
        </is>
      </c>
      <c r="B648" s="4" t="inlineStr">
        <is>
          <t xml:space="preserve">H29</t>
        </is>
      </c>
      <c r="C648" s="4" t="inlineStr">
        <is>
          <t xml:space="preserve">[1]Deploy!J68</t>
        </is>
      </c>
      <c r="D648" s="5">
        <v>1455925</v>
      </c>
    </row>
    <row r="649">
      <c r="A649" s="4" t="inlineStr">
        <is>
          <t xml:space="preserve">I29</t>
        </is>
      </c>
      <c r="B649" s="4" t="inlineStr">
        <is>
          <t xml:space="preserve">I29</t>
        </is>
      </c>
      <c r="C649" s="4" t="inlineStr">
        <is>
          <t xml:space="preserve">[1]Deploy!K68</t>
        </is>
      </c>
      <c r="D649" s="5">
        <v>2166750</v>
      </c>
    </row>
    <row r="650">
      <c r="A650" s="4" t="inlineStr">
        <is>
          <t xml:space="preserve">J29</t>
        </is>
      </c>
      <c r="B650" s="4" t="inlineStr">
        <is>
          <t xml:space="preserve">J29</t>
        </is>
      </c>
      <c r="C650" s="4" t="inlineStr">
        <is>
          <t xml:space="preserve">[1]Deploy!L68</t>
        </is>
      </c>
      <c r="D650" s="5">
        <v>1828475</v>
      </c>
    </row>
    <row r="651">
      <c r="A651" s="4" t="inlineStr">
        <is>
          <t xml:space="preserve">K29</t>
        </is>
      </c>
      <c r="B651" s="4" t="inlineStr">
        <is>
          <t xml:space="preserve">K29</t>
        </is>
      </c>
      <c r="C651" s="4" t="inlineStr">
        <is>
          <t xml:space="preserve">[1]Deploy!M68</t>
        </is>
      </c>
      <c r="D651" s="5">
        <v>2201025</v>
      </c>
    </row>
    <row r="652">
      <c r="A652" s="4" t="inlineStr">
        <is>
          <t xml:space="preserve">L29</t>
        </is>
      </c>
      <c r="B652" s="4" t="inlineStr">
        <is>
          <t xml:space="preserve">L29</t>
        </is>
      </c>
      <c r="C652" s="4" t="inlineStr">
        <is>
          <t xml:space="preserve">[1]Deploy!N68</t>
        </is>
      </c>
      <c r="D652" s="5">
        <v>2911850</v>
      </c>
    </row>
    <row r="653">
      <c r="A653" s="4" t="inlineStr">
        <is>
          <t xml:space="preserve">M29</t>
        </is>
      </c>
      <c r="B653" s="4" t="inlineStr">
        <is>
          <t xml:space="preserve">M29</t>
        </is>
      </c>
      <c r="C653" s="4" t="inlineStr">
        <is>
          <t xml:space="preserve">[1]Deploy!O68</t>
        </is>
      </c>
      <c r="D653" s="5">
        <v>2911850</v>
      </c>
    </row>
    <row r="654">
      <c r="A654" s="4" t="inlineStr">
        <is>
          <t xml:space="preserve">N29</t>
        </is>
      </c>
      <c r="B654" s="4" t="inlineStr">
        <is>
          <t xml:space="preserve">N29</t>
        </is>
      </c>
      <c r="C654" s="4" t="inlineStr">
        <is>
          <t xml:space="preserve">[1]Deploy!P68</t>
        </is>
      </c>
      <c r="D654" s="5">
        <v>3622675</v>
      </c>
    </row>
    <row r="655">
      <c r="A655" s="4" t="inlineStr">
        <is>
          <t xml:space="preserve">O29</t>
        </is>
      </c>
      <c r="B655" s="4" t="inlineStr">
        <is>
          <t xml:space="preserve">O29</t>
        </is>
      </c>
      <c r="C655" s="4" t="inlineStr">
        <is>
          <t xml:space="preserve">[1]Deploy!Q68</t>
        </is>
      </c>
      <c r="D655" s="5">
        <v>3656950</v>
      </c>
    </row>
    <row r="656">
      <c r="A656" s="4" t="inlineStr">
        <is>
          <t xml:space="preserve">P29</t>
        </is>
      </c>
      <c r="B656" s="4" t="inlineStr">
        <is>
          <t xml:space="preserve">P29</t>
        </is>
      </c>
      <c r="C656" s="4" t="inlineStr">
        <is>
          <t xml:space="preserve">[1]Deploy!R68</t>
        </is>
      </c>
      <c r="D656" s="5">
        <v>4367775</v>
      </c>
    </row>
    <row r="657">
      <c r="A657" s="4" t="inlineStr">
        <is>
          <t xml:space="preserve">Q29</t>
        </is>
      </c>
      <c r="B657" s="4" t="inlineStr">
        <is>
          <t xml:space="preserve">Q29</t>
        </is>
      </c>
      <c r="C657" s="4" t="inlineStr">
        <is>
          <t xml:space="preserve">[1]Deploy!S68</t>
        </is>
      </c>
      <c r="D657" s="5">
        <v>5078600</v>
      </c>
    </row>
    <row r="658">
      <c r="A658" s="4" t="inlineStr">
        <is>
          <t xml:space="preserve">R29</t>
        </is>
      </c>
      <c r="B658" s="4" t="inlineStr">
        <is>
          <t xml:space="preserve">R29</t>
        </is>
      </c>
      <c r="C658" s="4" t="inlineStr">
        <is>
          <t xml:space="preserve">[1]Deploy!U68</t>
        </is>
      </c>
      <c r="D658" s="5">
        <v>32410900</v>
      </c>
    </row>
    <row r="659">
      <c r="A659" s="4" t="inlineStr">
        <is>
          <t xml:space="preserve">B30</t>
        </is>
      </c>
      <c r="B659" s="4" t="inlineStr">
        <is>
          <t xml:space="preserve">B30</t>
        </is>
      </c>
      <c r="C659" s="4" t="inlineStr">
        <is>
          <t xml:space="preserve">[1]Deploy!D69</t>
        </is>
      </c>
      <c r="D659" s="5">
        <v>0</v>
      </c>
    </row>
    <row r="660">
      <c r="A660" s="4" t="inlineStr">
        <is>
          <t xml:space="preserve">C30</t>
        </is>
      </c>
      <c r="B660" s="4" t="inlineStr">
        <is>
          <t xml:space="preserve">C30</t>
        </is>
      </c>
      <c r="C660" s="4" t="inlineStr">
        <is>
          <t xml:space="preserve">[1]Deploy!E69</t>
        </is>
      </c>
      <c r="D660" s="5">
        <v>10000</v>
      </c>
    </row>
    <row r="661">
      <c r="A661" s="4" t="inlineStr">
        <is>
          <t xml:space="preserve">D30</t>
        </is>
      </c>
      <c r="B661" s="4" t="inlineStr">
        <is>
          <t xml:space="preserve">D30</t>
        </is>
      </c>
      <c r="C661" s="4" t="inlineStr">
        <is>
          <t xml:space="preserve">[1]Deploy!F69</t>
        </is>
      </c>
      <c r="D661" s="5">
        <v>10000</v>
      </c>
    </row>
    <row r="662">
      <c r="A662" s="4" t="inlineStr">
        <is>
          <t xml:space="preserve">E30</t>
        </is>
      </c>
      <c r="B662" s="4" t="inlineStr">
        <is>
          <t xml:space="preserve">E30</t>
        </is>
      </c>
      <c r="C662" s="4" t="inlineStr">
        <is>
          <t xml:space="preserve">[1]Deploy!G69</t>
        </is>
      </c>
      <c r="D662" s="5">
        <v>0</v>
      </c>
    </row>
    <row r="663">
      <c r="A663" s="4" t="inlineStr">
        <is>
          <t xml:space="preserve">F30</t>
        </is>
      </c>
      <c r="B663" s="4" t="inlineStr">
        <is>
          <t xml:space="preserve">F30</t>
        </is>
      </c>
      <c r="C663" s="4" t="inlineStr">
        <is>
          <t xml:space="preserve">[1]Deploy!H69</t>
        </is>
      </c>
      <c r="D663" s="5">
        <v>15000</v>
      </c>
    </row>
    <row r="664">
      <c r="A664" s="4" t="inlineStr">
        <is>
          <t xml:space="preserve">G30</t>
        </is>
      </c>
      <c r="B664" s="4" t="inlineStr">
        <is>
          <t xml:space="preserve">G30</t>
        </is>
      </c>
      <c r="C664" s="4" t="inlineStr">
        <is>
          <t xml:space="preserve">[1]Deploy!I69</t>
        </is>
      </c>
      <c r="D664" s="5">
        <v>10000</v>
      </c>
    </row>
    <row r="665">
      <c r="A665" s="4" t="inlineStr">
        <is>
          <t xml:space="preserve">H30</t>
        </is>
      </c>
      <c r="B665" s="4" t="inlineStr">
        <is>
          <t xml:space="preserve">H30</t>
        </is>
      </c>
      <c r="C665" s="4" t="inlineStr">
        <is>
          <t xml:space="preserve">[1]Deploy!J69</t>
        </is>
      </c>
      <c r="D665" s="5">
        <v>0</v>
      </c>
    </row>
    <row r="666">
      <c r="A666" s="4" t="inlineStr">
        <is>
          <t xml:space="preserve">I30</t>
        </is>
      </c>
      <c r="B666" s="4" t="inlineStr">
        <is>
          <t xml:space="preserve">I30</t>
        </is>
      </c>
      <c r="C666" s="4" t="inlineStr">
        <is>
          <t xml:space="preserve">[1]Deploy!K69</t>
        </is>
      </c>
      <c r="D666" s="5">
        <v>25000</v>
      </c>
    </row>
    <row r="667">
      <c r="A667" s="4" t="inlineStr">
        <is>
          <t xml:space="preserve">J30</t>
        </is>
      </c>
      <c r="B667" s="4" t="inlineStr">
        <is>
          <t xml:space="preserve">J30</t>
        </is>
      </c>
      <c r="C667" s="4" t="inlineStr">
        <is>
          <t xml:space="preserve">[1]Deploy!L69</t>
        </is>
      </c>
      <c r="D667" s="5">
        <v>20000</v>
      </c>
    </row>
    <row r="668">
      <c r="A668" s="4" t="inlineStr">
        <is>
          <t xml:space="preserve">K30</t>
        </is>
      </c>
      <c r="B668" s="4" t="inlineStr">
        <is>
          <t xml:space="preserve">K30</t>
        </is>
      </c>
      <c r="C668" s="4" t="inlineStr">
        <is>
          <t xml:space="preserve">[1]Deploy!M69</t>
        </is>
      </c>
      <c r="D668" s="5">
        <v>30000</v>
      </c>
    </row>
    <row r="669">
      <c r="A669" s="4" t="inlineStr">
        <is>
          <t xml:space="preserve">L30</t>
        </is>
      </c>
      <c r="B669" s="4" t="inlineStr">
        <is>
          <t xml:space="preserve">L30</t>
        </is>
      </c>
      <c r="C669" s="4" t="inlineStr">
        <is>
          <t xml:space="preserve">[1]Deploy!N69</t>
        </is>
      </c>
      <c r="D669" s="5">
        <v>25000</v>
      </c>
    </row>
    <row r="670">
      <c r="A670" s="4" t="inlineStr">
        <is>
          <t xml:space="preserve">M30</t>
        </is>
      </c>
      <c r="B670" s="4" t="inlineStr">
        <is>
          <t xml:space="preserve">M30</t>
        </is>
      </c>
      <c r="C670" s="4" t="inlineStr">
        <is>
          <t xml:space="preserve">[1]Deploy!O69</t>
        </is>
      </c>
      <c r="D670" s="5">
        <v>30000</v>
      </c>
    </row>
    <row r="671">
      <c r="A671" s="4" t="inlineStr">
        <is>
          <t xml:space="preserve">N30</t>
        </is>
      </c>
      <c r="B671" s="4" t="inlineStr">
        <is>
          <t xml:space="preserve">N30</t>
        </is>
      </c>
      <c r="C671" s="4" t="inlineStr">
        <is>
          <t xml:space="preserve">[1]Deploy!P69</t>
        </is>
      </c>
      <c r="D671" s="5">
        <v>40000</v>
      </c>
    </row>
    <row r="672">
      <c r="A672" s="4" t="inlineStr">
        <is>
          <t xml:space="preserve">O30</t>
        </is>
      </c>
      <c r="B672" s="4" t="inlineStr">
        <is>
          <t xml:space="preserve">O30</t>
        </is>
      </c>
      <c r="C672" s="4" t="inlineStr">
        <is>
          <t xml:space="preserve">[1]Deploy!Q69</t>
        </is>
      </c>
      <c r="D672" s="5">
        <v>40000</v>
      </c>
    </row>
    <row r="673">
      <c r="A673" s="4" t="inlineStr">
        <is>
          <t xml:space="preserve">P30</t>
        </is>
      </c>
      <c r="B673" s="4" t="inlineStr">
        <is>
          <t xml:space="preserve">P30</t>
        </is>
      </c>
      <c r="C673" s="4" t="inlineStr">
        <is>
          <t xml:space="preserve">[1]Deploy!R69</t>
        </is>
      </c>
      <c r="D673" s="5">
        <v>50000</v>
      </c>
    </row>
    <row r="674">
      <c r="A674" s="4" t="inlineStr">
        <is>
          <t xml:space="preserve">Q30</t>
        </is>
      </c>
      <c r="B674" s="4" t="inlineStr">
        <is>
          <t xml:space="preserve">Q30</t>
        </is>
      </c>
      <c r="C674" s="4" t="inlineStr">
        <is>
          <t xml:space="preserve">[1]Deploy!S69</t>
        </is>
      </c>
      <c r="D674" s="5">
        <v>50000</v>
      </c>
    </row>
    <row r="675">
      <c r="A675" s="4" t="inlineStr">
        <is>
          <t xml:space="preserve">R30</t>
        </is>
      </c>
      <c r="B675" s="4" t="inlineStr">
        <is>
          <t xml:space="preserve">R30</t>
        </is>
      </c>
      <c r="C675" s="4" t="inlineStr">
        <is>
          <t xml:space="preserve">[1]Deploy!U69</t>
        </is>
      </c>
      <c r="D675" s="5">
        <v>335000</v>
      </c>
    </row>
    <row r="676">
      <c r="A676" s="4" t="inlineStr">
        <is>
          <t xml:space="preserve">B33</t>
        </is>
      </c>
      <c r="B676" s="4" t="inlineStr">
        <is>
          <t xml:space="preserve">B33</t>
        </is>
      </c>
      <c r="C676" s="4" t="inlineStr">
        <is>
          <t xml:space="preserve">SUMIFS('[1]Deploy Detail'!$G$225:$G$236,'[1]Deploy Detail'!$E$225:$E$236,B$4,'[1]Deploy Detail'!$D$225:$D$236,"&gt;"&amp;'[1]Deploy Detail'!$B$13)+SUMIFS('[1]Deploy Detail'!$G$239:$G$250,'[1]Deploy Detail'!$E$239:$E$250,B$4,'[1]Deploy Detail'!$D$239:$D$250,"&gt;"&amp;'[1]Deploy Detail'!$B$13)</t>
        </is>
      </c>
      <c r="D676" s="5">
        <v>0</v>
      </c>
    </row>
    <row r="677">
      <c r="A677" s="4" t="inlineStr">
        <is>
          <t xml:space="preserve">C33</t>
        </is>
      </c>
      <c r="B677" s="4" t="inlineStr">
        <is>
          <t xml:space="preserve">C33</t>
        </is>
      </c>
      <c r="C677" s="4" t="inlineStr">
        <is>
          <t xml:space="preserve">SUMIFS('[1]Deploy Detail'!$G$225:$G$236,'[1]Deploy Detail'!$E$225:$E$236,C$4,'[1]Deploy Detail'!$D$225:$D$236,"&gt;"&amp;'[1]Deploy Detail'!$B$13)+SUMIFS('[1]Deploy Detail'!$G$239:$G$250,'[1]Deploy Detail'!$E$239:$E$250,C$4,'[1]Deploy Detail'!$D$239:$D$250,"&gt;"&amp;'[1]Deploy Detail'!$B$13)</t>
        </is>
      </c>
      <c r="D677" s="5">
        <v>0</v>
      </c>
    </row>
    <row r="678">
      <c r="A678" s="4" t="inlineStr">
        <is>
          <t xml:space="preserve">D33</t>
        </is>
      </c>
      <c r="B678" s="4" t="inlineStr">
        <is>
          <t xml:space="preserve">D33</t>
        </is>
      </c>
      <c r="C678" s="4" t="inlineStr">
        <is>
          <t xml:space="preserve">SUMIFS('[1]Deploy Detail'!$G$225:$G$236,'[1]Deploy Detail'!$E$225:$E$236,D$4,'[1]Deploy Detail'!$D$225:$D$236,"&gt;"&amp;'[1]Deploy Detail'!$B$13)+SUMIFS('[1]Deploy Detail'!$G$239:$G$250,'[1]Deploy Detail'!$E$239:$E$250,D$4,'[1]Deploy Detail'!$D$239:$D$250,"&gt;"&amp;'[1]Deploy Detail'!$B$13)</t>
        </is>
      </c>
      <c r="D678" s="5">
        <v>0</v>
      </c>
    </row>
    <row r="679">
      <c r="A679" s="4" t="inlineStr">
        <is>
          <t xml:space="preserve">E33</t>
        </is>
      </c>
      <c r="B679" s="4" t="inlineStr">
        <is>
          <t xml:space="preserve">E33</t>
        </is>
      </c>
      <c r="C679" s="4" t="inlineStr">
        <is>
          <t xml:space="preserve">SUMIFS('[1]Deploy Detail'!$G$225:$G$236,'[1]Deploy Detail'!$E$225:$E$236,E$4,'[1]Deploy Detail'!$D$225:$D$236,"&gt;"&amp;'[1]Deploy Detail'!$B$13)+SUMIFS('[1]Deploy Detail'!$G$239:$G$250,'[1]Deploy Detail'!$E$239:$E$250,E$4,'[1]Deploy Detail'!$D$239:$D$250,"&gt;"&amp;'[1]Deploy Detail'!$B$13)</t>
        </is>
      </c>
      <c r="D679" s="5">
        <v>0</v>
      </c>
    </row>
    <row r="680">
      <c r="A680" s="4" t="inlineStr">
        <is>
          <t xml:space="preserve">F33</t>
        </is>
      </c>
      <c r="B680" s="4" t="inlineStr">
        <is>
          <t xml:space="preserve">F33</t>
        </is>
      </c>
      <c r="C680" s="4" t="inlineStr">
        <is>
          <t xml:space="preserve">SUMIFS('[1]Deploy Detail'!$G$225:$G$236,'[1]Deploy Detail'!$E$225:$E$236,F$4,'[1]Deploy Detail'!$D$225:$D$236,"&gt;"&amp;'[1]Deploy Detail'!$B$13)+SUMIFS('[1]Deploy Detail'!$G$239:$G$250,'[1]Deploy Detail'!$E$239:$E$250,F$4,'[1]Deploy Detail'!$D$239:$D$250,"&gt;"&amp;'[1]Deploy Detail'!$B$13)</t>
        </is>
      </c>
      <c r="D680" s="5">
        <v>0</v>
      </c>
    </row>
    <row r="681">
      <c r="A681" s="4" t="inlineStr">
        <is>
          <t xml:space="preserve">G33</t>
        </is>
      </c>
      <c r="B681" s="4" t="inlineStr">
        <is>
          <t xml:space="preserve">G33</t>
        </is>
      </c>
      <c r="C681" s="4" t="inlineStr">
        <is>
          <t xml:space="preserve">SUMIFS('[1]Deploy Detail'!$G$225:$G$236,'[1]Deploy Detail'!$E$225:$E$236,G$4,'[1]Deploy Detail'!$D$225:$D$236,"&gt;"&amp;'[1]Deploy Detail'!$B$13)+SUMIFS('[1]Deploy Detail'!$G$239:$G$250,'[1]Deploy Detail'!$E$239:$E$250,G$4,'[1]Deploy Detail'!$D$239:$D$250,"&gt;"&amp;'[1]Deploy Detail'!$B$13)</t>
        </is>
      </c>
      <c r="D681" s="5">
        <v>0</v>
      </c>
    </row>
    <row r="682">
      <c r="A682" s="4" t="inlineStr">
        <is>
          <t xml:space="preserve">H33</t>
        </is>
      </c>
      <c r="B682" s="4" t="inlineStr">
        <is>
          <t xml:space="preserve">H33</t>
        </is>
      </c>
      <c r="C682" s="4" t="inlineStr">
        <is>
          <t xml:space="preserve">SUMIFS('[1]Deploy Detail'!$G$225:$G$236,'[1]Deploy Detail'!$E$225:$E$236,H$4,'[1]Deploy Detail'!$D$225:$D$236,"&gt;"&amp;'[1]Deploy Detail'!$B$13)+SUMIFS('[1]Deploy Detail'!$G$239:$G$250,'[1]Deploy Detail'!$E$239:$E$250,H$4,'[1]Deploy Detail'!$D$239:$D$250,"&gt;"&amp;'[1]Deploy Detail'!$B$13)</t>
        </is>
      </c>
      <c r="D682" s="5">
        <v>0</v>
      </c>
    </row>
    <row r="683">
      <c r="A683" s="4" t="inlineStr">
        <is>
          <t xml:space="preserve">I33</t>
        </is>
      </c>
      <c r="B683" s="4" t="inlineStr">
        <is>
          <t xml:space="preserve">I33</t>
        </is>
      </c>
      <c r="C683" s="4" t="inlineStr">
        <is>
          <t xml:space="preserve">SUMIFS('[1]Deploy Detail'!$G$225:$G$236,'[1]Deploy Detail'!$E$225:$E$236,I$4,'[1]Deploy Detail'!$D$225:$D$236,"&gt;"&amp;'[1]Deploy Detail'!$B$13)+SUMIFS('[1]Deploy Detail'!$G$239:$G$250,'[1]Deploy Detail'!$E$239:$E$250,I$4,'[1]Deploy Detail'!$D$239:$D$250,"&gt;"&amp;'[1]Deploy Detail'!$B$13)</t>
        </is>
      </c>
      <c r="D683" s="5">
        <v>0</v>
      </c>
    </row>
    <row r="684">
      <c r="A684" s="4" t="inlineStr">
        <is>
          <t xml:space="preserve">J33</t>
        </is>
      </c>
      <c r="B684" s="4" t="inlineStr">
        <is>
          <t xml:space="preserve">J33</t>
        </is>
      </c>
      <c r="C684" s="4" t="inlineStr">
        <is>
          <t xml:space="preserve">SUMIFS('[1]Deploy Detail'!$G$225:$G$236,'[1]Deploy Detail'!$E$225:$E$236,J$4,'[1]Deploy Detail'!$D$225:$D$236,"&gt;"&amp;'[1]Deploy Detail'!$B$13)+SUMIFS('[1]Deploy Detail'!$G$239:$G$250,'[1]Deploy Detail'!$E$239:$E$250,J$4,'[1]Deploy Detail'!$D$239:$D$250,"&gt;"&amp;'[1]Deploy Detail'!$B$13)</t>
        </is>
      </c>
      <c r="D684" s="5">
        <v>0</v>
      </c>
    </row>
    <row r="685">
      <c r="A685" s="4" t="inlineStr">
        <is>
          <t xml:space="preserve">K33</t>
        </is>
      </c>
      <c r="B685" s="4" t="inlineStr">
        <is>
          <t xml:space="preserve">K33</t>
        </is>
      </c>
      <c r="C685" s="4" t="inlineStr">
        <is>
          <t xml:space="preserve">SUMIFS('[1]Deploy Detail'!$G$225:$G$236,'[1]Deploy Detail'!$E$225:$E$236,K$4,'[1]Deploy Detail'!$D$225:$D$236,"&gt;"&amp;'[1]Deploy Detail'!$B$13)+SUMIFS('[1]Deploy Detail'!$G$239:$G$250,'[1]Deploy Detail'!$E$239:$E$250,K$4,'[1]Deploy Detail'!$D$239:$D$250,"&gt;"&amp;'[1]Deploy Detail'!$B$13)</t>
        </is>
      </c>
      <c r="D685" s="5">
        <v>0</v>
      </c>
    </row>
    <row r="686">
      <c r="A686" s="4" t="inlineStr">
        <is>
          <t xml:space="preserve">L33</t>
        </is>
      </c>
      <c r="B686" s="4" t="inlineStr">
        <is>
          <t xml:space="preserve">L33</t>
        </is>
      </c>
      <c r="C686" s="4" t="inlineStr">
        <is>
          <t xml:space="preserve">SUMIFS('[1]Deploy Detail'!$G$225:$G$236,'[1]Deploy Detail'!$E$225:$E$236,L$4,'[1]Deploy Detail'!$D$225:$D$236,"&gt;"&amp;'[1]Deploy Detail'!$B$13)+SUMIFS('[1]Deploy Detail'!$G$239:$G$250,'[1]Deploy Detail'!$E$239:$E$250,L$4,'[1]Deploy Detail'!$D$239:$D$250,"&gt;"&amp;'[1]Deploy Detail'!$B$13)</t>
        </is>
      </c>
      <c r="D686" s="5">
        <v>0</v>
      </c>
    </row>
    <row r="687">
      <c r="A687" s="4" t="inlineStr">
        <is>
          <t xml:space="preserve">M33</t>
        </is>
      </c>
      <c r="B687" s="4" t="inlineStr">
        <is>
          <t xml:space="preserve">M33</t>
        </is>
      </c>
      <c r="C687" s="4" t="inlineStr">
        <is>
          <t xml:space="preserve">SUMIFS('[1]Deploy Detail'!$G$225:$G$236,'[1]Deploy Detail'!$E$225:$E$236,M$4,'[1]Deploy Detail'!$D$225:$D$236,"&gt;"&amp;'[1]Deploy Detail'!$B$13)+SUMIFS('[1]Deploy Detail'!$G$239:$G$250,'[1]Deploy Detail'!$E$239:$E$250,M$4,'[1]Deploy Detail'!$D$239:$D$250,"&gt;"&amp;'[1]Deploy Detail'!$B$13)</t>
        </is>
      </c>
      <c r="D687" s="5">
        <v>0</v>
      </c>
    </row>
    <row r="688">
      <c r="A688" s="4" t="inlineStr">
        <is>
          <t xml:space="preserve">N33</t>
        </is>
      </c>
      <c r="B688" s="4" t="inlineStr">
        <is>
          <t xml:space="preserve">N33</t>
        </is>
      </c>
      <c r="C688" s="4" t="inlineStr">
        <is>
          <t xml:space="preserve">SUMIFS('[1]Deploy Detail'!$G$225:$G$236,'[1]Deploy Detail'!$E$225:$E$236,N$4,'[1]Deploy Detail'!$D$225:$D$236,"&gt;"&amp;'[1]Deploy Detail'!$B$13)+SUMIFS('[1]Deploy Detail'!$G$239:$G$250,'[1]Deploy Detail'!$E$239:$E$250,N$4,'[1]Deploy Detail'!$D$239:$D$250,"&gt;"&amp;'[1]Deploy Detail'!$B$13)</t>
        </is>
      </c>
      <c r="D688" s="5">
        <v>0</v>
      </c>
    </row>
    <row r="689">
      <c r="A689" s="4" t="inlineStr">
        <is>
          <t xml:space="preserve">O33</t>
        </is>
      </c>
      <c r="B689" s="4" t="inlineStr">
        <is>
          <t xml:space="preserve">O33</t>
        </is>
      </c>
      <c r="C689" s="4" t="inlineStr">
        <is>
          <t xml:space="preserve">SUMIFS('[1]Deploy Detail'!$G$225:$G$236,'[1]Deploy Detail'!$E$225:$E$236,O$4,'[1]Deploy Detail'!$D$225:$D$236,"&gt;"&amp;'[1]Deploy Detail'!$B$13)+SUMIFS('[1]Deploy Detail'!$G$239:$G$250,'[1]Deploy Detail'!$E$239:$E$250,O$4,'[1]Deploy Detail'!$D$239:$D$250,"&gt;"&amp;'[1]Deploy Detail'!$B$13)</t>
        </is>
      </c>
      <c r="D689" s="5">
        <v>0</v>
      </c>
    </row>
    <row r="690">
      <c r="A690" s="4" t="inlineStr">
        <is>
          <t xml:space="preserve">P33</t>
        </is>
      </c>
      <c r="B690" s="4" t="inlineStr">
        <is>
          <t xml:space="preserve">P33</t>
        </is>
      </c>
      <c r="C690" s="4" t="inlineStr">
        <is>
          <t xml:space="preserve">SUMIFS('[1]Deploy Detail'!$G$225:$G$236,'[1]Deploy Detail'!$E$225:$E$236,P$4,'[1]Deploy Detail'!$D$225:$D$236,"&gt;"&amp;'[1]Deploy Detail'!$B$13)+SUMIFS('[1]Deploy Detail'!$G$239:$G$250,'[1]Deploy Detail'!$E$239:$E$250,P$4,'[1]Deploy Detail'!$D$239:$D$250,"&gt;"&amp;'[1]Deploy Detail'!$B$13)</t>
        </is>
      </c>
      <c r="D690" s="5">
        <v>42</v>
      </c>
    </row>
    <row r="691">
      <c r="A691" s="4" t="inlineStr">
        <is>
          <t xml:space="preserve">Q33</t>
        </is>
      </c>
      <c r="B691" s="4" t="inlineStr">
        <is>
          <t xml:space="preserve">Q33</t>
        </is>
      </c>
      <c r="C691" s="4" t="inlineStr">
        <is>
          <t xml:space="preserve">SUMIFS('[1]Deploy Detail'!$G$225:$G$236,'[1]Deploy Detail'!$E$225:$E$236,Q$4,'[1]Deploy Detail'!$D$225:$D$236,"&gt;"&amp;'[1]Deploy Detail'!$B$13)+SUMIFS('[1]Deploy Detail'!$G$239:$G$250,'[1]Deploy Detail'!$E$239:$E$250,Q$4,'[1]Deploy Detail'!$D$239:$D$250,"&gt;"&amp;'[1]Deploy Detail'!$B$13)</t>
        </is>
      </c>
      <c r="D691" s="5">
        <v>48</v>
      </c>
    </row>
    <row r="692">
      <c r="A692" s="4" t="inlineStr">
        <is>
          <t xml:space="preserve">B34</t>
        </is>
      </c>
      <c r="B692" s="4" t="inlineStr">
        <is>
          <t xml:space="preserve">B34</t>
        </is>
      </c>
      <c r="C692" s="4" t="inlineStr">
        <is>
          <t xml:space="preserve">SUMIFS('[1]Deploy Detail'!$H$225:$H$236,'[1]Deploy Detail'!$E$225:$E$236,B$4,'[1]Deploy Detail'!$D$225:$D$236,"&gt;"&amp;'[1]Deploy Detail'!$B$13)+SUMIFS('[1]Deploy Detail'!$H$239:$H$250,'[1]Deploy Detail'!$E$239:$E$250,B$4,'[1]Deploy Detail'!$D$239:$D$250,"&gt;"&amp;'[1]Deploy Detail'!$B$13)</t>
        </is>
      </c>
      <c r="D692" s="5">
        <v>0</v>
      </c>
    </row>
    <row r="693">
      <c r="A693" s="4" t="inlineStr">
        <is>
          <t xml:space="preserve">C34</t>
        </is>
      </c>
      <c r="B693" s="4" t="inlineStr">
        <is>
          <t xml:space="preserve">C34</t>
        </is>
      </c>
      <c r="C693" s="4" t="inlineStr">
        <is>
          <t xml:space="preserve">SUMIFS('[1]Deploy Detail'!$H$225:$H$236,'[1]Deploy Detail'!$E$225:$E$236,C$4,'[1]Deploy Detail'!$D$225:$D$236,"&gt;"&amp;'[1]Deploy Detail'!$B$13)+SUMIFS('[1]Deploy Detail'!$H$239:$H$250,'[1]Deploy Detail'!$E$239:$E$250,C$4,'[1]Deploy Detail'!$D$239:$D$250,"&gt;"&amp;'[1]Deploy Detail'!$B$13)</t>
        </is>
      </c>
      <c r="D693" s="5">
        <v>0</v>
      </c>
    </row>
    <row r="694">
      <c r="A694" s="4" t="inlineStr">
        <is>
          <t xml:space="preserve">D34</t>
        </is>
      </c>
      <c r="B694" s="4" t="inlineStr">
        <is>
          <t xml:space="preserve">D34</t>
        </is>
      </c>
      <c r="C694" s="4" t="inlineStr">
        <is>
          <t xml:space="preserve">SUMIFS('[1]Deploy Detail'!$H$225:$H$236,'[1]Deploy Detail'!$E$225:$E$236,D$4,'[1]Deploy Detail'!$D$225:$D$236,"&gt;"&amp;'[1]Deploy Detail'!$B$13)+SUMIFS('[1]Deploy Detail'!$H$239:$H$250,'[1]Deploy Detail'!$E$239:$E$250,D$4,'[1]Deploy Detail'!$D$239:$D$250,"&gt;"&amp;'[1]Deploy Detail'!$B$13)</t>
        </is>
      </c>
      <c r="D694" s="5">
        <v>0</v>
      </c>
    </row>
    <row r="695">
      <c r="A695" s="4" t="inlineStr">
        <is>
          <t xml:space="preserve">E34</t>
        </is>
      </c>
      <c r="B695" s="4" t="inlineStr">
        <is>
          <t xml:space="preserve">E34</t>
        </is>
      </c>
      <c r="C695" s="4" t="inlineStr">
        <is>
          <t xml:space="preserve">SUMIFS('[1]Deploy Detail'!$H$225:$H$236,'[1]Deploy Detail'!$E$225:$E$236,E$4,'[1]Deploy Detail'!$D$225:$D$236,"&gt;"&amp;'[1]Deploy Detail'!$B$13)+SUMIFS('[1]Deploy Detail'!$H$239:$H$250,'[1]Deploy Detail'!$E$239:$E$250,E$4,'[1]Deploy Detail'!$D$239:$D$250,"&gt;"&amp;'[1]Deploy Detail'!$B$13)</t>
        </is>
      </c>
      <c r="D695" s="5">
        <v>0</v>
      </c>
    </row>
    <row r="696">
      <c r="A696" s="4" t="inlineStr">
        <is>
          <t xml:space="preserve">F34</t>
        </is>
      </c>
      <c r="B696" s="4" t="inlineStr">
        <is>
          <t xml:space="preserve">F34</t>
        </is>
      </c>
      <c r="C696" s="4" t="inlineStr">
        <is>
          <t xml:space="preserve">SUMIFS('[1]Deploy Detail'!$H$225:$H$236,'[1]Deploy Detail'!$E$225:$E$236,F$4,'[1]Deploy Detail'!$D$225:$D$236,"&gt;"&amp;'[1]Deploy Detail'!$B$13)+SUMIFS('[1]Deploy Detail'!$H$239:$H$250,'[1]Deploy Detail'!$E$239:$E$250,F$4,'[1]Deploy Detail'!$D$239:$D$250,"&gt;"&amp;'[1]Deploy Detail'!$B$13)</t>
        </is>
      </c>
      <c r="D696" s="5">
        <v>0</v>
      </c>
    </row>
    <row r="697">
      <c r="A697" s="4" t="inlineStr">
        <is>
          <t xml:space="preserve">G34</t>
        </is>
      </c>
      <c r="B697" s="4" t="inlineStr">
        <is>
          <t xml:space="preserve">G34</t>
        </is>
      </c>
      <c r="C697" s="4" t="inlineStr">
        <is>
          <t xml:space="preserve">SUMIFS('[1]Deploy Detail'!$H$225:$H$236,'[1]Deploy Detail'!$E$225:$E$236,G$4,'[1]Deploy Detail'!$D$225:$D$236,"&gt;"&amp;'[1]Deploy Detail'!$B$13)+SUMIFS('[1]Deploy Detail'!$H$239:$H$250,'[1]Deploy Detail'!$E$239:$E$250,G$4,'[1]Deploy Detail'!$D$239:$D$250,"&gt;"&amp;'[1]Deploy Detail'!$B$13)</t>
        </is>
      </c>
      <c r="D697" s="5">
        <v>0</v>
      </c>
    </row>
    <row r="698">
      <c r="A698" s="4" t="inlineStr">
        <is>
          <t xml:space="preserve">H34</t>
        </is>
      </c>
      <c r="B698" s="4" t="inlineStr">
        <is>
          <t xml:space="preserve">H34</t>
        </is>
      </c>
      <c r="C698" s="4" t="inlineStr">
        <is>
          <t xml:space="preserve">SUMIFS('[1]Deploy Detail'!$H$225:$H$236,'[1]Deploy Detail'!$E$225:$E$236,H$4,'[1]Deploy Detail'!$D$225:$D$236,"&gt;"&amp;'[1]Deploy Detail'!$B$13)+SUMIFS('[1]Deploy Detail'!$H$239:$H$250,'[1]Deploy Detail'!$E$239:$E$250,H$4,'[1]Deploy Detail'!$D$239:$D$250,"&gt;"&amp;'[1]Deploy Detail'!$B$13)</t>
        </is>
      </c>
      <c r="D698" s="5">
        <v>0</v>
      </c>
    </row>
    <row r="699">
      <c r="A699" s="4" t="inlineStr">
        <is>
          <t xml:space="preserve">I34</t>
        </is>
      </c>
      <c r="B699" s="4" t="inlineStr">
        <is>
          <t xml:space="preserve">I34</t>
        </is>
      </c>
      <c r="C699" s="4" t="inlineStr">
        <is>
          <t xml:space="preserve">SUMIFS('[1]Deploy Detail'!$H$225:$H$236,'[1]Deploy Detail'!$E$225:$E$236,I$4,'[1]Deploy Detail'!$D$225:$D$236,"&gt;"&amp;'[1]Deploy Detail'!$B$13)+SUMIFS('[1]Deploy Detail'!$H$239:$H$250,'[1]Deploy Detail'!$E$239:$E$250,I$4,'[1]Deploy Detail'!$D$239:$D$250,"&gt;"&amp;'[1]Deploy Detail'!$B$13)</t>
        </is>
      </c>
      <c r="D699" s="5">
        <v>0</v>
      </c>
    </row>
    <row r="700">
      <c r="A700" s="4" t="inlineStr">
        <is>
          <t xml:space="preserve">J34</t>
        </is>
      </c>
      <c r="B700" s="4" t="inlineStr">
        <is>
          <t xml:space="preserve">J34</t>
        </is>
      </c>
      <c r="C700" s="4" t="inlineStr">
        <is>
          <t xml:space="preserve">SUMIFS('[1]Deploy Detail'!$H$225:$H$236,'[1]Deploy Detail'!$E$225:$E$236,J$4,'[1]Deploy Detail'!$D$225:$D$236,"&gt;"&amp;'[1]Deploy Detail'!$B$13)+SUMIFS('[1]Deploy Detail'!$H$239:$H$250,'[1]Deploy Detail'!$E$239:$E$250,J$4,'[1]Deploy Detail'!$D$239:$D$250,"&gt;"&amp;'[1]Deploy Detail'!$B$13)</t>
        </is>
      </c>
      <c r="D700" s="5">
        <v>0</v>
      </c>
    </row>
    <row r="701">
      <c r="A701" s="4" t="inlineStr">
        <is>
          <t xml:space="preserve">K34</t>
        </is>
      </c>
      <c r="B701" s="4" t="inlineStr">
        <is>
          <t xml:space="preserve">K34</t>
        </is>
      </c>
      <c r="C701" s="4" t="inlineStr">
        <is>
          <t xml:space="preserve">SUMIFS('[1]Deploy Detail'!$H$225:$H$236,'[1]Deploy Detail'!$E$225:$E$236,K$4,'[1]Deploy Detail'!$D$225:$D$236,"&gt;"&amp;'[1]Deploy Detail'!$B$13)+SUMIFS('[1]Deploy Detail'!$H$239:$H$250,'[1]Deploy Detail'!$E$239:$E$250,K$4,'[1]Deploy Detail'!$D$239:$D$250,"&gt;"&amp;'[1]Deploy Detail'!$B$13)</t>
        </is>
      </c>
      <c r="D701" s="5">
        <v>0</v>
      </c>
    </row>
    <row r="702">
      <c r="A702" s="4" t="inlineStr">
        <is>
          <t xml:space="preserve">L34</t>
        </is>
      </c>
      <c r="B702" s="4" t="inlineStr">
        <is>
          <t xml:space="preserve">L34</t>
        </is>
      </c>
      <c r="C702" s="4" t="inlineStr">
        <is>
          <t xml:space="preserve">SUMIFS('[1]Deploy Detail'!$H$225:$H$236,'[1]Deploy Detail'!$E$225:$E$236,L$4,'[1]Deploy Detail'!$D$225:$D$236,"&gt;"&amp;'[1]Deploy Detail'!$B$13)+SUMIFS('[1]Deploy Detail'!$H$239:$H$250,'[1]Deploy Detail'!$E$239:$E$250,L$4,'[1]Deploy Detail'!$D$239:$D$250,"&gt;"&amp;'[1]Deploy Detail'!$B$13)</t>
        </is>
      </c>
      <c r="D702" s="5">
        <v>0</v>
      </c>
    </row>
    <row r="703">
      <c r="A703" s="4" t="inlineStr">
        <is>
          <t xml:space="preserve">M34</t>
        </is>
      </c>
      <c r="B703" s="4" t="inlineStr">
        <is>
          <t xml:space="preserve">M34</t>
        </is>
      </c>
      <c r="C703" s="4" t="inlineStr">
        <is>
          <t xml:space="preserve">SUMIFS('[1]Deploy Detail'!$H$225:$H$236,'[1]Deploy Detail'!$E$225:$E$236,M$4,'[1]Deploy Detail'!$D$225:$D$236,"&gt;"&amp;'[1]Deploy Detail'!$B$13)+SUMIFS('[1]Deploy Detail'!$H$239:$H$250,'[1]Deploy Detail'!$E$239:$E$250,M$4,'[1]Deploy Detail'!$D$239:$D$250,"&gt;"&amp;'[1]Deploy Detail'!$B$13)</t>
        </is>
      </c>
      <c r="D703" s="5">
        <v>0</v>
      </c>
    </row>
    <row r="704">
      <c r="A704" s="4" t="inlineStr">
        <is>
          <t xml:space="preserve">N34</t>
        </is>
      </c>
      <c r="B704" s="4" t="inlineStr">
        <is>
          <t xml:space="preserve">N34</t>
        </is>
      </c>
      <c r="C704" s="4" t="inlineStr">
        <is>
          <t xml:space="preserve">SUMIFS('[1]Deploy Detail'!$H$225:$H$236,'[1]Deploy Detail'!$E$225:$E$236,N$4,'[1]Deploy Detail'!$D$225:$D$236,"&gt;"&amp;'[1]Deploy Detail'!$B$13)+SUMIFS('[1]Deploy Detail'!$H$239:$H$250,'[1]Deploy Detail'!$E$239:$E$250,N$4,'[1]Deploy Detail'!$D$239:$D$250,"&gt;"&amp;'[1]Deploy Detail'!$B$13)</t>
        </is>
      </c>
      <c r="D704" s="5">
        <v>0</v>
      </c>
    </row>
    <row r="705">
      <c r="A705" s="4" t="inlineStr">
        <is>
          <t xml:space="preserve">O34</t>
        </is>
      </c>
      <c r="B705" s="4" t="inlineStr">
        <is>
          <t xml:space="preserve">O34</t>
        </is>
      </c>
      <c r="C705" s="4" t="inlineStr">
        <is>
          <t xml:space="preserve">SUMIFS('[1]Deploy Detail'!$H$225:$H$236,'[1]Deploy Detail'!$E$225:$E$236,O$4,'[1]Deploy Detail'!$D$225:$D$236,"&gt;"&amp;'[1]Deploy Detail'!$B$13)+SUMIFS('[1]Deploy Detail'!$H$239:$H$250,'[1]Deploy Detail'!$E$239:$E$250,O$4,'[1]Deploy Detail'!$D$239:$D$250,"&gt;"&amp;'[1]Deploy Detail'!$B$13)</t>
        </is>
      </c>
      <c r="D705" s="5">
        <v>0</v>
      </c>
    </row>
    <row r="706">
      <c r="A706" s="4" t="inlineStr">
        <is>
          <t xml:space="preserve">P34</t>
        </is>
      </c>
      <c r="B706" s="4" t="inlineStr">
        <is>
          <t xml:space="preserve">P34</t>
        </is>
      </c>
      <c r="C706" s="4" t="inlineStr">
        <is>
          <t xml:space="preserve">SUMIFS('[1]Deploy Detail'!$H$225:$H$236,'[1]Deploy Detail'!$E$225:$E$236,P$4,'[1]Deploy Detail'!$D$225:$D$236,"&gt;"&amp;'[1]Deploy Detail'!$B$13)+SUMIFS('[1]Deploy Detail'!$H$239:$H$250,'[1]Deploy Detail'!$E$239:$E$250,P$4,'[1]Deploy Detail'!$D$239:$D$250,"&gt;"&amp;'[1]Deploy Detail'!$B$13)</t>
        </is>
      </c>
      <c r="D706" s="5">
        <v>183</v>
      </c>
    </row>
    <row r="707">
      <c r="A707" s="4" t="inlineStr">
        <is>
          <t xml:space="preserve">Q34</t>
        </is>
      </c>
      <c r="B707" s="4" t="inlineStr">
        <is>
          <t xml:space="preserve">Q34</t>
        </is>
      </c>
      <c r="C707" s="4" t="inlineStr">
        <is>
          <t xml:space="preserve">SUMIFS('[1]Deploy Detail'!$H$225:$H$236,'[1]Deploy Detail'!$E$225:$E$236,Q$4,'[1]Deploy Detail'!$D$225:$D$236,"&gt;"&amp;'[1]Deploy Detail'!$B$13)+SUMIFS('[1]Deploy Detail'!$H$239:$H$250,'[1]Deploy Detail'!$E$239:$E$250,Q$4,'[1]Deploy Detail'!$D$239:$D$250,"&gt;"&amp;'[1]Deploy Detail'!$B$13)</t>
        </is>
      </c>
      <c r="D707" s="5">
        <v>220</v>
      </c>
    </row>
    <row r="708">
      <c r="A708" s="4" t="inlineStr">
        <is>
          <t xml:space="preserve">B35</t>
        </is>
      </c>
      <c r="B708" s="4" t="inlineStr">
        <is>
          <t xml:space="preserve">B35</t>
        </is>
      </c>
      <c r="C708" s="4" t="inlineStr">
        <is>
          <t xml:space="preserve">B33*([1]Deploy!$B$7+[1]Deploy!$B$14)+B34*[1]Deploy!$B$8</t>
        </is>
      </c>
      <c r="D708" s="5">
        <v>0</v>
      </c>
    </row>
    <row r="709">
      <c r="A709" s="4" t="inlineStr">
        <is>
          <t xml:space="preserve">C35</t>
        </is>
      </c>
      <c r="B709" s="4" t="inlineStr">
        <is>
          <t xml:space="preserve">C35</t>
        </is>
      </c>
      <c r="C709" s="4" t="inlineStr">
        <is>
          <t xml:space="preserve">C33*([1]Deploy!$B$7+[1]Deploy!$B$14)+C34*[1]Deploy!$B$8</t>
        </is>
      </c>
      <c r="D709" s="5">
        <v>0</v>
      </c>
    </row>
    <row r="710">
      <c r="A710" s="4" t="inlineStr">
        <is>
          <t xml:space="preserve">D35</t>
        </is>
      </c>
      <c r="B710" s="4" t="inlineStr">
        <is>
          <t xml:space="preserve">D35</t>
        </is>
      </c>
      <c r="C710" s="4" t="inlineStr">
        <is>
          <t xml:space="preserve">D33*([1]Deploy!$B$7+[1]Deploy!$B$14)+D34*[1]Deploy!$B$8</t>
        </is>
      </c>
      <c r="D710" s="5">
        <v>0</v>
      </c>
    </row>
    <row r="711">
      <c r="A711" s="4" t="inlineStr">
        <is>
          <t xml:space="preserve">E35</t>
        </is>
      </c>
      <c r="B711" s="4" t="inlineStr">
        <is>
          <t xml:space="preserve">E35</t>
        </is>
      </c>
      <c r="C711" s="4" t="inlineStr">
        <is>
          <t xml:space="preserve">E33*([1]Deploy!$B$7+[1]Deploy!$B$14)+E34*[1]Deploy!$B$8</t>
        </is>
      </c>
      <c r="D711" s="5">
        <v>0</v>
      </c>
    </row>
    <row r="712">
      <c r="A712" s="4" t="inlineStr">
        <is>
          <t xml:space="preserve">F35</t>
        </is>
      </c>
      <c r="B712" s="4" t="inlineStr">
        <is>
          <t xml:space="preserve">F35</t>
        </is>
      </c>
      <c r="C712" s="4" t="inlineStr">
        <is>
          <t xml:space="preserve">F33*([1]Deploy!$B$7+[1]Deploy!$B$14)+F34*[1]Deploy!$B$8</t>
        </is>
      </c>
      <c r="D712" s="5">
        <v>0</v>
      </c>
    </row>
    <row r="713">
      <c r="A713" s="4" t="inlineStr">
        <is>
          <t xml:space="preserve">G35</t>
        </is>
      </c>
      <c r="B713" s="4" t="inlineStr">
        <is>
          <t xml:space="preserve">G35</t>
        </is>
      </c>
      <c r="C713" s="4" t="inlineStr">
        <is>
          <t xml:space="preserve">G33*([1]Deploy!$B$7+[1]Deploy!$B$14)+G34*[1]Deploy!$B$8</t>
        </is>
      </c>
      <c r="D713" s="5">
        <v>0</v>
      </c>
    </row>
    <row r="714">
      <c r="A714" s="4" t="inlineStr">
        <is>
          <t xml:space="preserve">H35</t>
        </is>
      </c>
      <c r="B714" s="4" t="inlineStr">
        <is>
          <t xml:space="preserve">H35</t>
        </is>
      </c>
      <c r="C714" s="4" t="inlineStr">
        <is>
          <t xml:space="preserve">H33*([1]Deploy!$B$7+[1]Deploy!$B$14)+H34*[1]Deploy!$B$8</t>
        </is>
      </c>
      <c r="D714" s="5">
        <v>0</v>
      </c>
    </row>
    <row r="715">
      <c r="A715" s="4" t="inlineStr">
        <is>
          <t xml:space="preserve">I35</t>
        </is>
      </c>
      <c r="B715" s="4" t="inlineStr">
        <is>
          <t xml:space="preserve">I35</t>
        </is>
      </c>
      <c r="C715" s="4" t="inlineStr">
        <is>
          <t xml:space="preserve">I33*([1]Deploy!$B$7+[1]Deploy!$B$14)+I34*[1]Deploy!$B$8</t>
        </is>
      </c>
      <c r="D715" s="5">
        <v>0</v>
      </c>
    </row>
    <row r="716">
      <c r="A716" s="4" t="inlineStr">
        <is>
          <t xml:space="preserve">J35</t>
        </is>
      </c>
      <c r="B716" s="4" t="inlineStr">
        <is>
          <t xml:space="preserve">J35</t>
        </is>
      </c>
      <c r="C716" s="4" t="inlineStr">
        <is>
          <t xml:space="preserve">J33*([1]Deploy!$B$7+[1]Deploy!$B$14)+J34*[1]Deploy!$B$8</t>
        </is>
      </c>
      <c r="D716" s="5">
        <v>0</v>
      </c>
    </row>
    <row r="717">
      <c r="A717" s="4" t="inlineStr">
        <is>
          <t xml:space="preserve">K35</t>
        </is>
      </c>
      <c r="B717" s="4" t="inlineStr">
        <is>
          <t xml:space="preserve">K35</t>
        </is>
      </c>
      <c r="C717" s="4" t="inlineStr">
        <is>
          <t xml:space="preserve">K33*([1]Deploy!$B$7+[1]Deploy!$B$14)+K34*[1]Deploy!$B$8</t>
        </is>
      </c>
      <c r="D717" s="5">
        <v>0</v>
      </c>
    </row>
    <row r="718">
      <c r="A718" s="4" t="inlineStr">
        <is>
          <t xml:space="preserve">L35</t>
        </is>
      </c>
      <c r="B718" s="4" t="inlineStr">
        <is>
          <t xml:space="preserve">L35</t>
        </is>
      </c>
      <c r="C718" s="4" t="inlineStr">
        <is>
          <t xml:space="preserve">L33*([1]Deploy!$B$7+[1]Deploy!$B$14)+L34*[1]Deploy!$B$8</t>
        </is>
      </c>
      <c r="D718" s="5">
        <v>0</v>
      </c>
    </row>
    <row r="719">
      <c r="A719" s="4" t="inlineStr">
        <is>
          <t xml:space="preserve">M35</t>
        </is>
      </c>
      <c r="B719" s="4" t="inlineStr">
        <is>
          <t xml:space="preserve">M35</t>
        </is>
      </c>
      <c r="C719" s="4" t="inlineStr">
        <is>
          <t xml:space="preserve">M33*([1]Deploy!$B$7+[1]Deploy!$B$14)+M34*[1]Deploy!$B$8</t>
        </is>
      </c>
      <c r="D719" s="5">
        <v>0</v>
      </c>
    </row>
    <row r="720">
      <c r="A720" s="4" t="inlineStr">
        <is>
          <t xml:space="preserve">N35</t>
        </is>
      </c>
      <c r="B720" s="4" t="inlineStr">
        <is>
          <t xml:space="preserve">N35</t>
        </is>
      </c>
      <c r="C720" s="4" t="inlineStr">
        <is>
          <t xml:space="preserve">N33*([1]Deploy!$B$7+[1]Deploy!$B$14)+N34*[1]Deploy!$B$8</t>
        </is>
      </c>
      <c r="D720" s="5">
        <v>0</v>
      </c>
    </row>
    <row r="721">
      <c r="A721" s="4" t="inlineStr">
        <is>
          <t xml:space="preserve">O35</t>
        </is>
      </c>
      <c r="B721" s="4" t="inlineStr">
        <is>
          <t xml:space="preserve">O35</t>
        </is>
      </c>
      <c r="C721" s="4" t="inlineStr">
        <is>
          <t xml:space="preserve">O33*([1]Deploy!$B$7+[1]Deploy!$B$14)+O34*[1]Deploy!$B$8</t>
        </is>
      </c>
      <c r="D721" s="5">
        <v>0</v>
      </c>
    </row>
    <row r="722">
      <c r="A722" s="4" t="inlineStr">
        <is>
          <t xml:space="preserve">P35</t>
        </is>
      </c>
      <c r="B722" s="4" t="inlineStr">
        <is>
          <t xml:space="preserve">P35</t>
        </is>
      </c>
      <c r="C722" s="4" t="inlineStr">
        <is>
          <t xml:space="preserve">P33*([1]Deploy!$B$7+[1]Deploy!$B$14)+P34*[1]Deploy!$B$8</t>
        </is>
      </c>
      <c r="D722" s="5">
        <v>4367775</v>
      </c>
    </row>
    <row r="723">
      <c r="A723" s="4" t="inlineStr">
        <is>
          <t xml:space="preserve">Q35</t>
        </is>
      </c>
      <c r="B723" s="4" t="inlineStr">
        <is>
          <t xml:space="preserve">Q35</t>
        </is>
      </c>
      <c r="C723" s="4" t="inlineStr">
        <is>
          <t xml:space="preserve">Q33*([1]Deploy!$B$7+[1]Deploy!$B$14)+Q34*[1]Deploy!$B$8</t>
        </is>
      </c>
      <c r="D723" s="5">
        <v>5078600</v>
      </c>
    </row>
    <row r="724">
      <c r="A724" s="4" t="inlineStr">
        <is>
          <t xml:space="preserve">R35</t>
        </is>
      </c>
      <c r="B724" s="4" t="inlineStr">
        <is>
          <t xml:space="preserve">R35</t>
        </is>
      </c>
      <c r="C724" s="4" t="inlineStr">
        <is>
          <t xml:space="preserve">R33*([1]Deploy!$B$7+[1]Deploy!$B$14)+R34*[1]Deploy!$B$8</t>
        </is>
      </c>
      <c r="D724" s="5">
        <v>9446375</v>
      </c>
    </row>
    <row r="725">
      <c r="A725" s="4" t="inlineStr">
        <is>
          <t xml:space="preserve">B38</t>
        </is>
      </c>
      <c r="B725" s="4" t="inlineStr">
        <is>
          <t xml:space="preserve">B38</t>
        </is>
      </c>
      <c r="C725" s="4" t="inlineStr">
        <is>
          <t xml:space="preserve">'[1]Revenue Roll-up'!D24</t>
        </is>
      </c>
      <c r="D725" s="5">
        <v>7941700</v>
      </c>
    </row>
    <row r="726">
      <c r="A726" s="4" t="inlineStr">
        <is>
          <t xml:space="preserve">C38</t>
        </is>
      </c>
      <c r="B726" s="4" t="inlineStr">
        <is>
          <t xml:space="preserve">C38</t>
        </is>
      </c>
      <c r="C726" s="4" t="inlineStr">
        <is>
          <t xml:space="preserve">'[1]Revenue Roll-up'!E24</t>
        </is>
      </c>
      <c r="D726" s="5">
        <v>7941700</v>
      </c>
    </row>
    <row r="727">
      <c r="A727" s="4" t="inlineStr">
        <is>
          <t xml:space="preserve">D38</t>
        </is>
      </c>
      <c r="B727" s="4" t="inlineStr">
        <is>
          <t xml:space="preserve">D38</t>
        </is>
      </c>
      <c r="C727" s="4" t="inlineStr">
        <is>
          <t xml:space="preserve">'[1]Revenue Roll-up'!F24</t>
        </is>
      </c>
      <c r="D727" s="5">
        <v>9573700</v>
      </c>
    </row>
    <row r="728">
      <c r="A728" s="4" t="inlineStr">
        <is>
          <t xml:space="preserve">E38</t>
        </is>
      </c>
      <c r="B728" s="4" t="inlineStr">
        <is>
          <t xml:space="preserve">E38</t>
        </is>
      </c>
      <c r="C728" s="4" t="inlineStr">
        <is>
          <t xml:space="preserve">'[1]Revenue Roll-up'!G24</t>
        </is>
      </c>
      <c r="D728" s="5">
        <v>10205700</v>
      </c>
    </row>
    <row r="729">
      <c r="A729" s="4" t="inlineStr">
        <is>
          <t xml:space="preserve">F38</t>
        </is>
      </c>
      <c r="B729" s="4" t="inlineStr">
        <is>
          <t xml:space="preserve">F38</t>
        </is>
      </c>
      <c r="C729" s="4" t="inlineStr">
        <is>
          <t xml:space="preserve">'[1]Revenue Roll-up'!H24</t>
        </is>
      </c>
      <c r="D729" s="5">
        <v>11238747.5</v>
      </c>
    </row>
    <row r="730">
      <c r="A730" s="4" t="inlineStr">
        <is>
          <t xml:space="preserve">G38</t>
        </is>
      </c>
      <c r="B730" s="4" t="inlineStr">
        <is>
          <t xml:space="preserve">G38</t>
        </is>
      </c>
      <c r="C730" s="4" t="inlineStr">
        <is>
          <t xml:space="preserve">'[1]Revenue Roll-up'!I24</t>
        </is>
      </c>
      <c r="D730" s="5">
        <v>12271795</v>
      </c>
    </row>
    <row r="731">
      <c r="A731" s="4" t="inlineStr">
        <is>
          <t xml:space="preserve">H38</t>
        </is>
      </c>
      <c r="B731" s="4" t="inlineStr">
        <is>
          <t xml:space="preserve">H38</t>
        </is>
      </c>
      <c r="C731" s="4" t="inlineStr">
        <is>
          <t xml:space="preserve">'[1]Revenue Roll-up'!J24</t>
        </is>
      </c>
      <c r="D731" s="5">
        <v>13620842.5</v>
      </c>
    </row>
    <row r="732">
      <c r="A732" s="4" t="inlineStr">
        <is>
          <t xml:space="preserve">I38</t>
        </is>
      </c>
      <c r="B732" s="4" t="inlineStr">
        <is>
          <t xml:space="preserve">I38</t>
        </is>
      </c>
      <c r="C732" s="4" t="inlineStr">
        <is>
          <t xml:space="preserve">'[1]Revenue Roll-up'!K24</t>
        </is>
      </c>
      <c r="D732" s="5">
        <v>14969890</v>
      </c>
    </row>
    <row r="733">
      <c r="A733" s="4" t="inlineStr">
        <is>
          <t xml:space="preserve">J38</t>
        </is>
      </c>
      <c r="B733" s="4" t="inlineStr">
        <is>
          <t xml:space="preserve">J38</t>
        </is>
      </c>
      <c r="C733" s="4" t="inlineStr">
        <is>
          <t xml:space="preserve">'[1]Revenue Roll-up'!L24</t>
        </is>
      </c>
      <c r="D733" s="5">
        <v>16701297.5</v>
      </c>
    </row>
    <row r="734">
      <c r="A734" s="4" t="inlineStr">
        <is>
          <t xml:space="preserve">K38</t>
        </is>
      </c>
      <c r="B734" s="4" t="inlineStr">
        <is>
          <t xml:space="preserve">K38</t>
        </is>
      </c>
      <c r="C734" s="4" t="inlineStr">
        <is>
          <t xml:space="preserve">'[1]Revenue Roll-up'!M24</t>
        </is>
      </c>
      <c r="D734" s="5">
        <v>18815065</v>
      </c>
    </row>
    <row r="735">
      <c r="A735" s="4" t="inlineStr">
        <is>
          <t xml:space="preserve">L38</t>
        </is>
      </c>
      <c r="B735" s="4" t="inlineStr">
        <is>
          <t xml:space="preserve">L38</t>
        </is>
      </c>
      <c r="C735" s="4" t="inlineStr">
        <is>
          <t xml:space="preserve">'[1]Revenue Roll-up'!N24</t>
        </is>
      </c>
      <c r="D735" s="5">
        <v>21017312.5</v>
      </c>
    </row>
    <row r="736">
      <c r="A736" s="4" t="inlineStr">
        <is>
          <t xml:space="preserve">M38</t>
        </is>
      </c>
      <c r="B736" s="4" t="inlineStr">
        <is>
          <t xml:space="preserve">M38</t>
        </is>
      </c>
      <c r="C736" s="4" t="inlineStr">
        <is>
          <t xml:space="preserve">'[1]Revenue Roll-up'!O24</t>
        </is>
      </c>
      <c r="D736" s="5">
        <v>23574744</v>
      </c>
    </row>
    <row r="737">
      <c r="A737" s="4" t="inlineStr">
        <is>
          <t xml:space="preserve">N38</t>
        </is>
      </c>
      <c r="B737" s="4" t="inlineStr">
        <is>
          <t xml:space="preserve">N38</t>
        </is>
      </c>
      <c r="C737" s="4" t="inlineStr">
        <is>
          <t xml:space="preserve">'[1]Revenue Roll-up'!P24</t>
        </is>
      </c>
      <c r="D737" s="5">
        <v>26509479.5</v>
      </c>
    </row>
    <row r="738">
      <c r="A738" s="4" t="inlineStr">
        <is>
          <t xml:space="preserve">O38</t>
        </is>
      </c>
      <c r="B738" s="4" t="inlineStr">
        <is>
          <t xml:space="preserve">O38</t>
        </is>
      </c>
      <c r="C738" s="4" t="inlineStr">
        <is>
          <t xml:space="preserve">'[1]Revenue Roll-up'!Q24</t>
        </is>
      </c>
      <c r="D738" s="5">
        <v>29827207</v>
      </c>
    </row>
    <row r="739">
      <c r="A739" s="4" t="inlineStr">
        <is>
          <t xml:space="preserve">P38</t>
        </is>
      </c>
      <c r="B739" s="4" t="inlineStr">
        <is>
          <t xml:space="preserve">P38</t>
        </is>
      </c>
      <c r="C739" s="4" t="inlineStr">
        <is>
          <t xml:space="preserve">'[1]Revenue Roll-up'!R24</t>
        </is>
      </c>
      <c r="D739" s="5">
        <v>33527926.5</v>
      </c>
    </row>
    <row r="740">
      <c r="A740" s="4" t="inlineStr">
        <is>
          <t xml:space="preserve">Q38</t>
        </is>
      </c>
      <c r="B740" s="4" t="inlineStr">
        <is>
          <t xml:space="preserve">Q38</t>
        </is>
      </c>
      <c r="C740" s="4" t="inlineStr">
        <is>
          <t xml:space="preserve">'[1]Revenue Roll-up'!S24</t>
        </is>
      </c>
      <c r="D740" s="5">
        <v>37617326</v>
      </c>
    </row>
    <row r="741">
      <c r="A741" s="4" t="inlineStr">
        <is>
          <t xml:space="preserve">R38</t>
        </is>
      </c>
      <c r="B741" s="4" t="inlineStr">
        <is>
          <t xml:space="preserve">R38</t>
        </is>
      </c>
      <c r="C741" s="4" t="inlineStr">
        <is>
          <t xml:space="preserve">'[1]Revenue Roll-up'!S24</t>
        </is>
      </c>
      <c r="D741" s="5">
        <v>37617326</v>
      </c>
    </row>
    <row r="742">
      <c r="A742" s="4" t="inlineStr">
        <is>
          <t xml:space="preserve">B40</t>
        </is>
      </c>
      <c r="B742" s="4" t="inlineStr">
        <is>
          <t xml:space="preserve">B39</t>
        </is>
      </c>
      <c r="C742" s="4" t="inlineStr">
        <is>
          <t xml:space="preserve">'[1]Revenue Roll-up'!D38</t>
        </is>
      </c>
      <c r="D742" s="5">
        <v>570291.5</v>
      </c>
    </row>
    <row r="743">
      <c r="A743" s="4" t="inlineStr">
        <is>
          <t xml:space="preserve">C40</t>
        </is>
      </c>
      <c r="B743" s="4" t="inlineStr">
        <is>
          <t xml:space="preserve">C39</t>
        </is>
      </c>
      <c r="C743" s="4" t="inlineStr">
        <is>
          <t xml:space="preserve">'[1]Revenue Roll-up'!E38</t>
        </is>
      </c>
      <c r="D743" s="5">
        <v>632828</v>
      </c>
    </row>
    <row r="744">
      <c r="A744" s="4" t="inlineStr">
        <is>
          <t xml:space="preserve">D40</t>
        </is>
      </c>
      <c r="B744" s="4" t="inlineStr">
        <is>
          <t xml:space="preserve">D39</t>
        </is>
      </c>
      <c r="C744" s="4" t="inlineStr">
        <is>
          <t xml:space="preserve">'[1]Revenue Roll-up'!F38</t>
        </is>
      </c>
      <c r="D744" s="5">
        <v>662103</v>
      </c>
    </row>
    <row r="745">
      <c r="A745" s="4" t="inlineStr">
        <is>
          <t xml:space="preserve">E40</t>
        </is>
      </c>
      <c r="B745" s="4" t="inlineStr">
        <is>
          <t xml:space="preserve">E39</t>
        </is>
      </c>
      <c r="C745" s="4" t="inlineStr">
        <is>
          <t xml:space="preserve">'[1]Revenue Roll-up'!G38</t>
        </is>
      </c>
      <c r="D745" s="5">
        <v>662103</v>
      </c>
    </row>
    <row r="746">
      <c r="A746" s="4" t="inlineStr">
        <is>
          <t xml:space="preserve">F40</t>
        </is>
      </c>
      <c r="B746" s="4" t="inlineStr">
        <is>
          <t xml:space="preserve">F39</t>
        </is>
      </c>
      <c r="C746" s="4" t="inlineStr">
        <is>
          <t xml:space="preserve">'[1]Revenue Roll-up'!H38</t>
        </is>
      </c>
      <c r="D746" s="5">
        <v>783428.416666667</v>
      </c>
    </row>
    <row r="747">
      <c r="A747" s="4" t="inlineStr">
        <is>
          <t xml:space="preserve">G40</t>
        </is>
      </c>
      <c r="B747" s="4" t="inlineStr">
        <is>
          <t xml:space="preserve">G39</t>
        </is>
      </c>
      <c r="C747" s="4" t="inlineStr">
        <is>
          <t xml:space="preserve">'[1]Revenue Roll-up'!I38</t>
        </is>
      </c>
      <c r="D747" s="5">
        <v>821920.5</v>
      </c>
    </row>
    <row r="748">
      <c r="A748" s="4" t="inlineStr">
        <is>
          <t xml:space="preserve">H40</t>
        </is>
      </c>
      <c r="B748" s="4" t="inlineStr">
        <is>
          <t xml:space="preserve">H39</t>
        </is>
      </c>
      <c r="C748" s="4" t="inlineStr">
        <is>
          <t xml:space="preserve">'[1]Revenue Roll-up'!J38</t>
        </is>
      </c>
      <c r="D748" s="5">
        <v>807745.916666667</v>
      </c>
    </row>
    <row r="749">
      <c r="A749" s="4" t="inlineStr">
        <is>
          <t xml:space="preserve">I40</t>
        </is>
      </c>
      <c r="B749" s="4" t="inlineStr">
        <is>
          <t xml:space="preserve">I39</t>
        </is>
      </c>
      <c r="C749" s="4" t="inlineStr">
        <is>
          <t xml:space="preserve">'[1]Revenue Roll-up'!K38</t>
        </is>
      </c>
      <c r="D749" s="5">
        <v>907121.875</v>
      </c>
    </row>
    <row r="750">
      <c r="A750" s="4" t="inlineStr">
        <is>
          <t xml:space="preserve">J40</t>
        </is>
      </c>
      <c r="B750" s="4" t="inlineStr">
        <is>
          <t xml:space="preserve">J39</t>
        </is>
      </c>
      <c r="C750" s="4" t="inlineStr">
        <is>
          <t xml:space="preserve">'[1]Revenue Roll-up'!L38</t>
        </is>
      </c>
      <c r="D750" s="5">
        <v>997375.833333334</v>
      </c>
    </row>
    <row r="751">
      <c r="A751" s="4" t="inlineStr">
        <is>
          <t xml:space="preserve">K40</t>
        </is>
      </c>
      <c r="B751" s="4" t="inlineStr">
        <is>
          <t xml:space="preserve">K39</t>
        </is>
      </c>
      <c r="C751" s="4" t="inlineStr">
        <is>
          <t xml:space="preserve">'[1]Revenue Roll-up'!M38</t>
        </is>
      </c>
      <c r="D751" s="5">
        <v>1116046.45833333</v>
      </c>
    </row>
    <row r="752">
      <c r="A752" s="4" t="inlineStr">
        <is>
          <t xml:space="preserve">L40</t>
        </is>
      </c>
      <c r="B752" s="4" t="inlineStr">
        <is>
          <t xml:space="preserve">L39</t>
        </is>
      </c>
      <c r="C752" s="4" t="inlineStr">
        <is>
          <t xml:space="preserve">'[1]Revenue Roll-up'!N38</t>
        </is>
      </c>
      <c r="D752" s="5">
        <v>1231592.08333333</v>
      </c>
    </row>
    <row r="753">
      <c r="A753" s="4" t="inlineStr">
        <is>
          <t xml:space="preserve">M40</t>
        </is>
      </c>
      <c r="B753" s="4" t="inlineStr">
        <is>
          <t xml:space="preserve">M39</t>
        </is>
      </c>
      <c r="C753" s="4" t="inlineStr">
        <is>
          <t xml:space="preserve">'[1]Revenue Roll-up'!O38</t>
        </is>
      </c>
      <c r="D753" s="5">
        <v>1379626.04166667</v>
      </c>
    </row>
    <row r="754">
      <c r="A754" s="4" t="inlineStr">
        <is>
          <t xml:space="preserve">N40</t>
        </is>
      </c>
      <c r="B754" s="4" t="inlineStr">
        <is>
          <t xml:space="preserve">N39</t>
        </is>
      </c>
      <c r="C754" s="4" t="inlineStr">
        <is>
          <t xml:space="preserve">'[1]Revenue Roll-up'!P38</t>
        </is>
      </c>
      <c r="D754" s="5">
        <v>1561856.66666667</v>
      </c>
    </row>
    <row r="755">
      <c r="A755" s="4" t="inlineStr">
        <is>
          <t xml:space="preserve">O40</t>
        </is>
      </c>
      <c r="B755" s="4" t="inlineStr">
        <is>
          <t xml:space="preserve">O39</t>
        </is>
      </c>
      <c r="C755" s="4" t="inlineStr">
        <is>
          <t xml:space="preserve">'[1]Revenue Roll-up'!Q38</t>
        </is>
      </c>
      <c r="D755" s="5">
        <v>1751627.29166667</v>
      </c>
    </row>
    <row r="756">
      <c r="A756" s="4" t="inlineStr">
        <is>
          <t xml:space="preserve">P40</t>
        </is>
      </c>
      <c r="B756" s="4" t="inlineStr">
        <is>
          <t xml:space="preserve">P39</t>
        </is>
      </c>
      <c r="C756" s="4" t="inlineStr">
        <is>
          <t xml:space="preserve">'[1]Revenue Roll-up'!R38</t>
        </is>
      </c>
      <c r="D756" s="5">
        <v>1975163.25</v>
      </c>
    </row>
    <row r="757">
      <c r="A757" s="4" t="inlineStr">
        <is>
          <t xml:space="preserve">Q40</t>
        </is>
      </c>
      <c r="B757" s="4" t="inlineStr">
        <is>
          <t xml:space="preserve">Q39</t>
        </is>
      </c>
      <c r="C757" s="4" t="inlineStr">
        <is>
          <t xml:space="preserve">'[1]Revenue Roll-up'!S38</t>
        </is>
      </c>
      <c r="D757" s="5">
        <v>2230141.20833333</v>
      </c>
    </row>
    <row r="758">
      <c r="A758" s="4" t="inlineStr">
        <is>
          <t xml:space="preserve">R40</t>
        </is>
      </c>
      <c r="B758" s="4" t="inlineStr">
        <is>
          <t xml:space="preserve">R39</t>
        </is>
      </c>
      <c r="C758" s="4" t="inlineStr">
        <is>
          <t xml:space="preserve">'[1]Revenue Roll-up'!U38</t>
        </is>
      </c>
      <c r="D758" s="5">
        <v>15563645.5416667</v>
      </c>
    </row>
    <row r="759">
      <c r="A759" s="4" t="inlineStr">
        <is>
          <t xml:space="preserve">B41</t>
        </is>
      </c>
      <c r="B759" s="4" t="inlineStr">
        <is>
          <t xml:space="preserve">B40</t>
        </is>
      </c>
      <c r="C759" s="4" t="inlineStr">
        <is>
          <t xml:space="preserve">'[1]Revenue Roll-up'!D40</t>
        </is>
      </c>
      <c r="D759" s="5">
        <v>421637</v>
      </c>
    </row>
    <row r="760">
      <c r="A760" s="4" t="inlineStr">
        <is>
          <t xml:space="preserve">C41</t>
        </is>
      </c>
      <c r="B760" s="4" t="inlineStr">
        <is>
          <t xml:space="preserve">C40</t>
        </is>
      </c>
      <c r="C760" s="4" t="inlineStr">
        <is>
          <t xml:space="preserve">'[1]Revenue Roll-up'!E40</t>
        </is>
      </c>
      <c r="D760" s="5">
        <v>753940.5</v>
      </c>
    </row>
    <row r="761">
      <c r="A761" s="4" t="inlineStr">
        <is>
          <t xml:space="preserve">D41</t>
        </is>
      </c>
      <c r="B761" s="4" t="inlineStr">
        <is>
          <t xml:space="preserve">D40</t>
        </is>
      </c>
      <c r="C761" s="4" t="inlineStr">
        <is>
          <t xml:space="preserve">'[1]Revenue Roll-up'!F40</t>
        </is>
      </c>
      <c r="D761" s="5">
        <v>1076240.5</v>
      </c>
    </row>
    <row r="762">
      <c r="A762" s="4" t="inlineStr">
        <is>
          <t xml:space="preserve">E41</t>
        </is>
      </c>
      <c r="B762" s="4" t="inlineStr">
        <is>
          <t xml:space="preserve">E40</t>
        </is>
      </c>
      <c r="C762" s="4" t="inlineStr">
        <is>
          <t xml:space="preserve">'[1]Revenue Roll-up'!G40</t>
        </is>
      </c>
      <c r="D762" s="5">
        <v>274101.5</v>
      </c>
    </row>
    <row r="763">
      <c r="A763" s="4" t="inlineStr">
        <is>
          <t xml:space="preserve">F41</t>
        </is>
      </c>
      <c r="B763" s="4" t="inlineStr">
        <is>
          <t xml:space="preserve">F40</t>
        </is>
      </c>
      <c r="C763" s="4" t="inlineStr">
        <is>
          <t xml:space="preserve">'[1]Revenue Roll-up'!H40</t>
        </is>
      </c>
      <c r="D763" s="5">
        <v>1898996.5</v>
      </c>
    </row>
    <row r="764">
      <c r="A764" s="4" t="inlineStr">
        <is>
          <t xml:space="preserve">G41</t>
        </is>
      </c>
      <c r="B764" s="4" t="inlineStr">
        <is>
          <t xml:space="preserve">G40</t>
        </is>
      </c>
      <c r="C764" s="4" t="inlineStr">
        <is>
          <t xml:space="preserve">'[1]Revenue Roll-up'!I40</t>
        </is>
      </c>
      <c r="D764" s="5">
        <v>1108006.5</v>
      </c>
    </row>
    <row r="765">
      <c r="A765" s="4" t="inlineStr">
        <is>
          <t xml:space="preserve">H41</t>
        </is>
      </c>
      <c r="B765" s="4" t="inlineStr">
        <is>
          <t xml:space="preserve">H40</t>
        </is>
      </c>
      <c r="C765" s="4" t="inlineStr">
        <is>
          <t xml:space="preserve">'[1]Revenue Roll-up'!J40</t>
        </is>
      </c>
      <c r="D765" s="5">
        <v>713306.5</v>
      </c>
    </row>
    <row r="766">
      <c r="A766" s="4" t="inlineStr">
        <is>
          <t xml:space="preserve">I41</t>
        </is>
      </c>
      <c r="B766" s="4" t="inlineStr">
        <is>
          <t xml:space="preserve">I40</t>
        </is>
      </c>
      <c r="C766" s="4" t="inlineStr">
        <is>
          <t xml:space="preserve">'[1]Revenue Roll-up'!K40</t>
        </is>
      </c>
      <c r="D766" s="5">
        <v>1810671</v>
      </c>
    </row>
    <row r="767">
      <c r="A767" s="4" t="inlineStr">
        <is>
          <t xml:space="preserve">J41</t>
        </is>
      </c>
      <c r="B767" s="4" t="inlineStr">
        <is>
          <t xml:space="preserve">J40</t>
        </is>
      </c>
      <c r="C767" s="4" t="inlineStr">
        <is>
          <t xml:space="preserve">'[1]Revenue Roll-up'!L40</t>
        </is>
      </c>
      <c r="D767" s="5">
        <v>1916271</v>
      </c>
    </row>
    <row r="768">
      <c r="A768" s="4" t="inlineStr">
        <is>
          <t xml:space="preserve">K41</t>
        </is>
      </c>
      <c r="B768" s="4" t="inlineStr">
        <is>
          <t xml:space="preserve">K40</t>
        </is>
      </c>
      <c r="C768" s="4" t="inlineStr">
        <is>
          <t xml:space="preserve">'[1]Revenue Roll-up'!M40</t>
        </is>
      </c>
      <c r="D768" s="5">
        <v>2148309</v>
      </c>
    </row>
    <row r="769">
      <c r="A769" s="4" t="inlineStr">
        <is>
          <t xml:space="preserve">L41</t>
        </is>
      </c>
      <c r="B769" s="4" t="inlineStr">
        <is>
          <t xml:space="preserve">L40</t>
        </is>
      </c>
      <c r="C769" s="4" t="inlineStr">
        <is>
          <t xml:space="preserve">'[1]Revenue Roll-up'!N40</t>
        </is>
      </c>
      <c r="D769" s="5">
        <v>1857761</v>
      </c>
    </row>
    <row r="770">
      <c r="A770" s="4" t="inlineStr">
        <is>
          <t xml:space="preserve">M41</t>
        </is>
      </c>
      <c r="B770" s="4" t="inlineStr">
        <is>
          <t xml:space="preserve">M40</t>
        </is>
      </c>
      <c r="C770" s="4" t="inlineStr">
        <is>
          <t xml:space="preserve">'[1]Revenue Roll-up'!O40</t>
        </is>
      </c>
      <c r="D770" s="5">
        <v>2534631</v>
      </c>
    </row>
    <row r="771">
      <c r="A771" s="4" t="inlineStr">
        <is>
          <t xml:space="preserve">N41</t>
        </is>
      </c>
      <c r="B771" s="4" t="inlineStr">
        <is>
          <t xml:space="preserve">N40</t>
        </is>
      </c>
      <c r="C771" s="4" t="inlineStr">
        <is>
          <t xml:space="preserve">'[1]Revenue Roll-up'!P40</t>
        </is>
      </c>
      <c r="D771" s="5">
        <v>2595313</v>
      </c>
    </row>
    <row r="772">
      <c r="A772" s="4" t="inlineStr">
        <is>
          <t xml:space="preserve">O41</t>
        </is>
      </c>
      <c r="B772" s="4" t="inlineStr">
        <is>
          <t xml:space="preserve">O40</t>
        </is>
      </c>
      <c r="C772" s="4" t="inlineStr">
        <is>
          <t xml:space="preserve">'[1]Revenue Roll-up'!Q40</t>
        </is>
      </c>
      <c r="D772" s="5">
        <v>3040310</v>
      </c>
    </row>
    <row r="773">
      <c r="A773" s="4" t="inlineStr">
        <is>
          <t xml:space="preserve">P41</t>
        </is>
      </c>
      <c r="B773" s="4" t="inlineStr">
        <is>
          <t xml:space="preserve">P40</t>
        </is>
      </c>
      <c r="C773" s="4" t="inlineStr">
        <is>
          <t xml:space="preserve">'[1]Revenue Roll-up'!R40</t>
        </is>
      </c>
      <c r="D773" s="5">
        <v>3767794</v>
      </c>
    </row>
    <row r="774">
      <c r="A774" s="4" t="inlineStr">
        <is>
          <t xml:space="preserve">Q41</t>
        </is>
      </c>
      <c r="B774" s="4" t="inlineStr">
        <is>
          <t xml:space="preserve">Q40</t>
        </is>
      </c>
      <c r="C774" s="4" t="inlineStr">
        <is>
          <t xml:space="preserve">'[1]Revenue Roll-up'!S40</t>
        </is>
      </c>
      <c r="D774" s="5">
        <v>3342959</v>
      </c>
    </row>
    <row r="775">
      <c r="A775" s="4" t="inlineStr">
        <is>
          <t xml:space="preserve">R41</t>
        </is>
      </c>
      <c r="B775" s="4" t="inlineStr">
        <is>
          <t xml:space="preserve">R40</t>
        </is>
      </c>
      <c r="C775" s="4" t="inlineStr">
        <is>
          <t xml:space="preserve">'[1]Revenue Roll-up'!U40</t>
        </is>
      </c>
      <c r="D775" s="5">
        <v>26734328.5</v>
      </c>
    </row>
    <row r="776">
      <c r="A776" s="4" t="inlineStr">
        <is>
          <t xml:space="preserve">B42</t>
        </is>
      </c>
      <c r="B776" s="4" t="inlineStr">
        <is>
          <t xml:space="preserve">B41</t>
        </is>
      </c>
      <c r="C776" s="4" t="inlineStr">
        <is>
          <t xml:space="preserve">'[1]Revenue Roll-up'!D45</t>
        </is>
      </c>
      <c r="D776" s="5">
        <v>1877250.66666667</v>
      </c>
    </row>
    <row r="777">
      <c r="A777" s="4" t="inlineStr">
        <is>
          <t xml:space="preserve">C42</t>
        </is>
      </c>
      <c r="B777" s="4" t="inlineStr">
        <is>
          <t xml:space="preserve">C41</t>
        </is>
      </c>
      <c r="C777" s="4" t="inlineStr">
        <is>
          <t xml:space="preserve">'[1]Revenue Roll-up'!E45</t>
        </is>
      </c>
      <c r="D777" s="5">
        <v>1998363.16666667</v>
      </c>
    </row>
    <row r="778">
      <c r="A778" s="4" t="inlineStr">
        <is>
          <t xml:space="preserve">D42</t>
        </is>
      </c>
      <c r="B778" s="4" t="inlineStr">
        <is>
          <t xml:space="preserve">D41</t>
        </is>
      </c>
      <c r="C778" s="4" t="inlineStr">
        <is>
          <t xml:space="preserve">'[1]Revenue Roll-up'!F45</t>
        </is>
      </c>
      <c r="D778" s="5">
        <v>2412500.66666667</v>
      </c>
    </row>
    <row r="779">
      <c r="A779" s="4" t="inlineStr">
        <is>
          <t xml:space="preserve">E42</t>
        </is>
      </c>
      <c r="B779" s="4" t="inlineStr">
        <is>
          <t xml:space="preserve">E41</t>
        </is>
      </c>
      <c r="C779" s="4" t="inlineStr">
        <is>
          <t xml:space="preserve">'[1]Revenue Roll-up'!G45</t>
        </is>
      </c>
      <c r="D779" s="5">
        <v>2024499.16666667</v>
      </c>
    </row>
    <row r="780">
      <c r="A780" s="4" t="inlineStr">
        <is>
          <t xml:space="preserve">F42</t>
        </is>
      </c>
      <c r="B780" s="4" t="inlineStr">
        <is>
          <t xml:space="preserve">F41</t>
        </is>
      </c>
      <c r="C780" s="4" t="inlineStr">
        <is>
          <t xml:space="preserve">'[1]Revenue Roll-up'!H45</t>
        </is>
      </c>
      <c r="D780" s="5">
        <v>3140067.25</v>
      </c>
    </row>
    <row r="781">
      <c r="A781" s="4" t="inlineStr">
        <is>
          <t xml:space="preserve">G42</t>
        </is>
      </c>
      <c r="B781" s="4" t="inlineStr">
        <is>
          <t xml:space="preserve">G41</t>
        </is>
      </c>
      <c r="C781" s="4" t="inlineStr">
        <is>
          <t xml:space="preserve">'[1]Revenue Roll-up'!I45</t>
        </is>
      </c>
      <c r="D781" s="5">
        <v>3426153.25</v>
      </c>
    </row>
    <row r="782">
      <c r="A782" s="4" t="inlineStr">
        <is>
          <t xml:space="preserve">H42</t>
        </is>
      </c>
      <c r="B782" s="4" t="inlineStr">
        <is>
          <t xml:space="preserve">H41</t>
        </is>
      </c>
      <c r="C782" s="4" t="inlineStr">
        <is>
          <t xml:space="preserve">'[1]Revenue Roll-up'!J45</t>
        </is>
      </c>
      <c r="D782" s="5">
        <v>3331713.83333333</v>
      </c>
    </row>
    <row r="783">
      <c r="A783" s="4" t="inlineStr">
        <is>
          <t xml:space="preserve">I42</t>
        </is>
      </c>
      <c r="B783" s="4" t="inlineStr">
        <is>
          <t xml:space="preserve">I41</t>
        </is>
      </c>
      <c r="C783" s="4" t="inlineStr">
        <is>
          <t xml:space="preserve">'[1]Revenue Roll-up'!K45</t>
        </is>
      </c>
      <c r="D783" s="5">
        <v>4235262.95833333</v>
      </c>
    </row>
    <row r="784">
      <c r="A784" s="4" t="inlineStr">
        <is>
          <t xml:space="preserve">J42</t>
        </is>
      </c>
      <c r="B784" s="4" t="inlineStr">
        <is>
          <t xml:space="preserve">J41</t>
        </is>
      </c>
      <c r="C784" s="4" t="inlineStr">
        <is>
          <t xml:space="preserve">'[1]Revenue Roll-up'!L45</t>
        </is>
      </c>
      <c r="D784" s="5">
        <v>5154158.125</v>
      </c>
    </row>
    <row r="785">
      <c r="A785" s="4" t="inlineStr">
        <is>
          <t xml:space="preserve">K42</t>
        </is>
      </c>
      <c r="B785" s="4" t="inlineStr">
        <is>
          <t xml:space="preserve">K41</t>
        </is>
      </c>
      <c r="C785" s="4" t="inlineStr">
        <is>
          <t xml:space="preserve">'[1]Revenue Roll-up'!M45</t>
        </is>
      </c>
      <c r="D785" s="5">
        <v>6186420.66666667</v>
      </c>
    </row>
    <row r="786">
      <c r="A786" s="4" t="inlineStr">
        <is>
          <t xml:space="preserve">L42</t>
        </is>
      </c>
      <c r="B786" s="4" t="inlineStr">
        <is>
          <t xml:space="preserve">L41</t>
        </is>
      </c>
      <c r="C786" s="4" t="inlineStr">
        <is>
          <t xml:space="preserve">'[1]Revenue Roll-up'!N45</t>
        </is>
      </c>
      <c r="D786" s="5">
        <v>6812589.58333333</v>
      </c>
    </row>
    <row r="787">
      <c r="A787" s="4" t="inlineStr">
        <is>
          <t xml:space="preserve">M42</t>
        </is>
      </c>
      <c r="B787" s="4" t="inlineStr">
        <is>
          <t xml:space="preserve">M41</t>
        </is>
      </c>
      <c r="C787" s="4" t="inlineStr">
        <is>
          <t xml:space="preserve">'[1]Revenue Roll-up'!O45</t>
        </is>
      </c>
      <c r="D787" s="5">
        <v>7967594.54166667</v>
      </c>
    </row>
    <row r="788">
      <c r="A788" s="4" t="inlineStr">
        <is>
          <t xml:space="preserve">N42</t>
        </is>
      </c>
      <c r="B788" s="4" t="inlineStr">
        <is>
          <t xml:space="preserve">N41</t>
        </is>
      </c>
      <c r="C788" s="4" t="inlineStr">
        <is>
          <t xml:space="preserve">'[1]Revenue Roll-up'!P45</t>
        </is>
      </c>
      <c r="D788" s="5">
        <v>9001050.875</v>
      </c>
    </row>
    <row r="789">
      <c r="A789" s="4" t="inlineStr">
        <is>
          <t xml:space="preserve">O42</t>
        </is>
      </c>
      <c r="B789" s="4" t="inlineStr">
        <is>
          <t xml:space="preserve">O41</t>
        </is>
      </c>
      <c r="C789" s="4" t="inlineStr">
        <is>
          <t xml:space="preserve">'[1]Revenue Roll-up'!Q45</t>
        </is>
      </c>
      <c r="D789" s="5">
        <v>10289733.5833333</v>
      </c>
    </row>
    <row r="790">
      <c r="A790" s="4" t="inlineStr">
        <is>
          <t xml:space="preserve">P42</t>
        </is>
      </c>
      <c r="B790" s="4" t="inlineStr">
        <is>
          <t xml:space="preserve">P41</t>
        </is>
      </c>
      <c r="C790" s="4" t="inlineStr">
        <is>
          <t xml:space="preserve">'[1]Revenue Roll-up'!R45</t>
        </is>
      </c>
      <c r="D790" s="5">
        <v>12082364.3333333</v>
      </c>
    </row>
    <row r="791">
      <c r="A791" s="4" t="inlineStr">
        <is>
          <t xml:space="preserve">Q42</t>
        </is>
      </c>
      <c r="B791" s="4" t="inlineStr">
        <is>
          <t xml:space="preserve">Q41</t>
        </is>
      </c>
      <c r="C791" s="4" t="inlineStr">
        <is>
          <t xml:space="preserve">'[1]Revenue Roll-up'!S45</t>
        </is>
      </c>
      <c r="D791" s="5">
        <v>13195182.125</v>
      </c>
    </row>
    <row r="792">
      <c r="A792" s="4" t="inlineStr">
        <is>
          <t xml:space="preserve">R42</t>
        </is>
      </c>
      <c r="B792" s="4" t="inlineStr">
        <is>
          <t xml:space="preserve">R41</t>
        </is>
      </c>
      <c r="C792" s="4" t="inlineStr">
        <is>
          <t xml:space="preserve">'[1]Revenue Roll-up'!S45</t>
        </is>
      </c>
      <c r="D792" s="5">
        <v>13195182.125</v>
      </c>
    </row>
    <row r="793">
      <c r="A793" s="4" t="inlineStr">
        <is>
          <t xml:space="preserve">A45</t>
        </is>
      </c>
      <c r="B793" s="4" t="inlineStr">
        <is>
          <t xml:space="preserve">A44</t>
        </is>
      </c>
      <c r="C793" s="4" t="inlineStr">
        <is>
          <t xml:space="preserve">"1. Timing: bookings go live "&amp;'[1]Deploy Detail'!B8&amp;" months after booking (new logos &amp; expansion); units are built "&amp;[1]Deploy!B16&amp;" months before go-live."</t>
        </is>
      </c>
      <c r="D793" s="4" t="inlineStr">
        <is>
          <t xml:space="preserve">1. Timing: bookings go live 3 months after booking (new logos &amp; expansion); units are built 2 months before go-live.</t>
        </is>
      </c>
    </row>
    <row r="794">
      <c r="A794" s="4" t="inlineStr">
        <is>
          <t xml:space="preserve">A46</t>
        </is>
      </c>
      <c r="B794" s="4" t="inlineStr">
        <is>
          <t xml:space="preserve">A45</t>
        </is>
      </c>
      <c r="C794" s="4" t="inlineStr">
        <is>
          <t xml:space="preserve">"2. Deal size: new-logo deal = "&amp;[1]Deploy!B18&amp;" SlipLifts + "&amp;[1]Deploy!B19&amp;" SlipTrays ("&amp;TEXT('[1]New Sales'!B8,"$#,##0")&amp;"); expansion deal = "&amp;[1]Deploy!B20&amp;" SlipLifts + "&amp;[1]Deploy!B21&amp;" SlipTrays ("&amp;TEXT([1]Expansion!B11,"$#,##0")&amp;"). Deal counts are whole numbers."</t>
        </is>
      </c>
      <c r="D794" s="4" t="inlineStr">
        <is>
          <t xml:space="preserve">2. Deal size: new-logo deal = 4 SlipLifts + 12 SlipTrays ($316,000); expansion deal = 2 SlipLifts + 25 SlipTrays ($215,000). Deal counts are whole numbers.</t>
        </is>
      </c>
    </row>
    <row r="795">
      <c r="A795" s="4" t="inlineStr">
        <is>
          <t xml:space="preserve">A47</t>
        </is>
      </c>
      <c r="B795" s="4" t="inlineStr">
        <is>
          <t xml:space="preserve">A46</t>
        </is>
      </c>
      <c r="C795" s="4" t="inlineStr">
        <is>
          <t xml:space="preserve">"3. Unit cost (CapEx): SlipLift "&amp;TEXT([1]Deploy!B7,"$#,##0")&amp;" + "&amp;TEXT([1]Deploy!B14,"$#,##0")&amp;" peripherals, SlipTray "&amp;TEXT([1]Deploy!B8,"$#,##0")&amp;", SlipBot "&amp;TEXT([1]Deploy!B6,"$#,##0")&amp;". Freight "&amp;TEXT([1]Deploy!B15,"$#,##0")&amp;" per deployment (expensed)."</t>
        </is>
      </c>
      <c r="D795" s="4" t="inlineStr">
        <is>
          <t xml:space="preserve">3. Unit cost (CapEx): SlipLift $65,000 + $4,138 peripherals, SlipTray $8,000, SlipBot $36,000. Freight $5,000 per deployment (expensed).</t>
        </is>
      </c>
    </row>
    <row r="796">
      <c r="A796" s="4" t="inlineStr">
        <is>
          <t xml:space="preserve">A48</t>
        </is>
      </c>
      <c r="B796" s="4" t="inlineStr">
        <is>
          <t xml:space="preserve">A47</t>
        </is>
      </c>
      <c r="C796" s="4" t="inlineStr">
        <is>
          <t xml:space="preserve">"4. SlipBots: "&amp;IF([1]Deploy!B17="Y","none are built – returned/existing bots are redeployed (incl. the Meli bridge bots).","built per deployments.")&amp;" Only contracts flagged 'New production = Yes' create deployments and production."</t>
        </is>
      </c>
      <c r="D796" s="4" t="inlineStr">
        <is>
          <t xml:space="preserve">4. SlipBots: none are built – returned/existing bots are redeployed (incl. the Meli bridge bots). Only contracts flagged 'New production = Yes' create deployments and production.</t>
        </is>
      </c>
    </row>
    <row r="797">
      <c r="A797" s="4" t="inlineStr">
        <is>
          <t xml:space="preserve">A49</t>
        </is>
      </c>
      <c r="B797" s="4" t="inlineStr">
        <is>
          <t xml:space="preserve">A48</t>
        </is>
      </c>
      <c r="C797" s="4" t="inlineStr">
        <is>
          <t xml:space="preserve">"5. Sep–Dec 26 bookings include unsigned forecast of "&amp;TEXT(SUMIFS('[1]2026 Exist New'!$P$9:$P$50,'[1]2026 Exist New'!$D$9:$D$50,"Forecast (unsigned)"),"$#,##0")&amp;" (Arconic + placeholders) at 100%; bookings are gross ACV."</t>
        </is>
      </c>
      <c r="D797" s="4" t="inlineStr">
        <is>
          <t xml:space="preserve">5. Sep–Dec 26 bookings include unsigned forecast of $2,264,000 (Arconic + placeholders) at 100%; bookings are gross ACV.</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61801.0684996113</v>
      </c>
      <c r="Y20" s="12" t="n">
        <f aca="false">SUM(FO!Y20,PO!Y20,CO!Y20,FE!Y20,PE!Y20)</f>
        <v>74048.2254334456</v>
      </c>
      <c r="Z20" s="12" t="n">
        <f aca="false">SUM(FO!Z20,PO!Z20,CO!Z20,FE!Z20,PE!Z20)</f>
        <v>90938.2395101371</v>
      </c>
      <c r="AA20" s="12" t="n">
        <f aca="false">SUM(FO!AA20,PO!AA20,CO!AA20,FE!AA20,PE!AA20)</f>
        <v>106292.226295403</v>
      </c>
      <c r="AB20" s="12" t="n">
        <f aca="false">SUM(FO!AB20,PO!AB20,CO!AB20,FE!AB20,PE!AB20)</f>
        <v>124753.042908114</v>
      </c>
      <c r="AC20" s="12" t="n">
        <f aca="false">SUM(FO!AC20,PO!AC20,CO!AC20,FE!AC20,PE!AC20)</f>
        <v>148224.100618432</v>
      </c>
      <c r="AD20" s="12" t="n">
        <f aca="false">SUM(FO!AD20,PO!AD20,CO!AD20,FE!AD20,PE!AD20)</f>
        <v>171602.342421205</v>
      </c>
      <c r="AE20" s="12" t="n">
        <f aca="false">SUM(FO!AE20,PO!AE20,CO!AE20,FE!AE20,PE!AE20)</f>
        <v>199827.261741527</v>
      </c>
      <c r="AF20" s="12" t="n">
        <f aca="false">SUM(FO!AF20,PO!AF20,CO!AF20,FE!AF20,PE!AF20)</f>
        <v>229855.614800266</v>
      </c>
      <c r="AG20" s="12" t="n">
        <f aca="false">SUM(U20:AF20)</f>
        <v>1327486.34603766</v>
      </c>
      <c r="AH20" s="24" t="n">
        <f aca="false">IFERROR(AG20/AG$16,"")</f>
        <v>0.0852940490377878</v>
      </c>
      <c r="AI20" s="9"/>
      <c r="AJ20" s="12" t="n">
        <f aca="false">N20-AG20</f>
        <v>-1227126.49460909</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18653.3346430846</v>
      </c>
      <c r="Y21" s="12" t="n">
        <f aca="false">SUM(FO!Y21,PO!Y21,CO!Y21,FE!Y21,PE!Y21)</f>
        <v>23190.7426748172</v>
      </c>
      <c r="Z21" s="12" t="n">
        <f aca="false">SUM(FO!Z21,PO!Z21,CO!Z21,FE!Z21,PE!Z21)</f>
        <v>30194.8173732166</v>
      </c>
      <c r="AA21" s="12" t="n">
        <f aca="false">SUM(FO!AA21,PO!AA21,CO!AA21,FE!AA21,PE!AA21)</f>
        <v>35536.0675753723</v>
      </c>
      <c r="AB21" s="12" t="n">
        <f aca="false">SUM(FO!AB21,PO!AB21,CO!AB21,FE!AB21,PE!AB21)</f>
        <v>41681.1599647408</v>
      </c>
      <c r="AC21" s="12" t="n">
        <f aca="false">SUM(FO!AC21,PO!AC21,CO!AC21,FE!AC21,PE!AC21)</f>
        <v>50321.5592861101</v>
      </c>
      <c r="AD21" s="12" t="n">
        <f aca="false">SUM(FO!AD21,PO!AD21,CO!AD21,FE!AD21,PE!AD21)</f>
        <v>58947.0256335046</v>
      </c>
      <c r="AE21" s="12" t="n">
        <f aca="false">SUM(FO!AE21,PO!AE21,CO!AE21,FE!AE21,PE!AE21)</f>
        <v>70207.4993447896</v>
      </c>
      <c r="AF21" s="12" t="n">
        <f aca="false">SUM(FO!AF21,PO!AF21,CO!AF21,FE!AF21,PE!AF21)</f>
        <v>80584.4956478179</v>
      </c>
      <c r="AG21" s="12" t="n">
        <f aca="false">SUM(U21:AF21)</f>
        <v>444024.622143454</v>
      </c>
      <c r="AH21" s="24" t="n">
        <f aca="false">IFERROR(AG21/AG$16,"")</f>
        <v>0.028529602589234</v>
      </c>
      <c r="AI21" s="9"/>
      <c r="AJ21" s="12" t="n">
        <f aca="false">N21-AG21</f>
        <v>-407031.925476787</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0</v>
      </c>
      <c r="V33" s="12" t="n">
        <f aca="false">SUM(FO!V33,PO!V33,CO!V33,FE!V33,PE!V33)</f>
        <v>0</v>
      </c>
      <c r="W33" s="12" t="n">
        <f aca="false">SUM(FO!W33,PO!W33,CO!W33,FE!W33,PE!W33)</f>
        <v>0</v>
      </c>
      <c r="X33" s="12" t="n">
        <f aca="false">SUM(FO!X33,PO!X33,CO!X33,FE!X33,PE!X33)</f>
        <v>0</v>
      </c>
      <c r="Y33" s="12" t="n">
        <f aca="false">SUM(FO!Y33,PO!Y33,CO!Y33,FE!Y33,PE!Y33)</f>
        <v>0</v>
      </c>
      <c r="Z33" s="12" t="n">
        <f aca="false">SUM(FO!Z33,PO!Z33,CO!Z33,FE!Z33,PE!Z33)</f>
        <v>0</v>
      </c>
      <c r="AA33" s="12" t="n">
        <f aca="false">SUM(FO!AA33,PO!AA33,CO!AA33,FE!AA33,PE!AA33)</f>
        <v>0</v>
      </c>
      <c r="AB33" s="12" t="n">
        <f aca="false">SUM(FO!AB33,PO!AB33,CO!AB33,FE!AB33,PE!AB33)</f>
        <v>0</v>
      </c>
      <c r="AC33" s="12" t="n">
        <f aca="false">SUM(FO!AC33,PO!AC33,CO!AC33,FE!AC33,PE!AC33)</f>
        <v>0</v>
      </c>
      <c r="AD33" s="12" t="n">
        <f aca="false">SUM(FO!AD33,PO!AD33,CO!AD33,FE!AD33,PE!AD33)</f>
        <v>0</v>
      </c>
      <c r="AE33" s="12" t="n">
        <f aca="false">SUM(FO!AE33,PO!AE33,CO!AE33,FE!AE33,PE!AE33)</f>
        <v>0</v>
      </c>
      <c r="AF33" s="12" t="n">
        <f aca="false">SUM(FO!AF33,PO!AF33,CO!AF33,FE!AF33,PE!AF33)</f>
        <v>0</v>
      </c>
      <c r="AG33" s="12" t="n">
        <f aca="false">SUM(U33:AF33)</f>
        <v>0</v>
      </c>
      <c r="AH33" s="24" t="n">
        <f aca="false">IFERROR(AG33/AG$16,"")</f>
        <v>0</v>
      </c>
      <c r="AI33" s="9"/>
      <c r="AJ33" s="12" t="n">
        <f aca="false">N33-AG33</f>
        <v>202457.22</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0</v>
      </c>
      <c r="V34" s="12" t="n">
        <f aca="false">SUM(FO!V34,PO!V34,CO!V34,FE!V34,PE!V34)</f>
        <v>0</v>
      </c>
      <c r="W34" s="12" t="n">
        <f aca="false">SUM(FO!W34,PO!W34,CO!W34,FE!W34,PE!W34)</f>
        <v>0</v>
      </c>
      <c r="X34" s="12" t="n">
        <f aca="false">SUM(FO!X34,PO!X34,CO!X34,FE!X34,PE!X34)</f>
        <v>0</v>
      </c>
      <c r="Y34" s="12" t="n">
        <f aca="false">SUM(FO!Y34,PO!Y34,CO!Y34,FE!Y34,PE!Y34)</f>
        <v>0</v>
      </c>
      <c r="Z34" s="12" t="n">
        <f aca="false">SUM(FO!Z34,PO!Z34,CO!Z34,FE!Z34,PE!Z34)</f>
        <v>0</v>
      </c>
      <c r="AA34" s="12" t="n">
        <f aca="false">SUM(FO!AA34,PO!AA34,CO!AA34,FE!AA34,PE!AA34)</f>
        <v>0</v>
      </c>
      <c r="AB34" s="12" t="n">
        <f aca="false">SUM(FO!AB34,PO!AB34,CO!AB34,FE!AB34,PE!AB34)</f>
        <v>0</v>
      </c>
      <c r="AC34" s="12" t="n">
        <f aca="false">SUM(FO!AC34,PO!AC34,CO!AC34,FE!AC34,PE!AC34)</f>
        <v>0</v>
      </c>
      <c r="AD34" s="12" t="n">
        <f aca="false">SUM(FO!AD34,PO!AD34,CO!AD34,FE!AD34,PE!AD34)</f>
        <v>0</v>
      </c>
      <c r="AE34" s="12" t="n">
        <f aca="false">SUM(FO!AE34,PO!AE34,CO!AE34,FE!AE34,PE!AE34)</f>
        <v>0</v>
      </c>
      <c r="AF34" s="12" t="n">
        <f aca="false">SUM(FO!AF34,PO!AF34,CO!AF34,FE!AF34,PE!AF34)</f>
        <v>0</v>
      </c>
      <c r="AG34" s="12" t="n">
        <f aca="false">SUM(U34:AF34)</f>
        <v>0</v>
      </c>
      <c r="AH34" s="24" t="n">
        <f aca="false">IFERROR(AG34/AG$16,"")</f>
        <v>0</v>
      </c>
      <c r="AI34" s="9"/>
      <c r="AJ34" s="12" t="n">
        <f aca="false">N34-AG34</f>
        <v>8109.98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0</v>
      </c>
      <c r="V35" s="12" t="n">
        <f aca="false">SUM(FO!V35,PO!V35,CO!V35,FE!V35,PE!V35)</f>
        <v>0</v>
      </c>
      <c r="W35" s="12" t="n">
        <f aca="false">SUM(FO!W35,PO!W35,CO!W35,FE!W35,PE!W35)</f>
        <v>0</v>
      </c>
      <c r="X35" s="12" t="n">
        <f aca="false">SUM(FO!X35,PO!X35,CO!X35,FE!X35,PE!X35)</f>
        <v>0</v>
      </c>
      <c r="Y35" s="12" t="n">
        <f aca="false">SUM(FO!Y35,PO!Y35,CO!Y35,FE!Y35,PE!Y35)</f>
        <v>0</v>
      </c>
      <c r="Z35" s="12" t="n">
        <f aca="false">SUM(FO!Z35,PO!Z35,CO!Z35,FE!Z35,PE!Z35)</f>
        <v>0</v>
      </c>
      <c r="AA35" s="12" t="n">
        <f aca="false">SUM(FO!AA35,PO!AA35,CO!AA35,FE!AA35,PE!AA35)</f>
        <v>0</v>
      </c>
      <c r="AB35" s="12" t="n">
        <f aca="false">SUM(FO!AB35,PO!AB35,CO!AB35,FE!AB35,PE!AB35)</f>
        <v>0</v>
      </c>
      <c r="AC35" s="12" t="n">
        <f aca="false">SUM(FO!AC35,PO!AC35,CO!AC35,FE!AC35,PE!AC35)</f>
        <v>0</v>
      </c>
      <c r="AD35" s="12" t="n">
        <f aca="false">SUM(FO!AD35,PO!AD35,CO!AD35,FE!AD35,PE!AD35)</f>
        <v>0</v>
      </c>
      <c r="AE35" s="12" t="n">
        <f aca="false">SUM(FO!AE35,PO!AE35,CO!AE35,FE!AE35,PE!AE35)</f>
        <v>0</v>
      </c>
      <c r="AF35" s="12" t="n">
        <f aca="false">SUM(FO!AF35,PO!AF35,CO!AF35,FE!AF35,PE!AF35)</f>
        <v>0</v>
      </c>
      <c r="AG35" s="12" t="n">
        <f aca="false">SUM(U35:AF35)</f>
        <v>0</v>
      </c>
      <c r="AH35" s="24" t="n">
        <f aca="false">IFERROR(AG35/AG$16,"")</f>
        <v>0</v>
      </c>
      <c r="AI35" s="9"/>
      <c r="AJ35" s="12" t="n">
        <f aca="false">N35-AG35</f>
        <v>-1992.87</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208574.33</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256002.300952381</v>
      </c>
      <c r="V37" s="27" t="n">
        <f aca="false">V19+V22+V27+V28+V29+V30+V31+V36+V20+V21</f>
        <v>227235.623174603</v>
      </c>
      <c r="W37" s="27" t="n">
        <f aca="false">W19+W22+W27+W28+W29+W30+W31+W36+W20+W21</f>
        <v>193333.22</v>
      </c>
      <c r="X37" s="27" t="n">
        <f aca="false">X19+X22+X27+X28+X29+X30+X31+X36+X20+X21</f>
        <v>313375.530920474</v>
      </c>
      <c r="Y37" s="27" t="n">
        <f aca="false">Y19+Y22+Y27+Y28+Y29+Y30+Y31+Y36+Y20+Y21</f>
        <v>313898.477632072</v>
      </c>
      <c r="Z37" s="27" t="n">
        <f aca="false">Z19+Z22+Z27+Z28+Z29+Z30+Z31+Z36+Z20+Z21</f>
        <v>371184.230851608</v>
      </c>
      <c r="AA37" s="27" t="n">
        <f aca="false">AA19+AA22+AA27+AA28+AA29+AA30+AA31+AA36+AA20+AA21</f>
        <v>373123.231172362</v>
      </c>
      <c r="AB37" s="27" t="n">
        <f aca="false">AB19+AB22+AB27+AB28+AB29+AB30+AB31+AB36+AB20+AB21</f>
        <v>416034.806047458</v>
      </c>
      <c r="AC37" s="27" t="n">
        <f aca="false">AC19+AC22+AC27+AC28+AC29+AC30+AC31+AC36+AC20+AC21</f>
        <v>486661.141809304</v>
      </c>
      <c r="AD37" s="27" t="n">
        <f aca="false">AD19+AD22+AD27+AD28+AD29+AD30+AD31+AD36+AD20+AD21</f>
        <v>523689.849959471</v>
      </c>
      <c r="AE37" s="27" t="n">
        <f aca="false">AE19+AE22+AE27+AE28+AE29+AE30+AE31+AE36+AE20+AE21</f>
        <v>598610.657435523</v>
      </c>
      <c r="AF37" s="27" t="n">
        <f aca="false">AF19+AF22+AF27+AF28+AF29+AF30+AF31+AF36+AF20+AF21</f>
        <v>638097.578860782</v>
      </c>
      <c r="AG37" s="27" t="n">
        <f aca="false">SUM(U37:AF37)</f>
        <v>4711246.64881604</v>
      </c>
      <c r="AH37" s="28" t="n">
        <f aca="false">IFERROR(AG37/AG$16,"")</f>
        <v>0.302708426261906</v>
      </c>
      <c r="AI37" s="9"/>
      <c r="AJ37" s="27" t="n">
        <f aca="false">N37-AG37</f>
        <v>-2406099.76405413</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571471.92810001</v>
      </c>
      <c r="V63" s="27" t="n">
        <f aca="false">V37+V38+V39+V40+V41+V42+V56+V61+V62</f>
        <v>511666.405125523</v>
      </c>
      <c r="W63" s="27" t="n">
        <f aca="false">W37+W38+W39+W40+W41+W42+W56+W61+W62</f>
        <v>526293.58195092</v>
      </c>
      <c r="X63" s="27" t="n">
        <f aca="false">X37+X38+X39+X40+X41+X42+X56+X61+X62</f>
        <v>703040.808580445</v>
      </c>
      <c r="Y63" s="27" t="n">
        <f aca="false">Y37+Y38+Y39+Y40+Y41+Y42+Y56+Y61+Y62</f>
        <v>749036.176197804</v>
      </c>
      <c r="Z63" s="27" t="n">
        <f aca="false">Z37+Z38+Z39+Z40+Z41+Z42+Z56+Z61+Z62</f>
        <v>865090.216425568</v>
      </c>
      <c r="AA63" s="27" t="n">
        <f aca="false">AA37+AA38+AA39+AA40+AA41+AA42+AA56+AA61+AA62</f>
        <v>933767.795053728</v>
      </c>
      <c r="AB63" s="27" t="n">
        <f aca="false">AB37+AB38+AB39+AB40+AB41+AB42+AB56+AB61+AB62</f>
        <v>1047604.10563788</v>
      </c>
      <c r="AC63" s="27" t="n">
        <f aca="false">AC37+AC38+AC39+AC40+AC41+AC42+AC56+AC61+AC62</f>
        <v>1197451.04321124</v>
      </c>
      <c r="AD63" s="27" t="n">
        <f aca="false">AD37+AD38+AD39+AD40+AD41+AD42+AD56+AD61+AD62</f>
        <v>1340076.89937293</v>
      </c>
      <c r="AE63" s="27" t="n">
        <f aca="false">AE37+AE38+AE39+AE40+AE41+AE42+AE56+AE61+AE62</f>
        <v>1510805.33476297</v>
      </c>
      <c r="AF63" s="27" t="n">
        <f aca="false">AF37+AF38+AF39+AF40+AF41+AF42+AF56+AF61+AF62</f>
        <v>1647309.59280304</v>
      </c>
      <c r="AG63" s="27" t="n">
        <f aca="false">SUM(U63:AF63)</f>
        <v>11603613.8872221</v>
      </c>
      <c r="AH63" s="28" t="n">
        <f aca="false">IFERROR(AG63/AG$16,"")</f>
        <v>0.74555886383798</v>
      </c>
      <c r="AI63" s="9"/>
      <c r="AJ63" s="27" t="n">
        <f aca="false">N63-AG63</f>
        <v>-7125598.27246015</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211956.488566657</v>
      </c>
      <c r="V64" s="30" t="n">
        <f aca="false">V16-V63</f>
        <v>310254.094874477</v>
      </c>
      <c r="W64" s="30" t="n">
        <f aca="false">W16-W63</f>
        <v>281452.334715747</v>
      </c>
      <c r="X64" s="30" t="n">
        <f aca="false">X16-X63</f>
        <v>204081.066419555</v>
      </c>
      <c r="Y64" s="30" t="n">
        <f aca="false">Y16-Y63</f>
        <v>248339.65713553</v>
      </c>
      <c r="Z64" s="30" t="n">
        <f aca="false">Z16-Z63</f>
        <v>250956.241907762</v>
      </c>
      <c r="AA64" s="30" t="n">
        <f aca="false">AA16-AA63</f>
        <v>297824.288279602</v>
      </c>
      <c r="AB64" s="30" t="n">
        <f aca="false">AB16-AB63</f>
        <v>332021.936028795</v>
      </c>
      <c r="AC64" s="30" t="n">
        <f aca="false">AC16-AC63</f>
        <v>364405.623455429</v>
      </c>
      <c r="AD64" s="30" t="n">
        <f aca="false">AD16-AD63</f>
        <v>411550.392293742</v>
      </c>
      <c r="AE64" s="30" t="n">
        <f aca="false">AE16-AE63</f>
        <v>464357.915237032</v>
      </c>
      <c r="AF64" s="30" t="n">
        <f aca="false">AF16-AF63</f>
        <v>582831.615530291</v>
      </c>
      <c r="AG64" s="30" t="n">
        <f aca="false">SUM(U64:AF64)</f>
        <v>3960031.65444462</v>
      </c>
      <c r="AH64" s="31" t="n">
        <f aca="false">IFERROR(AG64/AG$16,"")</f>
        <v>0.25444113616202</v>
      </c>
      <c r="AI64" s="9"/>
      <c r="AJ64" s="30" t="n">
        <f aca="false">AG64-N64</f>
        <v>1014107.72587319</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0.270549911207575</v>
      </c>
      <c r="V65" s="35" t="n">
        <f aca="false">IFERROR(V64/V16,"")</f>
        <v>0.377474579201367</v>
      </c>
      <c r="W65" s="35" t="n">
        <f aca="false">IFERROR(W64/W16,"")</f>
        <v>0.348441668237977</v>
      </c>
      <c r="X65" s="35" t="n">
        <f aca="false">IFERROR(X64/X16,"")</f>
        <v>0.224976458008528</v>
      </c>
      <c r="Y65" s="35" t="n">
        <f aca="false">IFERROR(Y64/Y16,"")</f>
        <v>0.248993056414404</v>
      </c>
      <c r="Z65" s="35" t="n">
        <f aca="false">IFERROR(Z64/Z16,"")</f>
        <v>0.22486182365789</v>
      </c>
      <c r="AA65" s="35" t="n">
        <f aca="false">IFERROR(AA64/AA16,"")</f>
        <v>0.241820560809009</v>
      </c>
      <c r="AB65" s="35" t="n">
        <f aca="false">IFERROR(AB64/AB16,"")</f>
        <v>0.240660821121999</v>
      </c>
      <c r="AC65" s="35" t="n">
        <f aca="false">IFERROR(AC64/AC16,"")</f>
        <v>0.233315662847057</v>
      </c>
      <c r="AD65" s="35" t="n">
        <f aca="false">IFERROR(AD64/AD16,"")</f>
        <v>0.234953174257837</v>
      </c>
      <c r="AE65" s="35" t="n">
        <f aca="false">IFERROR(AE64/AE16,"")</f>
        <v>0.235098498940294</v>
      </c>
      <c r="AF65" s="35" t="n">
        <f aca="false">IFERROR(AF64/AF16,"")</f>
        <v>0.261342920059247</v>
      </c>
      <c r="AG65" s="35" t="n">
        <f aca="false">IFERROR(AG64/AG16,"")</f>
        <v>0.25444113616202</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228502</v>
      </c>
      <c r="V67" s="12" t="n">
        <f aca="false">SUM(FO!V67,PO!V67,CO!V67,FE!V67,PE!V67)</f>
        <v>233502</v>
      </c>
      <c r="W67" s="12" t="n">
        <f aca="false">SUM(FO!W67,PO!W67,CO!W67,FE!W67,PE!W67)</f>
        <v>237662</v>
      </c>
      <c r="X67" s="12" t="n">
        <f aca="false">SUM(FO!X67,PO!X67,CO!X67,FE!X67,PE!X67)</f>
        <v>236662</v>
      </c>
      <c r="Y67" s="12" t="n">
        <f aca="false">SUM(FO!Y67,PO!Y67,CO!Y67,FE!Y67,PE!Y67)</f>
        <v>236662</v>
      </c>
      <c r="Z67" s="12" t="n">
        <f aca="false">SUM(FO!Z67,PO!Z67,CO!Z67,FE!Z67,PE!Z67)</f>
        <v>241822</v>
      </c>
      <c r="AA67" s="12" t="n">
        <f aca="false">SUM(FO!AA67,PO!AA67,CO!AA67,FE!AA67,PE!AA67)</f>
        <v>251315.333333333</v>
      </c>
      <c r="AB67" s="12" t="n">
        <f aca="false">SUM(FO!AB67,PO!AB67,CO!AB67,FE!AB67,PE!AB67)</f>
        <v>254732</v>
      </c>
      <c r="AC67" s="12" t="n">
        <f aca="false">SUM(FO!AC67,PO!AC67,CO!AC67,FE!AC67,PE!AC67)</f>
        <v>254732</v>
      </c>
      <c r="AD67" s="12" t="n">
        <f aca="false">SUM(FO!AD67,PO!AD67,CO!AD67,FE!AD67,PE!AD67)</f>
        <v>261994.36</v>
      </c>
      <c r="AE67" s="12" t="n">
        <f aca="false">SUM(FO!AE67,PO!AE67,CO!AE67,FE!AE67,PE!AE67)</f>
        <v>261994.36</v>
      </c>
      <c r="AF67" s="12" t="n">
        <f aca="false">SUM(FO!AF67,PO!AF67,CO!AF67,FE!AF67,PE!AF67)</f>
        <v>261994.36</v>
      </c>
      <c r="AG67" s="12" t="n">
        <f aca="false">SUM(U67:AF67)</f>
        <v>2961574.41333333</v>
      </c>
      <c r="AH67" s="24" t="n">
        <f aca="false">IFERROR(AG67/AG$16,"")</f>
        <v>0.190287963408359</v>
      </c>
      <c r="AI67" s="9"/>
      <c r="AJ67" s="12" t="n">
        <f aca="false">N67-AG67</f>
        <v>-787185.763333333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11824.6947127256</v>
      </c>
      <c r="V68" s="12" t="n">
        <f aca="false">SUM(FO!V68,PO!V68,CO!V68,FE!V68,PE!V68)</f>
        <v>12096.6947127256</v>
      </c>
      <c r="W68" s="12" t="n">
        <f aca="false">SUM(FO!W68,PO!W68,CO!W68,FE!W68,PE!W68)</f>
        <v>12379.5747127256</v>
      </c>
      <c r="X68" s="12" t="n">
        <f aca="false">SUM(FO!X68,PO!X68,CO!X68,FE!X68,PE!X68)</f>
        <v>12379.5747127256</v>
      </c>
      <c r="Y68" s="12" t="n">
        <f aca="false">SUM(FO!Y68,PO!Y68,CO!Y68,FE!Y68,PE!Y68)</f>
        <v>12379.5747127256</v>
      </c>
      <c r="Z68" s="12" t="n">
        <f aca="false">SUM(FO!Z68,PO!Z68,CO!Z68,FE!Z68,PE!Z68)</f>
        <v>12662.4547127256</v>
      </c>
      <c r="AA68" s="12" t="n">
        <f aca="false">SUM(FO!AA68,PO!AA68,CO!AA68,FE!AA68,PE!AA68)</f>
        <v>13240.0013793923</v>
      </c>
      <c r="AB68" s="12" t="n">
        <f aca="false">SUM(FO!AB68,PO!AB68,CO!AB68,FE!AB68,PE!AB68)</f>
        <v>13608.3347127256</v>
      </c>
      <c r="AC68" s="12" t="n">
        <f aca="false">SUM(FO!AC68,PO!AC68,CO!AC68,FE!AC68,PE!AC68)</f>
        <v>13608.3347127256</v>
      </c>
      <c r="AD68" s="12" t="n">
        <f aca="false">SUM(FO!AD68,PO!AD68,CO!AD68,FE!AD68,PE!AD68)</f>
        <v>13990.7719541074</v>
      </c>
      <c r="AE68" s="12" t="n">
        <f aca="false">SUM(FO!AE68,PO!AE68,CO!AE68,FE!AE68,PE!AE68)</f>
        <v>13990.7719541074</v>
      </c>
      <c r="AF68" s="12" t="n">
        <f aca="false">SUM(FO!AF68,PO!AF68,CO!AF68,FE!AF68,PE!AF68)</f>
        <v>13990.7719541074</v>
      </c>
      <c r="AG68" s="12" t="n">
        <f aca="false">SUM(U68:AF68)</f>
        <v>156151.554943519</v>
      </c>
      <c r="AH68" s="24" t="n">
        <f aca="false">IFERROR(AG68/AG$16,"")</f>
        <v>0.0100330963285866</v>
      </c>
      <c r="AI68" s="9"/>
      <c r="AJ68" s="12" t="n">
        <f aca="false">N68-AG68</f>
        <v>-15072.5849435191</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28342.0358678636</v>
      </c>
      <c r="V69" s="12" t="n">
        <f aca="false">SUM(FO!V69,PO!V69,CO!V69,FE!V69,PE!V69)</f>
        <v>28998.0358678636</v>
      </c>
      <c r="W69" s="12" t="n">
        <f aca="false">SUM(FO!W69,PO!W69,CO!W69,FE!W69,PE!W69)</f>
        <v>29680.2758678636</v>
      </c>
      <c r="X69" s="12" t="n">
        <f aca="false">SUM(FO!X69,PO!X69,CO!X69,FE!X69,PE!X69)</f>
        <v>29680.2758678636</v>
      </c>
      <c r="Y69" s="12" t="n">
        <f aca="false">SUM(FO!Y69,PO!Y69,CO!Y69,FE!Y69,PE!Y69)</f>
        <v>29680.2758678636</v>
      </c>
      <c r="Z69" s="12" t="n">
        <f aca="false">SUM(FO!Z69,PO!Z69,CO!Z69,FE!Z69,PE!Z69)</f>
        <v>30362.5158678636</v>
      </c>
      <c r="AA69" s="12" t="n">
        <f aca="false">SUM(FO!AA69,PO!AA69,CO!AA69,FE!AA69,PE!AA69)</f>
        <v>31755.4225345302</v>
      </c>
      <c r="AB69" s="12" t="n">
        <f aca="false">SUM(FO!AB69,PO!AB69,CO!AB69,FE!AB69,PE!AB69)</f>
        <v>32643.7558678636</v>
      </c>
      <c r="AC69" s="12" t="n">
        <f aca="false">SUM(FO!AC69,PO!AC69,CO!AC69,FE!AC69,PE!AC69)</f>
        <v>32643.7558678636</v>
      </c>
      <c r="AD69" s="12" t="n">
        <f aca="false">SUM(FO!AD69,PO!AD69,CO!AD69,FE!AD69,PE!AD69)</f>
        <v>33560.8141438995</v>
      </c>
      <c r="AE69" s="12" t="n">
        <f aca="false">SUM(FO!AE69,PO!AE69,CO!AE69,FE!AE69,PE!AE69)</f>
        <v>33560.8141438995</v>
      </c>
      <c r="AF69" s="12" t="n">
        <f aca="false">SUM(FO!AF69,PO!AF69,CO!AF69,FE!AF69,PE!AF69)</f>
        <v>33560.8141438995</v>
      </c>
      <c r="AG69" s="12" t="n">
        <f aca="false">SUM(U69:AF69)</f>
        <v>374468.791909137</v>
      </c>
      <c r="AH69" s="24" t="n">
        <f aca="false">IFERROR(AG69/AG$16,"")</f>
        <v>0.0240604806185426</v>
      </c>
      <c r="AI69" s="9"/>
      <c r="AJ69" s="12" t="n">
        <f aca="false">N69-AG69</f>
        <v>-79725.0119091372</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268668.730580589</v>
      </c>
      <c r="V73" s="39" t="n">
        <f aca="false">SUM(V67:V72)</f>
        <v>274596.730580589</v>
      </c>
      <c r="W73" s="39" t="n">
        <f aca="false">SUM(W67:W72)</f>
        <v>279721.850580589</v>
      </c>
      <c r="X73" s="39" t="n">
        <f aca="false">SUM(X67:X72)</f>
        <v>278721.850580589</v>
      </c>
      <c r="Y73" s="39" t="n">
        <f aca="false">SUM(Y67:Y72)</f>
        <v>278721.850580589</v>
      </c>
      <c r="Z73" s="39" t="n">
        <f aca="false">SUM(Z67:Z72)</f>
        <v>284846.970580589</v>
      </c>
      <c r="AA73" s="39" t="n">
        <f aca="false">SUM(AA67:AA72)</f>
        <v>296310.757247256</v>
      </c>
      <c r="AB73" s="39" t="n">
        <f aca="false">SUM(AB67:AB72)</f>
        <v>300984.090580589</v>
      </c>
      <c r="AC73" s="39" t="n">
        <f aca="false">SUM(AC67:AC72)</f>
        <v>300984.090580589</v>
      </c>
      <c r="AD73" s="39" t="n">
        <f aca="false">SUM(AD67:AD72)</f>
        <v>309545.946098007</v>
      </c>
      <c r="AE73" s="39" t="n">
        <f aca="false">SUM(AE67:AE72)</f>
        <v>309545.946098007</v>
      </c>
      <c r="AF73" s="39" t="n">
        <f aca="false">SUM(AF67:AF72)</f>
        <v>309545.946098007</v>
      </c>
      <c r="AG73" s="39" t="n">
        <f aca="false">SUM(U73:AF73)</f>
        <v>3492194.76018599</v>
      </c>
      <c r="AH73" s="40" t="n">
        <f aca="false">IFERROR(AG73/AG$16,"")</f>
        <v>0.224381540355488</v>
      </c>
      <c r="AI73" s="9"/>
      <c r="AJ73" s="39" t="n">
        <f aca="false">N73-AG73</f>
        <v>-881983.36018599</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291559.605059756</v>
      </c>
      <c r="V116" s="27" t="n">
        <f aca="false">V73+SUM(V74:V80)+V87+SUM(V88:V115)</f>
        <v>297487.605059756</v>
      </c>
      <c r="W116" s="27" t="n">
        <f aca="false">W73+SUM(W74:W80)+W87+SUM(W88:W115)</f>
        <v>303812.725059756</v>
      </c>
      <c r="X116" s="27" t="n">
        <f aca="false">X73+SUM(X74:X80)+X87+SUM(X88:X115)</f>
        <v>302812.725059756</v>
      </c>
      <c r="Y116" s="27" t="n">
        <f aca="false">Y73+SUM(Y74:Y80)+Y87+SUM(Y88:Y115)</f>
        <v>303711.891726423</v>
      </c>
      <c r="Z116" s="27" t="n">
        <f aca="false">Z73+SUM(Z74:Z80)+Z87+SUM(Z88:Z115)</f>
        <v>310136.178393089</v>
      </c>
      <c r="AA116" s="27" t="n">
        <f aca="false">AA73+SUM(AA74:AA80)+AA87+SUM(AA88:AA115)</f>
        <v>322499.131726423</v>
      </c>
      <c r="AB116" s="27" t="n">
        <f aca="false">AB73+SUM(AB74:AB80)+AB87+SUM(AB88:AB115)</f>
        <v>327471.631726422</v>
      </c>
      <c r="AC116" s="27" t="n">
        <f aca="false">AC73+SUM(AC74:AC80)+AC87+SUM(AC88:AC115)</f>
        <v>328370.798393089</v>
      </c>
      <c r="AD116" s="27" t="n">
        <f aca="false">AD73+SUM(AD74:AD80)+AD87+SUM(AD88:AD115)</f>
        <v>337231.820577174</v>
      </c>
      <c r="AE116" s="27" t="n">
        <f aca="false">AE73+SUM(AE74:AE80)+AE87+SUM(AE88:AE115)</f>
        <v>338130.98724384</v>
      </c>
      <c r="AF116" s="27" t="n">
        <f aca="false">AF73+SUM(AF74:AF80)+AF87+SUM(AF88:AF115)</f>
        <v>337670.153910507</v>
      </c>
      <c r="AG116" s="27" t="n">
        <f aca="false">SUM(U116:AF116)</f>
        <v>3800895.25393599</v>
      </c>
      <c r="AH116" s="28" t="n">
        <f aca="false">IFERROR(AG116/AG$16,"")</f>
        <v>0.244216256645033</v>
      </c>
      <c r="AI116" s="9"/>
      <c r="AJ116" s="27" t="n">
        <f aca="false">N116-AG116</f>
        <v>129062.04606401</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-79603.1164930984</v>
      </c>
      <c r="V117" s="39" t="n">
        <f aca="false">V64-V116</f>
        <v>12766.4898147209</v>
      </c>
      <c r="W117" s="39" t="n">
        <f aca="false">W64-W116</f>
        <v>-22360.3903440088</v>
      </c>
      <c r="X117" s="39" t="n">
        <f aca="false">X64-X116</f>
        <v>-98731.6586402009</v>
      </c>
      <c r="Y117" s="39" t="n">
        <f aca="false">Y64-Y116</f>
        <v>-55372.2345908923</v>
      </c>
      <c r="Z117" s="39" t="n">
        <f aca="false">Z64-Z116</f>
        <v>-59179.9364853267</v>
      </c>
      <c r="AA117" s="39" t="n">
        <f aca="false">AA64-AA116</f>
        <v>-24674.8434468206</v>
      </c>
      <c r="AB117" s="39" t="n">
        <f aca="false">AB64-AB116</f>
        <v>4550.30430237204</v>
      </c>
      <c r="AC117" s="39" t="n">
        <f aca="false">AC64-AC116</f>
        <v>36034.8250623396</v>
      </c>
      <c r="AD117" s="39" t="n">
        <f aca="false">AD64-AD116</f>
        <v>74318.5717165681</v>
      </c>
      <c r="AE117" s="39" t="n">
        <f aca="false">AE64-AE116</f>
        <v>126226.927993191</v>
      </c>
      <c r="AF117" s="39" t="n">
        <f aca="false">AF64-AF116</f>
        <v>245161.461619784</v>
      </c>
      <c r="AG117" s="39" t="n">
        <f aca="false">SUM(U117:AF117)</f>
        <v>159136.400508629</v>
      </c>
      <c r="AH117" s="40" t="n">
        <f aca="false">IFERROR(AG117/AG$16,"")</f>
        <v>0.0102248795169867</v>
      </c>
      <c r="AI117" s="9"/>
      <c r="AJ117" s="39" t="n">
        <f aca="false">AG117-N117</f>
        <v>1143169.7719372</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-79603.1164930984</v>
      </c>
      <c r="V132" s="30" t="n">
        <f aca="false">V117+V131</f>
        <v>12766.4898147209</v>
      </c>
      <c r="W132" s="30" t="n">
        <f aca="false">W117+W131</f>
        <v>-22360.3903440088</v>
      </c>
      <c r="X132" s="30" t="n">
        <f aca="false">X117+X131</f>
        <v>-98731.6586402009</v>
      </c>
      <c r="Y132" s="30" t="n">
        <f aca="false">Y117+Y131</f>
        <v>-55372.2345908923</v>
      </c>
      <c r="Z132" s="30" t="n">
        <f aca="false">Z117+Z131</f>
        <v>-59179.9364853267</v>
      </c>
      <c r="AA132" s="30" t="n">
        <f aca="false">AA117+AA131</f>
        <v>-24674.8434468206</v>
      </c>
      <c r="AB132" s="30" t="n">
        <f aca="false">AB117+AB131</f>
        <v>4550.30430237204</v>
      </c>
      <c r="AC132" s="30" t="n">
        <f aca="false">AC117+AC131</f>
        <v>36034.8250623396</v>
      </c>
      <c r="AD132" s="30" t="n">
        <f aca="false">AD117+AD131</f>
        <v>74318.5717165681</v>
      </c>
      <c r="AE132" s="30" t="n">
        <f aca="false">AE117+AE131</f>
        <v>126226.927993191</v>
      </c>
      <c r="AF132" s="30" t="n">
        <f aca="false">AF117+AF131</f>
        <v>245161.461619784</v>
      </c>
      <c r="AG132" s="30" t="n">
        <f aca="false">SUM(U132:AF132)</f>
        <v>159136.400508629</v>
      </c>
      <c r="AH132" s="31" t="n">
        <f aca="false">IFERROR(AG132/AG$16,"")</f>
        <v>0.0102248795169867</v>
      </c>
      <c r="AI132" s="9"/>
      <c r="AJ132" s="30" t="n">
        <f aca="false">AG132-N132</f>
        <v>1058358.4519372</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0</v>
      </c>
      <c r="W133" s="43" t="n">
        <f aca="false">W132-(CO!W132+FE!W132+FO!W132+PE!W132+PO!W132)</f>
        <v>-1.16415321826935E-010</v>
      </c>
      <c r="X133" s="43" t="n">
        <f aca="false">X132-(CO!X132+FE!X132+FO!X132+PE!X132+PO!X132)</f>
        <v>0</v>
      </c>
      <c r="Y133" s="43" t="n">
        <f aca="false">Y132-(CO!Y132+FE!Y132+FO!Y132+PE!Y132+PO!Y132)</f>
        <v>0</v>
      </c>
      <c r="Z133" s="43" t="n">
        <f aca="false">Z132-(CO!Z132+FE!Z132+FO!Z132+PE!Z132+PO!Z132)</f>
        <v>1.74622982740402E-010</v>
      </c>
      <c r="AA133" s="43" t="n">
        <f aca="false">AA132-(CO!AA132+FE!AA132+FO!AA132+PE!AA132+PO!AA132)</f>
        <v>0</v>
      </c>
      <c r="AB133" s="43" t="n">
        <f aca="false">AB132-(CO!AB132+FE!AB132+FO!AB132+PE!AB132+PO!AB132)</f>
        <v>0</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348628.25</v>
      </c>
      <c r="V137" s="12" t="n">
        <f aca="false">SUMIF($A$9:$A$132,"*"&amp;$A137&amp;"*",V$9:V$132)</f>
        <v>349628.25</v>
      </c>
      <c r="W137" s="12" t="n">
        <f aca="false">SUMIF($A$9:$A$132,"*"&amp;$A137&amp;"*",W$9:W$132)</f>
        <v>392288.25</v>
      </c>
      <c r="X137" s="12" t="n">
        <f aca="false">SUMIF($A$9:$A$132,"*"&amp;$A137&amp;"*",X$9:X$132)</f>
        <v>403038.25</v>
      </c>
      <c r="Y137" s="12" t="n">
        <f aca="false">SUMIF($A$9:$A$132,"*"&amp;$A137&amp;"*",Y$9:Y$132)</f>
        <v>433288.25</v>
      </c>
      <c r="Z137" s="12" t="n">
        <f aca="false">SUMIF($A$9:$A$132,"*"&amp;$A137&amp;"*",Z$9:Z$132)</f>
        <v>464698.25</v>
      </c>
      <c r="AA137" s="12" t="n">
        <f aca="false">SUMIF($A$9:$A$132,"*"&amp;$A137&amp;"*",AA$9:AA$132)</f>
        <v>517191.583333333</v>
      </c>
      <c r="AB137" s="12" t="n">
        <f aca="false">SUMIF($A$9:$A$132,"*"&amp;$A137&amp;"*",AB$9:AB$132)</f>
        <v>557358.25</v>
      </c>
      <c r="AC137" s="12" t="n">
        <f aca="false">SUMIF($A$9:$A$132,"*"&amp;$A137&amp;"*",AC$9:AC$132)</f>
        <v>594108.25</v>
      </c>
      <c r="AD137" s="12" t="n">
        <f aca="false">SUMIF($A$9:$A$132,"*"&amp;$A137&amp;"*",AD$9:AD$132)</f>
        <v>666459.3975</v>
      </c>
      <c r="AE137" s="12" t="n">
        <f aca="false">SUMIF($A$9:$A$132,"*"&amp;$A137&amp;"*",AE$9:AE$132)</f>
        <v>711709.3975</v>
      </c>
      <c r="AF137" s="12" t="n">
        <f aca="false">SUMIF($A$9:$A$132,"*"&amp;$A137&amp;"*",AF$9:AF$132)</f>
        <v>761209.3975</v>
      </c>
      <c r="AG137" s="12" t="n">
        <f aca="false">SUMIF($A$9:$A$132,"*"&amp;$A137&amp;"*",AG$9:AG$132)</f>
        <v>6199605.77583333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19721.2797127256</v>
      </c>
      <c r="V139" s="12" t="n">
        <f aca="false">SUMIF($A$9:$A$132,"*"&amp;$A139&amp;"*",V$9:V$132)</f>
        <v>19993.2797127256</v>
      </c>
      <c r="W139" s="12" t="n">
        <f aca="false">SUMIF($A$9:$A$132,"*"&amp;$A139&amp;"*",W$9:W$132)</f>
        <v>22214.1597127256</v>
      </c>
      <c r="X139" s="12" t="n">
        <f aca="false">SUMIF($A$9:$A$132,"*"&amp;$A139&amp;"*",X$9:X$132)</f>
        <v>23285.1597127256</v>
      </c>
      <c r="Y139" s="12" t="n">
        <f aca="false">SUMIF($A$9:$A$132,"*"&amp;$A139&amp;"*",Y$9:Y$132)</f>
        <v>25070.1597127256</v>
      </c>
      <c r="Z139" s="12" t="n">
        <f aca="false">SUMIF($A$9:$A$132,"*"&amp;$A139&amp;"*",Z$9:Z$132)</f>
        <v>27138.0397127256</v>
      </c>
      <c r="AA139" s="12" t="n">
        <f aca="false">SUMIF($A$9:$A$132,"*"&amp;$A139&amp;"*",AA$9:AA$132)</f>
        <v>30367.5863793923</v>
      </c>
      <c r="AB139" s="12" t="n">
        <f aca="false">SUMIF($A$9:$A$132,"*"&amp;$A139&amp;"*",AB$9:AB$132)</f>
        <v>33234.9197127256</v>
      </c>
      <c r="AC139" s="12" t="n">
        <f aca="false">SUMIF($A$9:$A$132,"*"&amp;$A139&amp;"*",AC$9:AC$132)</f>
        <v>35733.9197127256</v>
      </c>
      <c r="AD139" s="12" t="n">
        <f aca="false">SUMIF($A$9:$A$132,"*"&amp;$A139&amp;"*",AD$9:AD$132)</f>
        <v>40134.3945041074</v>
      </c>
      <c r="AE139" s="12" t="n">
        <f aca="false">SUMIF($A$9:$A$132,"*"&amp;$A139&amp;"*",AE$9:AE$132)</f>
        <v>43347.3945041074</v>
      </c>
      <c r="AF139" s="12" t="n">
        <f aca="false">SUMIF($A$9:$A$132,"*"&amp;$A139&amp;"*",AF$9:AF$132)</f>
        <v>46713.3945041074</v>
      </c>
      <c r="AG139" s="12" t="n">
        <f aca="false">SUMIF($A$9:$A$132,"*"&amp;$A139&amp;"*",AG$9:AG$132)</f>
        <v>366953.687593519</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47386.7408678636</v>
      </c>
      <c r="V140" s="12" t="n">
        <f aca="false">SUMIF($A$9:$A$132,"*"&amp;$A140&amp;"*",V$9:V$132)</f>
        <v>48042.7408678636</v>
      </c>
      <c r="W140" s="12" t="n">
        <f aca="false">SUMIF($A$9:$A$132,"*"&amp;$A140&amp;"*",W$9:W$132)</f>
        <v>53398.9808678636</v>
      </c>
      <c r="X140" s="12" t="n">
        <f aca="false">SUMIF($A$9:$A$132,"*"&amp;$A140&amp;"*",X$9:X$132)</f>
        <v>55981.9808678636</v>
      </c>
      <c r="Y140" s="12" t="n">
        <f aca="false">SUMIF($A$9:$A$132,"*"&amp;$A140&amp;"*",Y$9:Y$132)</f>
        <v>60286.9808678636</v>
      </c>
      <c r="Z140" s="12" t="n">
        <f aca="false">SUMIF($A$9:$A$132,"*"&amp;$A140&amp;"*",Z$9:Z$132)</f>
        <v>65274.2208678636</v>
      </c>
      <c r="AA140" s="12" t="n">
        <f aca="false">SUMIF($A$9:$A$132,"*"&amp;$A140&amp;"*",AA$9:AA$132)</f>
        <v>73063.1275345302</v>
      </c>
      <c r="AB140" s="12" t="n">
        <f aca="false">SUMIF($A$9:$A$132,"*"&amp;$A140&amp;"*",AB$9:AB$132)</f>
        <v>79978.4608678636</v>
      </c>
      <c r="AC140" s="12" t="n">
        <f aca="false">SUMIF($A$9:$A$132,"*"&amp;$A140&amp;"*",AC$9:AC$132)</f>
        <v>86005.4608678636</v>
      </c>
      <c r="AD140" s="12" t="n">
        <f aca="false">SUMIF($A$9:$A$132,"*"&amp;$A140&amp;"*",AD$9:AD$132)</f>
        <v>96613.0802938995</v>
      </c>
      <c r="AE140" s="12" t="n">
        <f aca="false">SUMIF($A$9:$A$132,"*"&amp;$A140&amp;"*",AE$9:AE$132)</f>
        <v>104362.080293899</v>
      </c>
      <c r="AF140" s="12" t="n">
        <f aca="false">SUMIF($A$9:$A$132,"*"&amp;$A140&amp;"*",AF$9:AF$132)</f>
        <v>112480.080293899</v>
      </c>
      <c r="AG140" s="12" t="n">
        <f aca="false">SUMIF($A$9:$A$132,"*"&amp;$A140&amp;"*",AG$9:AG$132)</f>
        <v>882873.935359137</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0.192491631359734</v>
      </c>
      <c r="V141" s="24" t="n">
        <f aca="false">IFERROR(SUM(V139:V140)/SUM(V137:V138),"")</f>
        <v>0.194595318257575</v>
      </c>
      <c r="W141" s="24" t="n">
        <f aca="false">IFERROR(SUM(W139:W140)/SUM(W137:W138),"")</f>
        <v>0.192748930360747</v>
      </c>
      <c r="X141" s="24" t="n">
        <f aca="false">IFERROR(SUM(X139:X140)/SUM(X137:X138),"")</f>
        <v>0.196673989579374</v>
      </c>
      <c r="Y141" s="24" t="n">
        <f aca="false">IFERROR(SUM(Y139:Y140)/SUM(Y137:Y138),"")</f>
        <v>0.196998512146566</v>
      </c>
      <c r="Z141" s="24" t="n">
        <f aca="false">IFERROR(SUM(Z139:Z140)/SUM(Z137:Z138),"")</f>
        <v>0.198865092736177</v>
      </c>
      <c r="AA141" s="24" t="n">
        <f aca="false">IFERROR(SUM(AA139:AA140)/SUM(AA137:AA138),"")</f>
        <v>0.199985299929486</v>
      </c>
      <c r="AB141" s="24" t="n">
        <f aca="false">IFERROR(SUM(AB139:AB140)/SUM(AB137:AB138),"")</f>
        <v>0.203124974970029</v>
      </c>
      <c r="AC141" s="24" t="n">
        <f aca="false">IFERROR(SUM(AC139:AC140)/SUM(AC137:AC138),"")</f>
        <v>0.204911109348489</v>
      </c>
      <c r="AD141" s="24" t="n">
        <f aca="false">IFERROR(SUM(AD139:AD140)/SUM(AD137:AD138),"")</f>
        <v>0.205185004984504</v>
      </c>
      <c r="AE141" s="24" t="n">
        <f aca="false">IFERROR(SUM(AE139:AE140)/SUM(AE137:AE138),"")</f>
        <v>0.207541835638059</v>
      </c>
      <c r="AF141" s="24" t="n">
        <f aca="false">IFERROR(SUM(AF139:AF140)/SUM(AF137:AF138),"")</f>
        <v>0.209132303569606</v>
      </c>
      <c r="AG141" s="24" t="n">
        <f aca="false">IFERROR(SUM(AG139:AG140)/SUM(AG137:AG138),"")</f>
        <v>0.201597918987786</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Schedule'!F80+'Depreciation Schedule'!F193</f>
        <v>35921.0904761905</v>
      </c>
      <c r="V20" s="59" t="n">
        <f aca="false">'Depreciation Schedule'!G80+'Depreciation Schedule'!G193</f>
        <v>42111.5666666667</v>
      </c>
      <c r="W20" s="59" t="n">
        <f aca="false">'Depreciation Schedule'!H80+'Depreciation Schedule'!H193</f>
        <v>42111.5666666667</v>
      </c>
      <c r="X20" s="59" t="n">
        <f aca="false">'Depreciation Schedule'!I80+'Depreciation Schedule'!I193</f>
        <v>61801.0684996113</v>
      </c>
      <c r="Y20" s="59" t="n">
        <f aca="false">'Depreciation Schedule'!J80+'Depreciation Schedule'!J193</f>
        <v>74048.2254334456</v>
      </c>
      <c r="Z20" s="59" t="n">
        <f aca="false">'Depreciation Schedule'!K80+'Depreciation Schedule'!K193</f>
        <v>90938.2395101371</v>
      </c>
      <c r="AA20" s="59" t="n">
        <f aca="false">'Depreciation Schedule'!L80+'Depreciation Schedule'!L193</f>
        <v>106292.226295403</v>
      </c>
      <c r="AB20" s="59" t="n">
        <f aca="false">'Depreciation Schedule'!M80+'Depreciation Schedule'!M193</f>
        <v>124753.042908114</v>
      </c>
      <c r="AC20" s="59" t="n">
        <f aca="false">'Depreciation Schedule'!N80+'Depreciation Schedule'!N193</f>
        <v>148224.100618432</v>
      </c>
      <c r="AD20" s="59" t="n">
        <f aca="false">'Depreciation Schedule'!O80+'Depreciation Schedule'!O193</f>
        <v>171602.342421205</v>
      </c>
      <c r="AE20" s="59" t="n">
        <f aca="false">'Depreciation Schedule'!P80+'Depreciation Schedule'!P193</f>
        <v>199827.261741527</v>
      </c>
      <c r="AF20" s="59" t="n">
        <f aca="false">'Depreciation Schedule'!Q80+'Depreciation Schedule'!Q193</f>
        <v>229855.614800266</v>
      </c>
      <c r="AG20" s="12" t="n">
        <f aca="false">SUM(U20:AF20)</f>
        <v>1327486.34603766</v>
      </c>
      <c r="AH20" s="24" t="n">
        <f aca="false">IFERROR(AG20/AG$16,"")</f>
        <v>0.0852940490377878</v>
      </c>
      <c r="AI20" s="9" t="inlineStr">
        <is>
          <t xml:space="preserve">v3: from 'Depreciation Schedule' row 80 (straight-line; see inputs). v8: + capitalised production labour ('Depreciation Schedule' row 193, section 9).</t>
        </is>
      </c>
      <c r="AJ20" s="12" t="n">
        <f aca="false">N20-AG20</f>
        <v>-1227126.49460909</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Schedule'!F81+'Depreciation Schedule'!F194</f>
        <v>10502.64</v>
      </c>
      <c r="V21" s="59" t="n">
        <f aca="false">'Depreciation Schedule'!G81+'Depreciation Schedule'!G194</f>
        <v>12102.64</v>
      </c>
      <c r="W21" s="59" t="n">
        <f aca="false">'Depreciation Schedule'!H81+'Depreciation Schedule'!H194</f>
        <v>12102.64</v>
      </c>
      <c r="X21" s="59" t="n">
        <f aca="false">'Depreciation Schedule'!I81+'Depreciation Schedule'!I194</f>
        <v>18653.3346430846</v>
      </c>
      <c r="Y21" s="59" t="n">
        <f aca="false">'Depreciation Schedule'!J81+'Depreciation Schedule'!J194</f>
        <v>23190.7426748172</v>
      </c>
      <c r="Z21" s="59" t="n">
        <f aca="false">'Depreciation Schedule'!K81+'Depreciation Schedule'!K194</f>
        <v>30194.8173732166</v>
      </c>
      <c r="AA21" s="59" t="n">
        <f aca="false">'Depreciation Schedule'!L81+'Depreciation Schedule'!L194</f>
        <v>35536.0675753723</v>
      </c>
      <c r="AB21" s="59" t="n">
        <f aca="false">'Depreciation Schedule'!M81+'Depreciation Schedule'!M194</f>
        <v>41681.1599647408</v>
      </c>
      <c r="AC21" s="59" t="n">
        <f aca="false">'Depreciation Schedule'!N81+'Depreciation Schedule'!N194</f>
        <v>50321.5592861101</v>
      </c>
      <c r="AD21" s="59" t="n">
        <f aca="false">'Depreciation Schedule'!O81+'Depreciation Schedule'!O194</f>
        <v>58947.0256335046</v>
      </c>
      <c r="AE21" s="59" t="n">
        <f aca="false">'Depreciation Schedule'!P81+'Depreciation Schedule'!P194</f>
        <v>70207.4993447896</v>
      </c>
      <c r="AF21" s="59" t="n">
        <f aca="false">'Depreciation Schedule'!Q81+'Depreciation Schedule'!Q194</f>
        <v>80584.4956478179</v>
      </c>
      <c r="AG21" s="12" t="n">
        <f aca="false">SUM(U21:AF21)</f>
        <v>444024.622143454</v>
      </c>
      <c r="AH21" s="24" t="n">
        <f aca="false">IFERROR(AG21/AG$16,"")</f>
        <v>0.028529602589234</v>
      </c>
      <c r="AI21" s="9" t="inlineStr">
        <is>
          <t xml:space="preserve">v3: from 'Depreciation Schedule' row 81 (straight-line; see inputs). v8: + capitalised production labour ('Depreciation Schedule' row 194, section 9).</t>
        </is>
      </c>
      <c r="AJ21" s="12" t="n">
        <f aca="false">N21-AG21</f>
        <v>-407031.925476787</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f aca="false">(1-'Depreciation Schedule'!$B$131)*(43450-'HC-PO'!M20)+'Depreciation Schedule'!F226</f>
        <v>0</v>
      </c>
      <c r="V33" s="67" t="n">
        <f aca="false">(1-'Depreciation Schedule'!$B$131)*(43450-'HC-PO'!N20)+'Depreciation Schedule'!G226</f>
        <v>0</v>
      </c>
      <c r="W33" s="67" t="n">
        <f aca="false">(1-'Depreciation Schedule'!$B$131)*(43450-'HC-PO'!O20)+'Depreciation Schedule'!H226</f>
        <v>0</v>
      </c>
      <c r="X33" s="67" t="n">
        <f aca="false">(1-'Depreciation Schedule'!$B$131)*(43450-'HC-PO'!P20)+'Depreciation Schedule'!I226</f>
        <v>0</v>
      </c>
      <c r="Y33" s="67" t="n">
        <f aca="false">(1-'Depreciation Schedule'!$B$131)*(43450-'HC-PO'!Q20)+'Depreciation Schedule'!J226</f>
        <v>0</v>
      </c>
      <c r="Z33" s="67" t="n">
        <f aca="false">(1-'Depreciation Schedule'!$B$131)*(43450-'HC-PO'!R20)+'Depreciation Schedule'!K226</f>
        <v>0</v>
      </c>
      <c r="AA33" s="67" t="n">
        <f aca="false">(1-'Depreciation Schedule'!$B$131)*(43450-'HC-PO'!S20)+'Depreciation Schedule'!L226</f>
        <v>0</v>
      </c>
      <c r="AB33" s="67" t="n">
        <f aca="false">(1-'Depreciation Schedule'!$B$131)*(43450-'HC-PO'!T20)+'Depreciation Schedule'!M226</f>
        <v>0</v>
      </c>
      <c r="AC33" s="67" t="n">
        <f aca="false">(1-'Depreciation Schedule'!$B$131)*(43450-'HC-PO'!U20)+'Depreciation Schedule'!N226</f>
        <v>0</v>
      </c>
      <c r="AD33" s="67" t="n">
        <f aca="false">(1-'Depreciation Schedule'!$B$131)*(44753.5-'HC-PO'!V20)+'Depreciation Schedule'!O226</f>
        <v>0</v>
      </c>
      <c r="AE33" s="67" t="n">
        <f aca="false">(1-'Depreciation Schedule'!$B$131)*(44753.5-'HC-PO'!W20)+'Depreciation Schedule'!P226</f>
        <v>0</v>
      </c>
      <c r="AF33" s="67" t="n">
        <f aca="false">(1-'Depreciation Schedule'!$B$131)*(44753.5-'HC-PO'!X20)+'Depreciation Schedule'!Q226</f>
        <v>0</v>
      </c>
      <c r="AG33" s="12" t="n">
        <f aca="false">SUM(U33:AF33)</f>
        <v>0</v>
      </c>
      <c r="AH33" s="24" t="n">
        <f aca="false">IFERROR(AG33/AG$16,"")</f>
        <v>0</v>
      </c>
      <c r="AI33" s="9" t="inlineStr">
        <is>
          <t xml:space="preserve">v8: 5110 2027 = 0, CAPITALISED (production labour capitalised, user-confirmed 2026-10-10). Formula = (1 - 'Depreciation Schedule'!B131) x the v7 amount (PO HC roster); the labour is in 5011/5012 depreciation via 'Depreciation Schedule' sections 8-9. B131 = 0 restores the v7 amount (sensitivity). v9: + 'Depreciation Schedule' row 226 (idle-month labour expensed to this GL when B135 = 0; 0 while B135 = 1, booked).</t>
        </is>
      </c>
      <c r="AJ33" s="12" t="n">
        <f aca="false">N33-AG33</f>
        <v>137080.38</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f aca="false">(1-'Depreciation Schedule'!$B$131)*(1580.22856962794-'HC-PO'!M20*'HC-PO'!$D$6)+'Depreciation Schedule'!F227</f>
        <v>0</v>
      </c>
      <c r="V34" s="67" t="n">
        <f aca="false">(1-'Depreciation Schedule'!$B$131)*(1580.22856962794-'HC-PO'!N20*'HC-PO'!$D$6)+'Depreciation Schedule'!G227</f>
        <v>0</v>
      </c>
      <c r="W34" s="67" t="n">
        <f aca="false">(1-'Depreciation Schedule'!$B$131)*(1580.22856962794-'HC-PO'!O20*'HC-PO'!$D$6)+'Depreciation Schedule'!H227</f>
        <v>0</v>
      </c>
      <c r="X34" s="67" t="n">
        <f aca="false">(1-'Depreciation Schedule'!$B$131)*(1580.22856962794-'HC-PO'!P20*'HC-PO'!$D$6)+'Depreciation Schedule'!I227</f>
        <v>0</v>
      </c>
      <c r="Y34" s="67" t="n">
        <f aca="false">(1-'Depreciation Schedule'!$B$131)*(1580.22856962794-'HC-PO'!Q20*'HC-PO'!$D$6)+'Depreciation Schedule'!J227</f>
        <v>0</v>
      </c>
      <c r="Z34" s="67" t="n">
        <f aca="false">(1-'Depreciation Schedule'!$B$131)*(1580.22856962794-'HC-PO'!R20*'HC-PO'!$D$6)+'Depreciation Schedule'!K227</f>
        <v>0</v>
      </c>
      <c r="AA34" s="67" t="n">
        <f aca="false">(1-'Depreciation Schedule'!$B$131)*(1580.22856962794-'HC-PO'!S20*'HC-PO'!$D$6)+'Depreciation Schedule'!L227</f>
        <v>0</v>
      </c>
      <c r="AB34" s="67" t="n">
        <f aca="false">(1-'Depreciation Schedule'!$B$131)*(1580.22856962794-'HC-PO'!T20*'HC-PO'!$D$6)+'Depreciation Schedule'!M227</f>
        <v>0</v>
      </c>
      <c r="AC34" s="67" t="n">
        <f aca="false">(1-'Depreciation Schedule'!$B$131)*(1580.22856962794-'HC-PO'!U20*'HC-PO'!$D$6)+'Depreciation Schedule'!N227</f>
        <v>0</v>
      </c>
      <c r="AD34" s="67" t="n">
        <f aca="false">(1-'Depreciation Schedule'!$B$131)*(1627.63542671678-'HC-PO'!V20*'HC-PO'!$D$6)+'Depreciation Schedule'!O227</f>
        <v>0</v>
      </c>
      <c r="AE34" s="67" t="n">
        <f aca="false">(1-'Depreciation Schedule'!$B$131)*(1627.63542671678-'HC-PO'!W20*'HC-PO'!$D$6)+'Depreciation Schedule'!P227</f>
        <v>0</v>
      </c>
      <c r="AF34" s="67" t="n">
        <f aca="false">(1-'Depreciation Schedule'!$B$131)*(1627.63542671678-'HC-PO'!X20*'HC-PO'!$D$6)+'Depreciation Schedule'!Q227</f>
        <v>0</v>
      </c>
      <c r="AG34" s="12" t="n">
        <f aca="false">SUM(U34:AF34)</f>
        <v>0</v>
      </c>
      <c r="AH34" s="24" t="n">
        <f aca="false">IFERROR(AG34/AG$16,"")</f>
        <v>0</v>
      </c>
      <c r="AI34" s="9" t="inlineStr">
        <is>
          <t xml:space="preserve">v8: 5130 2027 = 0, CAPITALISED (production labour capitalised, user-confirmed 2026-10-10). Formula = (1 - 'Depreciation Schedule'!B131) x the v7 amount (PO HC roster); the labour is in 5011/5012 depreciation via 'Depreciation Schedule' sections 8-9. B131 = 0 restores the v7 amount (sensitivity). v9: + 'Depreciation Schedule' row 227 (idle-month labour expensed to this GL when B135 = 0; 0 while B135 = 1, booked).</t>
        </is>
      </c>
      <c r="AJ34" s="12" t="n">
        <f aca="false">N34-AG34</f>
        <v>5971.71</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f aca="false">(1-'Depreciation Schedule'!$B$131)*(8966.45875099473-'HC-PO'!M20*'HC-PO'!$D$7)+'Depreciation Schedule'!F228</f>
        <v>0</v>
      </c>
      <c r="V35" s="67" t="n">
        <f aca="false">(1-'Depreciation Schedule'!$B$131)*(8966.45875099473-'HC-PO'!N20*'HC-PO'!$D$7)+'Depreciation Schedule'!G228</f>
        <v>0</v>
      </c>
      <c r="W35" s="67" t="n">
        <f aca="false">(1-'Depreciation Schedule'!$B$131)*(8966.45875099473-'HC-PO'!O20*'HC-PO'!$D$7)+'Depreciation Schedule'!H228</f>
        <v>0</v>
      </c>
      <c r="X35" s="67" t="n">
        <f aca="false">(1-'Depreciation Schedule'!$B$131)*(8966.45875099473-'HC-PO'!P20*'HC-PO'!$D$7)+'Depreciation Schedule'!I228</f>
        <v>0</v>
      </c>
      <c r="Y35" s="67" t="n">
        <f aca="false">(1-'Depreciation Schedule'!$B$131)*(8966.45875099473-'HC-PO'!Q20*'HC-PO'!$D$7)+'Depreciation Schedule'!J228</f>
        <v>0</v>
      </c>
      <c r="Z35" s="67" t="n">
        <f aca="false">(1-'Depreciation Schedule'!$B$131)*(8966.45875099473-'HC-PO'!R20*'HC-PO'!$D$7)+'Depreciation Schedule'!K228</f>
        <v>0</v>
      </c>
      <c r="AA35" s="67" t="n">
        <f aca="false">(1-'Depreciation Schedule'!$B$131)*(8966.45875099473-'HC-PO'!S20*'HC-PO'!$D$7)+'Depreciation Schedule'!L228</f>
        <v>0</v>
      </c>
      <c r="AB35" s="67" t="n">
        <f aca="false">(1-'Depreciation Schedule'!$B$131)*(8966.45875099473-'HC-PO'!T20*'HC-PO'!$D$7)+'Depreciation Schedule'!M228</f>
        <v>0</v>
      </c>
      <c r="AC35" s="67" t="n">
        <f aca="false">(1-'Depreciation Schedule'!$B$131)*(8966.45875099473-'HC-PO'!U20*'HC-PO'!$D$7)+'Depreciation Schedule'!N228</f>
        <v>0</v>
      </c>
      <c r="AD35" s="67" t="n">
        <f aca="false">(1-'Depreciation Schedule'!$B$131)*(9235.45251352458-'HC-PO'!V20*'HC-PO'!$D$7)+'Depreciation Schedule'!O228</f>
        <v>0</v>
      </c>
      <c r="AE35" s="67" t="n">
        <f aca="false">(1-'Depreciation Schedule'!$B$131)*(9235.45251352458-'HC-PO'!W20*'HC-PO'!$D$7)+'Depreciation Schedule'!P228</f>
        <v>0</v>
      </c>
      <c r="AF35" s="67" t="n">
        <f aca="false">(1-'Depreciation Schedule'!$B$131)*(9235.45251352458-'HC-PO'!X20*'HC-PO'!$D$7)+'Depreciation Schedule'!Q228</f>
        <v>0</v>
      </c>
      <c r="AG35" s="12" t="n">
        <f aca="false">SUM(U35:AF35)</f>
        <v>0</v>
      </c>
      <c r="AH35" s="24" t="n">
        <f aca="false">IFERROR(AG35/AG$16,"")</f>
        <v>0</v>
      </c>
      <c r="AI35" s="9" t="inlineStr">
        <is>
          <t xml:space="preserve">v8: 5140 2027 = 0, CAPITALISED (production labour capitalised, user-confirmed 2026-10-10). Formula = (1 - 'Depreciation Schedule'!B131) x the v7 amount (PO HC roster); the labour is in 5011/5012 depreciation via 'Depreciation Schedule' sections 8-9. B131 = 0 restores the v7 amount (sensitivity). v9: + 'Depreciation Schedule' row 228 (idle-month labour expensed to this GL when B135 = 0; 0 while B135 = 1, booked).</t>
        </is>
      </c>
      <c r="AJ35" s="12" t="n">
        <f aca="false">N35-AG35</f>
        <v>54271.24</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197323.33</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190148.696190476</v>
      </c>
      <c r="V37" s="27" t="n">
        <f aca="false">V19+V22+V27+V28+V29+V30+V31+V36+V20+V21</f>
        <v>193333.22</v>
      </c>
      <c r="W37" s="27" t="n">
        <f aca="false">W19+W22+W27+W28+W29+W30+W31+W36+W20+W21</f>
        <v>193333.22</v>
      </c>
      <c r="X37" s="27" t="n">
        <f aca="false">X19+X22+X27+X28+X29+X30+X31+X36+X20+X21</f>
        <v>220657.04742841</v>
      </c>
      <c r="Y37" s="27" t="n">
        <f aca="false">Y19+Y22+Y27+Y28+Y29+Y30+Y31+Y36+Y20+Y21</f>
        <v>243131.19572731</v>
      </c>
      <c r="Z37" s="27" t="n">
        <f aca="false">Z19+Z22+Z27+Z28+Z29+Z30+Z31+Z36+Z20+Z21</f>
        <v>263552.070216687</v>
      </c>
      <c r="AA37" s="27" t="n">
        <f aca="false">AA19+AA22+AA27+AA28+AA29+AA30+AA31+AA36+AA20+AA21</f>
        <v>285404.747680299</v>
      </c>
      <c r="AB37" s="27" t="n">
        <f aca="false">AB19+AB22+AB27+AB28+AB29+AB30+AB31+AB36+AB20+AB21</f>
        <v>311365.120968093</v>
      </c>
      <c r="AC37" s="27" t="n">
        <f aca="false">AC19+AC22+AC27+AC28+AC29+AC30+AC31+AC36+AC20+AC21</f>
        <v>345126.57799978</v>
      </c>
      <c r="AD37" s="27" t="n">
        <f aca="false">AD19+AD22+AD27+AD28+AD29+AD30+AD31+AD36+AD20+AD21</f>
        <v>382155.286149947</v>
      </c>
      <c r="AE37" s="27" t="n">
        <f aca="false">AE19+AE22+AE27+AE28+AE29+AE30+AE31+AE36+AE20+AE21</f>
        <v>420211.21489584</v>
      </c>
      <c r="AF37" s="27" t="n">
        <f aca="false">AF19+AF22+AF27+AF28+AF29+AF30+AF31+AF36+AF20+AF21</f>
        <v>462660.611876655</v>
      </c>
      <c r="AG37" s="27" t="n">
        <f aca="false">SUM(U37:AF37)</f>
        <v>3511079.0091335</v>
      </c>
      <c r="AH37" s="28" t="n">
        <f aca="false">IFERROR(AG37/AG$16,"")</f>
        <v>0.225594896756914</v>
      </c>
      <c r="AI37" s="9"/>
      <c r="AJ37" s="27" t="n">
        <f aca="false">N37-AG37</f>
        <v>-1399161.92437159</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246021.324065476</v>
      </c>
      <c r="V63" s="27" t="n">
        <f aca="false">V37+V38+V39+V40+V41+V42+V56+V61+V62</f>
        <v>219205.847875</v>
      </c>
      <c r="W63" s="27" t="n">
        <f aca="false">W37+W38+W39+W40+W41+W42+W56+W61+W62</f>
        <v>219205.847875</v>
      </c>
      <c r="X63" s="27" t="n">
        <f aca="false">X37+X38+X39+X40+X41+X42+X56+X61+X62</f>
        <v>246529.67530341</v>
      </c>
      <c r="Y63" s="27" t="n">
        <f aca="false">Y37+Y38+Y39+Y40+Y41+Y42+Y56+Y61+Y62</f>
        <v>269441.32360231</v>
      </c>
      <c r="Z63" s="27" t="n">
        <f aca="false">Z37+Z38+Z39+Z40+Z41+Z42+Z56+Z61+Z62</f>
        <v>290299.698091687</v>
      </c>
      <c r="AA63" s="27" t="n">
        <f aca="false">AA37+AA38+AA39+AA40+AA41+AA42+AA56+AA61+AA62</f>
        <v>312589.875555299</v>
      </c>
      <c r="AB63" s="27" t="n">
        <f aca="false">AB37+AB38+AB39+AB40+AB41+AB42+AB56+AB61+AB62</f>
        <v>338987.748843093</v>
      </c>
      <c r="AC63" s="27" t="n">
        <f aca="false">AC37+AC38+AC39+AC40+AC41+AC42+AC56+AC61+AC62</f>
        <v>373186.70587478</v>
      </c>
      <c r="AD63" s="27" t="n">
        <f aca="false">AD37+AD38+AD39+AD40+AD41+AD42+AD56+AD61+AD62</f>
        <v>410652.914024948</v>
      </c>
      <c r="AE63" s="27" t="n">
        <f aca="false">AE37+AE38+AE39+AE40+AE41+AE42+AE56+AE61+AE62</f>
        <v>449146.34277084</v>
      </c>
      <c r="AF63" s="27" t="n">
        <f aca="false">AF37+AF38+AF39+AF40+AF41+AF42+AF56+AF61+AF62</f>
        <v>492033.239751656</v>
      </c>
      <c r="AG63" s="27" t="n">
        <f aca="false">SUM(U63:AF63)</f>
        <v>3867300.5436335</v>
      </c>
      <c r="AH63" s="28" t="n">
        <f aca="false">IFERROR(AG63/AG$16,"")</f>
        <v>0.248482949144533</v>
      </c>
      <c r="AI63" s="9"/>
      <c r="AJ63" s="27" t="n">
        <f aca="false">N63-AG63</f>
        <v>-1505962.11887159</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537407.092601191</v>
      </c>
      <c r="V64" s="27" t="n">
        <f aca="false">V16-V63</f>
        <v>602714.652125</v>
      </c>
      <c r="W64" s="27" t="n">
        <f aca="false">W16-W63</f>
        <v>588540.068791667</v>
      </c>
      <c r="X64" s="27" t="n">
        <f aca="false">X16-X63</f>
        <v>660592.19969659</v>
      </c>
      <c r="Y64" s="27" t="n">
        <f aca="false">Y16-Y63</f>
        <v>727934.509731024</v>
      </c>
      <c r="Z64" s="27" t="n">
        <f aca="false">Z16-Z63</f>
        <v>825746.760241643</v>
      </c>
      <c r="AA64" s="27" t="n">
        <f aca="false">AA16-AA63</f>
        <v>919002.207778031</v>
      </c>
      <c r="AB64" s="27" t="n">
        <f aca="false">AB16-AB63</f>
        <v>1040638.29282358</v>
      </c>
      <c r="AC64" s="27" t="n">
        <f aca="false">AC16-AC63</f>
        <v>1188669.96079189</v>
      </c>
      <c r="AD64" s="27" t="n">
        <f aca="false">AD16-AD63</f>
        <v>1340974.37764172</v>
      </c>
      <c r="AE64" s="27" t="n">
        <f aca="false">AE16-AE63</f>
        <v>1526016.90722916</v>
      </c>
      <c r="AF64" s="27" t="n">
        <f aca="false">AF16-AF63</f>
        <v>1738107.96858167</v>
      </c>
      <c r="AG64" s="27" t="n">
        <f aca="false">SUM(U64:AF64)</f>
        <v>11696344.9980332</v>
      </c>
      <c r="AH64" s="28" t="n">
        <f aca="false">IFERROR(AG64/AG$16,"")</f>
        <v>0.751517050855467</v>
      </c>
      <c r="AI64" s="9"/>
      <c r="AJ64" s="27" t="n">
        <f aca="false">AG64-N64</f>
        <v>6633743.87946174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523490.425934524</v>
      </c>
      <c r="V117" s="27" t="n">
        <f aca="false">V64-V116</f>
        <v>588797.985458333</v>
      </c>
      <c r="W117" s="27" t="n">
        <f aca="false">W64-W116</f>
        <v>574623.402125</v>
      </c>
      <c r="X117" s="27" t="n">
        <f aca="false">X64-X116</f>
        <v>646675.533029923</v>
      </c>
      <c r="Y117" s="27" t="n">
        <f aca="false">Y64-Y116</f>
        <v>713888.67639769</v>
      </c>
      <c r="Z117" s="27" t="n">
        <f aca="false">Z64-Z116</f>
        <v>811571.760241643</v>
      </c>
      <c r="AA117" s="27" t="n">
        <f aca="false">AA64-AA116</f>
        <v>904698.041111365</v>
      </c>
      <c r="AB117" s="27" t="n">
        <f aca="false">AB64-AB116</f>
        <v>1026204.95949024</v>
      </c>
      <c r="AC117" s="27" t="n">
        <f aca="false">AC64-AC116</f>
        <v>1174107.46079189</v>
      </c>
      <c r="AD117" s="27" t="n">
        <f aca="false">AD64-AD116</f>
        <v>1326282.71097506</v>
      </c>
      <c r="AE117" s="27" t="n">
        <f aca="false">AE64-AE116</f>
        <v>1511196.07389583</v>
      </c>
      <c r="AF117" s="27" t="n">
        <f aca="false">AF64-AF116</f>
        <v>1723157.96858167</v>
      </c>
      <c r="AG117" s="27" t="n">
        <f aca="false">SUM(U117:AF117)</f>
        <v>11524694.9980332</v>
      </c>
      <c r="AH117" s="28" t="n">
        <f aca="false">IFERROR(AG117/AG$16,"")</f>
        <v>0.740488143807921</v>
      </c>
      <c r="AI117" s="9"/>
      <c r="AJ117" s="27" t="n">
        <f aca="false">AG117-N117</f>
        <v>6923796.85946174</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523490.425934524</v>
      </c>
      <c r="V132" s="71" t="n">
        <f aca="false">V117+V131</f>
        <v>588797.985458333</v>
      </c>
      <c r="W132" s="71" t="n">
        <f aca="false">W117+W131</f>
        <v>574623.402125</v>
      </c>
      <c r="X132" s="71" t="n">
        <f aca="false">X117+X131</f>
        <v>646675.533029923</v>
      </c>
      <c r="Y132" s="71" t="n">
        <f aca="false">Y117+Y131</f>
        <v>713888.67639769</v>
      </c>
      <c r="Z132" s="71" t="n">
        <f aca="false">Z117+Z131</f>
        <v>811571.760241643</v>
      </c>
      <c r="AA132" s="71" t="n">
        <f aca="false">AA117+AA131</f>
        <v>904698.041111365</v>
      </c>
      <c r="AB132" s="71" t="n">
        <f aca="false">AB117+AB131</f>
        <v>1026204.95949024</v>
      </c>
      <c r="AC132" s="71" t="n">
        <f aca="false">AC117+AC131</f>
        <v>1174107.46079189</v>
      </c>
      <c r="AD132" s="71" t="n">
        <f aca="false">AD117+AD131</f>
        <v>1326282.71097506</v>
      </c>
      <c r="AE132" s="71" t="n">
        <f aca="false">AE117+AE131</f>
        <v>1511196.07389583</v>
      </c>
      <c r="AF132" s="71" t="n">
        <f aca="false">AF117+AF131</f>
        <v>1723157.96858167</v>
      </c>
      <c r="AG132" s="71" t="n">
        <f aca="false">SUM(U132:AF132)</f>
        <v>11524694.9980332</v>
      </c>
      <c r="AH132" s="72" t="n">
        <f aca="false">IFERROR(AG132/AG$16,"")</f>
        <v>0.740488143807921</v>
      </c>
      <c r="AI132" s="9"/>
      <c r="AJ132" s="71" t="n">
        <f aca="false">AG132-N132</f>
        <v>6838985.53946174</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0</v>
      </c>
      <c r="V137" s="12" t="n">
        <f aca="false">SUMIF($A$9:$A$132,"*"&amp;$A137&amp;"*",V$9:V$132)</f>
        <v>0</v>
      </c>
      <c r="W137" s="12" t="n">
        <f aca="false">SUMIF($A$9:$A$132,"*"&amp;$A137&amp;"*",W$9:W$132)</f>
        <v>0</v>
      </c>
      <c r="X137" s="12" t="n">
        <f aca="false">SUMIF($A$9:$A$132,"*"&amp;$A137&amp;"*",X$9:X$132)</f>
        <v>0</v>
      </c>
      <c r="Y137" s="12" t="n">
        <f aca="false">SUMIF($A$9:$A$132,"*"&amp;$A137&amp;"*",Y$9:Y$132)</f>
        <v>0</v>
      </c>
      <c r="Z137" s="12" t="n">
        <f aca="false">SUMIF($A$9:$A$132,"*"&amp;$A137&amp;"*",Z$9:Z$132)</f>
        <v>0</v>
      </c>
      <c r="AA137" s="12" t="n">
        <f aca="false">SUMIF($A$9:$A$132,"*"&amp;$A137&amp;"*",AA$9:AA$132)</f>
        <v>0</v>
      </c>
      <c r="AB137" s="12" t="n">
        <f aca="false">SUMIF($A$9:$A$132,"*"&amp;$A137&amp;"*",AB$9:AB$132)</f>
        <v>0</v>
      </c>
      <c r="AC137" s="12" t="n">
        <f aca="false">SUMIF($A$9:$A$132,"*"&amp;$A137&amp;"*",AC$9:AC$132)</f>
        <v>0</v>
      </c>
      <c r="AD137" s="12" t="n">
        <f aca="false">SUMIF($A$9:$A$132,"*"&amp;$A137&amp;"*",AD$9:AD$132)</f>
        <v>0</v>
      </c>
      <c r="AE137" s="12" t="n">
        <f aca="false">SUMIF($A$9:$A$132,"*"&amp;$A137&amp;"*",AE$9:AE$132)</f>
        <v>0</v>
      </c>
      <c r="AF137" s="12" t="n">
        <f aca="false">SUMIF($A$9:$A$132,"*"&amp;$A137&amp;"*",AF$9:AF$132)</f>
        <v>0</v>
      </c>
      <c r="AG137" s="12" t="n">
        <f aca="false">SUMIF($A$9:$A$132,"*"&amp;$A137&amp;"*",AG$9:AG$132)</f>
        <v>0</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0</v>
      </c>
      <c r="V139" s="12" t="n">
        <f aca="false">SUMIF($A$9:$A$132,"*"&amp;$A139&amp;"*",V$9:V$132)</f>
        <v>0</v>
      </c>
      <c r="W139" s="12" t="n">
        <f aca="false">SUMIF($A$9:$A$132,"*"&amp;$A139&amp;"*",W$9:W$132)</f>
        <v>0</v>
      </c>
      <c r="X139" s="12" t="n">
        <f aca="false">SUMIF($A$9:$A$132,"*"&amp;$A139&amp;"*",X$9:X$132)</f>
        <v>0</v>
      </c>
      <c r="Y139" s="12" t="n">
        <f aca="false">SUMIF($A$9:$A$132,"*"&amp;$A139&amp;"*",Y$9:Y$132)</f>
        <v>0</v>
      </c>
      <c r="Z139" s="12" t="n">
        <f aca="false">SUMIF($A$9:$A$132,"*"&amp;$A139&amp;"*",Z$9:Z$132)</f>
        <v>0</v>
      </c>
      <c r="AA139" s="12" t="n">
        <f aca="false">SUMIF($A$9:$A$132,"*"&amp;$A139&amp;"*",AA$9:AA$132)</f>
        <v>0</v>
      </c>
      <c r="AB139" s="12" t="n">
        <f aca="false">SUMIF($A$9:$A$132,"*"&amp;$A139&amp;"*",AB$9:AB$132)</f>
        <v>0</v>
      </c>
      <c r="AC139" s="12" t="n">
        <f aca="false">SUMIF($A$9:$A$132,"*"&amp;$A139&amp;"*",AC$9:AC$132)</f>
        <v>0</v>
      </c>
      <c r="AD139" s="12" t="n">
        <f aca="false">SUMIF($A$9:$A$132,"*"&amp;$A139&amp;"*",AD$9:AD$132)</f>
        <v>0</v>
      </c>
      <c r="AE139" s="12" t="n">
        <f aca="false">SUMIF($A$9:$A$132,"*"&amp;$A139&amp;"*",AE$9:AE$132)</f>
        <v>0</v>
      </c>
      <c r="AF139" s="12" t="n">
        <f aca="false">SUMIF($A$9:$A$132,"*"&amp;$A139&amp;"*",AF$9:AF$132)</f>
        <v>0</v>
      </c>
      <c r="AG139" s="12" t="n">
        <f aca="false">SUMIF($A$9:$A$132,"*"&amp;$A139&amp;"*",AG$9:AG$132)</f>
        <v>0</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0</v>
      </c>
      <c r="V140" s="12" t="n">
        <f aca="false">SUMIF($A$9:$A$132,"*"&amp;$A140&amp;"*",V$9:V$132)</f>
        <v>0</v>
      </c>
      <c r="W140" s="12" t="n">
        <f aca="false">SUMIF($A$9:$A$132,"*"&amp;$A140&amp;"*",W$9:W$132)</f>
        <v>0</v>
      </c>
      <c r="X140" s="12" t="n">
        <f aca="false">SUMIF($A$9:$A$132,"*"&amp;$A140&amp;"*",X$9:X$132)</f>
        <v>0</v>
      </c>
      <c r="Y140" s="12" t="n">
        <f aca="false">SUMIF($A$9:$A$132,"*"&amp;$A140&amp;"*",Y$9:Y$132)</f>
        <v>0</v>
      </c>
      <c r="Z140" s="12" t="n">
        <f aca="false">SUMIF($A$9:$A$132,"*"&amp;$A140&amp;"*",Z$9:Z$132)</f>
        <v>0</v>
      </c>
      <c r="AA140" s="12" t="n">
        <f aca="false">SUMIF($A$9:$A$132,"*"&amp;$A140&amp;"*",AA$9:AA$132)</f>
        <v>0</v>
      </c>
      <c r="AB140" s="12" t="n">
        <f aca="false">SUMIF($A$9:$A$132,"*"&amp;$A140&amp;"*",AB$9:AB$132)</f>
        <v>0</v>
      </c>
      <c r="AC140" s="12" t="n">
        <f aca="false">SUMIF($A$9:$A$132,"*"&amp;$A140&amp;"*",AC$9:AC$132)</f>
        <v>0</v>
      </c>
      <c r="AD140" s="12" t="n">
        <f aca="false">SUMIF($A$9:$A$132,"*"&amp;$A140&amp;"*",AD$9:AD$132)</f>
        <v>0</v>
      </c>
      <c r="AE140" s="12" t="n">
        <f aca="false">SUMIF($A$9:$A$132,"*"&amp;$A140&amp;"*",AE$9:AE$132)</f>
        <v>0</v>
      </c>
      <c r="AF140" s="12" t="n">
        <f aca="false">SUMIF($A$9:$A$132,"*"&amp;$A140&amp;"*",AF$9:AF$132)</f>
        <v>0</v>
      </c>
      <c r="AG140" s="12" t="n">
        <f aca="false">SUMIF($A$9:$A$132,"*"&amp;$A140&amp;"*",AG$9:AG$132)</f>
        <v>0</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str">
        <f aca="false">IFERROR(SUM(U139:U140)/SUM(U137:U138),"")</f>
        <v/>
      </c>
      <c r="V142" s="24" t="str">
        <f aca="false">IFERROR(SUM(V139:V140)/SUM(V137:V138),"")</f>
        <v/>
      </c>
      <c r="W142" s="24" t="str">
        <f aca="false">IFERROR(SUM(W139:W140)/SUM(W137:W138),"")</f>
        <v/>
      </c>
      <c r="X142" s="24" t="str">
        <f aca="false">IFERROR(SUM(X139:X140)/SUM(X137:X138),"")</f>
        <v/>
      </c>
      <c r="Y142" s="24" t="str">
        <f aca="false">IFERROR(SUM(Y139:Y140)/SUM(Y137:Y138),"")</f>
        <v/>
      </c>
      <c r="Z142" s="24" t="str">
        <f aca="false">IFERROR(SUM(Z139:Z140)/SUM(Z137:Z138),"")</f>
        <v/>
      </c>
      <c r="AA142" s="24" t="str">
        <f aca="false">IFERROR(SUM(AA139:AA140)/SUM(AA137:AA138),"")</f>
        <v/>
      </c>
      <c r="AB142" s="24" t="str">
        <f aca="false">IFERROR(SUM(AB139:AB140)/SUM(AB137:AB138),"")</f>
        <v/>
      </c>
      <c r="AC142" s="24" t="str">
        <f aca="false">IFERROR(SUM(AC139:AC140)/SUM(AC137:AC138),"")</f>
        <v/>
      </c>
      <c r="AD142" s="24" t="str">
        <f aca="false">IFERROR(SUM(AD139:AD140)/SUM(AD137:AD138),"")</f>
        <v/>
      </c>
      <c r="AE142" s="24" t="str">
        <f aca="false">IFERROR(SUM(AE139:AE140)/SUM(AE137:AE138),"")</f>
        <v/>
      </c>
      <c r="AF142" s="24" t="str">
        <f aca="false">IFERROR(SUM(AF139:AF140)/SUM(AF137:AF138),"")</f>
        <v/>
      </c>
      <c r="AG142" s="24" t="str">
        <f aca="false">IFERROR(SUM(AG139:AG140)/SUM(AG137:AG138),"")</f>
        <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f aca="false">'HC-CO'!M67+'Logistics&amp;WH Payroll'!F43-'Logistics&amp;WH Payroll'!F34+'Logistics&amp;WH Payroll'!F46</f>
        <v>65529.8333333333</v>
      </c>
      <c r="V67" s="75" t="n">
        <f aca="false">'HC-CO'!N67+'Logistics&amp;WH Payroll'!G43-'Logistics&amp;WH Payroll'!G34+'Logistics&amp;WH Payroll'!G46</f>
        <v>70529.8333333333</v>
      </c>
      <c r="W67" s="75" t="n">
        <f aca="false">'HC-CO'!O67+'Logistics&amp;WH Payroll'!H43-'Logistics&amp;WH Payroll'!H34+'Logistics&amp;WH Payroll'!H46</f>
        <v>74689.8333333333</v>
      </c>
      <c r="X67" s="75" t="n">
        <f aca="false">'HC-CO'!P67+'Logistics&amp;WH Payroll'!I43-'Logistics&amp;WH Payroll'!I34+'Logistics&amp;WH Payroll'!I46</f>
        <v>73689.8333333333</v>
      </c>
      <c r="Y67" s="75" t="n">
        <f aca="false">'HC-CO'!Q67+'Logistics&amp;WH Payroll'!J43-'Logistics&amp;WH Payroll'!J34+'Logistics&amp;WH Payroll'!J46</f>
        <v>73689.8333333333</v>
      </c>
      <c r="Z67" s="75" t="n">
        <f aca="false">'HC-CO'!R67+'Logistics&amp;WH Payroll'!K43-'Logistics&amp;WH Payroll'!K34+'Logistics&amp;WH Payroll'!K46</f>
        <v>78849.8333333333</v>
      </c>
      <c r="AA67" s="75" t="n">
        <f aca="false">'HC-CO'!S67+'Logistics&amp;WH Payroll'!L43-'Logistics&amp;WH Payroll'!L34+'Logistics&amp;WH Payroll'!L46</f>
        <v>88343.1666666667</v>
      </c>
      <c r="AB67" s="75" t="n">
        <f aca="false">'HC-CO'!T67+'Logistics&amp;WH Payroll'!M43-'Logistics&amp;WH Payroll'!M34+'Logistics&amp;WH Payroll'!M46</f>
        <v>86343.1666666667</v>
      </c>
      <c r="AC67" s="75" t="n">
        <f aca="false">'HC-CO'!U67+'Logistics&amp;WH Payroll'!N43-'Logistics&amp;WH Payroll'!N34+'Logistics&amp;WH Payroll'!N46</f>
        <v>86343.1666666667</v>
      </c>
      <c r="AD67" s="75" t="n">
        <f aca="false">'HC-CO'!V67+'Logistics&amp;WH Payroll'!O43-'Logistics&amp;WH Payroll'!O34+'Logistics&amp;WH Payroll'!O46</f>
        <v>88553.8616666667</v>
      </c>
      <c r="AE67" s="75" t="n">
        <f aca="false">'HC-CO'!W67+'Logistics&amp;WH Payroll'!P43-'Logistics&amp;WH Payroll'!P34+'Logistics&amp;WH Payroll'!P46</f>
        <v>88553.8616666667</v>
      </c>
      <c r="AF67" s="75" t="n">
        <f aca="false">'HC-CO'!X67+'Logistics&amp;WH Payroll'!Q43-'Logistics&amp;WH Payroll'!Q34+'Logistics&amp;WH Payroll'!Q46</f>
        <v>88553.8616666667</v>
      </c>
      <c r="AG67" s="12" t="n">
        <f aca="false">SUM(U67:AF67)</f>
        <v>963670.085</v>
      </c>
      <c r="AH67" s="24" t="str">
        <f aca="false">IFERROR(AG67/AG$16,"")</f>
        <v/>
      </c>
      <c r="AI67" s="9" t="inlineStr">
        <is>
          <t xml:space="preserve">v10: 6610 2027 = 'HC-CO' row 67 (CO HC roster incl. the new CO employee, row 18) + 'Logistics&amp;WH Payroll' salaries less seat LOG-01 (row 43 - row 34; LOG-01 is CO HC r17, already in the roster) + the model's new-hire cost (row 46, mapped to 6610 as in FO 5510). Material handler MH-01 (PO HC r20) is here; PO 5110-5140 base excludes it. User decision 2026-10-10 (brief v6).</t>
        </is>
      </c>
      <c r="AJ67" s="12" t="n">
        <f aca="false">N67-AG67</f>
        <v>-430583.715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f aca="false">'HC-CO'!M68+'Logistics&amp;WH Payroll'!F44-'Logistics&amp;WH Payroll'!F34*'Logistics&amp;WH Payroll'!$B$5</f>
        <v>3621.34989179565</v>
      </c>
      <c r="V68" s="75" t="n">
        <f aca="false">'HC-CO'!N68+'Logistics&amp;WH Payroll'!G44-'Logistics&amp;WH Payroll'!G34*'Logistics&amp;WH Payroll'!$B$5</f>
        <v>3893.34989179565</v>
      </c>
      <c r="W68" s="75" t="n">
        <f aca="false">'HC-CO'!O68+'Logistics&amp;WH Payroll'!H44-'Logistics&amp;WH Payroll'!H34*'Logistics&amp;WH Payroll'!$B$5</f>
        <v>4176.22989179565</v>
      </c>
      <c r="X68" s="75" t="n">
        <f aca="false">'HC-CO'!P68+'Logistics&amp;WH Payroll'!I44-'Logistics&amp;WH Payroll'!I34*'Logistics&amp;WH Payroll'!$B$5</f>
        <v>4176.22989179565</v>
      </c>
      <c r="Y68" s="75" t="n">
        <f aca="false">'HC-CO'!Q68+'Logistics&amp;WH Payroll'!J44-'Logistics&amp;WH Payroll'!J34*'Logistics&amp;WH Payroll'!$B$5</f>
        <v>4176.22989179565</v>
      </c>
      <c r="Z68" s="75" t="n">
        <f aca="false">'HC-CO'!R68+'Logistics&amp;WH Payroll'!K44-'Logistics&amp;WH Payroll'!K34*'Logistics&amp;WH Payroll'!$B$5</f>
        <v>4459.10989179565</v>
      </c>
      <c r="AA68" s="75" t="n">
        <f aca="false">'HC-CO'!S68+'Logistics&amp;WH Payroll'!L44-'Logistics&amp;WH Payroll'!L34*'Logistics&amp;WH Payroll'!$B$5</f>
        <v>5036.65655846232</v>
      </c>
      <c r="AB68" s="75" t="n">
        <f aca="false">'HC-CO'!T68+'Logistics&amp;WH Payroll'!M44-'Logistics&amp;WH Payroll'!M34*'Logistics&amp;WH Payroll'!$B$5</f>
        <v>5036.65655846232</v>
      </c>
      <c r="AC68" s="75" t="n">
        <f aca="false">'HC-CO'!U68+'Logistics&amp;WH Payroll'!N44-'Logistics&amp;WH Payroll'!N34*'Logistics&amp;WH Payroll'!$B$5</f>
        <v>5036.65655846232</v>
      </c>
      <c r="AD68" s="75" t="n">
        <f aca="false">'HC-CO'!V68+'Logistics&amp;WH Payroll'!O44-'Logistics&amp;WH Payroll'!O34*'Logistics&amp;WH Payroll'!$B$5</f>
        <v>5161.94345521619</v>
      </c>
      <c r="AE68" s="75" t="n">
        <f aca="false">'HC-CO'!W68+'Logistics&amp;WH Payroll'!P44-'Logistics&amp;WH Payroll'!P34*'Logistics&amp;WH Payroll'!$B$5</f>
        <v>5161.94345521619</v>
      </c>
      <c r="AF68" s="75" t="n">
        <f aca="false">'HC-CO'!X68+'Logistics&amp;WH Payroll'!Q44-'Logistics&amp;WH Payroll'!Q34*'Logistics&amp;WH Payroll'!$B$5</f>
        <v>5161.94345521619</v>
      </c>
      <c r="AG68" s="12" t="n">
        <f aca="false">SUM(U68:AF68)</f>
        <v>55098.2993918094</v>
      </c>
      <c r="AH68" s="24" t="str">
        <f aca="false">IFERROR(AG68/AG$16,"")</f>
        <v/>
      </c>
      <c r="AI68" s="9" t="inlineStr">
        <is>
          <t xml:space="preserve">v10: 6630 2027 = 'HC-CO' row 68 (CO HC rate D6) + 'Logistics&amp;WH Payroll' payroll taxes less LOG-01 (row 44 - row 34 x B5; model rate 6.8%, not the CO HC rate).</t>
        </is>
      </c>
      <c r="AJ68" s="12" t="n">
        <f aca="false">N68-AG68</f>
        <v>1276.52060819059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f aca="false">'HC-CO'!M69+'Logistics&amp;WH Payroll'!F45-'Logistics&amp;WH Payroll'!F34*'Logistics&amp;WH Payroll'!$B$6</f>
        <v>8370.51982527901</v>
      </c>
      <c r="V69" s="75" t="n">
        <f aca="false">'HC-CO'!N69+'Logistics&amp;WH Payroll'!G45-'Logistics&amp;WH Payroll'!G34*'Logistics&amp;WH Payroll'!$B$6</f>
        <v>9026.51982527901</v>
      </c>
      <c r="W69" s="75" t="n">
        <f aca="false">'HC-CO'!O69+'Logistics&amp;WH Payroll'!H45-'Logistics&amp;WH Payroll'!H34*'Logistics&amp;WH Payroll'!$B$6</f>
        <v>9708.75982527901</v>
      </c>
      <c r="X69" s="75" t="n">
        <f aca="false">'HC-CO'!P69+'Logistics&amp;WH Payroll'!I45-'Logistics&amp;WH Payroll'!I34*'Logistics&amp;WH Payroll'!$B$6</f>
        <v>9708.75982527901</v>
      </c>
      <c r="Y69" s="75" t="n">
        <f aca="false">'HC-CO'!Q69+'Logistics&amp;WH Payroll'!J45-'Logistics&amp;WH Payroll'!J34*'Logistics&amp;WH Payroll'!$B$6</f>
        <v>9708.75982527901</v>
      </c>
      <c r="Z69" s="75" t="n">
        <f aca="false">'HC-CO'!R69+'Logistics&amp;WH Payroll'!K45-'Logistics&amp;WH Payroll'!K34*'Logistics&amp;WH Payroll'!$B$6</f>
        <v>10390.999825279</v>
      </c>
      <c r="AA69" s="75" t="n">
        <f aca="false">'HC-CO'!S69+'Logistics&amp;WH Payroll'!L45-'Logistics&amp;WH Payroll'!L34*'Logistics&amp;WH Payroll'!$B$6</f>
        <v>11783.9064919457</v>
      </c>
      <c r="AB69" s="75" t="n">
        <f aca="false">'HC-CO'!T69+'Logistics&amp;WH Payroll'!M45-'Logistics&amp;WH Payroll'!M34*'Logistics&amp;WH Payroll'!$B$6</f>
        <v>11783.9064919457</v>
      </c>
      <c r="AC69" s="75" t="n">
        <f aca="false">'HC-CO'!U69+'Logistics&amp;WH Payroll'!N45-'Logistics&amp;WH Payroll'!N34*'Logistics&amp;WH Payroll'!$B$6</f>
        <v>11783.9064919457</v>
      </c>
      <c r="AD69" s="75" t="n">
        <f aca="false">'HC-CO'!V69+'Logistics&amp;WH Payroll'!O45-'Logistics&amp;WH Payroll'!O34*'Logistics&amp;WH Payroll'!$B$6</f>
        <v>12075.169286704</v>
      </c>
      <c r="AE69" s="75" t="n">
        <f aca="false">'HC-CO'!W69+'Logistics&amp;WH Payroll'!P45-'Logistics&amp;WH Payroll'!P34*'Logistics&amp;WH Payroll'!$B$6</f>
        <v>12075.169286704</v>
      </c>
      <c r="AF69" s="75" t="n">
        <f aca="false">'HC-CO'!X69+'Logistics&amp;WH Payroll'!Q45-'Logistics&amp;WH Payroll'!Q34*'Logistics&amp;WH Payroll'!$B$6</f>
        <v>12075.169286704</v>
      </c>
      <c r="AG69" s="12" t="n">
        <f aca="false">SUM(U69:AF69)</f>
        <v>128491.546287623</v>
      </c>
      <c r="AH69" s="24" t="str">
        <f aca="false">IFERROR(AG69/AG$16,"")</f>
        <v/>
      </c>
      <c r="AI69" s="9" t="inlineStr">
        <is>
          <t xml:space="preserve">v10: 6640 2027 = 'HC-CO' row 69 (CO HC rate D7) + 'Logistics&amp;WH Payroll' benefits less LOG-01 (row 45 - row 34 x B6; model rate 16.4%, not the CO HC rate).</t>
        </is>
      </c>
      <c r="AJ69" s="12" t="n">
        <f aca="false">N69-AG69</f>
        <v>-80886.7862876232</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77521.703050408</v>
      </c>
      <c r="V73" s="27" t="n">
        <f aca="false">SUM(V67:V72)</f>
        <v>83449.703050408</v>
      </c>
      <c r="W73" s="27" t="n">
        <f aca="false">SUM(W67:W72)</f>
        <v>88574.823050408</v>
      </c>
      <c r="X73" s="27" t="n">
        <f aca="false">SUM(X67:X72)</f>
        <v>87574.823050408</v>
      </c>
      <c r="Y73" s="27" t="n">
        <f aca="false">SUM(Y67:Y72)</f>
        <v>87574.823050408</v>
      </c>
      <c r="Z73" s="27" t="n">
        <f aca="false">SUM(Z67:Z72)</f>
        <v>93699.943050408</v>
      </c>
      <c r="AA73" s="27" t="n">
        <f aca="false">SUM(AA67:AA72)</f>
        <v>105163.729717075</v>
      </c>
      <c r="AB73" s="27" t="n">
        <f aca="false">SUM(AB67:AB72)</f>
        <v>103163.729717075</v>
      </c>
      <c r="AC73" s="27" t="n">
        <f aca="false">SUM(AC67:AC72)</f>
        <v>103163.729717075</v>
      </c>
      <c r="AD73" s="27" t="n">
        <f aca="false">SUM(AD67:AD72)</f>
        <v>105790.974408587</v>
      </c>
      <c r="AE73" s="27" t="n">
        <f aca="false">SUM(AE67:AE72)</f>
        <v>105790.974408587</v>
      </c>
      <c r="AF73" s="27" t="n">
        <f aca="false">SUM(AF67:AF72)</f>
        <v>105790.974408587</v>
      </c>
      <c r="AG73" s="27" t="n">
        <f aca="false">SUM(U73:AF73)</f>
        <v>1147259.93067943</v>
      </c>
      <c r="AH73" s="28" t="str">
        <f aca="false">IFERROR(AG73/AG$16,"")</f>
        <v/>
      </c>
      <c r="AI73" s="9"/>
      <c r="AJ73" s="27" t="n">
        <f aca="false">N73-AG73</f>
        <v>-510193.980679433</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77521.703050408</v>
      </c>
      <c r="V116" s="27" t="n">
        <f aca="false">V73+SUM(V74:V80)+V87+SUM(V88:V115)</f>
        <v>83449.703050408</v>
      </c>
      <c r="W116" s="27" t="n">
        <f aca="false">W73+SUM(W74:W80)+W87+SUM(W88:W115)</f>
        <v>88574.823050408</v>
      </c>
      <c r="X116" s="27" t="n">
        <f aca="false">X73+SUM(X74:X80)+X87+SUM(X88:X115)</f>
        <v>87574.823050408</v>
      </c>
      <c r="Y116" s="27" t="n">
        <f aca="false">Y73+SUM(Y74:Y80)+Y87+SUM(Y88:Y115)</f>
        <v>87574.823050408</v>
      </c>
      <c r="Z116" s="27" t="n">
        <f aca="false">Z73+SUM(Z74:Z80)+Z87+SUM(Z88:Z115)</f>
        <v>93699.943050408</v>
      </c>
      <c r="AA116" s="27" t="n">
        <f aca="false">AA73+SUM(AA74:AA80)+AA87+SUM(AA88:AA115)</f>
        <v>105163.729717075</v>
      </c>
      <c r="AB116" s="27" t="n">
        <f aca="false">AB73+SUM(AB74:AB80)+AB87+SUM(AB88:AB115)</f>
        <v>103163.729717075</v>
      </c>
      <c r="AC116" s="27" t="n">
        <f aca="false">AC73+SUM(AC74:AC80)+AC87+SUM(AC88:AC115)</f>
        <v>103163.729717075</v>
      </c>
      <c r="AD116" s="27" t="n">
        <f aca="false">AD73+SUM(AD74:AD80)+AD87+SUM(AD88:AD115)</f>
        <v>105790.974408587</v>
      </c>
      <c r="AE116" s="27" t="n">
        <f aca="false">AE73+SUM(AE74:AE80)+AE87+SUM(AE88:AE115)</f>
        <v>105790.974408587</v>
      </c>
      <c r="AF116" s="27" t="n">
        <f aca="false">AF73+SUM(AF74:AF80)+AF87+SUM(AF88:AF115)</f>
        <v>105790.974408587</v>
      </c>
      <c r="AG116" s="27" t="n">
        <f aca="false">SUM(U116:AF116)</f>
        <v>1147259.93067943</v>
      </c>
      <c r="AH116" s="28" t="str">
        <f aca="false">IFERROR(AG116/AG$16,"")</f>
        <v/>
      </c>
      <c r="AI116" s="9"/>
      <c r="AJ116" s="27" t="n">
        <f aca="false">N116-AG116</f>
        <v>-383314.290679433</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-77521.703050408</v>
      </c>
      <c r="V117" s="27" t="n">
        <f aca="false">V64-V116</f>
        <v>-83449.703050408</v>
      </c>
      <c r="W117" s="27" t="n">
        <f aca="false">W64-W116</f>
        <v>-88574.823050408</v>
      </c>
      <c r="X117" s="27" t="n">
        <f aca="false">X64-X116</f>
        <v>-87574.823050408</v>
      </c>
      <c r="Y117" s="27" t="n">
        <f aca="false">Y64-Y116</f>
        <v>-87574.823050408</v>
      </c>
      <c r="Z117" s="27" t="n">
        <f aca="false">Z64-Z116</f>
        <v>-93699.943050408</v>
      </c>
      <c r="AA117" s="27" t="n">
        <f aca="false">AA64-AA116</f>
        <v>-105163.729717075</v>
      </c>
      <c r="AB117" s="27" t="n">
        <f aca="false">AB64-AB116</f>
        <v>-103163.729717075</v>
      </c>
      <c r="AC117" s="27" t="n">
        <f aca="false">AC64-AC116</f>
        <v>-103163.729717075</v>
      </c>
      <c r="AD117" s="27" t="n">
        <f aca="false">AD64-AD116</f>
        <v>-105790.974408587</v>
      </c>
      <c r="AE117" s="27" t="n">
        <f aca="false">AE64-AE116</f>
        <v>-105790.974408587</v>
      </c>
      <c r="AF117" s="27" t="n">
        <f aca="false">AF64-AF116</f>
        <v>-105790.974408587</v>
      </c>
      <c r="AG117" s="27" t="n">
        <f aca="false">SUM(U117:AF117)</f>
        <v>-1147259.93067943</v>
      </c>
      <c r="AH117" s="28" t="str">
        <f aca="false">IFERROR(AG117/AG$16,"")</f>
        <v/>
      </c>
      <c r="AI117" s="9"/>
      <c r="AJ117" s="27" t="n">
        <f aca="false">AG117-N117</f>
        <v>-374320.000679433</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-77521.703050408</v>
      </c>
      <c r="V132" s="71" t="n">
        <f aca="false">V117+V131</f>
        <v>-83449.703050408</v>
      </c>
      <c r="W132" s="71" t="n">
        <f aca="false">W117+W131</f>
        <v>-88574.823050408</v>
      </c>
      <c r="X132" s="71" t="n">
        <f aca="false">X117+X131</f>
        <v>-87574.823050408</v>
      </c>
      <c r="Y132" s="71" t="n">
        <f aca="false">Y117+Y131</f>
        <v>-87574.823050408</v>
      </c>
      <c r="Z132" s="71" t="n">
        <f aca="false">Z117+Z131</f>
        <v>-93699.943050408</v>
      </c>
      <c r="AA132" s="71" t="n">
        <f aca="false">AA117+AA131</f>
        <v>-105163.729717075</v>
      </c>
      <c r="AB132" s="71" t="n">
        <f aca="false">AB117+AB131</f>
        <v>-103163.729717075</v>
      </c>
      <c r="AC132" s="71" t="n">
        <f aca="false">AC117+AC131</f>
        <v>-103163.729717075</v>
      </c>
      <c r="AD132" s="71" t="n">
        <f aca="false">AD117+AD131</f>
        <v>-105790.974408587</v>
      </c>
      <c r="AE132" s="71" t="n">
        <f aca="false">AE117+AE131</f>
        <v>-105790.974408587</v>
      </c>
      <c r="AF132" s="71" t="n">
        <f aca="false">AF117+AF131</f>
        <v>-105790.974408587</v>
      </c>
      <c r="AG132" s="71" t="n">
        <f aca="false">SUM(U132:AF132)</f>
        <v>-1147259.93067943</v>
      </c>
      <c r="AH132" s="72" t="str">
        <f aca="false">IFERROR(AG132/AG$16,"")</f>
        <v/>
      </c>
      <c r="AI132" s="9"/>
      <c r="AJ132" s="71" t="n">
        <f aca="false">AG132-N132</f>
        <v>-374320.000679433</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65529.8333333333</v>
      </c>
      <c r="V137" s="12" t="n">
        <f aca="false">SUMIF($A$9:$A$132,"*"&amp;$A137&amp;"*",V$9:V$132)</f>
        <v>70529.8333333333</v>
      </c>
      <c r="W137" s="12" t="n">
        <f aca="false">SUMIF($A$9:$A$132,"*"&amp;$A137&amp;"*",W$9:W$132)</f>
        <v>74689.8333333333</v>
      </c>
      <c r="X137" s="12" t="n">
        <f aca="false">SUMIF($A$9:$A$132,"*"&amp;$A137&amp;"*",X$9:X$132)</f>
        <v>73689.8333333333</v>
      </c>
      <c r="Y137" s="12" t="n">
        <f aca="false">SUMIF($A$9:$A$132,"*"&amp;$A137&amp;"*",Y$9:Y$132)</f>
        <v>73689.8333333333</v>
      </c>
      <c r="Z137" s="12" t="n">
        <f aca="false">SUMIF($A$9:$A$132,"*"&amp;$A137&amp;"*",Z$9:Z$132)</f>
        <v>78849.8333333333</v>
      </c>
      <c r="AA137" s="12" t="n">
        <f aca="false">SUMIF($A$9:$A$132,"*"&amp;$A137&amp;"*",AA$9:AA$132)</f>
        <v>88343.1666666667</v>
      </c>
      <c r="AB137" s="12" t="n">
        <f aca="false">SUMIF($A$9:$A$132,"*"&amp;$A137&amp;"*",AB$9:AB$132)</f>
        <v>86343.1666666667</v>
      </c>
      <c r="AC137" s="12" t="n">
        <f aca="false">SUMIF($A$9:$A$132,"*"&amp;$A137&amp;"*",AC$9:AC$132)</f>
        <v>86343.1666666667</v>
      </c>
      <c r="AD137" s="12" t="n">
        <f aca="false">SUMIF($A$9:$A$132,"*"&amp;$A137&amp;"*",AD$9:AD$132)</f>
        <v>88553.8616666667</v>
      </c>
      <c r="AE137" s="12" t="n">
        <f aca="false">SUMIF($A$9:$A$132,"*"&amp;$A137&amp;"*",AE$9:AE$132)</f>
        <v>88553.8616666667</v>
      </c>
      <c r="AF137" s="12" t="n">
        <f aca="false">SUMIF($A$9:$A$132,"*"&amp;$A137&amp;"*",AF$9:AF$132)</f>
        <v>88553.8616666667</v>
      </c>
      <c r="AG137" s="12" t="n">
        <f aca="false">SUMIF($A$9:$A$132,"*"&amp;$A137&amp;"*",AG$9:AG$132)</f>
        <v>963670.085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3621.34989179565</v>
      </c>
      <c r="V139" s="12" t="n">
        <f aca="false">SUMIF($A$9:$A$132,"*"&amp;$A139&amp;"*",V$9:V$132)</f>
        <v>3893.34989179565</v>
      </c>
      <c r="W139" s="12" t="n">
        <f aca="false">SUMIF($A$9:$A$132,"*"&amp;$A139&amp;"*",W$9:W$132)</f>
        <v>4176.22989179565</v>
      </c>
      <c r="X139" s="12" t="n">
        <f aca="false">SUMIF($A$9:$A$132,"*"&amp;$A139&amp;"*",X$9:X$132)</f>
        <v>4176.22989179565</v>
      </c>
      <c r="Y139" s="12" t="n">
        <f aca="false">SUMIF($A$9:$A$132,"*"&amp;$A139&amp;"*",Y$9:Y$132)</f>
        <v>4176.22989179565</v>
      </c>
      <c r="Z139" s="12" t="n">
        <f aca="false">SUMIF($A$9:$A$132,"*"&amp;$A139&amp;"*",Z$9:Z$132)</f>
        <v>4459.10989179565</v>
      </c>
      <c r="AA139" s="12" t="n">
        <f aca="false">SUMIF($A$9:$A$132,"*"&amp;$A139&amp;"*",AA$9:AA$132)</f>
        <v>5036.65655846232</v>
      </c>
      <c r="AB139" s="12" t="n">
        <f aca="false">SUMIF($A$9:$A$132,"*"&amp;$A139&amp;"*",AB$9:AB$132)</f>
        <v>5036.65655846232</v>
      </c>
      <c r="AC139" s="12" t="n">
        <f aca="false">SUMIF($A$9:$A$132,"*"&amp;$A139&amp;"*",AC$9:AC$132)</f>
        <v>5036.65655846232</v>
      </c>
      <c r="AD139" s="12" t="n">
        <f aca="false">SUMIF($A$9:$A$132,"*"&amp;$A139&amp;"*",AD$9:AD$132)</f>
        <v>5161.94345521619</v>
      </c>
      <c r="AE139" s="12" t="n">
        <f aca="false">SUMIF($A$9:$A$132,"*"&amp;$A139&amp;"*",AE$9:AE$132)</f>
        <v>5161.94345521619</v>
      </c>
      <c r="AF139" s="12" t="n">
        <f aca="false">SUMIF($A$9:$A$132,"*"&amp;$A139&amp;"*",AF$9:AF$132)</f>
        <v>5161.94345521619</v>
      </c>
      <c r="AG139" s="12" t="n">
        <f aca="false">SUMIF($A$9:$A$132,"*"&amp;$A139&amp;"*",AG$9:AG$132)</f>
        <v>55098.2993918094</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8370.51982527901</v>
      </c>
      <c r="V140" s="12" t="n">
        <f aca="false">SUMIF($A$9:$A$132,"*"&amp;$A140&amp;"*",V$9:V$132)</f>
        <v>9026.51982527901</v>
      </c>
      <c r="W140" s="12" t="n">
        <f aca="false">SUMIF($A$9:$A$132,"*"&amp;$A140&amp;"*",W$9:W$132)</f>
        <v>9708.75982527901</v>
      </c>
      <c r="X140" s="12" t="n">
        <f aca="false">SUMIF($A$9:$A$132,"*"&amp;$A140&amp;"*",X$9:X$132)</f>
        <v>9708.75982527901</v>
      </c>
      <c r="Y140" s="12" t="n">
        <f aca="false">SUMIF($A$9:$A$132,"*"&amp;$A140&amp;"*",Y$9:Y$132)</f>
        <v>9708.75982527901</v>
      </c>
      <c r="Z140" s="12" t="n">
        <f aca="false">SUMIF($A$9:$A$132,"*"&amp;$A140&amp;"*",Z$9:Z$132)</f>
        <v>10390.999825279</v>
      </c>
      <c r="AA140" s="12" t="n">
        <f aca="false">SUMIF($A$9:$A$132,"*"&amp;$A140&amp;"*",AA$9:AA$132)</f>
        <v>11783.9064919457</v>
      </c>
      <c r="AB140" s="12" t="n">
        <f aca="false">SUMIF($A$9:$A$132,"*"&amp;$A140&amp;"*",AB$9:AB$132)</f>
        <v>11783.9064919457</v>
      </c>
      <c r="AC140" s="12" t="n">
        <f aca="false">SUMIF($A$9:$A$132,"*"&amp;$A140&amp;"*",AC$9:AC$132)</f>
        <v>11783.9064919457</v>
      </c>
      <c r="AD140" s="12" t="n">
        <f aca="false">SUMIF($A$9:$A$132,"*"&amp;$A140&amp;"*",AD$9:AD$132)</f>
        <v>12075.169286704</v>
      </c>
      <c r="AE140" s="12" t="n">
        <f aca="false">SUMIF($A$9:$A$132,"*"&amp;$A140&amp;"*",AE$9:AE$132)</f>
        <v>12075.169286704</v>
      </c>
      <c r="AF140" s="12" t="n">
        <f aca="false">SUMIF($A$9:$A$132,"*"&amp;$A140&amp;"*",AF$9:AF$132)</f>
        <v>12075.169286704</v>
      </c>
      <c r="AG140" s="12" t="n">
        <f aca="false">SUMIF($A$9:$A$132,"*"&amp;$A140&amp;"*",AG$9:AG$132)</f>
        <v>128491.546287623</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0.182998629892359</v>
      </c>
      <c r="V142" s="24" t="n">
        <f aca="false">IFERROR(SUM(V139:V140)/SUM(V137:V138),"")</f>
        <v>0.183183046187188</v>
      </c>
      <c r="W142" s="24" t="n">
        <f aca="false">IFERROR(SUM(W139:W140)/SUM(W137:W138),"")</f>
        <v>0.18590200429431</v>
      </c>
      <c r="X142" s="24" t="n">
        <f aca="false">IFERROR(SUM(X139:X140)/SUM(X137:X138),"")</f>
        <v>0.188424767556013</v>
      </c>
      <c r="Y142" s="24" t="n">
        <f aca="false">IFERROR(SUM(Y139:Y140)/SUM(Y137:Y138),"")</f>
        <v>0.188424767556013</v>
      </c>
      <c r="Z142" s="24" t="n">
        <f aca="false">IFERROR(SUM(Z139:Z140)/SUM(Z137:Z138),"")</f>
        <v>0.188334066025183</v>
      </c>
      <c r="AA142" s="24" t="n">
        <f aca="false">IFERROR(SUM(AA139:AA140)/SUM(AA137:AA138),"")</f>
        <v>0.190400272993097</v>
      </c>
      <c r="AB142" s="24" t="n">
        <f aca="false">IFERROR(SUM(AB139:AB140)/SUM(AB137:AB138),"")</f>
        <v>0.194810587794919</v>
      </c>
      <c r="AC142" s="24" t="n">
        <f aca="false">IFERROR(SUM(AC139:AC140)/SUM(AC137:AC138),"")</f>
        <v>0.194810587794919</v>
      </c>
      <c r="AD142" s="24" t="n">
        <f aca="false">IFERROR(SUM(AD139:AD140)/SUM(AD137:AD138),"")</f>
        <v>0.194651169553779</v>
      </c>
      <c r="AE142" s="24" t="n">
        <f aca="false">IFERROR(SUM(AE139:AE140)/SUM(AE137:AE138),"")</f>
        <v>0.194651169553779</v>
      </c>
      <c r="AF142" s="24" t="n">
        <f aca="false">IFERROR(SUM(AF139:AF140)/SUM(AF137:AF138),"")</f>
        <v>0.194651169553779</v>
      </c>
      <c r="AG142" s="24" t="n">
        <f aca="false">IFERROR(SUM(AG139:AG140)/SUM(AG137:AG138),"")</f>
        <v>0.190511097664127</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row r="128">
      <c r="A128" s="2" t="inlineStr">
        <is>
          <t xml:space="preserve">8. CAPITALISED PRODUCTION LABOUR (added in v8; user-confirmed 2026-10-10: production labour is capitalised)</t>
        </is>
      </c>
    </row>
    <row r="129">
      <c r="A129" s="0" t="inlineStr">
        <is>
          <t xml:space="preserve">Prod Payroll monthly cost (rows 41, 62, 79; model unchanged) is capitalised into the units built that month: split lift / tray (supervisors pro rata to the lift : tray labour), pooled by build month, divided by the units built, added to the go-live vintage (B133 months after the build) and depreciated with the section 1 lives, salvage and start rule. A month with no units built rolls into the next build month when B135 = 1, or is expensed (PO 5110-5140, section 11) when B135 = 0. Sep-Dec 26 labour: B132 (v9 booked 0: 2026 labour is a 2026 period cost; the 2026 books expense 5100). Section 9 feeds PO rows 20/21 (U:AF). PO 5110-5140 2027 = (1 - B131) x the v7 amount (+ idle labour expensed) = 0 (capitalised).</t>
        </is>
      </c>
    </row>
    <row r="130">
      <c r="A130" s="3" t="inlineStr">
        <is>
          <t xml:space="preserve">Input</t>
        </is>
      </c>
      <c r="B130" s="3" t="inlineStr">
        <is>
          <t xml:space="preserve">Value</t>
        </is>
      </c>
      <c r="C130" s="3" t="inlineStr">
        <is>
          <t xml:space="preserve">Unit</t>
        </is>
      </c>
    </row>
    <row r="131">
      <c r="A131" s="0" t="inlineStr">
        <is>
          <t xml:space="preserve">Current Prod Payroll staff (Prod Payroll B9:C9) capitalised: 1 = yes (booked); 0 = expensed in PO 5110-5140 (sensitivity)</t>
        </is>
      </c>
      <c r="B131" s="141" t="n">
        <v>1</v>
      </c>
      <c r="C131" s="0" t="inlineStr">
        <is>
          <t xml:space="preserve">switch</t>
        </is>
      </c>
    </row>
    <row r="132">
      <c r="A132" s="0" t="inlineStr">
        <is>
          <t xml:space="preserve">Sep-Dec 26 model labour (Sep-26 to Dec-26 builds) capitalised: 0 = no (booked v9: 2026 labour is a 2026 period cost; the 2026 books expense 5100); 1 = capitalise all of it (sensitivity only: the 2026 PO forecast already expenses Oct-Dec 26 and the Q4-26 model hires are on no roster)</t>
        </is>
      </c>
      <c r="B132" s="141" t="n">
        <v>0</v>
      </c>
      <c r="C132" s="0" t="inlineStr">
        <is>
          <t xml:space="preserve">switch</t>
        </is>
      </c>
    </row>
    <row r="133">
      <c r="A133" s="0" t="inlineStr">
        <is>
          <t xml:space="preserve">Build-to-go-live lag (months; DeploySum note 1)</t>
        </is>
      </c>
      <c r="B133" s="141" t="n">
        <v>2</v>
      </c>
      <c r="C133" s="0" t="inlineStr">
        <is>
          <t xml:space="preserve">months</t>
        </is>
      </c>
    </row>
    <row r="134">
      <c r="A134" s="0" t="inlineStr">
        <is>
          <t xml:space="preserve">Check: DeploySum go-lives Jan-Dec 27 (rows 19/20) less builds 2 months earlier (rows 24/25), all units (must be 0)</t>
        </is>
      </c>
      <c r="B134" s="145" t="n">
        <f aca="false">SUMPRODUCT(ABS(DeploySum!F19:Q19-DeploySum!D24:O24))+SUMPRODUCT(ABS(DeploySum!F20:Q20-DeploySum!D25:O25))</f>
        <v>0</v>
      </c>
    </row>
    <row r="135">
      <c r="A135" s="0" t="inlineStr">
        <is>
          <t xml:space="preserve">Idle-month labour (months with no units built): 1 = roll forward into the next build month (capitalise; booked); 0 = expense in the month (PO 5110-5140, section 11)</t>
        </is>
      </c>
      <c r="B135" s="141" t="n">
        <v>1</v>
      </c>
      <c r="C135" s="0" t="inlineStr">
        <is>
          <t xml:space="preserve">switch</t>
        </is>
      </c>
    </row>
    <row r="136">
      <c r="A136" s="3" t="inlineStr">
        <is>
          <t xml:space="preserve">Build month</t>
        </is>
      </c>
      <c r="B136" s="144" t="n">
        <f aca="false">DeploySum!B4</f>
        <v>46295</v>
      </c>
      <c r="C136" s="144" t="n">
        <f aca="false">DeploySum!C4</f>
        <v>46326</v>
      </c>
      <c r="D136" s="144" t="n">
        <f aca="false">DeploySum!D4</f>
        <v>46356</v>
      </c>
      <c r="E136" s="144" t="n">
        <f aca="false">DeploySum!E4</f>
        <v>46387</v>
      </c>
      <c r="F136" s="144" t="n">
        <f aca="false">DeploySum!F4</f>
        <v>46418</v>
      </c>
      <c r="G136" s="144" t="n">
        <f aca="false">DeploySum!G4</f>
        <v>46446</v>
      </c>
      <c r="H136" s="144" t="n">
        <f aca="false">DeploySum!H4</f>
        <v>46477</v>
      </c>
      <c r="I136" s="144" t="n">
        <f aca="false">DeploySum!I4</f>
        <v>46507</v>
      </c>
      <c r="J136" s="144" t="n">
        <f aca="false">DeploySum!J4</f>
        <v>46538</v>
      </c>
      <c r="K136" s="144" t="n">
        <f aca="false">DeploySum!K4</f>
        <v>46568</v>
      </c>
      <c r="L136" s="144" t="n">
        <f aca="false">DeploySum!L4</f>
        <v>46599</v>
      </c>
      <c r="M136" s="144" t="n">
        <f aca="false">DeploySum!M4</f>
        <v>46630</v>
      </c>
      <c r="N136" s="144" t="n">
        <f aca="false">DeploySum!N4</f>
        <v>46660</v>
      </c>
      <c r="O136" s="144" t="n">
        <f aca="false">DeploySum!O4</f>
        <v>46691</v>
      </c>
      <c r="P136" s="144" t="n">
        <f aca="false">DeploySum!P4</f>
        <v>46721</v>
      </c>
      <c r="Q136" s="144" t="n">
        <f aca="false">DeploySum!Q4</f>
        <v>46752</v>
      </c>
      <c r="R136" s="3" t="inlineStr">
        <is>
          <t xml:space="preserve">FY2027</t>
        </is>
      </c>
      <c r="S136" s="3" t="inlineStr">
        <is>
          <t xml:space="preserve">Source / formula</t>
        </is>
      </c>
    </row>
    <row r="137">
      <c r="A137" s="0" t="inlineStr">
        <is>
          <t xml:space="preserve">Lift payroll (Prod Payroll row 41)</t>
        </is>
      </c>
      <c r="B137" s="147" t="n">
        <f aca="false">'Prod Payroll'!B41</f>
        <v>60378.8021625</v>
      </c>
      <c r="C137" s="147" t="n">
        <f aca="false">'Prod Payroll'!C41</f>
        <v>57378.8021625</v>
      </c>
      <c r="D137" s="147" t="n">
        <f aca="false">'Prod Payroll'!D41</f>
        <v>98625.950872</v>
      </c>
      <c r="E137" s="147" t="n">
        <f aca="false">'Prod Payroll'!E41</f>
        <v>94265.685696</v>
      </c>
      <c r="F137" s="147" t="n">
        <f aca="false">'Prod Payroll'!F41</f>
        <v>91806.08346</v>
      </c>
      <c r="G137" s="147" t="n">
        <f aca="false">'Prod Payroll'!G41</f>
        <v>112019.72410875</v>
      </c>
      <c r="H137" s="147" t="n">
        <f aca="false">'Prod Payroll'!H41</f>
        <v>109019.72410875</v>
      </c>
      <c r="I137" s="147" t="n">
        <f aca="false">'Prod Payroll'!I41</f>
        <v>109019.72410875</v>
      </c>
      <c r="J137" s="147" t="n">
        <f aca="false">'Prod Payroll'!J41</f>
        <v>109993.3166605</v>
      </c>
      <c r="K137" s="147" t="n">
        <f aca="false">'Prod Payroll'!K41</f>
        <v>110966.90921225</v>
      </c>
      <c r="L137" s="147" t="n">
        <f aca="false">'Prod Payroll'!L41</f>
        <v>132615.317832</v>
      </c>
      <c r="M137" s="147" t="n">
        <f aca="false">'Prod Payroll'!M41</f>
        <v>128488.0001405</v>
      </c>
      <c r="N137" s="147" t="n">
        <f aca="false">'Prod Payroll'!N41</f>
        <v>146447.00540625</v>
      </c>
      <c r="O137" s="147" t="n">
        <f aca="false">'Prod Payroll'!O41</f>
        <v>166931.237778263</v>
      </c>
      <c r="P137" s="147" t="n">
        <f aca="false">'Prod Payroll'!P41</f>
        <v>192551.701243815</v>
      </c>
      <c r="Q137" s="147" t="n">
        <f aca="false">'Prod Payroll'!Q41</f>
        <v>212564.40251292</v>
      </c>
      <c r="R137" s="147" t="n">
        <f aca="false">SUM(F137:Q137)</f>
        <v>1622423.14657275</v>
      </c>
      <c r="S137" s="0" t="inlineStr">
        <is>
          <t xml:space="preserve">Prod Payroll rows 41 / 62 / 79 / 81, same columns (Sep-26..Dec-27); R = Jan-Dec 27</t>
        </is>
      </c>
    </row>
    <row r="138">
      <c r="A138" s="0" t="inlineStr">
        <is>
          <t xml:space="preserve">Tray payroll (Prod Payroll row 62)</t>
        </is>
      </c>
      <c r="B138" s="147" t="n">
        <f aca="false">'Prod Payroll'!B62</f>
        <v>18285.14071375</v>
      </c>
      <c r="C138" s="147" t="n">
        <f aca="false">'Prod Payroll'!C62</f>
        <v>17285.14071375</v>
      </c>
      <c r="D138" s="147" t="n">
        <f aca="false">'Prod Payroll'!D62</f>
        <v>37877.731707</v>
      </c>
      <c r="E138" s="147" t="n">
        <f aca="false">'Prod Payroll'!E62</f>
        <v>35492.632266</v>
      </c>
      <c r="F138" s="147" t="n">
        <f aca="false">'Prod Payroll'!F62</f>
        <v>34570.2814275</v>
      </c>
      <c r="G138" s="147" t="n">
        <f aca="false">'Prod Payroll'!G62</f>
        <v>54855.42214125</v>
      </c>
      <c r="H138" s="147" t="n">
        <f aca="false">'Prod Payroll'!H62</f>
        <v>51855.42214125</v>
      </c>
      <c r="I138" s="147" t="n">
        <f aca="false">'Prod Payroll'!I62</f>
        <v>51855.42214125</v>
      </c>
      <c r="J138" s="147" t="n">
        <f aca="false">'Prod Payroll'!J62</f>
        <v>52316.5975605</v>
      </c>
      <c r="K138" s="147" t="n">
        <f aca="false">'Prod Payroll'!K62</f>
        <v>52777.77297975</v>
      </c>
      <c r="L138" s="147" t="n">
        <f aca="false">'Prod Payroll'!L62</f>
        <v>53238.948399</v>
      </c>
      <c r="M138" s="147" t="n">
        <f aca="false">'Prod Payroll'!M62</f>
        <v>52777.77297975</v>
      </c>
      <c r="N138" s="147" t="n">
        <f aca="false">'Prod Payroll'!N62</f>
        <v>72140.562855</v>
      </c>
      <c r="O138" s="147" t="n">
        <f aca="false">'Prod Payroll'!O62</f>
        <v>70696.2255192375</v>
      </c>
      <c r="P138" s="147" t="n">
        <f aca="false">'Prod Payroll'!P62</f>
        <v>91763.827194315</v>
      </c>
      <c r="Q138" s="147" t="n">
        <f aca="false">'Prod Payroll'!Q62</f>
        <v>90328.74911697</v>
      </c>
      <c r="R138" s="147" t="n">
        <f aca="false">SUM(F138:Q138)</f>
        <v>729177.004455773</v>
      </c>
    </row>
    <row r="139">
      <c r="A139" s="0" t="inlineStr">
        <is>
          <t xml:space="preserve">Supervisor payroll (Prod Payroll row 79)</t>
        </is>
      </c>
      <c r="B139" s="147" t="n">
        <f aca="false">'Prod Payroll'!B79</f>
        <v>12187.5</v>
      </c>
      <c r="C139" s="147" t="n">
        <f aca="false">'Prod Payroll'!C79</f>
        <v>7187.5</v>
      </c>
      <c r="D139" s="147" t="n">
        <f aca="false">'Prod Payroll'!D79</f>
        <v>19375</v>
      </c>
      <c r="E139" s="147" t="n">
        <f aca="false">'Prod Payroll'!E79</f>
        <v>14375</v>
      </c>
      <c r="F139" s="147" t="n">
        <f aca="false">'Prod Payroll'!F79</f>
        <v>14375</v>
      </c>
      <c r="G139" s="147" t="n">
        <f aca="false">'Prod Payroll'!G79</f>
        <v>14375</v>
      </c>
      <c r="H139" s="147" t="n">
        <f aca="false">'Prod Payroll'!H79</f>
        <v>14375</v>
      </c>
      <c r="I139" s="147" t="n">
        <f aca="false">'Prod Payroll'!I79</f>
        <v>14375</v>
      </c>
      <c r="J139" s="147" t="n">
        <f aca="false">'Prod Payroll'!J79</f>
        <v>14375</v>
      </c>
      <c r="K139" s="147" t="n">
        <f aca="false">'Prod Payroll'!K79</f>
        <v>14375</v>
      </c>
      <c r="L139" s="147" t="n">
        <f aca="false">'Prod Payroll'!L79</f>
        <v>26562.5</v>
      </c>
      <c r="M139" s="147" t="n">
        <f aca="false">'Prod Payroll'!M79</f>
        <v>21562.5</v>
      </c>
      <c r="N139" s="147" t="n">
        <f aca="false">'Prod Payroll'!N79</f>
        <v>21562.5</v>
      </c>
      <c r="O139" s="147" t="n">
        <f aca="false">'Prod Payroll'!O79</f>
        <v>21993.75</v>
      </c>
      <c r="P139" s="147" t="n">
        <f aca="false">'Prod Payroll'!P79</f>
        <v>34181.25</v>
      </c>
      <c r="Q139" s="147" t="n">
        <f aca="false">'Prod Payroll'!Q79</f>
        <v>29181.25</v>
      </c>
      <c r="R139" s="147" t="n">
        <f aca="false">SUM(F139:Q139)</f>
        <v>241293.75</v>
      </c>
    </row>
    <row r="140">
      <c r="A140" s="0" t="inlineStr">
        <is>
          <t xml:space="preserve">Total production payroll (Prod Payroll row 81)</t>
        </is>
      </c>
      <c r="B140" s="147" t="n">
        <f aca="false">'Prod Payroll'!B81</f>
        <v>90851.44287625</v>
      </c>
      <c r="C140" s="147" t="n">
        <f aca="false">'Prod Payroll'!C81</f>
        <v>81851.44287625</v>
      </c>
      <c r="D140" s="147" t="n">
        <f aca="false">'Prod Payroll'!D81</f>
        <v>155878.682579</v>
      </c>
      <c r="E140" s="147" t="n">
        <f aca="false">'Prod Payroll'!E81</f>
        <v>144133.317962</v>
      </c>
      <c r="F140" s="147" t="n">
        <f aca="false">'Prod Payroll'!F81</f>
        <v>140751.3648875</v>
      </c>
      <c r="G140" s="147" t="n">
        <f aca="false">'Prod Payroll'!G81</f>
        <v>181250.14625</v>
      </c>
      <c r="H140" s="147" t="n">
        <f aca="false">'Prod Payroll'!H81</f>
        <v>175250.14625</v>
      </c>
      <c r="I140" s="147" t="n">
        <f aca="false">'Prod Payroll'!I81</f>
        <v>175250.14625</v>
      </c>
      <c r="J140" s="147" t="n">
        <f aca="false">'Prod Payroll'!J81</f>
        <v>176684.914221</v>
      </c>
      <c r="K140" s="147" t="n">
        <f aca="false">'Prod Payroll'!K81</f>
        <v>178119.682192</v>
      </c>
      <c r="L140" s="147" t="n">
        <f aca="false">'Prod Payroll'!L81</f>
        <v>212416.766231</v>
      </c>
      <c r="M140" s="147" t="n">
        <f aca="false">'Prod Payroll'!M81</f>
        <v>202828.27312025</v>
      </c>
      <c r="N140" s="147" t="n">
        <f aca="false">'Prod Payroll'!N81</f>
        <v>240150.06826125</v>
      </c>
      <c r="O140" s="147" t="n">
        <f aca="false">'Prod Payroll'!O81</f>
        <v>259621.2132975</v>
      </c>
      <c r="P140" s="147" t="n">
        <f aca="false">'Prod Payroll'!P81</f>
        <v>318496.77843813</v>
      </c>
      <c r="Q140" s="147" t="n">
        <f aca="false">'Prod Payroll'!Q81</f>
        <v>332074.40162989</v>
      </c>
      <c r="R140" s="147" t="n">
        <f aca="false">SUM(F140:Q140)</f>
        <v>2592893.90102852</v>
      </c>
    </row>
    <row r="141">
      <c r="A141" s="0" t="inlineStr">
        <is>
          <t xml:space="preserve">Current lift staff at model rates (B9 x B5/12, raise M5 from M6, absence row 33, overtime row 35, tax B6, benefits B7)</t>
        </is>
      </c>
      <c r="B141" s="147" t="n">
        <f aca="false">'Prod Payroll'!$B$9*'Prod Payroll'!$B$5/12*(1+IF(B$136&gt;='Prod Payroll'!$M$6,'Prod Payroll'!$M$5,0))*((1+'Prod Payroll'!B$33+'Prod Payroll'!B$35*'Prod Payroll'!$M$10)*(1+'Prod Payroll'!$B$6)+'Prod Payroll'!$B$7)</f>
        <v>40165.16151375</v>
      </c>
      <c r="C141" s="147" t="n">
        <f aca="false">'Prod Payroll'!$B$9*'Prod Payroll'!$B$5/12*(1+IF(C$136&gt;='Prod Payroll'!$M$6,'Prod Payroll'!$M$5,0))*((1+'Prod Payroll'!C$33+'Prod Payroll'!C$35*'Prod Payroll'!$M$10)*(1+'Prod Payroll'!$B$6)+'Prod Payroll'!$B$7)</f>
        <v>40165.16151375</v>
      </c>
      <c r="D141" s="147" t="n">
        <f aca="false">'Prod Payroll'!$B$9*'Prod Payroll'!$B$5/12*(1+IF(D$136&gt;='Prod Payroll'!$M$6,'Prod Payroll'!$M$5,0))*((1+'Prod Payroll'!D$33+'Prod Payroll'!D$35*'Prod Payroll'!$M$10)*(1+'Prod Payroll'!$B$6)+'Prod Payroll'!$B$7)</f>
        <v>40523.8535065</v>
      </c>
      <c r="E141" s="147" t="n">
        <f aca="false">'Prod Payroll'!$B$9*'Prod Payroll'!$B$5/12*(1+IF(E$136&gt;='Prod Payroll'!$M$6,'Prod Payroll'!$M$5,0))*((1+'Prod Payroll'!E$33+'Prod Payroll'!E$35*'Prod Payroll'!$M$10)*(1+'Prod Payroll'!$B$6)+'Prod Payroll'!$B$7)</f>
        <v>41241.237492</v>
      </c>
      <c r="F141" s="147" t="n">
        <f aca="false">'Prod Payroll'!$B$9*'Prod Payroll'!$B$5/12*(1+IF(F$136&gt;='Prod Payroll'!$M$6,'Prod Payroll'!$M$5,0))*((1+'Prod Payroll'!F$33+'Prod Payroll'!F$35*'Prod Payroll'!$M$10)*(1+'Prod Payroll'!$B$6)+'Prod Payroll'!$B$7)</f>
        <v>40165.16151375</v>
      </c>
      <c r="G141" s="147" t="n">
        <f aca="false">'Prod Payroll'!$B$9*'Prod Payroll'!$B$5/12*(1+IF(G$136&gt;='Prod Payroll'!$M$6,'Prod Payroll'!$M$5,0))*((1+'Prod Payroll'!G$33+'Prod Payroll'!G$35*'Prod Payroll'!$M$10)*(1+'Prod Payroll'!$B$6)+'Prod Payroll'!$B$7)</f>
        <v>40165.16151375</v>
      </c>
      <c r="H141" s="147" t="n">
        <f aca="false">'Prod Payroll'!$B$9*'Prod Payroll'!$B$5/12*(1+IF(H$136&gt;='Prod Payroll'!$M$6,'Prod Payroll'!$M$5,0))*((1+'Prod Payroll'!H$33+'Prod Payroll'!H$35*'Prod Payroll'!$M$10)*(1+'Prod Payroll'!$B$6)+'Prod Payroll'!$B$7)</f>
        <v>40165.16151375</v>
      </c>
      <c r="I141" s="147" t="n">
        <f aca="false">'Prod Payroll'!$B$9*'Prod Payroll'!$B$5/12*(1+IF(I$136&gt;='Prod Payroll'!$M$6,'Prod Payroll'!$M$5,0))*((1+'Prod Payroll'!I$33+'Prod Payroll'!I$35*'Prod Payroll'!$M$10)*(1+'Prod Payroll'!$B$6)+'Prod Payroll'!$B$7)</f>
        <v>40165.16151375</v>
      </c>
      <c r="J141" s="147" t="n">
        <f aca="false">'Prod Payroll'!$B$9*'Prod Payroll'!$B$5/12*(1+IF(J$136&gt;='Prod Payroll'!$M$6,'Prod Payroll'!$M$5,0))*((1+'Prod Payroll'!J$33+'Prod Payroll'!J$35*'Prod Payroll'!$M$10)*(1+'Prod Payroll'!$B$6)+'Prod Payroll'!$B$7)</f>
        <v>40523.8535065</v>
      </c>
      <c r="K141" s="147" t="n">
        <f aca="false">'Prod Payroll'!$B$9*'Prod Payroll'!$B$5/12*(1+IF(K$136&gt;='Prod Payroll'!$M$6,'Prod Payroll'!$M$5,0))*((1+'Prod Payroll'!K$33+'Prod Payroll'!K$35*'Prod Payroll'!$M$10)*(1+'Prod Payroll'!$B$6)+'Prod Payroll'!$B$7)</f>
        <v>40882.54549925</v>
      </c>
      <c r="L141" s="147" t="n">
        <f aca="false">'Prod Payroll'!$B$9*'Prod Payroll'!$B$5/12*(1+IF(L$136&gt;='Prod Payroll'!$M$6,'Prod Payroll'!$M$5,0))*((1+'Prod Payroll'!L$33+'Prod Payroll'!L$35*'Prod Payroll'!$M$10)*(1+'Prod Payroll'!$B$6)+'Prod Payroll'!$B$7)</f>
        <v>41241.237492</v>
      </c>
      <c r="M141" s="147" t="n">
        <f aca="false">'Prod Payroll'!$B$9*'Prod Payroll'!$B$5/12*(1+IF(M$136&gt;='Prod Payroll'!$M$6,'Prod Payroll'!$M$5,0))*((1+'Prod Payroll'!M$33+'Prod Payroll'!M$35*'Prod Payroll'!$M$10)*(1+'Prod Payroll'!$B$6)+'Prod Payroll'!$B$7)</f>
        <v>40882.54549925</v>
      </c>
      <c r="N141" s="147" t="n">
        <f aca="false">'Prod Payroll'!$B$9*'Prod Payroll'!$B$5/12*(1+IF(N$136&gt;='Prod Payroll'!$M$6,'Prod Payroll'!$M$5,0))*((1+'Prod Payroll'!N$33+'Prod Payroll'!N$35*'Prod Payroll'!$M$10)*(1+'Prod Payroll'!$B$6)+'Prod Payroll'!$B$7)</f>
        <v>40165.16151375</v>
      </c>
      <c r="O141" s="147" t="n">
        <f aca="false">'Prod Payroll'!$B$9*'Prod Payroll'!$B$5/12*(1+IF(O$136&gt;='Prod Payroll'!$M$6,'Prod Payroll'!$M$5,0))*((1+'Prod Payroll'!O$33+'Prod Payroll'!O$35*'Prod Payroll'!$M$10)*(1+'Prod Payroll'!$B$6)+'Prod Payroll'!$B$7)</f>
        <v>41370.1163591625</v>
      </c>
      <c r="P141" s="147" t="n">
        <f aca="false">'Prod Payroll'!$B$9*'Prod Payroll'!$B$5/12*(1+IF(P$136&gt;='Prod Payroll'!$M$6,'Prod Payroll'!$M$5,0))*((1+'Prod Payroll'!P$33+'Prod Payroll'!P$35*'Prod Payroll'!$M$10)*(1+'Prod Payroll'!$B$6)+'Prod Payroll'!$B$7)</f>
        <v>41739.569111695</v>
      </c>
      <c r="Q141" s="147" t="n">
        <f aca="false">'Prod Payroll'!$B$9*'Prod Payroll'!$B$5/12*(1+IF(Q$136&gt;='Prod Payroll'!$M$6,'Prod Payroll'!$M$5,0))*((1+'Prod Payroll'!Q$33+'Prod Payroll'!Q$35*'Prod Payroll'!$M$10)*(1+'Prod Payroll'!$B$6)+'Prod Payroll'!$B$7)</f>
        <v>42478.47461676</v>
      </c>
      <c r="R141" s="147" t="n">
        <f aca="false">SUM(F141:Q141)</f>
        <v>489944.149653367</v>
      </c>
      <c r="S141" s="0" t="inlineStr">
        <is>
          <t xml:space="preserve">Same cost formula as Prod Payroll rows 32-38 / 53-59 at the current headcount (no hires)</t>
        </is>
      </c>
    </row>
    <row r="142">
      <c r="A142" s="0" t="inlineStr">
        <is>
          <t xml:space="preserve">Current tray staff at model rates (C9 x C5/12, raise M5 from M6, absence row 54, overtime row 56, tax C6, benefits C7)</t>
        </is>
      </c>
      <c r="B142" s="147" t="n">
        <f aca="false">'Prod Payroll'!$C$9*'Prod Payroll'!$C$5/12*(1+IF(B$136&gt;='Prod Payroll'!$M$6,'Prod Payroll'!$M$5,0))*((1+'Prod Payroll'!B$54+'Prod Payroll'!B$56*'Prod Payroll'!$M$10)*(1+'Prod Payroll'!$C$6)+'Prod Payroll'!$C$7)</f>
        <v>11523.4271425</v>
      </c>
      <c r="C142" s="147" t="n">
        <f aca="false">'Prod Payroll'!$C$9*'Prod Payroll'!$C$5/12*(1+IF(C$136&gt;='Prod Payroll'!$M$6,'Prod Payroll'!$M$5,0))*((1+'Prod Payroll'!C$54+'Prod Payroll'!C$56*'Prod Payroll'!$M$10)*(1+'Prod Payroll'!$C$6)+'Prod Payroll'!$C$7)</f>
        <v>11523.4271425</v>
      </c>
      <c r="D142" s="147" t="n">
        <f aca="false">'Prod Payroll'!$C$9*'Prod Payroll'!$C$5/12*(1+IF(D$136&gt;='Prod Payroll'!$M$6,'Prod Payroll'!$M$5,0))*((1+'Prod Payroll'!D$54+'Prod Payroll'!D$56*'Prod Payroll'!$M$10)*(1+'Prod Payroll'!$C$6)+'Prod Payroll'!$C$7)</f>
        <v>11625.910569</v>
      </c>
      <c r="E142" s="147" t="n">
        <f aca="false">'Prod Payroll'!$C$9*'Prod Payroll'!$C$5/12*(1+IF(E$136&gt;='Prod Payroll'!$M$6,'Prod Payroll'!$M$5,0))*((1+'Prod Payroll'!E$54+'Prod Payroll'!E$56*'Prod Payroll'!$M$10)*(1+'Prod Payroll'!$C$6)+'Prod Payroll'!$C$7)</f>
        <v>11830.877422</v>
      </c>
      <c r="F142" s="147" t="n">
        <f aca="false">'Prod Payroll'!$C$9*'Prod Payroll'!$C$5/12*(1+IF(F$136&gt;='Prod Payroll'!$M$6,'Prod Payroll'!$M$5,0))*((1+'Prod Payroll'!F$54+'Prod Payroll'!F$56*'Prod Payroll'!$M$10)*(1+'Prod Payroll'!$C$6)+'Prod Payroll'!$C$7)</f>
        <v>11523.4271425</v>
      </c>
      <c r="G142" s="147" t="n">
        <f aca="false">'Prod Payroll'!$C$9*'Prod Payroll'!$C$5/12*(1+IF(G$136&gt;='Prod Payroll'!$M$6,'Prod Payroll'!$M$5,0))*((1+'Prod Payroll'!G$54+'Prod Payroll'!G$56*'Prod Payroll'!$M$10)*(1+'Prod Payroll'!$C$6)+'Prod Payroll'!$C$7)</f>
        <v>11523.4271425</v>
      </c>
      <c r="H142" s="147" t="n">
        <f aca="false">'Prod Payroll'!$C$9*'Prod Payroll'!$C$5/12*(1+IF(H$136&gt;='Prod Payroll'!$M$6,'Prod Payroll'!$M$5,0))*((1+'Prod Payroll'!H$54+'Prod Payroll'!H$56*'Prod Payroll'!$M$10)*(1+'Prod Payroll'!$C$6)+'Prod Payroll'!$C$7)</f>
        <v>11523.4271425</v>
      </c>
      <c r="I142" s="147" t="n">
        <f aca="false">'Prod Payroll'!$C$9*'Prod Payroll'!$C$5/12*(1+IF(I$136&gt;='Prod Payroll'!$M$6,'Prod Payroll'!$M$5,0))*((1+'Prod Payroll'!I$54+'Prod Payroll'!I$56*'Prod Payroll'!$M$10)*(1+'Prod Payroll'!$C$6)+'Prod Payroll'!$C$7)</f>
        <v>11523.4271425</v>
      </c>
      <c r="J142" s="147" t="n">
        <f aca="false">'Prod Payroll'!$C$9*'Prod Payroll'!$C$5/12*(1+IF(J$136&gt;='Prod Payroll'!$M$6,'Prod Payroll'!$M$5,0))*((1+'Prod Payroll'!J$54+'Prod Payroll'!J$56*'Prod Payroll'!$M$10)*(1+'Prod Payroll'!$C$6)+'Prod Payroll'!$C$7)</f>
        <v>11625.910569</v>
      </c>
      <c r="K142" s="147" t="n">
        <f aca="false">'Prod Payroll'!$C$9*'Prod Payroll'!$C$5/12*(1+IF(K$136&gt;='Prod Payroll'!$M$6,'Prod Payroll'!$M$5,0))*((1+'Prod Payroll'!K$54+'Prod Payroll'!K$56*'Prod Payroll'!$M$10)*(1+'Prod Payroll'!$C$6)+'Prod Payroll'!$C$7)</f>
        <v>11728.3939955</v>
      </c>
      <c r="L142" s="147" t="n">
        <f aca="false">'Prod Payroll'!$C$9*'Prod Payroll'!$C$5/12*(1+IF(L$136&gt;='Prod Payroll'!$M$6,'Prod Payroll'!$M$5,0))*((1+'Prod Payroll'!L$54+'Prod Payroll'!L$56*'Prod Payroll'!$M$10)*(1+'Prod Payroll'!$C$6)+'Prod Payroll'!$C$7)</f>
        <v>11830.877422</v>
      </c>
      <c r="M142" s="147" t="n">
        <f aca="false">'Prod Payroll'!$C$9*'Prod Payroll'!$C$5/12*(1+IF(M$136&gt;='Prod Payroll'!$M$6,'Prod Payroll'!$M$5,0))*((1+'Prod Payroll'!M$54+'Prod Payroll'!M$56*'Prod Payroll'!$M$10)*(1+'Prod Payroll'!$C$6)+'Prod Payroll'!$C$7)</f>
        <v>11728.3939955</v>
      </c>
      <c r="N142" s="147" t="n">
        <f aca="false">'Prod Payroll'!$C$9*'Prod Payroll'!$C$5/12*(1+IF(N$136&gt;='Prod Payroll'!$M$6,'Prod Payroll'!$M$5,0))*((1+'Prod Payroll'!N$54+'Prod Payroll'!N$56*'Prod Payroll'!$M$10)*(1+'Prod Payroll'!$C$6)+'Prod Payroll'!$C$7)</f>
        <v>11523.4271425</v>
      </c>
      <c r="O142" s="147" t="n">
        <f aca="false">'Prod Payroll'!$C$9*'Prod Payroll'!$C$5/12*(1+IF(O$136&gt;='Prod Payroll'!$M$6,'Prod Payroll'!$M$5,0))*((1+'Prod Payroll'!O$54+'Prod Payroll'!O$56*'Prod Payroll'!$M$10)*(1+'Prod Payroll'!$C$6)+'Prod Payroll'!$C$7)</f>
        <v>11869.129956775</v>
      </c>
      <c r="P142" s="147" t="n">
        <f aca="false">'Prod Payroll'!$C$9*'Prod Payroll'!$C$5/12*(1+IF(P$136&gt;='Prod Payroll'!$M$6,'Prod Payroll'!$M$5,0))*((1+'Prod Payroll'!P$54+'Prod Payroll'!P$56*'Prod Payroll'!$M$10)*(1+'Prod Payroll'!$C$6)+'Prod Payroll'!$C$7)</f>
        <v>11974.68788607</v>
      </c>
      <c r="Q142" s="147" t="n">
        <f aca="false">'Prod Payroll'!$C$9*'Prod Payroll'!$C$5/12*(1+IF(Q$136&gt;='Prod Payroll'!$M$6,'Prod Payroll'!$M$5,0))*((1+'Prod Payroll'!Q$54+'Prod Payroll'!Q$56*'Prod Payroll'!$M$10)*(1+'Prod Payroll'!$C$6)+'Prod Payroll'!$C$7)</f>
        <v>12185.80374466</v>
      </c>
      <c r="R142" s="147" t="n">
        <f aca="false">SUM(F142:Q142)</f>
        <v>140560.333282005</v>
      </c>
    </row>
    <row r="143">
      <c r="A143" s="0" t="inlineStr">
        <is>
          <t xml:space="preserve">Lift labour capitalised before supervisors (row 137 less (1 - B131) x row 141)</t>
        </is>
      </c>
      <c r="B143" s="147" t="n">
        <f aca="false">(B137-(1-$B$131)*B141)*$B$132</f>
        <v>0</v>
      </c>
      <c r="C143" s="147" t="n">
        <f aca="false">(C137-(1-$B$131)*C141)*$B$132</f>
        <v>0</v>
      </c>
      <c r="D143" s="147" t="n">
        <f aca="false">(D137-(1-$B$131)*D141)*$B$132</f>
        <v>0</v>
      </c>
      <c r="E143" s="147" t="n">
        <f aca="false">(E137-(1-$B$131)*E141)*$B$132</f>
        <v>0</v>
      </c>
      <c r="F143" s="147" t="n">
        <f aca="false">(F137-(1-$B$131)*F141)</f>
        <v>91806.08346</v>
      </c>
      <c r="G143" s="147" t="n">
        <f aca="false">(G137-(1-$B$131)*G141)</f>
        <v>112019.72410875</v>
      </c>
      <c r="H143" s="147" t="n">
        <f aca="false">(H137-(1-$B$131)*H141)</f>
        <v>109019.72410875</v>
      </c>
      <c r="I143" s="147" t="n">
        <f aca="false">(I137-(1-$B$131)*I141)</f>
        <v>109019.72410875</v>
      </c>
      <c r="J143" s="147" t="n">
        <f aca="false">(J137-(1-$B$131)*J141)</f>
        <v>109993.3166605</v>
      </c>
      <c r="K143" s="147" t="n">
        <f aca="false">(K137-(1-$B$131)*K141)</f>
        <v>110966.90921225</v>
      </c>
      <c r="L143" s="147" t="n">
        <f aca="false">(L137-(1-$B$131)*L141)</f>
        <v>132615.317832</v>
      </c>
      <c r="M143" s="147" t="n">
        <f aca="false">(M137-(1-$B$131)*M141)</f>
        <v>128488.0001405</v>
      </c>
      <c r="N143" s="147" t="n">
        <f aca="false">(N137-(1-$B$131)*N141)</f>
        <v>146447.00540625</v>
      </c>
      <c r="O143" s="147" t="n">
        <f aca="false">(O137-(1-$B$131)*O141)</f>
        <v>166931.237778263</v>
      </c>
      <c r="P143" s="147" t="n">
        <f aca="false">(P137-(1-$B$131)*P141)</f>
        <v>192551.701243815</v>
      </c>
      <c r="Q143" s="147" t="n">
        <f aca="false">(Q137-(1-$B$131)*Q141)</f>
        <v>212564.40251292</v>
      </c>
      <c r="R143" s="147" t="n">
        <f aca="false">SUM(F143:Q143)</f>
        <v>1622423.14657275</v>
      </c>
      <c r="S143" s="0" t="inlineStr">
        <is>
          <t xml:space="preserve">B:E (Sep-Dec 26) x B132; B131 = 1 capitalises the current staff too</t>
        </is>
      </c>
    </row>
    <row r="144">
      <c r="A144" s="0" t="inlineStr">
        <is>
          <t xml:space="preserve">Tray labour capitalised before supervisors (row 138 less (1 - B131) x row 142)</t>
        </is>
      </c>
      <c r="B144" s="147" t="n">
        <f aca="false">(B138-(1-$B$131)*B142)*$B$132</f>
        <v>0</v>
      </c>
      <c r="C144" s="147" t="n">
        <f aca="false">(C138-(1-$B$131)*C142)*$B$132</f>
        <v>0</v>
      </c>
      <c r="D144" s="147" t="n">
        <f aca="false">(D138-(1-$B$131)*D142)*$B$132</f>
        <v>0</v>
      </c>
      <c r="E144" s="147" t="n">
        <f aca="false">(E138-(1-$B$131)*E142)*$B$132</f>
        <v>0</v>
      </c>
      <c r="F144" s="147" t="n">
        <f aca="false">(F138-(1-$B$131)*F142)</f>
        <v>34570.2814275</v>
      </c>
      <c r="G144" s="147" t="n">
        <f aca="false">(G138-(1-$B$131)*G142)</f>
        <v>54855.42214125</v>
      </c>
      <c r="H144" s="147" t="n">
        <f aca="false">(H138-(1-$B$131)*H142)</f>
        <v>51855.42214125</v>
      </c>
      <c r="I144" s="147" t="n">
        <f aca="false">(I138-(1-$B$131)*I142)</f>
        <v>51855.42214125</v>
      </c>
      <c r="J144" s="147" t="n">
        <f aca="false">(J138-(1-$B$131)*J142)</f>
        <v>52316.5975605</v>
      </c>
      <c r="K144" s="147" t="n">
        <f aca="false">(K138-(1-$B$131)*K142)</f>
        <v>52777.77297975</v>
      </c>
      <c r="L144" s="147" t="n">
        <f aca="false">(L138-(1-$B$131)*L142)</f>
        <v>53238.948399</v>
      </c>
      <c r="M144" s="147" t="n">
        <f aca="false">(M138-(1-$B$131)*M142)</f>
        <v>52777.77297975</v>
      </c>
      <c r="N144" s="147" t="n">
        <f aca="false">(N138-(1-$B$131)*N142)</f>
        <v>72140.562855</v>
      </c>
      <c r="O144" s="147" t="n">
        <f aca="false">(O138-(1-$B$131)*O142)</f>
        <v>70696.2255192375</v>
      </c>
      <c r="P144" s="147" t="n">
        <f aca="false">(P138-(1-$B$131)*P142)</f>
        <v>91763.827194315</v>
      </c>
      <c r="Q144" s="147" t="n">
        <f aca="false">(Q138-(1-$B$131)*Q142)</f>
        <v>90328.74911697</v>
      </c>
      <c r="R144" s="147" t="n">
        <f aca="false">SUM(F144:Q144)</f>
        <v>729177.004455773</v>
      </c>
    </row>
    <row r="145">
      <c r="A145" s="0" t="inlineStr">
        <is>
          <t xml:space="preserve">Supervisor labour capitalised (row 139)</t>
        </is>
      </c>
      <c r="B145" s="147" t="n">
        <f aca="false">B139*$B$132</f>
        <v>0</v>
      </c>
      <c r="C145" s="147" t="n">
        <f aca="false">C139*$B$132</f>
        <v>0</v>
      </c>
      <c r="D145" s="147" t="n">
        <f aca="false">D139*$B$132</f>
        <v>0</v>
      </c>
      <c r="E145" s="147" t="n">
        <f aca="false">E139*$B$132</f>
        <v>0</v>
      </c>
      <c r="F145" s="147" t="n">
        <f aca="false">F139</f>
        <v>14375</v>
      </c>
      <c r="G145" s="147" t="n">
        <f aca="false">G139</f>
        <v>14375</v>
      </c>
      <c r="H145" s="147" t="n">
        <f aca="false">H139</f>
        <v>14375</v>
      </c>
      <c r="I145" s="147" t="n">
        <f aca="false">I139</f>
        <v>14375</v>
      </c>
      <c r="J145" s="147" t="n">
        <f aca="false">J139</f>
        <v>14375</v>
      </c>
      <c r="K145" s="147" t="n">
        <f aca="false">K139</f>
        <v>14375</v>
      </c>
      <c r="L145" s="147" t="n">
        <f aca="false">L139</f>
        <v>26562.5</v>
      </c>
      <c r="M145" s="147" t="n">
        <f aca="false">M139</f>
        <v>21562.5</v>
      </c>
      <c r="N145" s="147" t="n">
        <f aca="false">N139</f>
        <v>21562.5</v>
      </c>
      <c r="O145" s="147" t="n">
        <f aca="false">O139</f>
        <v>21993.75</v>
      </c>
      <c r="P145" s="147" t="n">
        <f aca="false">P139</f>
        <v>34181.25</v>
      </c>
      <c r="Q145" s="147" t="n">
        <f aca="false">Q139</f>
        <v>29181.25</v>
      </c>
      <c r="R145" s="147" t="n">
        <f aca="false">SUM(F145:Q145)</f>
        <v>241293.75</v>
      </c>
    </row>
    <row r="146">
      <c r="A146" s="0" t="inlineStr">
        <is>
          <t xml:space="preserve">Supervisors to lifts (pro rata to rows 143 : 144)</t>
        </is>
      </c>
      <c r="B146" s="147" t="n">
        <f aca="false">IF(B143+B144=0,0,B145*B143/(B143+B144))</f>
        <v>0</v>
      </c>
      <c r="C146" s="147" t="n">
        <f aca="false">IF(C143+C144=0,0,C145*C143/(C143+C144))</f>
        <v>0</v>
      </c>
      <c r="D146" s="147" t="n">
        <f aca="false">IF(D143+D144=0,0,D145*D143/(D143+D144))</f>
        <v>0</v>
      </c>
      <c r="E146" s="147" t="n">
        <f aca="false">IF(E143+E144=0,0,E145*E143/(E143+E144))</f>
        <v>0</v>
      </c>
      <c r="F146" s="147" t="n">
        <f aca="false">IF(F143+F144=0,0,F145*F143/(F143+F144))</f>
        <v>10442.7157001414</v>
      </c>
      <c r="G146" s="147" t="n">
        <f aca="false">IF(G143+G144=0,0,G145*G143/(G143+G144))</f>
        <v>9649.63069845568</v>
      </c>
      <c r="H146" s="147" t="n">
        <f aca="false">IF(H143+H144=0,0,H145*H143/(H143+H144))</f>
        <v>9741.45833333333</v>
      </c>
      <c r="I146" s="147" t="n">
        <f aca="false">IF(I143+I144=0,0,I145*I143/(I143+I144))</f>
        <v>9741.45833333333</v>
      </c>
      <c r="J146" s="147" t="n">
        <f aca="false">IF(J143+J144=0,0,J145*J143/(J143+J144))</f>
        <v>9741.57330181199</v>
      </c>
      <c r="K146" s="147" t="n">
        <f aca="false">IF(K143+K144=0,0,K145*K143/(K143+K144))</f>
        <v>9741.68625553097</v>
      </c>
      <c r="L146" s="147" t="n">
        <f aca="false">IF(L143+L144=0,0,L145*L143/(L143+L144))</f>
        <v>18953.5298346837</v>
      </c>
      <c r="M146" s="147" t="n">
        <f aca="false">IF(M143+M144=0,0,M145*M143/(M143+M144))</f>
        <v>15284.3112924115</v>
      </c>
      <c r="N146" s="147" t="n">
        <f aca="false">IF(N143+N144=0,0,N145*N143/(N143+N144))</f>
        <v>14446.2175007967</v>
      </c>
      <c r="O146" s="147" t="n">
        <f aca="false">IF(O143+O144=0,0,O145*O143/(O143+O144))</f>
        <v>15450.4191558413</v>
      </c>
      <c r="P146" s="147" t="n">
        <f aca="false">IF(P143+P144=0,0,P145*P143/(P143+P144))</f>
        <v>23149.1324947888</v>
      </c>
      <c r="Q146" s="147" t="n">
        <f aca="false">IF(Q143+Q144=0,0,Q145*Q143/(Q143+Q144))</f>
        <v>20478.8221108728</v>
      </c>
      <c r="R146" s="147" t="n">
        <f aca="false">SUM(F146:Q146)</f>
        <v>166820.955012001</v>
      </c>
    </row>
    <row r="147">
      <c r="A147" s="146" t="inlineStr">
        <is>
          <t xml:space="preserve">Capitalised labour - SlipLifts</t>
        </is>
      </c>
      <c r="B147" s="147" t="n">
        <f aca="false">B143+B146</f>
        <v>0</v>
      </c>
      <c r="C147" s="147" t="n">
        <f aca="false">C143+C146</f>
        <v>0</v>
      </c>
      <c r="D147" s="147" t="n">
        <f aca="false">D143+D146</f>
        <v>0</v>
      </c>
      <c r="E147" s="147" t="n">
        <f aca="false">E143+E146</f>
        <v>0</v>
      </c>
      <c r="F147" s="147" t="n">
        <f aca="false">F143+F146</f>
        <v>102248.799160141</v>
      </c>
      <c r="G147" s="147" t="n">
        <f aca="false">G143+G146</f>
        <v>121669.354807206</v>
      </c>
      <c r="H147" s="147" t="n">
        <f aca="false">H143+H146</f>
        <v>118761.182442083</v>
      </c>
      <c r="I147" s="147" t="n">
        <f aca="false">I143+I146</f>
        <v>118761.182442083</v>
      </c>
      <c r="J147" s="147" t="n">
        <f aca="false">J143+J146</f>
        <v>119734.889962312</v>
      </c>
      <c r="K147" s="147" t="n">
        <f aca="false">K143+K146</f>
        <v>120708.595467781</v>
      </c>
      <c r="L147" s="147" t="n">
        <f aca="false">L143+L146</f>
        <v>151568.847666684</v>
      </c>
      <c r="M147" s="147" t="n">
        <f aca="false">M143+M146</f>
        <v>143772.311432911</v>
      </c>
      <c r="N147" s="147" t="n">
        <f aca="false">N143+N146</f>
        <v>160893.222907047</v>
      </c>
      <c r="O147" s="147" t="n">
        <f aca="false">O143+O146</f>
        <v>182381.656934104</v>
      </c>
      <c r="P147" s="147" t="n">
        <f aca="false">P143+P146</f>
        <v>215700.833738604</v>
      </c>
      <c r="Q147" s="147" t="n">
        <f aca="false">Q143+Q146</f>
        <v>233043.224623793</v>
      </c>
      <c r="R147" s="147" t="n">
        <f aca="false">SUM(F147:Q147)</f>
        <v>1789244.10158475</v>
      </c>
    </row>
    <row r="148">
      <c r="A148" s="146" t="inlineStr">
        <is>
          <t xml:space="preserve">Capitalised labour - SlipTrays</t>
        </is>
      </c>
      <c r="B148" s="147" t="n">
        <f aca="false">B144+B145-B146</f>
        <v>0</v>
      </c>
      <c r="C148" s="147" t="n">
        <f aca="false">C144+C145-C146</f>
        <v>0</v>
      </c>
      <c r="D148" s="147" t="n">
        <f aca="false">D144+D145-D146</f>
        <v>0</v>
      </c>
      <c r="E148" s="147" t="n">
        <f aca="false">E144+E145-E146</f>
        <v>0</v>
      </c>
      <c r="F148" s="147" t="n">
        <f aca="false">F144+F145-F146</f>
        <v>38502.5657273586</v>
      </c>
      <c r="G148" s="147" t="n">
        <f aca="false">G144+G145-G146</f>
        <v>59580.7914427943</v>
      </c>
      <c r="H148" s="147" t="n">
        <f aca="false">H144+H145-H146</f>
        <v>56488.9638079167</v>
      </c>
      <c r="I148" s="147" t="n">
        <f aca="false">I144+I145-I146</f>
        <v>56488.9638079167</v>
      </c>
      <c r="J148" s="147" t="n">
        <f aca="false">J144+J145-J146</f>
        <v>56950.024258688</v>
      </c>
      <c r="K148" s="147" t="n">
        <f aca="false">K144+K145-K146</f>
        <v>57411.086724219</v>
      </c>
      <c r="L148" s="147" t="n">
        <f aca="false">L144+L145-L146</f>
        <v>60847.9185643163</v>
      </c>
      <c r="M148" s="147" t="n">
        <f aca="false">M144+M145-M146</f>
        <v>59055.9616873385</v>
      </c>
      <c r="N148" s="147" t="n">
        <f aca="false">N144+N145-N146</f>
        <v>79256.8453542033</v>
      </c>
      <c r="O148" s="147" t="n">
        <f aca="false">O144+O145-O146</f>
        <v>77239.5563633962</v>
      </c>
      <c r="P148" s="147" t="n">
        <f aca="false">P144+P145-P146</f>
        <v>102795.944699526</v>
      </c>
      <c r="Q148" s="147" t="n">
        <f aca="false">Q144+Q145-Q146</f>
        <v>99031.1770060972</v>
      </c>
      <c r="R148" s="147" t="n">
        <f aca="false">SUM(F148:Q148)</f>
        <v>803649.799443771</v>
      </c>
    </row>
    <row r="149">
      <c r="A149" s="146" t="inlineStr">
        <is>
          <t xml:space="preserve">Capitalised labour - total</t>
        </is>
      </c>
      <c r="B149" s="147" t="n">
        <f aca="false">B147+B148</f>
        <v>0</v>
      </c>
      <c r="C149" s="147" t="n">
        <f aca="false">C147+C148</f>
        <v>0</v>
      </c>
      <c r="D149" s="147" t="n">
        <f aca="false">D147+D148</f>
        <v>0</v>
      </c>
      <c r="E149" s="147" t="n">
        <f aca="false">E147+E148</f>
        <v>0</v>
      </c>
      <c r="F149" s="147" t="n">
        <f aca="false">F147+F148</f>
        <v>140751.3648875</v>
      </c>
      <c r="G149" s="147" t="n">
        <f aca="false">G147+G148</f>
        <v>181250.14625</v>
      </c>
      <c r="H149" s="147" t="n">
        <f aca="false">H147+H148</f>
        <v>175250.14625</v>
      </c>
      <c r="I149" s="147" t="n">
        <f aca="false">I147+I148</f>
        <v>175250.14625</v>
      </c>
      <c r="J149" s="147" t="n">
        <f aca="false">J147+J148</f>
        <v>176684.914221</v>
      </c>
      <c r="K149" s="147" t="n">
        <f aca="false">K147+K148</f>
        <v>178119.682192</v>
      </c>
      <c r="L149" s="147" t="n">
        <f aca="false">L147+L148</f>
        <v>212416.766231</v>
      </c>
      <c r="M149" s="147" t="n">
        <f aca="false">M147+M148</f>
        <v>202828.27312025</v>
      </c>
      <c r="N149" s="147" t="n">
        <f aca="false">N147+N148</f>
        <v>240150.06826125</v>
      </c>
      <c r="O149" s="147" t="n">
        <f aca="false">O147+O148</f>
        <v>259621.2132975</v>
      </c>
      <c r="P149" s="147" t="n">
        <f aca="false">P147+P148</f>
        <v>318496.77843813</v>
      </c>
      <c r="Q149" s="147" t="n">
        <f aca="false">Q147+Q148</f>
        <v>332074.40162989</v>
      </c>
      <c r="R149" s="147" t="n">
        <f aca="false">SUM(F149:Q149)</f>
        <v>2592893.90102852</v>
      </c>
    </row>
    <row r="150">
      <c r="A150" s="0" t="inlineStr">
        <is>
          <t xml:space="preserve">SlipLifts built (DeploySum row 24)</t>
        </is>
      </c>
      <c r="B150" s="145" t="n">
        <f aca="false">DeploySum!B24</f>
        <v>9</v>
      </c>
      <c r="C150" s="145" t="n">
        <f aca="false">DeploySum!C24</f>
        <v>0</v>
      </c>
      <c r="D150" s="145" t="n">
        <f aca="false">DeploySum!D24</f>
        <v>20</v>
      </c>
      <c r="E150" s="145" t="n">
        <f aca="false">DeploySum!E24</f>
        <v>8</v>
      </c>
      <c r="F150" s="145" t="n">
        <f aca="false">DeploySum!F24</f>
        <v>0</v>
      </c>
      <c r="G150" s="145" t="n">
        <f aca="false">DeploySum!G24</f>
        <v>22</v>
      </c>
      <c r="H150" s="145" t="n">
        <f aca="false">DeploySum!H24</f>
        <v>14</v>
      </c>
      <c r="I150" s="145" t="n">
        <f aca="false">DeploySum!I24</f>
        <v>20</v>
      </c>
      <c r="J150" s="145" t="n">
        <f aca="false">DeploySum!J24</f>
        <v>18</v>
      </c>
      <c r="K150" s="145" t="n">
        <f aca="false">DeploySum!K24</f>
        <v>22</v>
      </c>
      <c r="L150" s="145" t="n">
        <f aca="false">DeploySum!L24</f>
        <v>28</v>
      </c>
      <c r="M150" s="145" t="n">
        <f aca="false">DeploySum!M24</f>
        <v>28</v>
      </c>
      <c r="N150" s="145" t="n">
        <f aca="false">DeploySum!N24</f>
        <v>34</v>
      </c>
      <c r="O150" s="145" t="n">
        <f aca="false">DeploySum!O24</f>
        <v>36</v>
      </c>
      <c r="P150" s="145" t="n">
        <f aca="false">DeploySum!P24</f>
        <v>42</v>
      </c>
      <c r="Q150" s="145" t="n">
        <f aca="false">DeploySum!Q24</f>
        <v>48</v>
      </c>
      <c r="R150" s="145" t="n">
        <f aca="false">SUM(F150:Q150)</f>
        <v>312</v>
      </c>
    </row>
    <row r="151">
      <c r="A151" s="0" t="inlineStr">
        <is>
          <t xml:space="preserve">SlipTrays built (DeploySum row 25)</t>
        </is>
      </c>
      <c r="B151" s="145" t="n">
        <f aca="false">DeploySum!B25</f>
        <v>32</v>
      </c>
      <c r="C151" s="145" t="n">
        <f aca="false">DeploySum!C25</f>
        <v>0</v>
      </c>
      <c r="D151" s="145" t="n">
        <f aca="false">DeploySum!D25</f>
        <v>60</v>
      </c>
      <c r="E151" s="145" t="n">
        <f aca="false">DeploySum!E25</f>
        <v>24</v>
      </c>
      <c r="F151" s="145" t="n">
        <f aca="false">DeploySum!F25</f>
        <v>0</v>
      </c>
      <c r="G151" s="145" t="n">
        <f aca="false">DeploySum!G25</f>
        <v>86</v>
      </c>
      <c r="H151" s="145" t="n">
        <f aca="false">DeploySum!H25</f>
        <v>61</v>
      </c>
      <c r="I151" s="145" t="n">
        <f aca="false">DeploySum!I25</f>
        <v>98</v>
      </c>
      <c r="J151" s="145" t="n">
        <f aca="false">DeploySum!J25</f>
        <v>73</v>
      </c>
      <c r="K151" s="145" t="n">
        <f aca="false">DeploySum!K25</f>
        <v>85</v>
      </c>
      <c r="L151" s="145" t="n">
        <f aca="false">DeploySum!L25</f>
        <v>122</v>
      </c>
      <c r="M151" s="145" t="n">
        <f aca="false">DeploySum!M25</f>
        <v>122</v>
      </c>
      <c r="N151" s="145" t="n">
        <f aca="false">DeploySum!N25</f>
        <v>159</v>
      </c>
      <c r="O151" s="145" t="n">
        <f aca="false">DeploySum!O25</f>
        <v>146</v>
      </c>
      <c r="P151" s="145" t="n">
        <f aca="false">DeploySum!P25</f>
        <v>183</v>
      </c>
      <c r="Q151" s="145" t="n">
        <f aca="false">DeploySum!Q25</f>
        <v>220</v>
      </c>
      <c r="R151" s="145" t="n">
        <f aca="false">SUM(F151:Q151)</f>
        <v>1355</v>
      </c>
    </row>
    <row r="152">
      <c r="A152" s="0" t="inlineStr">
        <is>
          <t xml:space="preserve">Lift labour pooled into the month's builds (a month with no lifts built rolls into the next build month)</t>
        </is>
      </c>
      <c r="B152" s="147" t="n">
        <f aca="false">IF(B150&gt;0,B147,0)</f>
        <v>0</v>
      </c>
      <c r="C152" s="147" t="n">
        <f aca="false">IF(C150&gt;0,C147+B153,0)</f>
        <v>0</v>
      </c>
      <c r="D152" s="147" t="n">
        <f aca="false">IF(D150&gt;0,D147+C153,0)</f>
        <v>0</v>
      </c>
      <c r="E152" s="147" t="n">
        <f aca="false">IF(E150&gt;0,E147+D153,0)</f>
        <v>0</v>
      </c>
      <c r="F152" s="147" t="n">
        <f aca="false">IF(F150&gt;0,F147+E153,0)</f>
        <v>0</v>
      </c>
      <c r="G152" s="147" t="n">
        <f aca="false">IF(G150&gt;0,G147+F153,0)</f>
        <v>223918.153967347</v>
      </c>
      <c r="H152" s="147" t="n">
        <f aca="false">IF(H150&gt;0,H147+G153,0)</f>
        <v>118761.182442083</v>
      </c>
      <c r="I152" s="147" t="n">
        <f aca="false">IF(I150&gt;0,I147+H153,0)</f>
        <v>118761.182442083</v>
      </c>
      <c r="J152" s="147" t="n">
        <f aca="false">IF(J150&gt;0,J147+I153,0)</f>
        <v>119734.889962312</v>
      </c>
      <c r="K152" s="147" t="n">
        <f aca="false">IF(K150&gt;0,K147+J153,0)</f>
        <v>120708.595467781</v>
      </c>
      <c r="L152" s="147" t="n">
        <f aca="false">IF(L150&gt;0,L147+K153,0)</f>
        <v>151568.847666684</v>
      </c>
      <c r="M152" s="147" t="n">
        <f aca="false">IF(M150&gt;0,M147+L153,0)</f>
        <v>143772.311432911</v>
      </c>
      <c r="N152" s="147" t="n">
        <f aca="false">IF(N150&gt;0,N147+M153,0)</f>
        <v>160893.222907047</v>
      </c>
      <c r="O152" s="147" t="n">
        <f aca="false">IF(O150&gt;0,O147+N153,0)</f>
        <v>182381.656934104</v>
      </c>
      <c r="P152" s="147" t="n">
        <f aca="false">IF(P150&gt;0,P147+O153,0)</f>
        <v>215700.833738604</v>
      </c>
      <c r="Q152" s="147" t="n">
        <f aca="false">IF(Q150&gt;0,Q147+P153,0)</f>
        <v>233043.224623793</v>
      </c>
      <c r="S152" s="0" t="inlineStr">
        <is>
          <t xml:space="preserve">Rows 152-161 run over all build months B:Q (Sep-26..Dec-27); totals in section 10</t>
        </is>
      </c>
    </row>
    <row r="153">
      <c r="A153" s="0" t="inlineStr">
        <is>
          <t xml:space="preserve">Lift labour waiting for the next lift build (B135 = 1 rolls a month with no lifts built forward; B135 = 0 expenses it, row 221)</t>
        </is>
      </c>
      <c r="B153" s="147" t="n">
        <f aca="false">IF(B150&gt;0,0,$B$135*(B147))</f>
        <v>0</v>
      </c>
      <c r="C153" s="147" t="n">
        <f aca="false">IF(C150&gt;0,0,$B$135*(C147+B153))</f>
        <v>0</v>
      </c>
      <c r="D153" s="147" t="n">
        <f aca="false">IF(D150&gt;0,0,$B$135*(D147+C153))</f>
        <v>0</v>
      </c>
      <c r="E153" s="147" t="n">
        <f aca="false">IF(E150&gt;0,0,$B$135*(E147+D153))</f>
        <v>0</v>
      </c>
      <c r="F153" s="147" t="n">
        <f aca="false">IF(F150&gt;0,0,$B$135*(F147+E153))</f>
        <v>102248.799160141</v>
      </c>
      <c r="G153" s="147" t="n">
        <f aca="false">IF(G150&gt;0,0,$B$135*(G147+F153))</f>
        <v>0</v>
      </c>
      <c r="H153" s="147" t="n">
        <f aca="false">IF(H150&gt;0,0,$B$135*(H147+G153))</f>
        <v>0</v>
      </c>
      <c r="I153" s="147" t="n">
        <f aca="false">IF(I150&gt;0,0,$B$135*(I147+H153))</f>
        <v>0</v>
      </c>
      <c r="J153" s="147" t="n">
        <f aca="false">IF(J150&gt;0,0,$B$135*(J147+I153))</f>
        <v>0</v>
      </c>
      <c r="K153" s="147" t="n">
        <f aca="false">IF(K150&gt;0,0,$B$135*(K147+J153))</f>
        <v>0</v>
      </c>
      <c r="L153" s="147" t="n">
        <f aca="false">IF(L150&gt;0,0,$B$135*(L147+K153))</f>
        <v>0</v>
      </c>
      <c r="M153" s="147" t="n">
        <f aca="false">IF(M150&gt;0,0,$B$135*(M147+L153))</f>
        <v>0</v>
      </c>
      <c r="N153" s="147" t="n">
        <f aca="false">IF(N150&gt;0,0,$B$135*(N147+M153))</f>
        <v>0</v>
      </c>
      <c r="O153" s="147" t="n">
        <f aca="false">IF(O150&gt;0,0,$B$135*(O147+N153))</f>
        <v>0</v>
      </c>
      <c r="P153" s="147" t="n">
        <f aca="false">IF(P150&gt;0,0,$B$135*(P147+O153))</f>
        <v>0</v>
      </c>
      <c r="Q153" s="147" t="n">
        <f aca="false">IF(Q150&gt;0,0,$B$135*(Q147+P153))</f>
        <v>0</v>
      </c>
    </row>
    <row r="154">
      <c r="A154" s="0" t="inlineStr">
        <is>
          <t xml:space="preserve">Tray labour pooled into the month's builds (a month with no trays built rolls into the next build month)</t>
        </is>
      </c>
      <c r="B154" s="147" t="n">
        <f aca="false">IF(B151&gt;0,B148,0)</f>
        <v>0</v>
      </c>
      <c r="C154" s="147" t="n">
        <f aca="false">IF(C151&gt;0,C148+B155,0)</f>
        <v>0</v>
      </c>
      <c r="D154" s="147" t="n">
        <f aca="false">IF(D151&gt;0,D148+C155,0)</f>
        <v>0</v>
      </c>
      <c r="E154" s="147" t="n">
        <f aca="false">IF(E151&gt;0,E148+D155,0)</f>
        <v>0</v>
      </c>
      <c r="F154" s="147" t="n">
        <f aca="false">IF(F151&gt;0,F148+E155,0)</f>
        <v>0</v>
      </c>
      <c r="G154" s="147" t="n">
        <f aca="false">IF(G151&gt;0,G148+F155,0)</f>
        <v>98083.3571701529</v>
      </c>
      <c r="H154" s="147" t="n">
        <f aca="false">IF(H151&gt;0,H148+G155,0)</f>
        <v>56488.9638079167</v>
      </c>
      <c r="I154" s="147" t="n">
        <f aca="false">IF(I151&gt;0,I148+H155,0)</f>
        <v>56488.9638079167</v>
      </c>
      <c r="J154" s="147" t="n">
        <f aca="false">IF(J151&gt;0,J148+I155,0)</f>
        <v>56950.024258688</v>
      </c>
      <c r="K154" s="147" t="n">
        <f aca="false">IF(K151&gt;0,K148+J155,0)</f>
        <v>57411.086724219</v>
      </c>
      <c r="L154" s="147" t="n">
        <f aca="false">IF(L151&gt;0,L148+K155,0)</f>
        <v>60847.9185643163</v>
      </c>
      <c r="M154" s="147" t="n">
        <f aca="false">IF(M151&gt;0,M148+L155,0)</f>
        <v>59055.9616873385</v>
      </c>
      <c r="N154" s="147" t="n">
        <f aca="false">IF(N151&gt;0,N148+M155,0)</f>
        <v>79256.8453542033</v>
      </c>
      <c r="O154" s="147" t="n">
        <f aca="false">IF(O151&gt;0,O148+N155,0)</f>
        <v>77239.5563633962</v>
      </c>
      <c r="P154" s="147" t="n">
        <f aca="false">IF(P151&gt;0,P148+O155,0)</f>
        <v>102795.944699526</v>
      </c>
      <c r="Q154" s="147" t="n">
        <f aca="false">IF(Q151&gt;0,Q148+P155,0)</f>
        <v>99031.1770060972</v>
      </c>
    </row>
    <row r="155">
      <c r="A155" s="0" t="inlineStr">
        <is>
          <t xml:space="preserve">Tray labour waiting for the next tray build (B135 = 1 rolls a month with no trays built forward; B135 = 0 expenses it, row 222)</t>
        </is>
      </c>
      <c r="B155" s="147" t="n">
        <f aca="false">IF(B151&gt;0,0,$B$135*(B148))</f>
        <v>0</v>
      </c>
      <c r="C155" s="147" t="n">
        <f aca="false">IF(C151&gt;0,0,$B$135*(C148+B155))</f>
        <v>0</v>
      </c>
      <c r="D155" s="147" t="n">
        <f aca="false">IF(D151&gt;0,0,$B$135*(D148+C155))</f>
        <v>0</v>
      </c>
      <c r="E155" s="147" t="n">
        <f aca="false">IF(E151&gt;0,0,$B$135*(E148+D155))</f>
        <v>0</v>
      </c>
      <c r="F155" s="147" t="n">
        <f aca="false">IF(F151&gt;0,0,$B$135*(F148+E155))</f>
        <v>38502.5657273586</v>
      </c>
      <c r="G155" s="147" t="n">
        <f aca="false">IF(G151&gt;0,0,$B$135*(G148+F155))</f>
        <v>0</v>
      </c>
      <c r="H155" s="147" t="n">
        <f aca="false">IF(H151&gt;0,0,$B$135*(H148+G155))</f>
        <v>0</v>
      </c>
      <c r="I155" s="147" t="n">
        <f aca="false">IF(I151&gt;0,0,$B$135*(I148+H155))</f>
        <v>0</v>
      </c>
      <c r="J155" s="147" t="n">
        <f aca="false">IF(J151&gt;0,0,$B$135*(J148+I155))</f>
        <v>0</v>
      </c>
      <c r="K155" s="147" t="n">
        <f aca="false">IF(K151&gt;0,0,$B$135*(K148+J155))</f>
        <v>0</v>
      </c>
      <c r="L155" s="147" t="n">
        <f aca="false">IF(L151&gt;0,0,$B$135*(L148+K155))</f>
        <v>0</v>
      </c>
      <c r="M155" s="147" t="n">
        <f aca="false">IF(M151&gt;0,0,$B$135*(M148+L155))</f>
        <v>0</v>
      </c>
      <c r="N155" s="147" t="n">
        <f aca="false">IF(N151&gt;0,0,$B$135*(N148+M155))</f>
        <v>0</v>
      </c>
      <c r="O155" s="147" t="n">
        <f aca="false">IF(O151&gt;0,0,$B$135*(O148+N155))</f>
        <v>0</v>
      </c>
      <c r="P155" s="147" t="n">
        <f aca="false">IF(P151&gt;0,0,$B$135*(P148+O155))</f>
        <v>0</v>
      </c>
      <c r="Q155" s="147" t="n">
        <f aca="false">IF(Q151&gt;0,0,$B$135*(Q148+P155))</f>
        <v>0</v>
      </c>
    </row>
    <row r="156">
      <c r="A156" s="146" t="inlineStr">
        <is>
          <t xml:space="preserve">Labour per SlipLift built ($ per unit)</t>
        </is>
      </c>
      <c r="B156" s="147" t="n">
        <f aca="false">IF(B150&gt;0,B152/B150,0)</f>
        <v>0</v>
      </c>
      <c r="C156" s="147" t="n">
        <f aca="false">IF(C150&gt;0,C152/C150,0)</f>
        <v>0</v>
      </c>
      <c r="D156" s="147" t="n">
        <f aca="false">IF(D150&gt;0,D152/D150,0)</f>
        <v>0</v>
      </c>
      <c r="E156" s="147" t="n">
        <f aca="false">IF(E150&gt;0,E152/E150,0)</f>
        <v>0</v>
      </c>
      <c r="F156" s="147" t="n">
        <f aca="false">IF(F150&gt;0,F152/F150,0)</f>
        <v>0</v>
      </c>
      <c r="G156" s="147" t="n">
        <f aca="false">IF(G150&gt;0,G152/G150,0)</f>
        <v>10178.0979076067</v>
      </c>
      <c r="H156" s="147" t="n">
        <f aca="false">IF(H150&gt;0,H152/H150,0)</f>
        <v>8482.94160300595</v>
      </c>
      <c r="I156" s="147" t="n">
        <f aca="false">IF(I150&gt;0,I152/I150,0)</f>
        <v>5938.05912210417</v>
      </c>
      <c r="J156" s="147" t="n">
        <f aca="false">IF(J150&gt;0,J152/J150,0)</f>
        <v>6651.93833123956</v>
      </c>
      <c r="K156" s="147" t="n">
        <f aca="false">IF(K150&gt;0,K152/K150,0)</f>
        <v>5486.75433944459</v>
      </c>
      <c r="L156" s="147" t="n">
        <f aca="false">IF(L150&gt;0,L152/L150,0)</f>
        <v>5413.17313095299</v>
      </c>
      <c r="M156" s="147" t="n">
        <f aca="false">IF(M150&gt;0,M152/M150,0)</f>
        <v>5134.72540831827</v>
      </c>
      <c r="N156" s="147" t="n">
        <f aca="false">IF(N150&gt;0,N152/N150,0)</f>
        <v>4732.15361491314</v>
      </c>
      <c r="O156" s="147" t="n">
        <f aca="false">IF(O150&gt;0,O152/O150,0)</f>
        <v>5066.15713705844</v>
      </c>
      <c r="P156" s="147" t="n">
        <f aca="false">IF(P150&gt;0,P152/P150,0)</f>
        <v>5135.73413663342</v>
      </c>
      <c r="Q156" s="147" t="n">
        <f aca="false">IF(Q150&gt;0,Q152/Q150,0)</f>
        <v>4855.06717966235</v>
      </c>
    </row>
    <row r="157">
      <c r="A157" s="146" t="inlineStr">
        <is>
          <t xml:space="preserve">Labour per SlipTray built ($ per unit)</t>
        </is>
      </c>
      <c r="B157" s="147" t="n">
        <f aca="false">IF(B151&gt;0,B154/B151,0)</f>
        <v>0</v>
      </c>
      <c r="C157" s="147" t="n">
        <f aca="false">IF(C151&gt;0,C154/C151,0)</f>
        <v>0</v>
      </c>
      <c r="D157" s="147" t="n">
        <f aca="false">IF(D151&gt;0,D154/D151,0)</f>
        <v>0</v>
      </c>
      <c r="E157" s="147" t="n">
        <f aca="false">IF(E151&gt;0,E154/E151,0)</f>
        <v>0</v>
      </c>
      <c r="F157" s="147" t="n">
        <f aca="false">IF(F151&gt;0,F154/F151,0)</f>
        <v>0</v>
      </c>
      <c r="G157" s="147" t="n">
        <f aca="false">IF(G151&gt;0,G154/G151,0)</f>
        <v>1140.50415314131</v>
      </c>
      <c r="H157" s="147" t="n">
        <f aca="false">IF(H151&gt;0,H154/H151,0)</f>
        <v>926.048587015027</v>
      </c>
      <c r="I157" s="147" t="n">
        <f aca="false">IF(I151&gt;0,I154/I151,0)</f>
        <v>576.417998039966</v>
      </c>
      <c r="J157" s="147" t="n">
        <f aca="false">IF(J151&gt;0,J154/J151,0)</f>
        <v>780.137318612164</v>
      </c>
      <c r="K157" s="147" t="n">
        <f aca="false">IF(K151&gt;0,K154/K151,0)</f>
        <v>675.424549696695</v>
      </c>
      <c r="L157" s="147" t="n">
        <f aca="false">IF(L151&gt;0,L154/L151,0)</f>
        <v>498.753430855052</v>
      </c>
      <c r="M157" s="147" t="n">
        <f aca="false">IF(M151&gt;0,M154/M151,0)</f>
        <v>484.065259732283</v>
      </c>
      <c r="N157" s="147" t="n">
        <f aca="false">IF(N151&gt;0,N154/N151,0)</f>
        <v>498.470725498134</v>
      </c>
      <c r="O157" s="147" t="n">
        <f aca="false">IF(O151&gt;0,O154/O151,0)</f>
        <v>529.038057283536</v>
      </c>
      <c r="P157" s="147" t="n">
        <f aca="false">IF(P151&gt;0,P154/P151,0)</f>
        <v>561.726473767903</v>
      </c>
      <c r="Q157" s="147" t="n">
        <f aca="false">IF(Q151&gt;0,Q154/Q151,0)</f>
        <v>450.141713664078</v>
      </c>
    </row>
    <row r="158">
      <c r="A158" s="0" t="inlineStr">
        <is>
          <t xml:space="preserve">Go-live month of these builds (build month + B133)</t>
        </is>
      </c>
      <c r="B158" s="144" t="n">
        <f aca="false">EOMONTH(B136,$B$133)</f>
        <v>46356</v>
      </c>
      <c r="C158" s="144" t="n">
        <f aca="false">EOMONTH(C136,$B$133)</f>
        <v>46387</v>
      </c>
      <c r="D158" s="144" t="n">
        <f aca="false">EOMONTH(D136,$B$133)</f>
        <v>46418</v>
      </c>
      <c r="E158" s="144" t="n">
        <f aca="false">EOMONTH(E136,$B$133)</f>
        <v>46446</v>
      </c>
      <c r="F158" s="144" t="n">
        <f aca="false">EOMONTH(F136,$B$133)</f>
        <v>46477</v>
      </c>
      <c r="G158" s="144" t="n">
        <f aca="false">EOMONTH(G136,$B$133)</f>
        <v>46507</v>
      </c>
      <c r="H158" s="144" t="n">
        <f aca="false">EOMONTH(H136,$B$133)</f>
        <v>46538</v>
      </c>
      <c r="I158" s="144" t="n">
        <f aca="false">EOMONTH(I136,$B$133)</f>
        <v>46568</v>
      </c>
      <c r="J158" s="144" t="n">
        <f aca="false">EOMONTH(J136,$B$133)</f>
        <v>46599</v>
      </c>
      <c r="K158" s="144" t="n">
        <f aca="false">EOMONTH(K136,$B$133)</f>
        <v>46630</v>
      </c>
      <c r="L158" s="144" t="n">
        <f aca="false">EOMONTH(L136,$B$133)</f>
        <v>46660</v>
      </c>
      <c r="M158" s="144" t="n">
        <f aca="false">EOMONTH(M136,$B$133)</f>
        <v>46691</v>
      </c>
      <c r="N158" s="144" t="n">
        <f aca="false">EOMONTH(N136,$B$133)</f>
        <v>46721</v>
      </c>
      <c r="O158" s="144" t="n">
        <f aca="false">EOMONTH(O136,$B$133)</f>
        <v>46752</v>
      </c>
      <c r="P158" s="144" t="n">
        <f aca="false">EOMONTH(P136,$B$133)</f>
        <v>46783</v>
      </c>
      <c r="Q158" s="144" t="n">
        <f aca="false">EOMONTH(Q136,$B$133)</f>
        <v>46812</v>
      </c>
    </row>
    <row r="159">
      <c r="A159" s="0" t="inlineStr">
        <is>
          <t xml:space="preserve">Labour in builds that go live in 2027 (Jan-Dec 27 vintages, depreciated from go-live)</t>
        </is>
      </c>
      <c r="B159" s="147" t="n">
        <f aca="false">IF(YEAR(B158)=2027,B152+B154,0)</f>
        <v>0</v>
      </c>
      <c r="C159" s="147" t="n">
        <f aca="false">IF(YEAR(C158)=2027,C152+C154,0)</f>
        <v>0</v>
      </c>
      <c r="D159" s="147" t="n">
        <f aca="false">IF(YEAR(D158)=2027,D152+D154,0)</f>
        <v>0</v>
      </c>
      <c r="E159" s="147" t="n">
        <f aca="false">IF(YEAR(E158)=2027,E152+E154,0)</f>
        <v>0</v>
      </c>
      <c r="F159" s="147" t="n">
        <f aca="false">IF(YEAR(F158)=2027,F152+F154,0)</f>
        <v>0</v>
      </c>
      <c r="G159" s="147" t="n">
        <f aca="false">IF(YEAR(G158)=2027,G152+G154,0)</f>
        <v>322001.5111375</v>
      </c>
      <c r="H159" s="147" t="n">
        <f aca="false">IF(YEAR(H158)=2027,H152+H154,0)</f>
        <v>175250.14625</v>
      </c>
      <c r="I159" s="147" t="n">
        <f aca="false">IF(YEAR(I158)=2027,I152+I154,0)</f>
        <v>175250.14625</v>
      </c>
      <c r="J159" s="147" t="n">
        <f aca="false">IF(YEAR(J158)=2027,J152+J154,0)</f>
        <v>176684.914221</v>
      </c>
      <c r="K159" s="147" t="n">
        <f aca="false">IF(YEAR(K158)=2027,K152+K154,0)</f>
        <v>178119.682192</v>
      </c>
      <c r="L159" s="147" t="n">
        <f aca="false">IF(YEAR(L158)=2027,L152+L154,0)</f>
        <v>212416.766231</v>
      </c>
      <c r="M159" s="147" t="n">
        <f aca="false">IF(YEAR(M158)=2027,M152+M154,0)</f>
        <v>202828.27312025</v>
      </c>
      <c r="N159" s="147" t="n">
        <f aca="false">IF(YEAR(N158)=2027,N152+N154,0)</f>
        <v>240150.06826125</v>
      </c>
      <c r="O159" s="147" t="n">
        <f aca="false">IF(YEAR(O158)=2027,O152+O154,0)</f>
        <v>259621.2132975</v>
      </c>
      <c r="P159" s="147" t="n">
        <f aca="false">IF(YEAR(P158)=2027,P152+P154,0)</f>
        <v>0</v>
      </c>
      <c r="Q159" s="147" t="n">
        <f aca="false">IF(YEAR(Q158)=2027,Q152+Q154,0)</f>
        <v>0</v>
      </c>
    </row>
    <row r="160">
      <c r="A160" s="0" t="inlineStr">
        <is>
          <t xml:space="preserve">Labour in builds that go live in 2028: PP&amp;E not yet placed in service (CIP) at Dec-27, no 2027 depreciation</t>
        </is>
      </c>
      <c r="B160" s="147" t="n">
        <f aca="false">IF(YEAR(B158)&gt;2027,B152+B154,0)</f>
        <v>0</v>
      </c>
      <c r="C160" s="147" t="n">
        <f aca="false">IF(YEAR(C158)&gt;2027,C152+C154,0)</f>
        <v>0</v>
      </c>
      <c r="D160" s="147" t="n">
        <f aca="false">IF(YEAR(D158)&gt;2027,D152+D154,0)</f>
        <v>0</v>
      </c>
      <c r="E160" s="147" t="n">
        <f aca="false">IF(YEAR(E158)&gt;2027,E152+E154,0)</f>
        <v>0</v>
      </c>
      <c r="F160" s="147" t="n">
        <f aca="false">IF(YEAR(F158)&gt;2027,F152+F154,0)</f>
        <v>0</v>
      </c>
      <c r="G160" s="147" t="n">
        <f aca="false">IF(YEAR(G158)&gt;2027,G152+G154,0)</f>
        <v>0</v>
      </c>
      <c r="H160" s="147" t="n">
        <f aca="false">IF(YEAR(H158)&gt;2027,H152+H154,0)</f>
        <v>0</v>
      </c>
      <c r="I160" s="147" t="n">
        <f aca="false">IF(YEAR(I158)&gt;2027,I152+I154,0)</f>
        <v>0</v>
      </c>
      <c r="J160" s="147" t="n">
        <f aca="false">IF(YEAR(J158)&gt;2027,J152+J154,0)</f>
        <v>0</v>
      </c>
      <c r="K160" s="147" t="n">
        <f aca="false">IF(YEAR(K158)&gt;2027,K152+K154,0)</f>
        <v>0</v>
      </c>
      <c r="L160" s="147" t="n">
        <f aca="false">IF(YEAR(L158)&gt;2027,L152+L154,0)</f>
        <v>0</v>
      </c>
      <c r="M160" s="147" t="n">
        <f aca="false">IF(YEAR(M158)&gt;2027,M152+M154,0)</f>
        <v>0</v>
      </c>
      <c r="N160" s="147" t="n">
        <f aca="false">IF(YEAR(N158)&gt;2027,N152+N154,0)</f>
        <v>0</v>
      </c>
      <c r="O160" s="147" t="n">
        <f aca="false">IF(YEAR(O158)&gt;2027,O152+O154,0)</f>
        <v>0</v>
      </c>
      <c r="P160" s="147" t="n">
        <f aca="false">IF(YEAR(P158)&gt;2027,P152+P154,0)</f>
        <v>318496.77843813</v>
      </c>
      <c r="Q160" s="147" t="n">
        <f aca="false">IF(YEAR(Q158)&gt;2027,Q152+Q154,0)</f>
        <v>332074.40162989</v>
      </c>
    </row>
    <row r="161">
      <c r="A161" s="0" t="inlineStr">
        <is>
          <t xml:space="preserve">Labour in builds that go live in 2026 (Sep-26 builds, Nov-26 go-lives): 0 when B132 = 0 (2026 labour is a 2026 period cost; the 2026 books expense 5100); with B132 = 1 depreciated in 2027 (rows 231-232)</t>
        </is>
      </c>
      <c r="B161" s="147" t="n">
        <f aca="false">IF(YEAR(B158)&lt;2027,B152+B154,0)</f>
        <v>0</v>
      </c>
      <c r="C161" s="147" t="n">
        <f aca="false">IF(YEAR(C158)&lt;2027,C152+C154,0)</f>
        <v>0</v>
      </c>
      <c r="D161" s="147" t="n">
        <f aca="false">IF(YEAR(D158)&lt;2027,D152+D154,0)</f>
        <v>0</v>
      </c>
      <c r="E161" s="147" t="n">
        <f aca="false">IF(YEAR(E158)&lt;2027,E152+E154,0)</f>
        <v>0</v>
      </c>
      <c r="F161" s="147" t="n">
        <f aca="false">IF(YEAR(F158)&lt;2027,F152+F154,0)</f>
        <v>0</v>
      </c>
      <c r="G161" s="147" t="n">
        <f aca="false">IF(YEAR(G158)&lt;2027,G152+G154,0)</f>
        <v>0</v>
      </c>
      <c r="H161" s="147" t="n">
        <f aca="false">IF(YEAR(H158)&lt;2027,H152+H154,0)</f>
        <v>0</v>
      </c>
      <c r="I161" s="147" t="n">
        <f aca="false">IF(YEAR(I158)&lt;2027,I152+I154,0)</f>
        <v>0</v>
      </c>
      <c r="J161" s="147" t="n">
        <f aca="false">IF(YEAR(J158)&lt;2027,J152+J154,0)</f>
        <v>0</v>
      </c>
      <c r="K161" s="147" t="n">
        <f aca="false">IF(YEAR(K158)&lt;2027,K152+K154,0)</f>
        <v>0</v>
      </c>
      <c r="L161" s="147" t="n">
        <f aca="false">IF(YEAR(L158)&lt;2027,L152+L154,0)</f>
        <v>0</v>
      </c>
      <c r="M161" s="147" t="n">
        <f aca="false">IF(YEAR(M158)&lt;2027,M152+M154,0)</f>
        <v>0</v>
      </c>
      <c r="N161" s="147" t="n">
        <f aca="false">IF(YEAR(N158)&lt;2027,N152+N154,0)</f>
        <v>0</v>
      </c>
      <c r="O161" s="147" t="n">
        <f aca="false">IF(YEAR(O158)&lt;2027,O152+O154,0)</f>
        <v>0</v>
      </c>
      <c r="P161" s="147" t="n">
        <f aca="false">IF(YEAR(P158)&lt;2027,P152+P154,0)</f>
        <v>0</v>
      </c>
      <c r="Q161" s="147" t="n">
        <f aca="false">IF(YEAR(Q158)&lt;2027,Q152+Q154,0)</f>
        <v>0</v>
      </c>
    </row>
    <row r="163">
      <c r="A163" s="3" t="inlineStr">
        <is>
          <t xml:space="preserve">Capitalised labour by go-live vintage</t>
        </is>
      </c>
      <c r="B163" s="3" t="inlineStr">
        <is>
          <t xml:space="preserve">GL</t>
        </is>
      </c>
      <c r="C163" s="3" t="inlineStr">
        <is>
          <t xml:space="preserve">Go-live month #</t>
        </is>
      </c>
      <c r="D163" s="3" t="inlineStr">
        <is>
          <t xml:space="preserve">Labour in vintage ($)</t>
        </is>
      </c>
      <c r="E163" s="3" t="inlineStr">
        <is>
          <t xml:space="preserve">$/month per row</t>
        </is>
      </c>
      <c r="F163" s="144" t="n">
        <f aca="false">F$27</f>
        <v>46418</v>
      </c>
      <c r="G163" s="144" t="n">
        <f aca="false">G$27</f>
        <v>46446</v>
      </c>
      <c r="H163" s="144" t="n">
        <f aca="false">H$27</f>
        <v>46477</v>
      </c>
      <c r="I163" s="144" t="n">
        <f aca="false">I$27</f>
        <v>46507</v>
      </c>
      <c r="J163" s="144" t="n">
        <f aca="false">J$27</f>
        <v>46538</v>
      </c>
      <c r="K163" s="144" t="n">
        <f aca="false">K$27</f>
        <v>46568</v>
      </c>
      <c r="L163" s="144" t="n">
        <f aca="false">L$27</f>
        <v>46599</v>
      </c>
      <c r="M163" s="144" t="n">
        <f aca="false">M$27</f>
        <v>46630</v>
      </c>
      <c r="N163" s="144" t="n">
        <f aca="false">N$27</f>
        <v>46660</v>
      </c>
      <c r="O163" s="144" t="n">
        <f aca="false">O$27</f>
        <v>46691</v>
      </c>
      <c r="P163" s="144" t="n">
        <f aca="false">P$27</f>
        <v>46721</v>
      </c>
      <c r="Q163" s="144" t="n">
        <f aca="false">Q$27</f>
        <v>46752</v>
      </c>
      <c r="R163" s="3" t="inlineStr">
        <is>
          <t xml:space="preserve">FY2027</t>
        </is>
      </c>
      <c r="S163" s="3" t="inlineStr">
        <is>
          <t xml:space="preserve">Source / formula</t>
        </is>
      </c>
    </row>
    <row r="164">
      <c r="A164" s="146" t="inlineStr">
        <is>
          <t xml:space="preserve">New SlipLifts (2027 go-lives): capitalised labour, one row per go-live month</t>
        </is>
      </c>
    </row>
    <row r="165">
      <c r="A165" s="0" t="inlineStr">
        <is>
          <t xml:space="preserve">Labour - SlipLift go-live Jan-27</t>
        </is>
      </c>
      <c r="B165" s="148" t="n">
        <f aca="false">$B$14</f>
        <v>5011</v>
      </c>
      <c r="C165" s="0" t="n">
        <v>1</v>
      </c>
      <c r="D165" s="147" t="n">
        <f aca="false">INDEX($B$156:$Q$156,4+$C165-$B$133)*INDEX($F$29:$Q$29,$C165)</f>
        <v>0</v>
      </c>
      <c r="E165" s="147" t="n">
        <f aca="false">D165*(1-$B$12)/$B$9</f>
        <v>0</v>
      </c>
      <c r="F165" s="147" t="n">
        <f aca="false">IF(AND(F$28&gt;=$C165+$B$13,F$28&lt;$C165+$B$13+$B$9),$E165,0)</f>
        <v>0</v>
      </c>
      <c r="G165" s="147" t="n">
        <f aca="false">IF(AND(G$28&gt;=$C165+$B$13,G$28&lt;$C165+$B$13+$B$9),$E165,0)</f>
        <v>0</v>
      </c>
      <c r="H165" s="147" t="n">
        <f aca="false">IF(AND(H$28&gt;=$C165+$B$13,H$28&lt;$C165+$B$13+$B$9),$E165,0)</f>
        <v>0</v>
      </c>
      <c r="I165" s="147" t="n">
        <f aca="false">IF(AND(I$28&gt;=$C165+$B$13,I$28&lt;$C165+$B$13+$B$9),$E165,0)</f>
        <v>0</v>
      </c>
      <c r="J165" s="147" t="n">
        <f aca="false">IF(AND(J$28&gt;=$C165+$B$13,J$28&lt;$C165+$B$13+$B$9),$E165,0)</f>
        <v>0</v>
      </c>
      <c r="K165" s="147" t="n">
        <f aca="false">IF(AND(K$28&gt;=$C165+$B$13,K$28&lt;$C165+$B$13+$B$9),$E165,0)</f>
        <v>0</v>
      </c>
      <c r="L165" s="147" t="n">
        <f aca="false">IF(AND(L$28&gt;=$C165+$B$13,L$28&lt;$C165+$B$13+$B$9),$E165,0)</f>
        <v>0</v>
      </c>
      <c r="M165" s="147" t="n">
        <f aca="false">IF(AND(M$28&gt;=$C165+$B$13,M$28&lt;$C165+$B$13+$B$9),$E165,0)</f>
        <v>0</v>
      </c>
      <c r="N165" s="147" t="n">
        <f aca="false">IF(AND(N$28&gt;=$C165+$B$13,N$28&lt;$C165+$B$13+$B$9),$E165,0)</f>
        <v>0</v>
      </c>
      <c r="O165" s="147" t="n">
        <f aca="false">IF(AND(O$28&gt;=$C165+$B$13,O$28&lt;$C165+$B$13+$B$9),$E165,0)</f>
        <v>0</v>
      </c>
      <c r="P165" s="147" t="n">
        <f aca="false">IF(AND(P$28&gt;=$C165+$B$13,P$28&lt;$C165+$B$13+$B$9),$E165,0)</f>
        <v>0</v>
      </c>
      <c r="Q165" s="147" t="n">
        <f aca="false">IF(AND(Q$28&gt;=$C165+$B$13,Q$28&lt;$C165+$B$13+$B$9),$E165,0)</f>
        <v>0</v>
      </c>
      <c r="R165" s="147" t="n">
        <f aca="false">SUM(F165:Q165)</f>
        <v>0</v>
      </c>
      <c r="S165" s="0" t="inlineStr">
        <is>
          <t xml:space="preserve">D = labour per unit built (row 156, build month = go-live - B133) x units going live (row 29); E = D x (1 - salvage) / life; on from go-live month + start delay (same rule as rows 38-62)</t>
        </is>
      </c>
    </row>
    <row r="166">
      <c r="A166" s="0" t="inlineStr">
        <is>
          <t xml:space="preserve">Labour - SlipLift go-live Feb-27</t>
        </is>
      </c>
      <c r="B166" s="148" t="n">
        <f aca="false">$B$14</f>
        <v>5011</v>
      </c>
      <c r="C166" s="0" t="n">
        <v>2</v>
      </c>
      <c r="D166" s="147" t="n">
        <f aca="false">INDEX($B$156:$Q$156,4+$C166-$B$133)*INDEX($F$29:$Q$29,$C166)</f>
        <v>0</v>
      </c>
      <c r="E166" s="147" t="n">
        <f aca="false">D166*(1-$B$12)/$B$9</f>
        <v>0</v>
      </c>
      <c r="F166" s="147" t="n">
        <f aca="false">IF(AND(F$28&gt;=$C166+$B$13,F$28&lt;$C166+$B$13+$B$9),$E166,0)</f>
        <v>0</v>
      </c>
      <c r="G166" s="147" t="n">
        <f aca="false">IF(AND(G$28&gt;=$C166+$B$13,G$28&lt;$C166+$B$13+$B$9),$E166,0)</f>
        <v>0</v>
      </c>
      <c r="H166" s="147" t="n">
        <f aca="false">IF(AND(H$28&gt;=$C166+$B$13,H$28&lt;$C166+$B$13+$B$9),$E166,0)</f>
        <v>0</v>
      </c>
      <c r="I166" s="147" t="n">
        <f aca="false">IF(AND(I$28&gt;=$C166+$B$13,I$28&lt;$C166+$B$13+$B$9),$E166,0)</f>
        <v>0</v>
      </c>
      <c r="J166" s="147" t="n">
        <f aca="false">IF(AND(J$28&gt;=$C166+$B$13,J$28&lt;$C166+$B$13+$B$9),$E166,0)</f>
        <v>0</v>
      </c>
      <c r="K166" s="147" t="n">
        <f aca="false">IF(AND(K$28&gt;=$C166+$B$13,K$28&lt;$C166+$B$13+$B$9),$E166,0)</f>
        <v>0</v>
      </c>
      <c r="L166" s="147" t="n">
        <f aca="false">IF(AND(L$28&gt;=$C166+$B$13,L$28&lt;$C166+$B$13+$B$9),$E166,0)</f>
        <v>0</v>
      </c>
      <c r="M166" s="147" t="n">
        <f aca="false">IF(AND(M$28&gt;=$C166+$B$13,M$28&lt;$C166+$B$13+$B$9),$E166,0)</f>
        <v>0</v>
      </c>
      <c r="N166" s="147" t="n">
        <f aca="false">IF(AND(N$28&gt;=$C166+$B$13,N$28&lt;$C166+$B$13+$B$9),$E166,0)</f>
        <v>0</v>
      </c>
      <c r="O166" s="147" t="n">
        <f aca="false">IF(AND(O$28&gt;=$C166+$B$13,O$28&lt;$C166+$B$13+$B$9),$E166,0)</f>
        <v>0</v>
      </c>
      <c r="P166" s="147" t="n">
        <f aca="false">IF(AND(P$28&gt;=$C166+$B$13,P$28&lt;$C166+$B$13+$B$9),$E166,0)</f>
        <v>0</v>
      </c>
      <c r="Q166" s="147" t="n">
        <f aca="false">IF(AND(Q$28&gt;=$C166+$B$13,Q$28&lt;$C166+$B$13+$B$9),$E166,0)</f>
        <v>0</v>
      </c>
      <c r="R166" s="147" t="n">
        <f aca="false">SUM(F166:Q166)</f>
        <v>0</v>
      </c>
    </row>
    <row r="167">
      <c r="A167" s="0" t="inlineStr">
        <is>
          <t xml:space="preserve">Labour - SlipLift go-live Mar-27</t>
        </is>
      </c>
      <c r="B167" s="148" t="n">
        <f aca="false">$B$14</f>
        <v>5011</v>
      </c>
      <c r="C167" s="0" t="n">
        <v>3</v>
      </c>
      <c r="D167" s="147" t="n">
        <f aca="false">INDEX($B$156:$Q$156,4+$C167-$B$133)*INDEX($F$29:$Q$29,$C167)</f>
        <v>0</v>
      </c>
      <c r="E167" s="147" t="n">
        <f aca="false">D167*(1-$B$12)/$B$9</f>
        <v>0</v>
      </c>
      <c r="F167" s="147" t="n">
        <f aca="false">IF(AND(F$28&gt;=$C167+$B$13,F$28&lt;$C167+$B$13+$B$9),$E167,0)</f>
        <v>0</v>
      </c>
      <c r="G167" s="147" t="n">
        <f aca="false">IF(AND(G$28&gt;=$C167+$B$13,G$28&lt;$C167+$B$13+$B$9),$E167,0)</f>
        <v>0</v>
      </c>
      <c r="H167" s="147" t="n">
        <f aca="false">IF(AND(H$28&gt;=$C167+$B$13,H$28&lt;$C167+$B$13+$B$9),$E167,0)</f>
        <v>0</v>
      </c>
      <c r="I167" s="147" t="n">
        <f aca="false">IF(AND(I$28&gt;=$C167+$B$13,I$28&lt;$C167+$B$13+$B$9),$E167,0)</f>
        <v>0</v>
      </c>
      <c r="J167" s="147" t="n">
        <f aca="false">IF(AND(J$28&gt;=$C167+$B$13,J$28&lt;$C167+$B$13+$B$9),$E167,0)</f>
        <v>0</v>
      </c>
      <c r="K167" s="147" t="n">
        <f aca="false">IF(AND(K$28&gt;=$C167+$B$13,K$28&lt;$C167+$B$13+$B$9),$E167,0)</f>
        <v>0</v>
      </c>
      <c r="L167" s="147" t="n">
        <f aca="false">IF(AND(L$28&gt;=$C167+$B$13,L$28&lt;$C167+$B$13+$B$9),$E167,0)</f>
        <v>0</v>
      </c>
      <c r="M167" s="147" t="n">
        <f aca="false">IF(AND(M$28&gt;=$C167+$B$13,M$28&lt;$C167+$B$13+$B$9),$E167,0)</f>
        <v>0</v>
      </c>
      <c r="N167" s="147" t="n">
        <f aca="false">IF(AND(N$28&gt;=$C167+$B$13,N$28&lt;$C167+$B$13+$B$9),$E167,0)</f>
        <v>0</v>
      </c>
      <c r="O167" s="147" t="n">
        <f aca="false">IF(AND(O$28&gt;=$C167+$B$13,O$28&lt;$C167+$B$13+$B$9),$E167,0)</f>
        <v>0</v>
      </c>
      <c r="P167" s="147" t="n">
        <f aca="false">IF(AND(P$28&gt;=$C167+$B$13,P$28&lt;$C167+$B$13+$B$9),$E167,0)</f>
        <v>0</v>
      </c>
      <c r="Q167" s="147" t="n">
        <f aca="false">IF(AND(Q$28&gt;=$C167+$B$13,Q$28&lt;$C167+$B$13+$B$9),$E167,0)</f>
        <v>0</v>
      </c>
      <c r="R167" s="147" t="n">
        <f aca="false">SUM(F167:Q167)</f>
        <v>0</v>
      </c>
    </row>
    <row r="168">
      <c r="A168" s="0" t="inlineStr">
        <is>
          <t xml:space="preserve">Labour - SlipLift go-live Apr-27</t>
        </is>
      </c>
      <c r="B168" s="148" t="n">
        <f aca="false">$B$14</f>
        <v>5011</v>
      </c>
      <c r="C168" s="0" t="n">
        <v>4</v>
      </c>
      <c r="D168" s="147" t="n">
        <f aca="false">INDEX($B$156:$Q$156,4+$C168-$B$133)*INDEX($F$29:$Q$29,$C168)</f>
        <v>223918.153967347</v>
      </c>
      <c r="E168" s="147" t="n">
        <f aca="false">D168*(1-$B$12)/$B$9</f>
        <v>2665.69230913508</v>
      </c>
      <c r="F168" s="147" t="n">
        <f aca="false">IF(AND(F$28&gt;=$C168+$B$13,F$28&lt;$C168+$B$13+$B$9),$E168,0)</f>
        <v>0</v>
      </c>
      <c r="G168" s="147" t="n">
        <f aca="false">IF(AND(G$28&gt;=$C168+$B$13,G$28&lt;$C168+$B$13+$B$9),$E168,0)</f>
        <v>0</v>
      </c>
      <c r="H168" s="147" t="n">
        <f aca="false">IF(AND(H$28&gt;=$C168+$B$13,H$28&lt;$C168+$B$13+$B$9),$E168,0)</f>
        <v>0</v>
      </c>
      <c r="I168" s="147" t="n">
        <f aca="false">IF(AND(I$28&gt;=$C168+$B$13,I$28&lt;$C168+$B$13+$B$9),$E168,0)</f>
        <v>2665.69230913508</v>
      </c>
      <c r="J168" s="147" t="n">
        <f aca="false">IF(AND(J$28&gt;=$C168+$B$13,J$28&lt;$C168+$B$13+$B$9),$E168,0)</f>
        <v>2665.69230913508</v>
      </c>
      <c r="K168" s="147" t="n">
        <f aca="false">IF(AND(K$28&gt;=$C168+$B$13,K$28&lt;$C168+$B$13+$B$9),$E168,0)</f>
        <v>2665.69230913508</v>
      </c>
      <c r="L168" s="147" t="n">
        <f aca="false">IF(AND(L$28&gt;=$C168+$B$13,L$28&lt;$C168+$B$13+$B$9),$E168,0)</f>
        <v>2665.69230913508</v>
      </c>
      <c r="M168" s="147" t="n">
        <f aca="false">IF(AND(M$28&gt;=$C168+$B$13,M$28&lt;$C168+$B$13+$B$9),$E168,0)</f>
        <v>2665.69230913508</v>
      </c>
      <c r="N168" s="147" t="n">
        <f aca="false">IF(AND(N$28&gt;=$C168+$B$13,N$28&lt;$C168+$B$13+$B$9),$E168,0)</f>
        <v>2665.69230913508</v>
      </c>
      <c r="O168" s="147" t="n">
        <f aca="false">IF(AND(O$28&gt;=$C168+$B$13,O$28&lt;$C168+$B$13+$B$9),$E168,0)</f>
        <v>2665.69230913508</v>
      </c>
      <c r="P168" s="147" t="n">
        <f aca="false">IF(AND(P$28&gt;=$C168+$B$13,P$28&lt;$C168+$B$13+$B$9),$E168,0)</f>
        <v>2665.69230913508</v>
      </c>
      <c r="Q168" s="147" t="n">
        <f aca="false">IF(AND(Q$28&gt;=$C168+$B$13,Q$28&lt;$C168+$B$13+$B$9),$E168,0)</f>
        <v>2665.69230913508</v>
      </c>
      <c r="R168" s="147" t="n">
        <f aca="false">SUM(F168:Q168)</f>
        <v>23991.2307822158</v>
      </c>
    </row>
    <row r="169">
      <c r="A169" s="0" t="inlineStr">
        <is>
          <t xml:space="preserve">Labour - SlipLift go-live May-27</t>
        </is>
      </c>
      <c r="B169" s="148" t="n">
        <f aca="false">$B$14</f>
        <v>5011</v>
      </c>
      <c r="C169" s="0" t="n">
        <v>5</v>
      </c>
      <c r="D169" s="147" t="n">
        <f aca="false">INDEX($B$156:$Q$156,4+$C169-$B$133)*INDEX($F$29:$Q$29,$C169)</f>
        <v>118761.182442083</v>
      </c>
      <c r="E169" s="147" t="n">
        <f aca="false">D169*(1-$B$12)/$B$9</f>
        <v>1413.82360050099</v>
      </c>
      <c r="F169" s="147" t="n">
        <f aca="false">IF(AND(F$28&gt;=$C169+$B$13,F$28&lt;$C169+$B$13+$B$9),$E169,0)</f>
        <v>0</v>
      </c>
      <c r="G169" s="147" t="n">
        <f aca="false">IF(AND(G$28&gt;=$C169+$B$13,G$28&lt;$C169+$B$13+$B$9),$E169,0)</f>
        <v>0</v>
      </c>
      <c r="H169" s="147" t="n">
        <f aca="false">IF(AND(H$28&gt;=$C169+$B$13,H$28&lt;$C169+$B$13+$B$9),$E169,0)</f>
        <v>0</v>
      </c>
      <c r="I169" s="147" t="n">
        <f aca="false">IF(AND(I$28&gt;=$C169+$B$13,I$28&lt;$C169+$B$13+$B$9),$E169,0)</f>
        <v>0</v>
      </c>
      <c r="J169" s="147" t="n">
        <f aca="false">IF(AND(J$28&gt;=$C169+$B$13,J$28&lt;$C169+$B$13+$B$9),$E169,0)</f>
        <v>1413.82360050099</v>
      </c>
      <c r="K169" s="147" t="n">
        <f aca="false">IF(AND(K$28&gt;=$C169+$B$13,K$28&lt;$C169+$B$13+$B$9),$E169,0)</f>
        <v>1413.82360050099</v>
      </c>
      <c r="L169" s="147" t="n">
        <f aca="false">IF(AND(L$28&gt;=$C169+$B$13,L$28&lt;$C169+$B$13+$B$9),$E169,0)</f>
        <v>1413.82360050099</v>
      </c>
      <c r="M169" s="147" t="n">
        <f aca="false">IF(AND(M$28&gt;=$C169+$B$13,M$28&lt;$C169+$B$13+$B$9),$E169,0)</f>
        <v>1413.82360050099</v>
      </c>
      <c r="N169" s="147" t="n">
        <f aca="false">IF(AND(N$28&gt;=$C169+$B$13,N$28&lt;$C169+$B$13+$B$9),$E169,0)</f>
        <v>1413.82360050099</v>
      </c>
      <c r="O169" s="147" t="n">
        <f aca="false">IF(AND(O$28&gt;=$C169+$B$13,O$28&lt;$C169+$B$13+$B$9),$E169,0)</f>
        <v>1413.82360050099</v>
      </c>
      <c r="P169" s="147" t="n">
        <f aca="false">IF(AND(P$28&gt;=$C169+$B$13,P$28&lt;$C169+$B$13+$B$9),$E169,0)</f>
        <v>1413.82360050099</v>
      </c>
      <c r="Q169" s="147" t="n">
        <f aca="false">IF(AND(Q$28&gt;=$C169+$B$13,Q$28&lt;$C169+$B$13+$B$9),$E169,0)</f>
        <v>1413.82360050099</v>
      </c>
      <c r="R169" s="147" t="n">
        <f aca="false">SUM(F169:Q169)</f>
        <v>11310.5888040079</v>
      </c>
    </row>
    <row r="170">
      <c r="A170" s="0" t="inlineStr">
        <is>
          <t xml:space="preserve">Labour - SlipLift go-live Jun-27</t>
        </is>
      </c>
      <c r="B170" s="148" t="n">
        <f aca="false">$B$14</f>
        <v>5011</v>
      </c>
      <c r="C170" s="0" t="n">
        <v>6</v>
      </c>
      <c r="D170" s="147" t="n">
        <f aca="false">INDEX($B$156:$Q$156,4+$C170-$B$133)*INDEX($F$29:$Q$29,$C170)</f>
        <v>118761.182442083</v>
      </c>
      <c r="E170" s="147" t="n">
        <f aca="false">D170*(1-$B$12)/$B$9</f>
        <v>1413.82360050099</v>
      </c>
      <c r="F170" s="147" t="n">
        <f aca="false">IF(AND(F$28&gt;=$C170+$B$13,F$28&lt;$C170+$B$13+$B$9),$E170,0)</f>
        <v>0</v>
      </c>
      <c r="G170" s="147" t="n">
        <f aca="false">IF(AND(G$28&gt;=$C170+$B$13,G$28&lt;$C170+$B$13+$B$9),$E170,0)</f>
        <v>0</v>
      </c>
      <c r="H170" s="147" t="n">
        <f aca="false">IF(AND(H$28&gt;=$C170+$B$13,H$28&lt;$C170+$B$13+$B$9),$E170,0)</f>
        <v>0</v>
      </c>
      <c r="I170" s="147" t="n">
        <f aca="false">IF(AND(I$28&gt;=$C170+$B$13,I$28&lt;$C170+$B$13+$B$9),$E170,0)</f>
        <v>0</v>
      </c>
      <c r="J170" s="147" t="n">
        <f aca="false">IF(AND(J$28&gt;=$C170+$B$13,J$28&lt;$C170+$B$13+$B$9),$E170,0)</f>
        <v>0</v>
      </c>
      <c r="K170" s="147" t="n">
        <f aca="false">IF(AND(K$28&gt;=$C170+$B$13,K$28&lt;$C170+$B$13+$B$9),$E170,0)</f>
        <v>1413.82360050099</v>
      </c>
      <c r="L170" s="147" t="n">
        <f aca="false">IF(AND(L$28&gt;=$C170+$B$13,L$28&lt;$C170+$B$13+$B$9),$E170,0)</f>
        <v>1413.82360050099</v>
      </c>
      <c r="M170" s="147" t="n">
        <f aca="false">IF(AND(M$28&gt;=$C170+$B$13,M$28&lt;$C170+$B$13+$B$9),$E170,0)</f>
        <v>1413.82360050099</v>
      </c>
      <c r="N170" s="147" t="n">
        <f aca="false">IF(AND(N$28&gt;=$C170+$B$13,N$28&lt;$C170+$B$13+$B$9),$E170,0)</f>
        <v>1413.82360050099</v>
      </c>
      <c r="O170" s="147" t="n">
        <f aca="false">IF(AND(O$28&gt;=$C170+$B$13,O$28&lt;$C170+$B$13+$B$9),$E170,0)</f>
        <v>1413.82360050099</v>
      </c>
      <c r="P170" s="147" t="n">
        <f aca="false">IF(AND(P$28&gt;=$C170+$B$13,P$28&lt;$C170+$B$13+$B$9),$E170,0)</f>
        <v>1413.82360050099</v>
      </c>
      <c r="Q170" s="147" t="n">
        <f aca="false">IF(AND(Q$28&gt;=$C170+$B$13,Q$28&lt;$C170+$B$13+$B$9),$E170,0)</f>
        <v>1413.82360050099</v>
      </c>
      <c r="R170" s="147" t="n">
        <f aca="false">SUM(F170:Q170)</f>
        <v>9896.76520350694</v>
      </c>
    </row>
    <row r="171">
      <c r="A171" s="0" t="inlineStr">
        <is>
          <t xml:space="preserve">Labour - SlipLift go-live Jul-27</t>
        </is>
      </c>
      <c r="B171" s="148" t="n">
        <f aca="false">$B$14</f>
        <v>5011</v>
      </c>
      <c r="C171" s="0" t="n">
        <v>7</v>
      </c>
      <c r="D171" s="147" t="n">
        <f aca="false">INDEX($B$156:$Q$156,4+$C171-$B$133)*INDEX($F$29:$Q$29,$C171)</f>
        <v>119734.889962312</v>
      </c>
      <c r="E171" s="147" t="n">
        <f aca="false">D171*(1-$B$12)/$B$9</f>
        <v>1425.41535669419</v>
      </c>
      <c r="F171" s="147" t="n">
        <f aca="false">IF(AND(F$28&gt;=$C171+$B$13,F$28&lt;$C171+$B$13+$B$9),$E171,0)</f>
        <v>0</v>
      </c>
      <c r="G171" s="147" t="n">
        <f aca="false">IF(AND(G$28&gt;=$C171+$B$13,G$28&lt;$C171+$B$13+$B$9),$E171,0)</f>
        <v>0</v>
      </c>
      <c r="H171" s="147" t="n">
        <f aca="false">IF(AND(H$28&gt;=$C171+$B$13,H$28&lt;$C171+$B$13+$B$9),$E171,0)</f>
        <v>0</v>
      </c>
      <c r="I171" s="147" t="n">
        <f aca="false">IF(AND(I$28&gt;=$C171+$B$13,I$28&lt;$C171+$B$13+$B$9),$E171,0)</f>
        <v>0</v>
      </c>
      <c r="J171" s="147" t="n">
        <f aca="false">IF(AND(J$28&gt;=$C171+$B$13,J$28&lt;$C171+$B$13+$B$9),$E171,0)</f>
        <v>0</v>
      </c>
      <c r="K171" s="147" t="n">
        <f aca="false">IF(AND(K$28&gt;=$C171+$B$13,K$28&lt;$C171+$B$13+$B$9),$E171,0)</f>
        <v>0</v>
      </c>
      <c r="L171" s="147" t="n">
        <f aca="false">IF(AND(L$28&gt;=$C171+$B$13,L$28&lt;$C171+$B$13+$B$9),$E171,0)</f>
        <v>1425.41535669419</v>
      </c>
      <c r="M171" s="147" t="n">
        <f aca="false">IF(AND(M$28&gt;=$C171+$B$13,M$28&lt;$C171+$B$13+$B$9),$E171,0)</f>
        <v>1425.41535669419</v>
      </c>
      <c r="N171" s="147" t="n">
        <f aca="false">IF(AND(N$28&gt;=$C171+$B$13,N$28&lt;$C171+$B$13+$B$9),$E171,0)</f>
        <v>1425.41535669419</v>
      </c>
      <c r="O171" s="147" t="n">
        <f aca="false">IF(AND(O$28&gt;=$C171+$B$13,O$28&lt;$C171+$B$13+$B$9),$E171,0)</f>
        <v>1425.41535669419</v>
      </c>
      <c r="P171" s="147" t="n">
        <f aca="false">IF(AND(P$28&gt;=$C171+$B$13,P$28&lt;$C171+$B$13+$B$9),$E171,0)</f>
        <v>1425.41535669419</v>
      </c>
      <c r="Q171" s="147" t="n">
        <f aca="false">IF(AND(Q$28&gt;=$C171+$B$13,Q$28&lt;$C171+$B$13+$B$9),$E171,0)</f>
        <v>1425.41535669419</v>
      </c>
      <c r="R171" s="147" t="n">
        <f aca="false">SUM(F171:Q171)</f>
        <v>8552.49214016514</v>
      </c>
    </row>
    <row r="172">
      <c r="A172" s="0" t="inlineStr">
        <is>
          <t xml:space="preserve">Labour - SlipLift go-live Aug-27</t>
        </is>
      </c>
      <c r="B172" s="148" t="n">
        <f aca="false">$B$14</f>
        <v>5011</v>
      </c>
      <c r="C172" s="0" t="n">
        <v>8</v>
      </c>
      <c r="D172" s="147" t="n">
        <f aca="false">INDEX($B$156:$Q$156,4+$C172-$B$133)*INDEX($F$29:$Q$29,$C172)</f>
        <v>120708.595467781</v>
      </c>
      <c r="E172" s="147" t="n">
        <f aca="false">D172*(1-$B$12)/$B$9</f>
        <v>1437.00708890215</v>
      </c>
      <c r="F172" s="147" t="n">
        <f aca="false">IF(AND(F$28&gt;=$C172+$B$13,F$28&lt;$C172+$B$13+$B$9),$E172,0)</f>
        <v>0</v>
      </c>
      <c r="G172" s="147" t="n">
        <f aca="false">IF(AND(G$28&gt;=$C172+$B$13,G$28&lt;$C172+$B$13+$B$9),$E172,0)</f>
        <v>0</v>
      </c>
      <c r="H172" s="147" t="n">
        <f aca="false">IF(AND(H$28&gt;=$C172+$B$13,H$28&lt;$C172+$B$13+$B$9),$E172,0)</f>
        <v>0</v>
      </c>
      <c r="I172" s="147" t="n">
        <f aca="false">IF(AND(I$28&gt;=$C172+$B$13,I$28&lt;$C172+$B$13+$B$9),$E172,0)</f>
        <v>0</v>
      </c>
      <c r="J172" s="147" t="n">
        <f aca="false">IF(AND(J$28&gt;=$C172+$B$13,J$28&lt;$C172+$B$13+$B$9),$E172,0)</f>
        <v>0</v>
      </c>
      <c r="K172" s="147" t="n">
        <f aca="false">IF(AND(K$28&gt;=$C172+$B$13,K$28&lt;$C172+$B$13+$B$9),$E172,0)</f>
        <v>0</v>
      </c>
      <c r="L172" s="147" t="n">
        <f aca="false">IF(AND(L$28&gt;=$C172+$B$13,L$28&lt;$C172+$B$13+$B$9),$E172,0)</f>
        <v>0</v>
      </c>
      <c r="M172" s="147" t="n">
        <f aca="false">IF(AND(M$28&gt;=$C172+$B$13,M$28&lt;$C172+$B$13+$B$9),$E172,0)</f>
        <v>1437.00708890215</v>
      </c>
      <c r="N172" s="147" t="n">
        <f aca="false">IF(AND(N$28&gt;=$C172+$B$13,N$28&lt;$C172+$B$13+$B$9),$E172,0)</f>
        <v>1437.00708890215</v>
      </c>
      <c r="O172" s="147" t="n">
        <f aca="false">IF(AND(O$28&gt;=$C172+$B$13,O$28&lt;$C172+$B$13+$B$9),$E172,0)</f>
        <v>1437.00708890215</v>
      </c>
      <c r="P172" s="147" t="n">
        <f aca="false">IF(AND(P$28&gt;=$C172+$B$13,P$28&lt;$C172+$B$13+$B$9),$E172,0)</f>
        <v>1437.00708890215</v>
      </c>
      <c r="Q172" s="147" t="n">
        <f aca="false">IF(AND(Q$28&gt;=$C172+$B$13,Q$28&lt;$C172+$B$13+$B$9),$E172,0)</f>
        <v>1437.00708890215</v>
      </c>
      <c r="R172" s="147" t="n">
        <f aca="false">SUM(F172:Q172)</f>
        <v>7185.03544451077</v>
      </c>
    </row>
    <row r="173">
      <c r="A173" s="0" t="inlineStr">
        <is>
          <t xml:space="preserve">Labour - SlipLift go-live Sep-27</t>
        </is>
      </c>
      <c r="B173" s="148" t="n">
        <f aca="false">$B$14</f>
        <v>5011</v>
      </c>
      <c r="C173" s="0" t="n">
        <v>9</v>
      </c>
      <c r="D173" s="147" t="n">
        <f aca="false">INDEX($B$156:$Q$156,4+$C173-$B$133)*INDEX($F$29:$Q$29,$C173)</f>
        <v>151568.847666684</v>
      </c>
      <c r="E173" s="147" t="n">
        <f aca="false">D173*(1-$B$12)/$B$9</f>
        <v>1804.391043651</v>
      </c>
      <c r="F173" s="147" t="n">
        <f aca="false">IF(AND(F$28&gt;=$C173+$B$13,F$28&lt;$C173+$B$13+$B$9),$E173,0)</f>
        <v>0</v>
      </c>
      <c r="G173" s="147" t="n">
        <f aca="false">IF(AND(G$28&gt;=$C173+$B$13,G$28&lt;$C173+$B$13+$B$9),$E173,0)</f>
        <v>0</v>
      </c>
      <c r="H173" s="147" t="n">
        <f aca="false">IF(AND(H$28&gt;=$C173+$B$13,H$28&lt;$C173+$B$13+$B$9),$E173,0)</f>
        <v>0</v>
      </c>
      <c r="I173" s="147" t="n">
        <f aca="false">IF(AND(I$28&gt;=$C173+$B$13,I$28&lt;$C173+$B$13+$B$9),$E173,0)</f>
        <v>0</v>
      </c>
      <c r="J173" s="147" t="n">
        <f aca="false">IF(AND(J$28&gt;=$C173+$B$13,J$28&lt;$C173+$B$13+$B$9),$E173,0)</f>
        <v>0</v>
      </c>
      <c r="K173" s="147" t="n">
        <f aca="false">IF(AND(K$28&gt;=$C173+$B$13,K$28&lt;$C173+$B$13+$B$9),$E173,0)</f>
        <v>0</v>
      </c>
      <c r="L173" s="147" t="n">
        <f aca="false">IF(AND(L$28&gt;=$C173+$B$13,L$28&lt;$C173+$B$13+$B$9),$E173,0)</f>
        <v>0</v>
      </c>
      <c r="M173" s="147" t="n">
        <f aca="false">IF(AND(M$28&gt;=$C173+$B$13,M$28&lt;$C173+$B$13+$B$9),$E173,0)</f>
        <v>0</v>
      </c>
      <c r="N173" s="147" t="n">
        <f aca="false">IF(AND(N$28&gt;=$C173+$B$13,N$28&lt;$C173+$B$13+$B$9),$E173,0)</f>
        <v>1804.391043651</v>
      </c>
      <c r="O173" s="147" t="n">
        <f aca="false">IF(AND(O$28&gt;=$C173+$B$13,O$28&lt;$C173+$B$13+$B$9),$E173,0)</f>
        <v>1804.391043651</v>
      </c>
      <c r="P173" s="147" t="n">
        <f aca="false">IF(AND(P$28&gt;=$C173+$B$13,P$28&lt;$C173+$B$13+$B$9),$E173,0)</f>
        <v>1804.391043651</v>
      </c>
      <c r="Q173" s="147" t="n">
        <f aca="false">IF(AND(Q$28&gt;=$C173+$B$13,Q$28&lt;$C173+$B$13+$B$9),$E173,0)</f>
        <v>1804.391043651</v>
      </c>
      <c r="R173" s="147" t="n">
        <f aca="false">SUM(F173:Q173)</f>
        <v>7217.56417460398</v>
      </c>
    </row>
    <row r="174">
      <c r="A174" s="0" t="inlineStr">
        <is>
          <t xml:space="preserve">Labour - SlipLift go-live Oct-27</t>
        </is>
      </c>
      <c r="B174" s="148" t="n">
        <f aca="false">$B$14</f>
        <v>5011</v>
      </c>
      <c r="C174" s="0" t="n">
        <v>10</v>
      </c>
      <c r="D174" s="147" t="n">
        <f aca="false">INDEX($B$156:$Q$156,4+$C174-$B$133)*INDEX($F$29:$Q$29,$C174)</f>
        <v>143772.311432911</v>
      </c>
      <c r="E174" s="147" t="n">
        <f aca="false">D174*(1-$B$12)/$B$9</f>
        <v>1711.57513610609</v>
      </c>
      <c r="F174" s="147" t="n">
        <f aca="false">IF(AND(F$28&gt;=$C174+$B$13,F$28&lt;$C174+$B$13+$B$9),$E174,0)</f>
        <v>0</v>
      </c>
      <c r="G174" s="147" t="n">
        <f aca="false">IF(AND(G$28&gt;=$C174+$B$13,G$28&lt;$C174+$B$13+$B$9),$E174,0)</f>
        <v>0</v>
      </c>
      <c r="H174" s="147" t="n">
        <f aca="false">IF(AND(H$28&gt;=$C174+$B$13,H$28&lt;$C174+$B$13+$B$9),$E174,0)</f>
        <v>0</v>
      </c>
      <c r="I174" s="147" t="n">
        <f aca="false">IF(AND(I$28&gt;=$C174+$B$13,I$28&lt;$C174+$B$13+$B$9),$E174,0)</f>
        <v>0</v>
      </c>
      <c r="J174" s="147" t="n">
        <f aca="false">IF(AND(J$28&gt;=$C174+$B$13,J$28&lt;$C174+$B$13+$B$9),$E174,0)</f>
        <v>0</v>
      </c>
      <c r="K174" s="147" t="n">
        <f aca="false">IF(AND(K$28&gt;=$C174+$B$13,K$28&lt;$C174+$B$13+$B$9),$E174,0)</f>
        <v>0</v>
      </c>
      <c r="L174" s="147" t="n">
        <f aca="false">IF(AND(L$28&gt;=$C174+$B$13,L$28&lt;$C174+$B$13+$B$9),$E174,0)</f>
        <v>0</v>
      </c>
      <c r="M174" s="147" t="n">
        <f aca="false">IF(AND(M$28&gt;=$C174+$B$13,M$28&lt;$C174+$B$13+$B$9),$E174,0)</f>
        <v>0</v>
      </c>
      <c r="N174" s="147" t="n">
        <f aca="false">IF(AND(N$28&gt;=$C174+$B$13,N$28&lt;$C174+$B$13+$B$9),$E174,0)</f>
        <v>0</v>
      </c>
      <c r="O174" s="147" t="n">
        <f aca="false">IF(AND(O$28&gt;=$C174+$B$13,O$28&lt;$C174+$B$13+$B$9),$E174,0)</f>
        <v>1711.57513610609</v>
      </c>
      <c r="P174" s="147" t="n">
        <f aca="false">IF(AND(P$28&gt;=$C174+$B$13,P$28&lt;$C174+$B$13+$B$9),$E174,0)</f>
        <v>1711.57513610609</v>
      </c>
      <c r="Q174" s="147" t="n">
        <f aca="false">IF(AND(Q$28&gt;=$C174+$B$13,Q$28&lt;$C174+$B$13+$B$9),$E174,0)</f>
        <v>1711.57513610609</v>
      </c>
      <c r="R174" s="147" t="n">
        <f aca="false">SUM(F174:Q174)</f>
        <v>5134.72540831827</v>
      </c>
    </row>
    <row r="175">
      <c r="A175" s="0" t="inlineStr">
        <is>
          <t xml:space="preserve">Labour - SlipLift go-live Nov-27</t>
        </is>
      </c>
      <c r="B175" s="148" t="n">
        <f aca="false">$B$14</f>
        <v>5011</v>
      </c>
      <c r="C175" s="0" t="n">
        <v>11</v>
      </c>
      <c r="D175" s="147" t="n">
        <f aca="false">INDEX($B$156:$Q$156,4+$C175-$B$133)*INDEX($F$29:$Q$29,$C175)</f>
        <v>160893.222907047</v>
      </c>
      <c r="E175" s="147" t="n">
        <f aca="false">D175*(1-$B$12)/$B$9</f>
        <v>1915.39551079817</v>
      </c>
      <c r="F175" s="147" t="n">
        <f aca="false">IF(AND(F$28&gt;=$C175+$B$13,F$28&lt;$C175+$B$13+$B$9),$E175,0)</f>
        <v>0</v>
      </c>
      <c r="G175" s="147" t="n">
        <f aca="false">IF(AND(G$28&gt;=$C175+$B$13,G$28&lt;$C175+$B$13+$B$9),$E175,0)</f>
        <v>0</v>
      </c>
      <c r="H175" s="147" t="n">
        <f aca="false">IF(AND(H$28&gt;=$C175+$B$13,H$28&lt;$C175+$B$13+$B$9),$E175,0)</f>
        <v>0</v>
      </c>
      <c r="I175" s="147" t="n">
        <f aca="false">IF(AND(I$28&gt;=$C175+$B$13,I$28&lt;$C175+$B$13+$B$9),$E175,0)</f>
        <v>0</v>
      </c>
      <c r="J175" s="147" t="n">
        <f aca="false">IF(AND(J$28&gt;=$C175+$B$13,J$28&lt;$C175+$B$13+$B$9),$E175,0)</f>
        <v>0</v>
      </c>
      <c r="K175" s="147" t="n">
        <f aca="false">IF(AND(K$28&gt;=$C175+$B$13,K$28&lt;$C175+$B$13+$B$9),$E175,0)</f>
        <v>0</v>
      </c>
      <c r="L175" s="147" t="n">
        <f aca="false">IF(AND(L$28&gt;=$C175+$B$13,L$28&lt;$C175+$B$13+$B$9),$E175,0)</f>
        <v>0</v>
      </c>
      <c r="M175" s="147" t="n">
        <f aca="false">IF(AND(M$28&gt;=$C175+$B$13,M$28&lt;$C175+$B$13+$B$9),$E175,0)</f>
        <v>0</v>
      </c>
      <c r="N175" s="147" t="n">
        <f aca="false">IF(AND(N$28&gt;=$C175+$B$13,N$28&lt;$C175+$B$13+$B$9),$E175,0)</f>
        <v>0</v>
      </c>
      <c r="O175" s="147" t="n">
        <f aca="false">IF(AND(O$28&gt;=$C175+$B$13,O$28&lt;$C175+$B$13+$B$9),$E175,0)</f>
        <v>0</v>
      </c>
      <c r="P175" s="147" t="n">
        <f aca="false">IF(AND(P$28&gt;=$C175+$B$13,P$28&lt;$C175+$B$13+$B$9),$E175,0)</f>
        <v>1915.39551079817</v>
      </c>
      <c r="Q175" s="147" t="n">
        <f aca="false">IF(AND(Q$28&gt;=$C175+$B$13,Q$28&lt;$C175+$B$13+$B$9),$E175,0)</f>
        <v>1915.39551079817</v>
      </c>
      <c r="R175" s="147" t="n">
        <f aca="false">SUM(F175:Q175)</f>
        <v>3830.79102159635</v>
      </c>
    </row>
    <row r="176">
      <c r="A176" s="0" t="inlineStr">
        <is>
          <t xml:space="preserve">Labour - SlipLift go-live Dec-27</t>
        </is>
      </c>
      <c r="B176" s="148" t="n">
        <f aca="false">$B$14</f>
        <v>5011</v>
      </c>
      <c r="C176" s="0" t="n">
        <v>12</v>
      </c>
      <c r="D176" s="147" t="n">
        <f aca="false">INDEX($B$156:$Q$156,4+$C176-$B$133)*INDEX($F$29:$Q$29,$C176)</f>
        <v>182381.656934104</v>
      </c>
      <c r="E176" s="147" t="n">
        <f aca="false">D176*(1-$B$12)/$B$9</f>
        <v>2171.21020159647</v>
      </c>
      <c r="F176" s="147" t="n">
        <f aca="false">IF(AND(F$28&gt;=$C176+$B$13,F$28&lt;$C176+$B$13+$B$9),$E176,0)</f>
        <v>0</v>
      </c>
      <c r="G176" s="147" t="n">
        <f aca="false">IF(AND(G$28&gt;=$C176+$B$13,G$28&lt;$C176+$B$13+$B$9),$E176,0)</f>
        <v>0</v>
      </c>
      <c r="H176" s="147" t="n">
        <f aca="false">IF(AND(H$28&gt;=$C176+$B$13,H$28&lt;$C176+$B$13+$B$9),$E176,0)</f>
        <v>0</v>
      </c>
      <c r="I176" s="147" t="n">
        <f aca="false">IF(AND(I$28&gt;=$C176+$B$13,I$28&lt;$C176+$B$13+$B$9),$E176,0)</f>
        <v>0</v>
      </c>
      <c r="J176" s="147" t="n">
        <f aca="false">IF(AND(J$28&gt;=$C176+$B$13,J$28&lt;$C176+$B$13+$B$9),$E176,0)</f>
        <v>0</v>
      </c>
      <c r="K176" s="147" t="n">
        <f aca="false">IF(AND(K$28&gt;=$C176+$B$13,K$28&lt;$C176+$B$13+$B$9),$E176,0)</f>
        <v>0</v>
      </c>
      <c r="L176" s="147" t="n">
        <f aca="false">IF(AND(L$28&gt;=$C176+$B$13,L$28&lt;$C176+$B$13+$B$9),$E176,0)</f>
        <v>0</v>
      </c>
      <c r="M176" s="147" t="n">
        <f aca="false">IF(AND(M$28&gt;=$C176+$B$13,M$28&lt;$C176+$B$13+$B$9),$E176,0)</f>
        <v>0</v>
      </c>
      <c r="N176" s="147" t="n">
        <f aca="false">IF(AND(N$28&gt;=$C176+$B$13,N$28&lt;$C176+$B$13+$B$9),$E176,0)</f>
        <v>0</v>
      </c>
      <c r="O176" s="147" t="n">
        <f aca="false">IF(AND(O$28&gt;=$C176+$B$13,O$28&lt;$C176+$B$13+$B$9),$E176,0)</f>
        <v>0</v>
      </c>
      <c r="P176" s="147" t="n">
        <f aca="false">IF(AND(P$28&gt;=$C176+$B$13,P$28&lt;$C176+$B$13+$B$9),$E176,0)</f>
        <v>0</v>
      </c>
      <c r="Q176" s="147" t="n">
        <f aca="false">IF(AND(Q$28&gt;=$C176+$B$13,Q$28&lt;$C176+$B$13+$B$9),$E176,0)</f>
        <v>2171.21020159647</v>
      </c>
      <c r="R176" s="147" t="n">
        <f aca="false">SUM(F176:Q176)</f>
        <v>2171.21020159647</v>
      </c>
    </row>
    <row r="177">
      <c r="A177" s="146" t="inlineStr">
        <is>
          <t xml:space="preserve">New SlipTrays (2027 go-lives): capitalised labour, one row per go-live month</t>
        </is>
      </c>
    </row>
    <row r="178">
      <c r="A178" s="0" t="inlineStr">
        <is>
          <t xml:space="preserve">Labour - SlipTray go-live Jan-27</t>
        </is>
      </c>
      <c r="B178" s="148" t="n">
        <f aca="false">$B$15</f>
        <v>5012</v>
      </c>
      <c r="C178" s="0" t="n">
        <v>1</v>
      </c>
      <c r="D178" s="147" t="n">
        <f aca="false">INDEX($B$157:$Q$157,4+$C178-$B$133)*INDEX($F$30:$Q$30,$C178)</f>
        <v>0</v>
      </c>
      <c r="E178" s="147" t="n">
        <f aca="false">D178*(1-$B$12)/$B$10</f>
        <v>0</v>
      </c>
      <c r="F178" s="147" t="n">
        <f aca="false">IF(AND(F$28&gt;=$C178+$B$13,F$28&lt;$C178+$B$13+$B$10),$E178,0)</f>
        <v>0</v>
      </c>
      <c r="G178" s="147" t="n">
        <f aca="false">IF(AND(G$28&gt;=$C178+$B$13,G$28&lt;$C178+$B$13+$B$10),$E178,0)</f>
        <v>0</v>
      </c>
      <c r="H178" s="147" t="n">
        <f aca="false">IF(AND(H$28&gt;=$C178+$B$13,H$28&lt;$C178+$B$13+$B$10),$E178,0)</f>
        <v>0</v>
      </c>
      <c r="I178" s="147" t="n">
        <f aca="false">IF(AND(I$28&gt;=$C178+$B$13,I$28&lt;$C178+$B$13+$B$10),$E178,0)</f>
        <v>0</v>
      </c>
      <c r="J178" s="147" t="n">
        <f aca="false">IF(AND(J$28&gt;=$C178+$B$13,J$28&lt;$C178+$B$13+$B$10),$E178,0)</f>
        <v>0</v>
      </c>
      <c r="K178" s="147" t="n">
        <f aca="false">IF(AND(K$28&gt;=$C178+$B$13,K$28&lt;$C178+$B$13+$B$10),$E178,0)</f>
        <v>0</v>
      </c>
      <c r="L178" s="147" t="n">
        <f aca="false">IF(AND(L$28&gt;=$C178+$B$13,L$28&lt;$C178+$B$13+$B$10),$E178,0)</f>
        <v>0</v>
      </c>
      <c r="M178" s="147" t="n">
        <f aca="false">IF(AND(M$28&gt;=$C178+$B$13,M$28&lt;$C178+$B$13+$B$10),$E178,0)</f>
        <v>0</v>
      </c>
      <c r="N178" s="147" t="n">
        <f aca="false">IF(AND(N$28&gt;=$C178+$B$13,N$28&lt;$C178+$B$13+$B$10),$E178,0)</f>
        <v>0</v>
      </c>
      <c r="O178" s="147" t="n">
        <f aca="false">IF(AND(O$28&gt;=$C178+$B$13,O$28&lt;$C178+$B$13+$B$10),$E178,0)</f>
        <v>0</v>
      </c>
      <c r="P178" s="147" t="n">
        <f aca="false">IF(AND(P$28&gt;=$C178+$B$13,P$28&lt;$C178+$B$13+$B$10),$E178,0)</f>
        <v>0</v>
      </c>
      <c r="Q178" s="147" t="n">
        <f aca="false">IF(AND(Q$28&gt;=$C178+$B$13,Q$28&lt;$C178+$B$13+$B$10),$E178,0)</f>
        <v>0</v>
      </c>
      <c r="R178" s="147" t="n">
        <f aca="false">SUM(F178:Q178)</f>
        <v>0</v>
      </c>
      <c r="S178" s="0" t="inlineStr">
        <is>
          <t xml:space="preserve">D = labour per unit built (row 157, build month = go-live - B133) x units going live (row 30); E = D x (1 - salvage) / life; on from go-live month + start delay (same rule as rows 38-62)</t>
        </is>
      </c>
    </row>
    <row r="179">
      <c r="A179" s="0" t="inlineStr">
        <is>
          <t xml:space="preserve">Labour - SlipTray go-live Feb-27</t>
        </is>
      </c>
      <c r="B179" s="148" t="n">
        <f aca="false">$B$15</f>
        <v>5012</v>
      </c>
      <c r="C179" s="0" t="n">
        <v>2</v>
      </c>
      <c r="D179" s="147" t="n">
        <f aca="false">INDEX($B$157:$Q$157,4+$C179-$B$133)*INDEX($F$30:$Q$30,$C179)</f>
        <v>0</v>
      </c>
      <c r="E179" s="147" t="n">
        <f aca="false">D179*(1-$B$12)/$B$10</f>
        <v>0</v>
      </c>
      <c r="F179" s="147" t="n">
        <f aca="false">IF(AND(F$28&gt;=$C179+$B$13,F$28&lt;$C179+$B$13+$B$10),$E179,0)</f>
        <v>0</v>
      </c>
      <c r="G179" s="147" t="n">
        <f aca="false">IF(AND(G$28&gt;=$C179+$B$13,G$28&lt;$C179+$B$13+$B$10),$E179,0)</f>
        <v>0</v>
      </c>
      <c r="H179" s="147" t="n">
        <f aca="false">IF(AND(H$28&gt;=$C179+$B$13,H$28&lt;$C179+$B$13+$B$10),$E179,0)</f>
        <v>0</v>
      </c>
      <c r="I179" s="147" t="n">
        <f aca="false">IF(AND(I$28&gt;=$C179+$B$13,I$28&lt;$C179+$B$13+$B$10),$E179,0)</f>
        <v>0</v>
      </c>
      <c r="J179" s="147" t="n">
        <f aca="false">IF(AND(J$28&gt;=$C179+$B$13,J$28&lt;$C179+$B$13+$B$10),$E179,0)</f>
        <v>0</v>
      </c>
      <c r="K179" s="147" t="n">
        <f aca="false">IF(AND(K$28&gt;=$C179+$B$13,K$28&lt;$C179+$B$13+$B$10),$E179,0)</f>
        <v>0</v>
      </c>
      <c r="L179" s="147" t="n">
        <f aca="false">IF(AND(L$28&gt;=$C179+$B$13,L$28&lt;$C179+$B$13+$B$10),$E179,0)</f>
        <v>0</v>
      </c>
      <c r="M179" s="147" t="n">
        <f aca="false">IF(AND(M$28&gt;=$C179+$B$13,M$28&lt;$C179+$B$13+$B$10),$E179,0)</f>
        <v>0</v>
      </c>
      <c r="N179" s="147" t="n">
        <f aca="false">IF(AND(N$28&gt;=$C179+$B$13,N$28&lt;$C179+$B$13+$B$10),$E179,0)</f>
        <v>0</v>
      </c>
      <c r="O179" s="147" t="n">
        <f aca="false">IF(AND(O$28&gt;=$C179+$B$13,O$28&lt;$C179+$B$13+$B$10),$E179,0)</f>
        <v>0</v>
      </c>
      <c r="P179" s="147" t="n">
        <f aca="false">IF(AND(P$28&gt;=$C179+$B$13,P$28&lt;$C179+$B$13+$B$10),$E179,0)</f>
        <v>0</v>
      </c>
      <c r="Q179" s="147" t="n">
        <f aca="false">IF(AND(Q$28&gt;=$C179+$B$13,Q$28&lt;$C179+$B$13+$B$10),$E179,0)</f>
        <v>0</v>
      </c>
      <c r="R179" s="147" t="n">
        <f aca="false">SUM(F179:Q179)</f>
        <v>0</v>
      </c>
    </row>
    <row r="180">
      <c r="A180" s="0" t="inlineStr">
        <is>
          <t xml:space="preserve">Labour - SlipTray go-live Mar-27</t>
        </is>
      </c>
      <c r="B180" s="148" t="n">
        <f aca="false">$B$15</f>
        <v>5012</v>
      </c>
      <c r="C180" s="0" t="n">
        <v>3</v>
      </c>
      <c r="D180" s="147" t="n">
        <f aca="false">INDEX($B$157:$Q$157,4+$C180-$B$133)*INDEX($F$30:$Q$30,$C180)</f>
        <v>0</v>
      </c>
      <c r="E180" s="147" t="n">
        <f aca="false">D180*(1-$B$12)/$B$10</f>
        <v>0</v>
      </c>
      <c r="F180" s="147" t="n">
        <f aca="false">IF(AND(F$28&gt;=$C180+$B$13,F$28&lt;$C180+$B$13+$B$10),$E180,0)</f>
        <v>0</v>
      </c>
      <c r="G180" s="147" t="n">
        <f aca="false">IF(AND(G$28&gt;=$C180+$B$13,G$28&lt;$C180+$B$13+$B$10),$E180,0)</f>
        <v>0</v>
      </c>
      <c r="H180" s="147" t="n">
        <f aca="false">IF(AND(H$28&gt;=$C180+$B$13,H$28&lt;$C180+$B$13+$B$10),$E180,0)</f>
        <v>0</v>
      </c>
      <c r="I180" s="147" t="n">
        <f aca="false">IF(AND(I$28&gt;=$C180+$B$13,I$28&lt;$C180+$B$13+$B$10),$E180,0)</f>
        <v>0</v>
      </c>
      <c r="J180" s="147" t="n">
        <f aca="false">IF(AND(J$28&gt;=$C180+$B$13,J$28&lt;$C180+$B$13+$B$10),$E180,0)</f>
        <v>0</v>
      </c>
      <c r="K180" s="147" t="n">
        <f aca="false">IF(AND(K$28&gt;=$C180+$B$13,K$28&lt;$C180+$B$13+$B$10),$E180,0)</f>
        <v>0</v>
      </c>
      <c r="L180" s="147" t="n">
        <f aca="false">IF(AND(L$28&gt;=$C180+$B$13,L$28&lt;$C180+$B$13+$B$10),$E180,0)</f>
        <v>0</v>
      </c>
      <c r="M180" s="147" t="n">
        <f aca="false">IF(AND(M$28&gt;=$C180+$B$13,M$28&lt;$C180+$B$13+$B$10),$E180,0)</f>
        <v>0</v>
      </c>
      <c r="N180" s="147" t="n">
        <f aca="false">IF(AND(N$28&gt;=$C180+$B$13,N$28&lt;$C180+$B$13+$B$10),$E180,0)</f>
        <v>0</v>
      </c>
      <c r="O180" s="147" t="n">
        <f aca="false">IF(AND(O$28&gt;=$C180+$B$13,O$28&lt;$C180+$B$13+$B$10),$E180,0)</f>
        <v>0</v>
      </c>
      <c r="P180" s="147" t="n">
        <f aca="false">IF(AND(P$28&gt;=$C180+$B$13,P$28&lt;$C180+$B$13+$B$10),$E180,0)</f>
        <v>0</v>
      </c>
      <c r="Q180" s="147" t="n">
        <f aca="false">IF(AND(Q$28&gt;=$C180+$B$13,Q$28&lt;$C180+$B$13+$B$10),$E180,0)</f>
        <v>0</v>
      </c>
      <c r="R180" s="147" t="n">
        <f aca="false">SUM(F180:Q180)</f>
        <v>0</v>
      </c>
    </row>
    <row r="181">
      <c r="A181" s="0" t="inlineStr">
        <is>
          <t xml:space="preserve">Labour - SlipTray go-live Apr-27</t>
        </is>
      </c>
      <c r="B181" s="148" t="n">
        <f aca="false">$B$15</f>
        <v>5012</v>
      </c>
      <c r="C181" s="0" t="n">
        <v>4</v>
      </c>
      <c r="D181" s="147" t="n">
        <f aca="false">INDEX($B$157:$Q$157,4+$C181-$B$133)*INDEX($F$30:$Q$30,$C181)</f>
        <v>98083.3571701529</v>
      </c>
      <c r="E181" s="147" t="n">
        <f aca="false">D181*(1-$B$12)/$B$10</f>
        <v>817.361309751274</v>
      </c>
      <c r="F181" s="147" t="n">
        <f aca="false">IF(AND(F$28&gt;=$C181+$B$13,F$28&lt;$C181+$B$13+$B$10),$E181,0)</f>
        <v>0</v>
      </c>
      <c r="G181" s="147" t="n">
        <f aca="false">IF(AND(G$28&gt;=$C181+$B$13,G$28&lt;$C181+$B$13+$B$10),$E181,0)</f>
        <v>0</v>
      </c>
      <c r="H181" s="147" t="n">
        <f aca="false">IF(AND(H$28&gt;=$C181+$B$13,H$28&lt;$C181+$B$13+$B$10),$E181,0)</f>
        <v>0</v>
      </c>
      <c r="I181" s="147" t="n">
        <f aca="false">IF(AND(I$28&gt;=$C181+$B$13,I$28&lt;$C181+$B$13+$B$10),$E181,0)</f>
        <v>817.361309751274</v>
      </c>
      <c r="J181" s="147" t="n">
        <f aca="false">IF(AND(J$28&gt;=$C181+$B$13,J$28&lt;$C181+$B$13+$B$10),$E181,0)</f>
        <v>817.361309751274</v>
      </c>
      <c r="K181" s="147" t="n">
        <f aca="false">IF(AND(K$28&gt;=$C181+$B$13,K$28&lt;$C181+$B$13+$B$10),$E181,0)</f>
        <v>817.361309751274</v>
      </c>
      <c r="L181" s="147" t="n">
        <f aca="false">IF(AND(L$28&gt;=$C181+$B$13,L$28&lt;$C181+$B$13+$B$10),$E181,0)</f>
        <v>817.361309751274</v>
      </c>
      <c r="M181" s="147" t="n">
        <f aca="false">IF(AND(M$28&gt;=$C181+$B$13,M$28&lt;$C181+$B$13+$B$10),$E181,0)</f>
        <v>817.361309751274</v>
      </c>
      <c r="N181" s="147" t="n">
        <f aca="false">IF(AND(N$28&gt;=$C181+$B$13,N$28&lt;$C181+$B$13+$B$10),$E181,0)</f>
        <v>817.361309751274</v>
      </c>
      <c r="O181" s="147" t="n">
        <f aca="false">IF(AND(O$28&gt;=$C181+$B$13,O$28&lt;$C181+$B$13+$B$10),$E181,0)</f>
        <v>817.361309751274</v>
      </c>
      <c r="P181" s="147" t="n">
        <f aca="false">IF(AND(P$28&gt;=$C181+$B$13,P$28&lt;$C181+$B$13+$B$10),$E181,0)</f>
        <v>817.361309751274</v>
      </c>
      <c r="Q181" s="147" t="n">
        <f aca="false">IF(AND(Q$28&gt;=$C181+$B$13,Q$28&lt;$C181+$B$13+$B$10),$E181,0)</f>
        <v>817.361309751274</v>
      </c>
      <c r="R181" s="147" t="n">
        <f aca="false">SUM(F181:Q181)</f>
        <v>7356.25178776147</v>
      </c>
    </row>
    <row r="182">
      <c r="A182" s="0" t="inlineStr">
        <is>
          <t xml:space="preserve">Labour - SlipTray go-live May-27</t>
        </is>
      </c>
      <c r="B182" s="148" t="n">
        <f aca="false">$B$15</f>
        <v>5012</v>
      </c>
      <c r="C182" s="0" t="n">
        <v>5</v>
      </c>
      <c r="D182" s="147" t="n">
        <f aca="false">INDEX($B$157:$Q$157,4+$C182-$B$133)*INDEX($F$30:$Q$30,$C182)</f>
        <v>56488.9638079167</v>
      </c>
      <c r="E182" s="147" t="n">
        <f aca="false">D182*(1-$B$12)/$B$10</f>
        <v>470.741365065972</v>
      </c>
      <c r="F182" s="147" t="n">
        <f aca="false">IF(AND(F$28&gt;=$C182+$B$13,F$28&lt;$C182+$B$13+$B$10),$E182,0)</f>
        <v>0</v>
      </c>
      <c r="G182" s="147" t="n">
        <f aca="false">IF(AND(G$28&gt;=$C182+$B$13,G$28&lt;$C182+$B$13+$B$10),$E182,0)</f>
        <v>0</v>
      </c>
      <c r="H182" s="147" t="n">
        <f aca="false">IF(AND(H$28&gt;=$C182+$B$13,H$28&lt;$C182+$B$13+$B$10),$E182,0)</f>
        <v>0</v>
      </c>
      <c r="I182" s="147" t="n">
        <f aca="false">IF(AND(I$28&gt;=$C182+$B$13,I$28&lt;$C182+$B$13+$B$10),$E182,0)</f>
        <v>0</v>
      </c>
      <c r="J182" s="147" t="n">
        <f aca="false">IF(AND(J$28&gt;=$C182+$B$13,J$28&lt;$C182+$B$13+$B$10),$E182,0)</f>
        <v>470.741365065972</v>
      </c>
      <c r="K182" s="147" t="n">
        <f aca="false">IF(AND(K$28&gt;=$C182+$B$13,K$28&lt;$C182+$B$13+$B$10),$E182,0)</f>
        <v>470.741365065972</v>
      </c>
      <c r="L182" s="147" t="n">
        <f aca="false">IF(AND(L$28&gt;=$C182+$B$13,L$28&lt;$C182+$B$13+$B$10),$E182,0)</f>
        <v>470.741365065972</v>
      </c>
      <c r="M182" s="147" t="n">
        <f aca="false">IF(AND(M$28&gt;=$C182+$B$13,M$28&lt;$C182+$B$13+$B$10),$E182,0)</f>
        <v>470.741365065972</v>
      </c>
      <c r="N182" s="147" t="n">
        <f aca="false">IF(AND(N$28&gt;=$C182+$B$13,N$28&lt;$C182+$B$13+$B$10),$E182,0)</f>
        <v>470.741365065972</v>
      </c>
      <c r="O182" s="147" t="n">
        <f aca="false">IF(AND(O$28&gt;=$C182+$B$13,O$28&lt;$C182+$B$13+$B$10),$E182,0)</f>
        <v>470.741365065972</v>
      </c>
      <c r="P182" s="147" t="n">
        <f aca="false">IF(AND(P$28&gt;=$C182+$B$13,P$28&lt;$C182+$B$13+$B$10),$E182,0)</f>
        <v>470.741365065972</v>
      </c>
      <c r="Q182" s="147" t="n">
        <f aca="false">IF(AND(Q$28&gt;=$C182+$B$13,Q$28&lt;$C182+$B$13+$B$10),$E182,0)</f>
        <v>470.741365065972</v>
      </c>
      <c r="R182" s="147" t="n">
        <f aca="false">SUM(F182:Q182)</f>
        <v>3765.93092052778</v>
      </c>
    </row>
    <row r="183">
      <c r="A183" s="0" t="inlineStr">
        <is>
          <t xml:space="preserve">Labour - SlipTray go-live Jun-27</t>
        </is>
      </c>
      <c r="B183" s="148" t="n">
        <f aca="false">$B$15</f>
        <v>5012</v>
      </c>
      <c r="C183" s="0" t="n">
        <v>6</v>
      </c>
      <c r="D183" s="147" t="n">
        <f aca="false">INDEX($B$157:$Q$157,4+$C183-$B$133)*INDEX($F$30:$Q$30,$C183)</f>
        <v>56488.9638079167</v>
      </c>
      <c r="E183" s="147" t="n">
        <f aca="false">D183*(1-$B$12)/$B$10</f>
        <v>470.741365065972</v>
      </c>
      <c r="F183" s="147" t="n">
        <f aca="false">IF(AND(F$28&gt;=$C183+$B$13,F$28&lt;$C183+$B$13+$B$10),$E183,0)</f>
        <v>0</v>
      </c>
      <c r="G183" s="147" t="n">
        <f aca="false">IF(AND(G$28&gt;=$C183+$B$13,G$28&lt;$C183+$B$13+$B$10),$E183,0)</f>
        <v>0</v>
      </c>
      <c r="H183" s="147" t="n">
        <f aca="false">IF(AND(H$28&gt;=$C183+$B$13,H$28&lt;$C183+$B$13+$B$10),$E183,0)</f>
        <v>0</v>
      </c>
      <c r="I183" s="147" t="n">
        <f aca="false">IF(AND(I$28&gt;=$C183+$B$13,I$28&lt;$C183+$B$13+$B$10),$E183,0)</f>
        <v>0</v>
      </c>
      <c r="J183" s="147" t="n">
        <f aca="false">IF(AND(J$28&gt;=$C183+$B$13,J$28&lt;$C183+$B$13+$B$10),$E183,0)</f>
        <v>0</v>
      </c>
      <c r="K183" s="147" t="n">
        <f aca="false">IF(AND(K$28&gt;=$C183+$B$13,K$28&lt;$C183+$B$13+$B$10),$E183,0)</f>
        <v>470.741365065972</v>
      </c>
      <c r="L183" s="147" t="n">
        <f aca="false">IF(AND(L$28&gt;=$C183+$B$13,L$28&lt;$C183+$B$13+$B$10),$E183,0)</f>
        <v>470.741365065972</v>
      </c>
      <c r="M183" s="147" t="n">
        <f aca="false">IF(AND(M$28&gt;=$C183+$B$13,M$28&lt;$C183+$B$13+$B$10),$E183,0)</f>
        <v>470.741365065972</v>
      </c>
      <c r="N183" s="147" t="n">
        <f aca="false">IF(AND(N$28&gt;=$C183+$B$13,N$28&lt;$C183+$B$13+$B$10),$E183,0)</f>
        <v>470.741365065972</v>
      </c>
      <c r="O183" s="147" t="n">
        <f aca="false">IF(AND(O$28&gt;=$C183+$B$13,O$28&lt;$C183+$B$13+$B$10),$E183,0)</f>
        <v>470.741365065972</v>
      </c>
      <c r="P183" s="147" t="n">
        <f aca="false">IF(AND(P$28&gt;=$C183+$B$13,P$28&lt;$C183+$B$13+$B$10),$E183,0)</f>
        <v>470.741365065972</v>
      </c>
      <c r="Q183" s="147" t="n">
        <f aca="false">IF(AND(Q$28&gt;=$C183+$B$13,Q$28&lt;$C183+$B$13+$B$10),$E183,0)</f>
        <v>470.741365065972</v>
      </c>
      <c r="R183" s="147" t="n">
        <f aca="false">SUM(F183:Q183)</f>
        <v>3295.1895554618</v>
      </c>
    </row>
    <row r="184">
      <c r="A184" s="0" t="inlineStr">
        <is>
          <t xml:space="preserve">Labour - SlipTray go-live Jul-27</t>
        </is>
      </c>
      <c r="B184" s="148" t="n">
        <f aca="false">$B$15</f>
        <v>5012</v>
      </c>
      <c r="C184" s="0" t="n">
        <v>7</v>
      </c>
      <c r="D184" s="147" t="n">
        <f aca="false">INDEX($B$157:$Q$157,4+$C184-$B$133)*INDEX($F$30:$Q$30,$C184)</f>
        <v>56950.024258688</v>
      </c>
      <c r="E184" s="147" t="n">
        <f aca="false">D184*(1-$B$12)/$B$10</f>
        <v>474.583535489067</v>
      </c>
      <c r="F184" s="147" t="n">
        <f aca="false">IF(AND(F$28&gt;=$C184+$B$13,F$28&lt;$C184+$B$13+$B$10),$E184,0)</f>
        <v>0</v>
      </c>
      <c r="G184" s="147" t="n">
        <f aca="false">IF(AND(G$28&gt;=$C184+$B$13,G$28&lt;$C184+$B$13+$B$10),$E184,0)</f>
        <v>0</v>
      </c>
      <c r="H184" s="147" t="n">
        <f aca="false">IF(AND(H$28&gt;=$C184+$B$13,H$28&lt;$C184+$B$13+$B$10),$E184,0)</f>
        <v>0</v>
      </c>
      <c r="I184" s="147" t="n">
        <f aca="false">IF(AND(I$28&gt;=$C184+$B$13,I$28&lt;$C184+$B$13+$B$10),$E184,0)</f>
        <v>0</v>
      </c>
      <c r="J184" s="147" t="n">
        <f aca="false">IF(AND(J$28&gt;=$C184+$B$13,J$28&lt;$C184+$B$13+$B$10),$E184,0)</f>
        <v>0</v>
      </c>
      <c r="K184" s="147" t="n">
        <f aca="false">IF(AND(K$28&gt;=$C184+$B$13,K$28&lt;$C184+$B$13+$B$10),$E184,0)</f>
        <v>0</v>
      </c>
      <c r="L184" s="147" t="n">
        <f aca="false">IF(AND(L$28&gt;=$C184+$B$13,L$28&lt;$C184+$B$13+$B$10),$E184,0)</f>
        <v>474.583535489067</v>
      </c>
      <c r="M184" s="147" t="n">
        <f aca="false">IF(AND(M$28&gt;=$C184+$B$13,M$28&lt;$C184+$B$13+$B$10),$E184,0)</f>
        <v>474.583535489067</v>
      </c>
      <c r="N184" s="147" t="n">
        <f aca="false">IF(AND(N$28&gt;=$C184+$B$13,N$28&lt;$C184+$B$13+$B$10),$E184,0)</f>
        <v>474.583535489067</v>
      </c>
      <c r="O184" s="147" t="n">
        <f aca="false">IF(AND(O$28&gt;=$C184+$B$13,O$28&lt;$C184+$B$13+$B$10),$E184,0)</f>
        <v>474.583535489067</v>
      </c>
      <c r="P184" s="147" t="n">
        <f aca="false">IF(AND(P$28&gt;=$C184+$B$13,P$28&lt;$C184+$B$13+$B$10),$E184,0)</f>
        <v>474.583535489067</v>
      </c>
      <c r="Q184" s="147" t="n">
        <f aca="false">IF(AND(Q$28&gt;=$C184+$B$13,Q$28&lt;$C184+$B$13+$B$10),$E184,0)</f>
        <v>474.583535489067</v>
      </c>
      <c r="R184" s="147" t="n">
        <f aca="false">SUM(F184:Q184)</f>
        <v>2847.5012129344</v>
      </c>
    </row>
    <row r="185">
      <c r="A185" s="0" t="inlineStr">
        <is>
          <t xml:space="preserve">Labour - SlipTray go-live Aug-27</t>
        </is>
      </c>
      <c r="B185" s="148" t="n">
        <f aca="false">$B$15</f>
        <v>5012</v>
      </c>
      <c r="C185" s="0" t="n">
        <v>8</v>
      </c>
      <c r="D185" s="147" t="n">
        <f aca="false">INDEX($B$157:$Q$157,4+$C185-$B$133)*INDEX($F$30:$Q$30,$C185)</f>
        <v>57411.086724219</v>
      </c>
      <c r="E185" s="147" t="n">
        <f aca="false">D185*(1-$B$12)/$B$10</f>
        <v>478.425722701825</v>
      </c>
      <c r="F185" s="147" t="n">
        <f aca="false">IF(AND(F$28&gt;=$C185+$B$13,F$28&lt;$C185+$B$13+$B$10),$E185,0)</f>
        <v>0</v>
      </c>
      <c r="G185" s="147" t="n">
        <f aca="false">IF(AND(G$28&gt;=$C185+$B$13,G$28&lt;$C185+$B$13+$B$10),$E185,0)</f>
        <v>0</v>
      </c>
      <c r="H185" s="147" t="n">
        <f aca="false">IF(AND(H$28&gt;=$C185+$B$13,H$28&lt;$C185+$B$13+$B$10),$E185,0)</f>
        <v>0</v>
      </c>
      <c r="I185" s="147" t="n">
        <f aca="false">IF(AND(I$28&gt;=$C185+$B$13,I$28&lt;$C185+$B$13+$B$10),$E185,0)</f>
        <v>0</v>
      </c>
      <c r="J185" s="147" t="n">
        <f aca="false">IF(AND(J$28&gt;=$C185+$B$13,J$28&lt;$C185+$B$13+$B$10),$E185,0)</f>
        <v>0</v>
      </c>
      <c r="K185" s="147" t="n">
        <f aca="false">IF(AND(K$28&gt;=$C185+$B$13,K$28&lt;$C185+$B$13+$B$10),$E185,0)</f>
        <v>0</v>
      </c>
      <c r="L185" s="147" t="n">
        <f aca="false">IF(AND(L$28&gt;=$C185+$B$13,L$28&lt;$C185+$B$13+$B$10),$E185,0)</f>
        <v>0</v>
      </c>
      <c r="M185" s="147" t="n">
        <f aca="false">IF(AND(M$28&gt;=$C185+$B$13,M$28&lt;$C185+$B$13+$B$10),$E185,0)</f>
        <v>478.425722701825</v>
      </c>
      <c r="N185" s="147" t="n">
        <f aca="false">IF(AND(N$28&gt;=$C185+$B$13,N$28&lt;$C185+$B$13+$B$10),$E185,0)</f>
        <v>478.425722701825</v>
      </c>
      <c r="O185" s="147" t="n">
        <f aca="false">IF(AND(O$28&gt;=$C185+$B$13,O$28&lt;$C185+$B$13+$B$10),$E185,0)</f>
        <v>478.425722701825</v>
      </c>
      <c r="P185" s="147" t="n">
        <f aca="false">IF(AND(P$28&gt;=$C185+$B$13,P$28&lt;$C185+$B$13+$B$10),$E185,0)</f>
        <v>478.425722701825</v>
      </c>
      <c r="Q185" s="147" t="n">
        <f aca="false">IF(AND(Q$28&gt;=$C185+$B$13,Q$28&lt;$C185+$B$13+$B$10),$E185,0)</f>
        <v>478.425722701825</v>
      </c>
      <c r="R185" s="147" t="n">
        <f aca="false">SUM(F185:Q185)</f>
        <v>2392.12861350913</v>
      </c>
    </row>
    <row r="186">
      <c r="A186" s="0" t="inlineStr">
        <is>
          <t xml:space="preserve">Labour - SlipTray go-live Sep-27</t>
        </is>
      </c>
      <c r="B186" s="148" t="n">
        <f aca="false">$B$15</f>
        <v>5012</v>
      </c>
      <c r="C186" s="0" t="n">
        <v>9</v>
      </c>
      <c r="D186" s="147" t="n">
        <f aca="false">INDEX($B$157:$Q$157,4+$C186-$B$133)*INDEX($F$30:$Q$30,$C186)</f>
        <v>60847.9185643163</v>
      </c>
      <c r="E186" s="147" t="n">
        <f aca="false">D186*(1-$B$12)/$B$10</f>
        <v>507.065988035969</v>
      </c>
      <c r="F186" s="147" t="n">
        <f aca="false">IF(AND(F$28&gt;=$C186+$B$13,F$28&lt;$C186+$B$13+$B$10),$E186,0)</f>
        <v>0</v>
      </c>
      <c r="G186" s="147" t="n">
        <f aca="false">IF(AND(G$28&gt;=$C186+$B$13,G$28&lt;$C186+$B$13+$B$10),$E186,0)</f>
        <v>0</v>
      </c>
      <c r="H186" s="147" t="n">
        <f aca="false">IF(AND(H$28&gt;=$C186+$B$13,H$28&lt;$C186+$B$13+$B$10),$E186,0)</f>
        <v>0</v>
      </c>
      <c r="I186" s="147" t="n">
        <f aca="false">IF(AND(I$28&gt;=$C186+$B$13,I$28&lt;$C186+$B$13+$B$10),$E186,0)</f>
        <v>0</v>
      </c>
      <c r="J186" s="147" t="n">
        <f aca="false">IF(AND(J$28&gt;=$C186+$B$13,J$28&lt;$C186+$B$13+$B$10),$E186,0)</f>
        <v>0</v>
      </c>
      <c r="K186" s="147" t="n">
        <f aca="false">IF(AND(K$28&gt;=$C186+$B$13,K$28&lt;$C186+$B$13+$B$10),$E186,0)</f>
        <v>0</v>
      </c>
      <c r="L186" s="147" t="n">
        <f aca="false">IF(AND(L$28&gt;=$C186+$B$13,L$28&lt;$C186+$B$13+$B$10),$E186,0)</f>
        <v>0</v>
      </c>
      <c r="M186" s="147" t="n">
        <f aca="false">IF(AND(M$28&gt;=$C186+$B$13,M$28&lt;$C186+$B$13+$B$10),$E186,0)</f>
        <v>0</v>
      </c>
      <c r="N186" s="147" t="n">
        <f aca="false">IF(AND(N$28&gt;=$C186+$B$13,N$28&lt;$C186+$B$13+$B$10),$E186,0)</f>
        <v>507.065988035969</v>
      </c>
      <c r="O186" s="147" t="n">
        <f aca="false">IF(AND(O$28&gt;=$C186+$B$13,O$28&lt;$C186+$B$13+$B$10),$E186,0)</f>
        <v>507.065988035969</v>
      </c>
      <c r="P186" s="147" t="n">
        <f aca="false">IF(AND(P$28&gt;=$C186+$B$13,P$28&lt;$C186+$B$13+$B$10),$E186,0)</f>
        <v>507.065988035969</v>
      </c>
      <c r="Q186" s="147" t="n">
        <f aca="false">IF(AND(Q$28&gt;=$C186+$B$13,Q$28&lt;$C186+$B$13+$B$10),$E186,0)</f>
        <v>507.065988035969</v>
      </c>
      <c r="R186" s="147" t="n">
        <f aca="false">SUM(F186:Q186)</f>
        <v>2028.26395214388</v>
      </c>
    </row>
    <row r="187">
      <c r="A187" s="0" t="inlineStr">
        <is>
          <t xml:space="preserve">Labour - SlipTray go-live Oct-27</t>
        </is>
      </c>
      <c r="B187" s="148" t="n">
        <f aca="false">$B$15</f>
        <v>5012</v>
      </c>
      <c r="C187" s="0" t="n">
        <v>10</v>
      </c>
      <c r="D187" s="147" t="n">
        <f aca="false">INDEX($B$157:$Q$157,4+$C187-$B$133)*INDEX($F$30:$Q$30,$C187)</f>
        <v>59055.9616873385</v>
      </c>
      <c r="E187" s="147" t="n">
        <f aca="false">D187*(1-$B$12)/$B$10</f>
        <v>492.133014061155</v>
      </c>
      <c r="F187" s="147" t="n">
        <f aca="false">IF(AND(F$28&gt;=$C187+$B$13,F$28&lt;$C187+$B$13+$B$10),$E187,0)</f>
        <v>0</v>
      </c>
      <c r="G187" s="147" t="n">
        <f aca="false">IF(AND(G$28&gt;=$C187+$B$13,G$28&lt;$C187+$B$13+$B$10),$E187,0)</f>
        <v>0</v>
      </c>
      <c r="H187" s="147" t="n">
        <f aca="false">IF(AND(H$28&gt;=$C187+$B$13,H$28&lt;$C187+$B$13+$B$10),$E187,0)</f>
        <v>0</v>
      </c>
      <c r="I187" s="147" t="n">
        <f aca="false">IF(AND(I$28&gt;=$C187+$B$13,I$28&lt;$C187+$B$13+$B$10),$E187,0)</f>
        <v>0</v>
      </c>
      <c r="J187" s="147" t="n">
        <f aca="false">IF(AND(J$28&gt;=$C187+$B$13,J$28&lt;$C187+$B$13+$B$10),$E187,0)</f>
        <v>0</v>
      </c>
      <c r="K187" s="147" t="n">
        <f aca="false">IF(AND(K$28&gt;=$C187+$B$13,K$28&lt;$C187+$B$13+$B$10),$E187,0)</f>
        <v>0</v>
      </c>
      <c r="L187" s="147" t="n">
        <f aca="false">IF(AND(L$28&gt;=$C187+$B$13,L$28&lt;$C187+$B$13+$B$10),$E187,0)</f>
        <v>0</v>
      </c>
      <c r="M187" s="147" t="n">
        <f aca="false">IF(AND(M$28&gt;=$C187+$B$13,M$28&lt;$C187+$B$13+$B$10),$E187,0)</f>
        <v>0</v>
      </c>
      <c r="N187" s="147" t="n">
        <f aca="false">IF(AND(N$28&gt;=$C187+$B$13,N$28&lt;$C187+$B$13+$B$10),$E187,0)</f>
        <v>0</v>
      </c>
      <c r="O187" s="147" t="n">
        <f aca="false">IF(AND(O$28&gt;=$C187+$B$13,O$28&lt;$C187+$B$13+$B$10),$E187,0)</f>
        <v>492.133014061155</v>
      </c>
      <c r="P187" s="147" t="n">
        <f aca="false">IF(AND(P$28&gt;=$C187+$B$13,P$28&lt;$C187+$B$13+$B$10),$E187,0)</f>
        <v>492.133014061155</v>
      </c>
      <c r="Q187" s="147" t="n">
        <f aca="false">IF(AND(Q$28&gt;=$C187+$B$13,Q$28&lt;$C187+$B$13+$B$10),$E187,0)</f>
        <v>492.133014061155</v>
      </c>
      <c r="R187" s="147" t="n">
        <f aca="false">SUM(F187:Q187)</f>
        <v>1476.39904218346</v>
      </c>
    </row>
    <row r="188">
      <c r="A188" s="0" t="inlineStr">
        <is>
          <t xml:space="preserve">Labour - SlipTray go-live Nov-27</t>
        </is>
      </c>
      <c r="B188" s="148" t="n">
        <f aca="false">$B$15</f>
        <v>5012</v>
      </c>
      <c r="C188" s="0" t="n">
        <v>11</v>
      </c>
      <c r="D188" s="147" t="n">
        <f aca="false">INDEX($B$157:$Q$157,4+$C188-$B$133)*INDEX($F$30:$Q$30,$C188)</f>
        <v>79256.8453542033</v>
      </c>
      <c r="E188" s="147" t="n">
        <f aca="false">D188*(1-$B$12)/$B$10</f>
        <v>660.473711285027</v>
      </c>
      <c r="F188" s="147" t="n">
        <f aca="false">IF(AND(F$28&gt;=$C188+$B$13,F$28&lt;$C188+$B$13+$B$10),$E188,0)</f>
        <v>0</v>
      </c>
      <c r="G188" s="147" t="n">
        <f aca="false">IF(AND(G$28&gt;=$C188+$B$13,G$28&lt;$C188+$B$13+$B$10),$E188,0)</f>
        <v>0</v>
      </c>
      <c r="H188" s="147" t="n">
        <f aca="false">IF(AND(H$28&gt;=$C188+$B$13,H$28&lt;$C188+$B$13+$B$10),$E188,0)</f>
        <v>0</v>
      </c>
      <c r="I188" s="147" t="n">
        <f aca="false">IF(AND(I$28&gt;=$C188+$B$13,I$28&lt;$C188+$B$13+$B$10),$E188,0)</f>
        <v>0</v>
      </c>
      <c r="J188" s="147" t="n">
        <f aca="false">IF(AND(J$28&gt;=$C188+$B$13,J$28&lt;$C188+$B$13+$B$10),$E188,0)</f>
        <v>0</v>
      </c>
      <c r="K188" s="147" t="n">
        <f aca="false">IF(AND(K$28&gt;=$C188+$B$13,K$28&lt;$C188+$B$13+$B$10),$E188,0)</f>
        <v>0</v>
      </c>
      <c r="L188" s="147" t="n">
        <f aca="false">IF(AND(L$28&gt;=$C188+$B$13,L$28&lt;$C188+$B$13+$B$10),$E188,0)</f>
        <v>0</v>
      </c>
      <c r="M188" s="147" t="n">
        <f aca="false">IF(AND(M$28&gt;=$C188+$B$13,M$28&lt;$C188+$B$13+$B$10),$E188,0)</f>
        <v>0</v>
      </c>
      <c r="N188" s="147" t="n">
        <f aca="false">IF(AND(N$28&gt;=$C188+$B$13,N$28&lt;$C188+$B$13+$B$10),$E188,0)</f>
        <v>0</v>
      </c>
      <c r="O188" s="147" t="n">
        <f aca="false">IF(AND(O$28&gt;=$C188+$B$13,O$28&lt;$C188+$B$13+$B$10),$E188,0)</f>
        <v>0</v>
      </c>
      <c r="P188" s="147" t="n">
        <f aca="false">IF(AND(P$28&gt;=$C188+$B$13,P$28&lt;$C188+$B$13+$B$10),$E188,0)</f>
        <v>660.473711285027</v>
      </c>
      <c r="Q188" s="147" t="n">
        <f aca="false">IF(AND(Q$28&gt;=$C188+$B$13,Q$28&lt;$C188+$B$13+$B$10),$E188,0)</f>
        <v>660.473711285027</v>
      </c>
      <c r="R188" s="147" t="n">
        <f aca="false">SUM(F188:Q188)</f>
        <v>1320.94742257005</v>
      </c>
    </row>
    <row r="189">
      <c r="A189" s="0" t="inlineStr">
        <is>
          <t xml:space="preserve">Labour - SlipTray go-live Dec-27</t>
        </is>
      </c>
      <c r="B189" s="148" t="n">
        <f aca="false">$B$15</f>
        <v>5012</v>
      </c>
      <c r="C189" s="0" t="n">
        <v>12</v>
      </c>
      <c r="D189" s="147" t="n">
        <f aca="false">INDEX($B$157:$Q$157,4+$C189-$B$133)*INDEX($F$30:$Q$30,$C189)</f>
        <v>77239.5563633962</v>
      </c>
      <c r="E189" s="147" t="n">
        <f aca="false">D189*(1-$B$12)/$B$10</f>
        <v>643.662969694969</v>
      </c>
      <c r="F189" s="147" t="n">
        <f aca="false">IF(AND(F$28&gt;=$C189+$B$13,F$28&lt;$C189+$B$13+$B$10),$E189,0)</f>
        <v>0</v>
      </c>
      <c r="G189" s="147" t="n">
        <f aca="false">IF(AND(G$28&gt;=$C189+$B$13,G$28&lt;$C189+$B$13+$B$10),$E189,0)</f>
        <v>0</v>
      </c>
      <c r="H189" s="147" t="n">
        <f aca="false">IF(AND(H$28&gt;=$C189+$B$13,H$28&lt;$C189+$B$13+$B$10),$E189,0)</f>
        <v>0</v>
      </c>
      <c r="I189" s="147" t="n">
        <f aca="false">IF(AND(I$28&gt;=$C189+$B$13,I$28&lt;$C189+$B$13+$B$10),$E189,0)</f>
        <v>0</v>
      </c>
      <c r="J189" s="147" t="n">
        <f aca="false">IF(AND(J$28&gt;=$C189+$B$13,J$28&lt;$C189+$B$13+$B$10),$E189,0)</f>
        <v>0</v>
      </c>
      <c r="K189" s="147" t="n">
        <f aca="false">IF(AND(K$28&gt;=$C189+$B$13,K$28&lt;$C189+$B$13+$B$10),$E189,0)</f>
        <v>0</v>
      </c>
      <c r="L189" s="147" t="n">
        <f aca="false">IF(AND(L$28&gt;=$C189+$B$13,L$28&lt;$C189+$B$13+$B$10),$E189,0)</f>
        <v>0</v>
      </c>
      <c r="M189" s="147" t="n">
        <f aca="false">IF(AND(M$28&gt;=$C189+$B$13,M$28&lt;$C189+$B$13+$B$10),$E189,0)</f>
        <v>0</v>
      </c>
      <c r="N189" s="147" t="n">
        <f aca="false">IF(AND(N$28&gt;=$C189+$B$13,N$28&lt;$C189+$B$13+$B$10),$E189,0)</f>
        <v>0</v>
      </c>
      <c r="O189" s="147" t="n">
        <f aca="false">IF(AND(O$28&gt;=$C189+$B$13,O$28&lt;$C189+$B$13+$B$10),$E189,0)</f>
        <v>0</v>
      </c>
      <c r="P189" s="147" t="n">
        <f aca="false">IF(AND(P$28&gt;=$C189+$B$13,P$28&lt;$C189+$B$13+$B$10),$E189,0)</f>
        <v>0</v>
      </c>
      <c r="Q189" s="147" t="n">
        <f aca="false">IF(AND(Q$28&gt;=$C189+$B$13,Q$28&lt;$C189+$B$13+$B$10),$E189,0)</f>
        <v>643.662969694969</v>
      </c>
      <c r="R189" s="147" t="n">
        <f aca="false">SUM(F189:Q189)</f>
        <v>643.662969694969</v>
      </c>
    </row>
    <row r="191">
      <c r="A191" s="2" t="inlineStr">
        <is>
          <t xml:space="preserve">9. OUTPUT: capitalised-labour depreciation by GL (added to PO rows 20 / 21, columns U:AF)</t>
        </is>
      </c>
    </row>
    <row r="192">
      <c r="A192" s="3" t="inlineStr">
        <is>
          <t xml:space="preserve">GL line</t>
        </is>
      </c>
      <c r="B192" s="3" t="inlineStr">
        <is>
          <t xml:space="preserve">GL</t>
        </is>
      </c>
      <c r="C192" s="3" t="inlineStr">
        <is>
          <t xml:space="preserve">PO row</t>
        </is>
      </c>
      <c r="F192" s="144" t="n">
        <f aca="false">F$27</f>
        <v>46418</v>
      </c>
      <c r="G192" s="144" t="n">
        <f aca="false">G$27</f>
        <v>46446</v>
      </c>
      <c r="H192" s="144" t="n">
        <f aca="false">H$27</f>
        <v>46477</v>
      </c>
      <c r="I192" s="144" t="n">
        <f aca="false">I$27</f>
        <v>46507</v>
      </c>
      <c r="J192" s="144" t="n">
        <f aca="false">J$27</f>
        <v>46538</v>
      </c>
      <c r="K192" s="144" t="n">
        <f aca="false">K$27</f>
        <v>46568</v>
      </c>
      <c r="L192" s="144" t="n">
        <f aca="false">L$27</f>
        <v>46599</v>
      </c>
      <c r="M192" s="144" t="n">
        <f aca="false">M$27</f>
        <v>46630</v>
      </c>
      <c r="N192" s="144" t="n">
        <f aca="false">N$27</f>
        <v>46660</v>
      </c>
      <c r="O192" s="144" t="n">
        <f aca="false">O$27</f>
        <v>46691</v>
      </c>
      <c r="P192" s="144" t="n">
        <f aca="false">P$27</f>
        <v>46721</v>
      </c>
      <c r="Q192" s="144" t="n">
        <f aca="false">Q$27</f>
        <v>46752</v>
      </c>
      <c r="R192" s="3" t="inlineStr">
        <is>
          <t xml:space="preserve">FY2027</t>
        </is>
      </c>
      <c r="S192" s="3" t="inlineStr">
        <is>
          <t xml:space="preserve">Source / formula</t>
        </is>
      </c>
    </row>
    <row r="193">
      <c r="A193" s="0" t="inlineStr">
        <is>
          <t xml:space="preserve">5011 - SlipLift Depreciation - capitalised production labour</t>
        </is>
      </c>
      <c r="B193" s="148" t="n">
        <f aca="false">$B$14</f>
        <v>5011</v>
      </c>
      <c r="C193" s="0" t="n">
        <v>20</v>
      </c>
      <c r="F193" s="147" t="n">
        <f aca="false">SUMIF($B$165:$B$189,$B193,F$165:F$189)+F231</f>
        <v>0</v>
      </c>
      <c r="G193" s="147" t="n">
        <f aca="false">SUMIF($B$165:$B$189,$B193,G$165:G$189)+G231</f>
        <v>0</v>
      </c>
      <c r="H193" s="147" t="n">
        <f aca="false">SUMIF($B$165:$B$189,$B193,H$165:H$189)+H231</f>
        <v>0</v>
      </c>
      <c r="I193" s="147" t="n">
        <f aca="false">SUMIF($B$165:$B$189,$B193,I$165:I$189)+I231</f>
        <v>2665.69230913508</v>
      </c>
      <c r="J193" s="147" t="n">
        <f aca="false">SUMIF($B$165:$B$189,$B193,J$165:J$189)+J231</f>
        <v>4079.51590963608</v>
      </c>
      <c r="K193" s="147" t="n">
        <f aca="false">SUMIF($B$165:$B$189,$B193,K$165:K$189)+K231</f>
        <v>5493.33951013707</v>
      </c>
      <c r="L193" s="147" t="n">
        <f aca="false">SUMIF($B$165:$B$189,$B193,L$165:L$189)+L231</f>
        <v>6918.75486683126</v>
      </c>
      <c r="M193" s="147" t="n">
        <f aca="false">SUMIF($B$165:$B$189,$B193,M$165:M$189)+M231</f>
        <v>8355.76195573341</v>
      </c>
      <c r="N193" s="147" t="n">
        <f aca="false">SUMIF($B$165:$B$189,$B193,N$165:N$189)+N231</f>
        <v>10160.1529993844</v>
      </c>
      <c r="O193" s="147" t="n">
        <f aca="false">SUMIF($B$165:$B$189,$B193,O$165:O$189)+O231</f>
        <v>11871.7281354905</v>
      </c>
      <c r="P193" s="147" t="n">
        <f aca="false">SUMIF($B$165:$B$189,$B193,P$165:P$189)+P231</f>
        <v>13787.1236462887</v>
      </c>
      <c r="Q193" s="147" t="n">
        <f aca="false">SUMIF($B$165:$B$189,$B193,Q$165:Q$189)+Q231</f>
        <v>15958.3338478851</v>
      </c>
      <c r="R193" s="147" t="n">
        <f aca="false">SUM(F193:Q193)</f>
        <v>79290.4031805216</v>
      </c>
      <c r="S193" s="0" t="inlineStr">
        <is>
          <t xml:space="preserve">-&gt; PO!U20:AF20 (added to row 80)</t>
        </is>
      </c>
    </row>
    <row r="194">
      <c r="A194" s="0" t="inlineStr">
        <is>
          <t xml:space="preserve">5012 - SlipCarrier Depreciation - capitalised production labour</t>
        </is>
      </c>
      <c r="B194" s="148" t="n">
        <f aca="false">$B$15</f>
        <v>5012</v>
      </c>
      <c r="C194" s="0" t="n">
        <v>21</v>
      </c>
      <c r="F194" s="147" t="n">
        <f aca="false">SUMIF($B$165:$B$189,$B194,F$165:F$189)+F232</f>
        <v>0</v>
      </c>
      <c r="G194" s="147" t="n">
        <f aca="false">SUMIF($B$165:$B$189,$B194,G$165:G$189)+G232</f>
        <v>0</v>
      </c>
      <c r="H194" s="147" t="n">
        <f aca="false">SUMIF($B$165:$B$189,$B194,H$165:H$189)+H232</f>
        <v>0</v>
      </c>
      <c r="I194" s="147" t="n">
        <f aca="false">SUMIF($B$165:$B$189,$B194,I$165:I$189)+I232</f>
        <v>817.361309751274</v>
      </c>
      <c r="J194" s="147" t="n">
        <f aca="false">SUMIF($B$165:$B$189,$B194,J$165:J$189)+J232</f>
        <v>1288.10267481725</v>
      </c>
      <c r="K194" s="147" t="n">
        <f aca="false">SUMIF($B$165:$B$189,$B194,K$165:K$189)+K232</f>
        <v>1758.84403988322</v>
      </c>
      <c r="L194" s="147" t="n">
        <f aca="false">SUMIF($B$165:$B$189,$B194,L$165:L$189)+L232</f>
        <v>2233.42757537229</v>
      </c>
      <c r="M194" s="147" t="n">
        <f aca="false">SUMIF($B$165:$B$189,$B194,M$165:M$189)+M232</f>
        <v>2711.85329807411</v>
      </c>
      <c r="N194" s="147" t="n">
        <f aca="false">SUMIF($B$165:$B$189,$B194,N$165:N$189)+N232</f>
        <v>3218.91928611008</v>
      </c>
      <c r="O194" s="147" t="n">
        <f aca="false">SUMIF($B$165:$B$189,$B194,O$165:O$189)+O232</f>
        <v>3711.05230017123</v>
      </c>
      <c r="P194" s="147" t="n">
        <f aca="false">SUMIF($B$165:$B$189,$B194,P$165:P$189)+P232</f>
        <v>4371.52601145626</v>
      </c>
      <c r="Q194" s="147" t="n">
        <f aca="false">SUMIF($B$165:$B$189,$B194,Q$165:Q$189)+Q232</f>
        <v>5015.18898115123</v>
      </c>
      <c r="R194" s="147" t="n">
        <f aca="false">SUM(F194:Q194)</f>
        <v>25126.2754767869</v>
      </c>
      <c r="S194" s="0" t="inlineStr">
        <is>
          <t xml:space="preserve">-&gt; PO!U21:AF21 (added to row 81)</t>
        </is>
      </c>
    </row>
    <row r="195">
      <c r="A195" s="146" t="inlineStr">
        <is>
          <t xml:space="preserve">Total capitalised-labour depreciation 2027</t>
        </is>
      </c>
      <c r="F195" s="147" t="n">
        <f aca="false">F193+F194</f>
        <v>0</v>
      </c>
      <c r="G195" s="147" t="n">
        <f aca="false">G193+G194</f>
        <v>0</v>
      </c>
      <c r="H195" s="147" t="n">
        <f aca="false">H193+H194</f>
        <v>0</v>
      </c>
      <c r="I195" s="147" t="n">
        <f aca="false">I193+I194</f>
        <v>3483.05361888636</v>
      </c>
      <c r="J195" s="147" t="n">
        <f aca="false">J193+J194</f>
        <v>5367.61858445332</v>
      </c>
      <c r="K195" s="147" t="n">
        <f aca="false">K193+K194</f>
        <v>7252.18355002029</v>
      </c>
      <c r="L195" s="147" t="n">
        <f aca="false">L193+L194</f>
        <v>9152.18244220354</v>
      </c>
      <c r="M195" s="147" t="n">
        <f aca="false">M193+M194</f>
        <v>11067.6152538075</v>
      </c>
      <c r="N195" s="147" t="n">
        <f aca="false">N193+N194</f>
        <v>13379.0722854945</v>
      </c>
      <c r="O195" s="147" t="n">
        <f aca="false">O193+O194</f>
        <v>15582.7804356617</v>
      </c>
      <c r="P195" s="147" t="n">
        <f aca="false">P193+P194</f>
        <v>18158.6496577449</v>
      </c>
      <c r="Q195" s="147" t="n">
        <f aca="false">Q193+Q194</f>
        <v>20973.5228290364</v>
      </c>
      <c r="R195" s="147" t="n">
        <f aca="false">SUM(F195:Q195)</f>
        <v>104416.678657309</v>
      </c>
    </row>
    <row r="196">
      <c r="A196" s="0" t="inlineStr">
        <is>
          <t xml:space="preserve">Check: rows 193:194 less all labour vintage rows and rows 231:232 (must be 0; a non-0 means a GL is not 5011/5012)</t>
        </is>
      </c>
      <c r="R196" s="147" t="n">
        <f aca="false">R195-SUM(R165:R189)-R231-R232</f>
        <v>0</v>
      </c>
    </row>
    <row r="197">
      <c r="A197" s="146" t="inlineStr">
        <is>
          <t xml:space="preserve">Total depreciation 2027 incl. capitalised labour (R83 + R195) = PO rows 19-22</t>
        </is>
      </c>
      <c r="R197" s="147" t="n">
        <f aca="false">R83+R195</f>
        <v>3423224.84246683</v>
      </c>
    </row>
    <row r="199">
      <c r="A199" s="2" t="inlineStr">
        <is>
          <t xml:space="preserve">10. MEMO: where the capitalised labour sits</t>
        </is>
      </c>
    </row>
    <row r="200">
      <c r="A200" s="3" t="inlineStr">
        <is>
          <t xml:space="preserve">Item</t>
        </is>
      </c>
      <c r="B200" s="3" t="inlineStr">
        <is>
          <t xml:space="preserve">Value</t>
        </is>
      </c>
    </row>
    <row r="201">
      <c r="A201" s="0" t="inlineStr">
        <is>
          <t xml:space="preserve">Production payroll 2027 (Prod Payroll!S81)</t>
        </is>
      </c>
      <c r="B201" s="147" t="n">
        <f aca="false">'Prod Payroll'!S81</f>
        <v>2592893.90102852</v>
      </c>
    </row>
    <row r="202">
      <c r="A202" s="0" t="inlineStr">
        <is>
          <t xml:space="preserve">Capitalised labour from 2027 payroll (row 149, Jan-Dec 27)</t>
        </is>
      </c>
      <c r="B202" s="147" t="n">
        <f aca="false">R149</f>
        <v>2592893.90102852</v>
      </c>
    </row>
    <row r="203">
      <c r="A203" s="0" t="inlineStr">
        <is>
          <t xml:space="preserve">  in builds for 2027 go-lives (Feb-Oct 27 builds; Jan-27 rolls into Feb-27 when B135 = 1)</t>
        </is>
      </c>
      <c r="B203" s="147" t="n">
        <f aca="false">SUM(F159:Q159)</f>
        <v>1942322.7209605</v>
      </c>
    </row>
    <row r="204">
      <c r="A204" s="0" t="inlineStr">
        <is>
          <t xml:space="preserve">  in builds for 2028 go-lives (Nov-Dec 27 builds): PP&amp;E not yet placed in service (CIP) at Dec-27</t>
        </is>
      </c>
      <c r="B204" s="147" t="n">
        <f aca="false">SUM(F160:Q160)</f>
        <v>650571.18006802</v>
      </c>
    </row>
    <row r="205">
      <c r="A205" s="0" t="inlineStr">
        <is>
          <t xml:space="preserve">  waiting for a build at Dec-27</t>
        </is>
      </c>
      <c r="B205" s="147" t="n">
        <f aca="false">Q153+Q155</f>
        <v>0</v>
      </c>
    </row>
    <row r="206">
      <c r="A206" s="0" t="inlineStr">
        <is>
          <t xml:space="preserve">Check: row 202 less rows 203:205 less the idle labour expensed in 2027 (R223) (must be 0)</t>
        </is>
      </c>
      <c r="B206" s="147" t="n">
        <f aca="false">B202-SUM(B203:B205)-R223</f>
        <v>0</v>
      </c>
    </row>
    <row r="207">
      <c r="A207" s="0" t="inlineStr">
        <is>
          <t xml:space="preserve">Capitalised labour from Sep-Dec 26 model months (row 149, B:E)</t>
        </is>
      </c>
      <c r="B207" s="147" t="n">
        <f aca="false">SUM(B149:E149)</f>
        <v>0</v>
      </c>
    </row>
    <row r="208">
      <c r="A208" s="0" t="inlineStr">
        <is>
          <t xml:space="preserve">  in Jan-Feb 27 go-lives (Nov-Dec 26 builds; 0 when B132 = 0)</t>
        </is>
      </c>
      <c r="B208" s="147" t="n">
        <f aca="false">SUM(B159:E159)</f>
        <v>0</v>
      </c>
    </row>
    <row r="209">
      <c r="A209" s="0" t="inlineStr">
        <is>
          <t xml:space="preserve">  in Nov-26 go-lives (Sep-26 builds): 0 when B132 = 0 (2026 labour is a 2026 period cost; the 2026 books expense 5100); with B132 = 1 depreciated in 2027 (R233)</t>
        </is>
      </c>
      <c r="B209" s="147" t="n">
        <f aca="false">SUM(B161:E161)</f>
        <v>0</v>
      </c>
    </row>
    <row r="210">
      <c r="A210" s="0" t="inlineStr">
        <is>
          <t xml:space="preserve">Depreciable labour in the 2027 go-live vintages (column D, rows 165-189)</t>
        </is>
      </c>
      <c r="B210" s="147" t="n">
        <f aca="false">SUM(D165:D176)+SUM(D178:D189)</f>
        <v>1942322.7209605</v>
      </c>
    </row>
    <row r="211">
      <c r="A211" s="0" t="inlineStr">
        <is>
          <t xml:space="preserve">Check: row 210 less (row 203 + row 208) (must be 0)</t>
        </is>
      </c>
      <c r="B211" s="147" t="n">
        <f aca="false">B210-B203-B208</f>
        <v>0</v>
      </c>
    </row>
    <row r="212">
      <c r="A212" s="0" t="inlineStr">
        <is>
          <t xml:space="preserve">2027 depreciation of capitalised labour (R195)</t>
        </is>
      </c>
      <c r="B212" s="147" t="n">
        <f aca="false">R195</f>
        <v>104416.678657309</v>
      </c>
    </row>
    <row r="213">
      <c r="A213" s="0" t="inlineStr">
        <is>
          <t xml:space="preserve">PP&amp;E in service at Dec-27: capitalised labour in the 2027 go-live vintages, net of their 2027 depreciation (row 210 - (row 212 - R233))</t>
        </is>
      </c>
      <c r="B213" s="147" t="n">
        <f aca="false">B210-(B212-R233)</f>
        <v>1837906.04230319</v>
      </c>
    </row>
    <row r="214">
      <c r="A214" s="0" t="inlineStr">
        <is>
          <t xml:space="preserve">Current staff at model rates, 2027 (rows 141:142)</t>
        </is>
      </c>
      <c r="B214" s="147" t="n">
        <f aca="false">SUM(F141:Q142)</f>
        <v>630504.482935372</v>
      </c>
    </row>
    <row r="215">
      <c r="A215" s="0" t="inlineStr">
        <is>
          <t xml:space="preserve">Average labour per SlipLift built in 2027 (rows 147, 150)</t>
        </is>
      </c>
      <c r="B215" s="147" t="n">
        <f aca="false">SUM(F147:Q147)/SUM(F150:Q150)</f>
        <v>5734.75673584855</v>
      </c>
    </row>
    <row r="216">
      <c r="A216" s="0" t="inlineStr">
        <is>
          <t xml:space="preserve">Average labour per SlipTray built in 2027 (rows 148, 151)</t>
        </is>
      </c>
      <c r="B216" s="147" t="n">
        <f aca="false">SUM(F148:Q148)/SUM(F151:Q151)</f>
        <v>593.099482984333</v>
      </c>
    </row>
    <row r="218">
      <c r="A218" s="2" t="inlineStr">
        <is>
          <t xml:space="preserve">11. SWITCH LOGIC (added in v9): idle-month labour (B135), Sep-26 builds under B132, CapEx and Dec-27 balance sheet</t>
        </is>
      </c>
    </row>
    <row r="219">
      <c r="A219" s="0" t="inlineStr">
        <is>
          <t xml:space="preserve">Rows 221-228: labour of a month with no units built, expensed when B135 = 0 (0 while B135 = 1), split to 5110 / 5130 / 5140 with Prod Payroll's own payroll-tax and benefit shares of that month; rows 226-228 (Jan-Dec 27) feed PO rows 33-35. Rows 231-233: the Sep-26 builds go live Nov-26 (2026 vintage); their labour (0 when B132 = 0) is depreciated in 2027 like the 2027 vintages (full month from go-live + B13, 84 / 120 months, salvage B12) and feeds rows 193-194. Rows 236-241: memo.</t>
        </is>
      </c>
    </row>
    <row r="220">
      <c r="A220" s="3" t="inlineStr">
        <is>
          <t xml:space="preserve">Month</t>
        </is>
      </c>
      <c r="B220" s="144" t="n">
        <f aca="false">DeploySum!B4</f>
        <v>46295</v>
      </c>
      <c r="C220" s="144" t="n">
        <f aca="false">DeploySum!C4</f>
        <v>46326</v>
      </c>
      <c r="D220" s="144" t="n">
        <f aca="false">DeploySum!D4</f>
        <v>46356</v>
      </c>
      <c r="E220" s="144" t="n">
        <f aca="false">DeploySum!E4</f>
        <v>46387</v>
      </c>
      <c r="F220" s="144" t="n">
        <f aca="false">DeploySum!F4</f>
        <v>46418</v>
      </c>
      <c r="G220" s="144" t="n">
        <f aca="false">DeploySum!G4</f>
        <v>46446</v>
      </c>
      <c r="H220" s="144" t="n">
        <f aca="false">DeploySum!H4</f>
        <v>46477</v>
      </c>
      <c r="I220" s="144" t="n">
        <f aca="false">DeploySum!I4</f>
        <v>46507</v>
      </c>
      <c r="J220" s="144" t="n">
        <f aca="false">DeploySum!J4</f>
        <v>46538</v>
      </c>
      <c r="K220" s="144" t="n">
        <f aca="false">DeploySum!K4</f>
        <v>46568</v>
      </c>
      <c r="L220" s="144" t="n">
        <f aca="false">DeploySum!L4</f>
        <v>46599</v>
      </c>
      <c r="M220" s="144" t="n">
        <f aca="false">DeploySum!M4</f>
        <v>46630</v>
      </c>
      <c r="N220" s="144" t="n">
        <f aca="false">DeploySum!N4</f>
        <v>46660</v>
      </c>
      <c r="O220" s="144" t="n">
        <f aca="false">DeploySum!O4</f>
        <v>46691</v>
      </c>
      <c r="P220" s="144" t="n">
        <f aca="false">DeploySum!P4</f>
        <v>46721</v>
      </c>
      <c r="Q220" s="144" t="n">
        <f aca="false">DeploySum!Q4</f>
        <v>46752</v>
      </c>
      <c r="R220" s="3" t="inlineStr">
        <is>
          <t xml:space="preserve">FY2027</t>
        </is>
      </c>
      <c r="S220" s="3" t="inlineStr">
        <is>
          <t xml:space="preserve">Source / formula</t>
        </is>
      </c>
    </row>
    <row r="221">
      <c r="A221" s="0" t="inlineStr">
        <is>
          <t xml:space="preserve">Lift labour of a month with no lifts built, expensed (B135 = 0)</t>
        </is>
      </c>
      <c r="B221" s="147" t="n">
        <f aca="false">IF(B150&gt;0,0,(1-$B$135)*(B147))</f>
        <v>0</v>
      </c>
      <c r="C221" s="147" t="n">
        <f aca="false">IF(C150&gt;0,0,(1-$B$135)*(C147+B153))</f>
        <v>0</v>
      </c>
      <c r="D221" s="147" t="n">
        <f aca="false">IF(D150&gt;0,0,(1-$B$135)*(D147+C153))</f>
        <v>0</v>
      </c>
      <c r="E221" s="147" t="n">
        <f aca="false">IF(E150&gt;0,0,(1-$B$135)*(E147+D153))</f>
        <v>0</v>
      </c>
      <c r="F221" s="147" t="n">
        <f aca="false">IF(F150&gt;0,0,(1-$B$135)*(F147+E153))</f>
        <v>0</v>
      </c>
      <c r="G221" s="147" t="n">
        <f aca="false">IF(G150&gt;0,0,(1-$B$135)*(G147+F153))</f>
        <v>0</v>
      </c>
      <c r="H221" s="147" t="n">
        <f aca="false">IF(H150&gt;0,0,(1-$B$135)*(H147+G153))</f>
        <v>0</v>
      </c>
      <c r="I221" s="147" t="n">
        <f aca="false">IF(I150&gt;0,0,(1-$B$135)*(I147+H153))</f>
        <v>0</v>
      </c>
      <c r="J221" s="147" t="n">
        <f aca="false">IF(J150&gt;0,0,(1-$B$135)*(J147+I153))</f>
        <v>0</v>
      </c>
      <c r="K221" s="147" t="n">
        <f aca="false">IF(K150&gt;0,0,(1-$B$135)*(K147+J153))</f>
        <v>0</v>
      </c>
      <c r="L221" s="147" t="n">
        <f aca="false">IF(L150&gt;0,0,(1-$B$135)*(L147+K153))</f>
        <v>0</v>
      </c>
      <c r="M221" s="147" t="n">
        <f aca="false">IF(M150&gt;0,0,(1-$B$135)*(M147+L153))</f>
        <v>0</v>
      </c>
      <c r="N221" s="147" t="n">
        <f aca="false">IF(N150&gt;0,0,(1-$B$135)*(N147+M153))</f>
        <v>0</v>
      </c>
      <c r="O221" s="147" t="n">
        <f aca="false">IF(O150&gt;0,0,(1-$B$135)*(O147+N153))</f>
        <v>0</v>
      </c>
      <c r="P221" s="147" t="n">
        <f aca="false">IF(P150&gt;0,0,(1-$B$135)*(P147+O153))</f>
        <v>0</v>
      </c>
      <c r="Q221" s="147" t="n">
        <f aca="false">IF(Q150&gt;0,0,(1-$B$135)*(Q147+P153))</f>
        <v>0</v>
      </c>
      <c r="R221" s="147" t="n">
        <f aca="false">SUM(F221:Q221)</f>
        <v>0</v>
      </c>
      <c r="S221" s="0" t="inlineStr">
        <is>
          <t xml:space="preserve">Same pool as rows 152-155; with B135 = 0 nothing waits, so a month with no builds is expensed in full</t>
        </is>
      </c>
    </row>
    <row r="222">
      <c r="A222" s="0" t="inlineStr">
        <is>
          <t xml:space="preserve">Tray labour of a month with no trays built, expensed (B135 = 0)</t>
        </is>
      </c>
      <c r="B222" s="147" t="n">
        <f aca="false">IF(B151&gt;0,0,(1-$B$135)*(B148))</f>
        <v>0</v>
      </c>
      <c r="C222" s="147" t="n">
        <f aca="false">IF(C151&gt;0,0,(1-$B$135)*(C148+B155))</f>
        <v>0</v>
      </c>
      <c r="D222" s="147" t="n">
        <f aca="false">IF(D151&gt;0,0,(1-$B$135)*(D148+C155))</f>
        <v>0</v>
      </c>
      <c r="E222" s="147" t="n">
        <f aca="false">IF(E151&gt;0,0,(1-$B$135)*(E148+D155))</f>
        <v>0</v>
      </c>
      <c r="F222" s="147" t="n">
        <f aca="false">IF(F151&gt;0,0,(1-$B$135)*(F148+E155))</f>
        <v>0</v>
      </c>
      <c r="G222" s="147" t="n">
        <f aca="false">IF(G151&gt;0,0,(1-$B$135)*(G148+F155))</f>
        <v>0</v>
      </c>
      <c r="H222" s="147" t="n">
        <f aca="false">IF(H151&gt;0,0,(1-$B$135)*(H148+G155))</f>
        <v>0</v>
      </c>
      <c r="I222" s="147" t="n">
        <f aca="false">IF(I151&gt;0,0,(1-$B$135)*(I148+H155))</f>
        <v>0</v>
      </c>
      <c r="J222" s="147" t="n">
        <f aca="false">IF(J151&gt;0,0,(1-$B$135)*(J148+I155))</f>
        <v>0</v>
      </c>
      <c r="K222" s="147" t="n">
        <f aca="false">IF(K151&gt;0,0,(1-$B$135)*(K148+J155))</f>
        <v>0</v>
      </c>
      <c r="L222" s="147" t="n">
        <f aca="false">IF(L151&gt;0,0,(1-$B$135)*(L148+K155))</f>
        <v>0</v>
      </c>
      <c r="M222" s="147" t="n">
        <f aca="false">IF(M151&gt;0,0,(1-$B$135)*(M148+L155))</f>
        <v>0</v>
      </c>
      <c r="N222" s="147" t="n">
        <f aca="false">IF(N151&gt;0,0,(1-$B$135)*(N148+M155))</f>
        <v>0</v>
      </c>
      <c r="O222" s="147" t="n">
        <f aca="false">IF(O151&gt;0,0,(1-$B$135)*(O148+N155))</f>
        <v>0</v>
      </c>
      <c r="P222" s="147" t="n">
        <f aca="false">IF(P151&gt;0,0,(1-$B$135)*(P148+O155))</f>
        <v>0</v>
      </c>
      <c r="Q222" s="147" t="n">
        <f aca="false">IF(Q151&gt;0,0,(1-$B$135)*(Q148+P155))</f>
        <v>0</v>
      </c>
      <c r="R222" s="147" t="n">
        <f aca="false">SUM(F222:Q222)</f>
        <v>0</v>
      </c>
    </row>
    <row r="223">
      <c r="A223" s="146" t="inlineStr">
        <is>
          <t xml:space="preserve">Idle-month labour expensed - total</t>
        </is>
      </c>
      <c r="B223" s="147" t="n">
        <f aca="false">B221+B222</f>
        <v>0</v>
      </c>
      <c r="C223" s="147" t="n">
        <f aca="false">C221+C222</f>
        <v>0</v>
      </c>
      <c r="D223" s="147" t="n">
        <f aca="false">D221+D222</f>
        <v>0</v>
      </c>
      <c r="E223" s="147" t="n">
        <f aca="false">E221+E222</f>
        <v>0</v>
      </c>
      <c r="F223" s="147" t="n">
        <f aca="false">F221+F222</f>
        <v>0</v>
      </c>
      <c r="G223" s="147" t="n">
        <f aca="false">G221+G222</f>
        <v>0</v>
      </c>
      <c r="H223" s="147" t="n">
        <f aca="false">H221+H222</f>
        <v>0</v>
      </c>
      <c r="I223" s="147" t="n">
        <f aca="false">I221+I222</f>
        <v>0</v>
      </c>
      <c r="J223" s="147" t="n">
        <f aca="false">J221+J222</f>
        <v>0</v>
      </c>
      <c r="K223" s="147" t="n">
        <f aca="false">K221+K222</f>
        <v>0</v>
      </c>
      <c r="L223" s="147" t="n">
        <f aca="false">L221+L222</f>
        <v>0</v>
      </c>
      <c r="M223" s="147" t="n">
        <f aca="false">M221+M222</f>
        <v>0</v>
      </c>
      <c r="N223" s="147" t="n">
        <f aca="false">N221+N222</f>
        <v>0</v>
      </c>
      <c r="O223" s="147" t="n">
        <f aca="false">O221+O222</f>
        <v>0</v>
      </c>
      <c r="P223" s="147" t="n">
        <f aca="false">P221+P222</f>
        <v>0</v>
      </c>
      <c r="Q223" s="147" t="n">
        <f aca="false">Q221+Q222</f>
        <v>0</v>
      </c>
      <c r="R223" s="147" t="n">
        <f aca="false">SUM(F223:Q223)</f>
        <v>0</v>
      </c>
    </row>
    <row r="224">
      <c r="A224" s="0" t="inlineStr">
        <is>
          <t xml:space="preserve">Prod Payroll payroll-tax share of the month (rows 37 + 58 + 75) / row 81</t>
        </is>
      </c>
      <c r="B224" s="147" t="n">
        <f aca="false">IF('Prod Payroll'!B81=0,0,('Prod Payroll'!B37+'Prod Payroll'!B58+'Prod Payroll'!B75)/'Prod Payroll'!B81)</f>
        <v>0.0588722563662026</v>
      </c>
      <c r="C224" s="147" t="n">
        <f aca="false">IF('Prod Payroll'!C81=0,0,('Prod Payroll'!C37+'Prod Payroll'!C58+'Prod Payroll'!C75)/'Prod Payroll'!C81)</f>
        <v>0.0653455730076318</v>
      </c>
      <c r="D224" s="147" t="n">
        <f aca="false">IF('Prod Payroll'!D81=0,0,('Prod Payroll'!D37+'Prod Payroll'!D58+'Prod Payroll'!D75)/'Prod Payroll'!D81)</f>
        <v>0.0594976004772153</v>
      </c>
      <c r="E224" s="147" t="n">
        <f aca="false">IF('Prod Payroll'!E81=0,0,('Prod Payroll'!E37+'Prod Payroll'!E58+'Prod Payroll'!E75)/'Prod Payroll'!E81)</f>
        <v>0.0654373871035608</v>
      </c>
      <c r="F224" s="147" t="n">
        <f aca="false">IF('Prod Payroll'!F81=0,0,('Prod Payroll'!F37+'Prod Payroll'!F58+'Prod Payroll'!F75)/'Prod Payroll'!F81)</f>
        <v>0.0653333451853202</v>
      </c>
      <c r="G224" s="147" t="n">
        <f aca="false">IF('Prod Payroll'!G81=0,0,('Prod Payroll'!G37+'Prod Payroll'!G58+'Prod Payroll'!G75)/'Prod Payroll'!G81)</f>
        <v>0.0631613810628856</v>
      </c>
      <c r="H224" s="147" t="n">
        <f aca="false">IF('Prod Payroll'!H81=0,0,('Prod Payroll'!H37+'Prod Payroll'!H58+'Prod Payroll'!H75)/'Prod Payroll'!H81)</f>
        <v>0.0653238231177796</v>
      </c>
      <c r="I224" s="147" t="n">
        <f aca="false">IF('Prod Payroll'!I81=0,0,('Prod Payroll'!I37+'Prod Payroll'!I58+'Prod Payroll'!I75)/'Prod Payroll'!I81)</f>
        <v>0.0653238231177796</v>
      </c>
      <c r="J224" s="147" t="n">
        <f aca="false">IF('Prod Payroll'!J81=0,0,('Prod Payroll'!J37+'Prod Payroll'!J58+'Prod Payroll'!J75)/'Prod Payroll'!J81)</f>
        <v>0.0653599074766251</v>
      </c>
      <c r="K224" s="147" t="n">
        <f aca="false">IF('Prod Payroll'!K81=0,0,('Prod Payroll'!K37+'Prod Payroll'!K58+'Prod Payroll'!K75)/'Prod Payroll'!K81)</f>
        <v>0.0653954105108052</v>
      </c>
      <c r="L224" s="147" t="n">
        <f aca="false">IF('Prod Payroll'!L81=0,0,('Prod Payroll'!L37+'Prod Payroll'!L58+'Prod Payroll'!L75)/'Prod Payroll'!L81)</f>
        <v>0.062967538383738</v>
      </c>
      <c r="M224" s="147" t="n">
        <f aca="false">IF('Prod Payroll'!M81=0,0,('Prod Payroll'!M37+'Prod Payroll'!M58+'Prod Payroll'!M75)/'Prod Payroll'!M81)</f>
        <v>0.0653978637997175</v>
      </c>
      <c r="N224" s="147" t="n">
        <f aca="false">IF('Prod Payroll'!N81=0,0,('Prod Payroll'!N37+'Prod Payroll'!N58+'Prod Payroll'!N75)/'Prod Payroll'!N81)</f>
        <v>0.0636899157971965</v>
      </c>
      <c r="O224" s="147" t="n">
        <f aca="false">IF('Prod Payroll'!O81=0,0,('Prod Payroll'!O37+'Prod Payroll'!O58+'Prod Payroll'!O75)/'Prod Payroll'!O81)</f>
        <v>0.0645737061456504</v>
      </c>
      <c r="P224" s="147" t="n">
        <f aca="false">IF('Prod Payroll'!P81=0,0,('Prod Payroll'!P37+'Prod Payroll'!P58+'Prod Payroll'!P75)/'Prod Payroll'!P81)</f>
        <v>0.0628957993833252</v>
      </c>
      <c r="Q224" s="147" t="n">
        <f aca="false">IF('Prod Payroll'!Q81=0,0,('Prod Payroll'!Q37+'Prod Payroll'!Q58+'Prod Payroll'!Q75)/'Prod Payroll'!Q81)</f>
        <v>0.0648422966032738</v>
      </c>
    </row>
    <row r="225">
      <c r="A225" s="0" t="inlineStr">
        <is>
          <t xml:space="preserve">Prod Payroll benefits share of the month (rows 38 + 59 + 76) / row 81</t>
        </is>
      </c>
      <c r="B225" s="147" t="n">
        <f aca="false">IF('Prod Payroll'!B81=0,0,('Prod Payroll'!B38+'Prod Payroll'!B59+'Prod Payroll'!B76)/'Prod Payroll'!B81)</f>
        <v>0.0571015068749795</v>
      </c>
      <c r="C225" s="147" t="n">
        <f aca="false">IF('Prod Payroll'!C81=0,0,('Prod Payroll'!C38+'Prod Payroll'!C59+'Prod Payroll'!C76)/'Prod Payroll'!C81)</f>
        <v>0.0633801202239439</v>
      </c>
      <c r="D225" s="147" t="n">
        <f aca="false">IF('Prod Payroll'!D81=0,0,('Prod Payroll'!D38+'Prod Payroll'!D59+'Prod Payroll'!D76)/'Prod Payroll'!D81)</f>
        <v>0.0573876243498939</v>
      </c>
      <c r="E225" s="147" t="n">
        <f aca="false">IF('Prod Payroll'!E81=0,0,('Prod Payroll'!E38+'Prod Payroll'!E59+'Prod Payroll'!E76)/'Prod Payroll'!E81)</f>
        <v>0.0620641181822959</v>
      </c>
      <c r="F225" s="147" t="n">
        <f aca="false">IF('Prod Payroll'!F81=0,0,('Prod Payroll'!F38+'Prod Payroll'!F59+'Prod Payroll'!F76)/'Prod Payroll'!F81)</f>
        <v>0.0635553856770766</v>
      </c>
      <c r="G225" s="147" t="n">
        <f aca="false">IF('Prod Payroll'!G81=0,0,('Prod Payroll'!G38+'Prod Payroll'!G59+'Prod Payroll'!G76)/'Prod Payroll'!G81)</f>
        <v>0.0615834498671474</v>
      </c>
      <c r="H225" s="147" t="n">
        <f aca="false">IF('Prod Payroll'!H81=0,0,('Prod Payroll'!H38+'Prod Payroll'!H59+'Prod Payroll'!H76)/'Prod Payroll'!H81)</f>
        <v>0.0636918686451596</v>
      </c>
      <c r="I225" s="147" t="n">
        <f aca="false">IF('Prod Payroll'!I81=0,0,('Prod Payroll'!I38+'Prod Payroll'!I59+'Prod Payroll'!I76)/'Prod Payroll'!I81)</f>
        <v>0.0636918686451596</v>
      </c>
      <c r="J225" s="147" t="n">
        <f aca="false">IF('Prod Payroll'!J81=0,0,('Prod Payroll'!J38+'Prod Payroll'!J59+'Prod Payroll'!J76)/'Prod Payroll'!J81)</f>
        <v>0.0631746595017071</v>
      </c>
      <c r="K225" s="147" t="n">
        <f aca="false">IF('Prod Payroll'!K81=0,0,('Prod Payroll'!K38+'Prod Payroll'!K59+'Prod Payroll'!K76)/'Prod Payroll'!K81)</f>
        <v>0.0626657826784587</v>
      </c>
      <c r="L225" s="147" t="n">
        <f aca="false">IF('Prod Payroll'!L81=0,0,('Prod Payroll'!L38+'Prod Payroll'!L59+'Prod Payroll'!L76)/'Prod Payroll'!L81)</f>
        <v>0.0598034726514262</v>
      </c>
      <c r="M225" s="147" t="n">
        <f aca="false">IF('Prod Payroll'!M81=0,0,('Prod Payroll'!M38+'Prod Payroll'!M59+'Prod Payroll'!M76)/'Prod Payroll'!M81)</f>
        <v>0.0626306188707167</v>
      </c>
      <c r="N225" s="147" t="n">
        <f aca="false">IF('Prod Payroll'!N81=0,0,('Prod Payroll'!N38+'Prod Payroll'!N59+'Prod Payroll'!N76)/'Prod Payroll'!N81)</f>
        <v>0.0621268292489901</v>
      </c>
      <c r="O225" s="147" t="n">
        <f aca="false">IF('Prod Payroll'!O81=0,0,('Prod Payroll'!O38+'Prod Payroll'!O59+'Prod Payroll'!O76)/'Prod Payroll'!O81)</f>
        <v>0.0628882491206169</v>
      </c>
      <c r="P225" s="147" t="n">
        <f aca="false">IF('Prod Payroll'!P81=0,0,('Prod Payroll'!P38+'Prod Payroll'!P59+'Prod Payroll'!P76)/'Prod Payroll'!P81)</f>
        <v>0.0608165519721661</v>
      </c>
      <c r="Q225" s="147" t="n">
        <f aca="false">IF('Prod Payroll'!Q81=0,0,('Prod Payroll'!Q38+'Prod Payroll'!Q59+'Prod Payroll'!Q76)/'Prod Payroll'!Q81)</f>
        <v>0.0615596286660898</v>
      </c>
    </row>
    <row r="226">
      <c r="A226" s="0" t="inlineStr">
        <is>
          <t xml:space="preserve">Idle labour expensed to 5110 - Salaries and Wages - Production (-&gt; PO row 33, U:AF)</t>
        </is>
      </c>
      <c r="F226" s="147" t="n">
        <f aca="false">F223*(1-F224-F225)</f>
        <v>0</v>
      </c>
      <c r="G226" s="147" t="n">
        <f aca="false">G223*(1-G224-G225)</f>
        <v>0</v>
      </c>
      <c r="H226" s="147" t="n">
        <f aca="false">H223*(1-H224-H225)</f>
        <v>0</v>
      </c>
      <c r="I226" s="147" t="n">
        <f aca="false">I223*(1-I224-I225)</f>
        <v>0</v>
      </c>
      <c r="J226" s="147" t="n">
        <f aca="false">J223*(1-J224-J225)</f>
        <v>0</v>
      </c>
      <c r="K226" s="147" t="n">
        <f aca="false">K223*(1-K224-K225)</f>
        <v>0</v>
      </c>
      <c r="L226" s="147" t="n">
        <f aca="false">L223*(1-L224-L225)</f>
        <v>0</v>
      </c>
      <c r="M226" s="147" t="n">
        <f aca="false">M223*(1-M224-M225)</f>
        <v>0</v>
      </c>
      <c r="N226" s="147" t="n">
        <f aca="false">N223*(1-N224-N225)</f>
        <v>0</v>
      </c>
      <c r="O226" s="147" t="n">
        <f aca="false">O223*(1-O224-O225)</f>
        <v>0</v>
      </c>
      <c r="P226" s="147" t="n">
        <f aca="false">P223*(1-P224-P225)</f>
        <v>0</v>
      </c>
      <c r="Q226" s="147" t="n">
        <f aca="false">Q223*(1-Q224-Q225)</f>
        <v>0</v>
      </c>
      <c r="R226" s="147" t="n">
        <f aca="false">SUM(F226:Q226)</f>
        <v>0</v>
      </c>
      <c r="S226" s="0" t="inlineStr">
        <is>
          <t xml:space="preserve">Jan-Dec 27 only (a 2026 month is outside the 2027 P&amp;L); rows 226:228 sum to row 223 (F:Q)</t>
        </is>
      </c>
    </row>
    <row r="227">
      <c r="A227" s="0" t="inlineStr">
        <is>
          <t xml:space="preserve">Idle labour expensed to 5130 - Payroll Taxes - Production (-&gt; PO row 34, U:AF)</t>
        </is>
      </c>
      <c r="F227" s="147" t="n">
        <f aca="false">F223*F224</f>
        <v>0</v>
      </c>
      <c r="G227" s="147" t="n">
        <f aca="false">G223*G224</f>
        <v>0</v>
      </c>
      <c r="H227" s="147" t="n">
        <f aca="false">H223*H224</f>
        <v>0</v>
      </c>
      <c r="I227" s="147" t="n">
        <f aca="false">I223*I224</f>
        <v>0</v>
      </c>
      <c r="J227" s="147" t="n">
        <f aca="false">J223*J224</f>
        <v>0</v>
      </c>
      <c r="K227" s="147" t="n">
        <f aca="false">K223*K224</f>
        <v>0</v>
      </c>
      <c r="L227" s="147" t="n">
        <f aca="false">L223*L224</f>
        <v>0</v>
      </c>
      <c r="M227" s="147" t="n">
        <f aca="false">M223*M224</f>
        <v>0</v>
      </c>
      <c r="N227" s="147" t="n">
        <f aca="false">N223*N224</f>
        <v>0</v>
      </c>
      <c r="O227" s="147" t="n">
        <f aca="false">O223*O224</f>
        <v>0</v>
      </c>
      <c r="P227" s="147" t="n">
        <f aca="false">P223*P224</f>
        <v>0</v>
      </c>
      <c r="Q227" s="147" t="n">
        <f aca="false">Q223*Q224</f>
        <v>0</v>
      </c>
      <c r="R227" s="147" t="n">
        <f aca="false">SUM(F227:Q227)</f>
        <v>0</v>
      </c>
    </row>
    <row r="228">
      <c r="A228" s="0" t="inlineStr">
        <is>
          <t xml:space="preserve">Idle labour expensed to 5140 - Benefits - Production (-&gt; PO row 35, U:AF)</t>
        </is>
      </c>
      <c r="F228" s="147" t="n">
        <f aca="false">F223*F225</f>
        <v>0</v>
      </c>
      <c r="G228" s="147" t="n">
        <f aca="false">G223*G225</f>
        <v>0</v>
      </c>
      <c r="H228" s="147" t="n">
        <f aca="false">H223*H225</f>
        <v>0</v>
      </c>
      <c r="I228" s="147" t="n">
        <f aca="false">I223*I225</f>
        <v>0</v>
      </c>
      <c r="J228" s="147" t="n">
        <f aca="false">J223*J225</f>
        <v>0</v>
      </c>
      <c r="K228" s="147" t="n">
        <f aca="false">K223*K225</f>
        <v>0</v>
      </c>
      <c r="L228" s="147" t="n">
        <f aca="false">L223*L225</f>
        <v>0</v>
      </c>
      <c r="M228" s="147" t="n">
        <f aca="false">M223*M225</f>
        <v>0</v>
      </c>
      <c r="N228" s="147" t="n">
        <f aca="false">N223*N225</f>
        <v>0</v>
      </c>
      <c r="O228" s="147" t="n">
        <f aca="false">O223*O225</f>
        <v>0</v>
      </c>
      <c r="P228" s="147" t="n">
        <f aca="false">P223*P225</f>
        <v>0</v>
      </c>
      <c r="Q228" s="147" t="n">
        <f aca="false">Q223*Q225</f>
        <v>0</v>
      </c>
      <c r="R228" s="147" t="n">
        <f aca="false">SUM(F228:Q228)</f>
        <v>0</v>
      </c>
    </row>
    <row r="229">
      <c r="A229" s="0" t="inlineStr">
        <is>
          <t xml:space="preserve">Check: rows 226:228 less row 223, Jan-Dec 27 (must be 0)</t>
        </is>
      </c>
      <c r="R229" s="147" t="n">
        <f aca="false">SUM(R226:R228)-R223</f>
        <v>0</v>
      </c>
    </row>
    <row r="230">
      <c r="A230" s="146" t="inlineStr">
        <is>
          <t xml:space="preserve">Sep-26 builds (Nov-26 go-lives): 2027 depreciation of their labour (0 when B132 = 0; same rule as the 2027 vintages)</t>
        </is>
      </c>
    </row>
    <row r="231">
      <c r="A231" s="0" t="inlineStr">
        <is>
          <t xml:space="preserve">SlipLifts built Sep-Dec 26 that go live in 2026: labour depreciation</t>
        </is>
      </c>
      <c r="F231" s="147" t="n">
        <f aca="false">($B$152*(YEAR($B$158)&lt;2027)*(EOMONTH($B$158,$B$13)&lt;=F$27)+$C$152*(YEAR($C$158)&lt;2027)*(EOMONTH($C$158,$B$13)&lt;=F$27)+$D$152*(YEAR($D$158)&lt;2027)*(EOMONTH($D$158,$B$13)&lt;=F$27)+$E$152*(YEAR($E$158)&lt;2027)*(EOMONTH($E$158,$B$13)&lt;=F$27))*(1-$B$12)/$B$9</f>
        <v>0</v>
      </c>
      <c r="G231" s="147" t="n">
        <f aca="false">($B$152*(YEAR($B$158)&lt;2027)*(EOMONTH($B$158,$B$13)&lt;=G$27)+$C$152*(YEAR($C$158)&lt;2027)*(EOMONTH($C$158,$B$13)&lt;=G$27)+$D$152*(YEAR($D$158)&lt;2027)*(EOMONTH($D$158,$B$13)&lt;=G$27)+$E$152*(YEAR($E$158)&lt;2027)*(EOMONTH($E$158,$B$13)&lt;=G$27))*(1-$B$12)/$B$9</f>
        <v>0</v>
      </c>
      <c r="H231" s="147" t="n">
        <f aca="false">($B$152*(YEAR($B$158)&lt;2027)*(EOMONTH($B$158,$B$13)&lt;=H$27)+$C$152*(YEAR($C$158)&lt;2027)*(EOMONTH($C$158,$B$13)&lt;=H$27)+$D$152*(YEAR($D$158)&lt;2027)*(EOMONTH($D$158,$B$13)&lt;=H$27)+$E$152*(YEAR($E$158)&lt;2027)*(EOMONTH($E$158,$B$13)&lt;=H$27))*(1-$B$12)/$B$9</f>
        <v>0</v>
      </c>
      <c r="I231" s="147" t="n">
        <f aca="false">($B$152*(YEAR($B$158)&lt;2027)*(EOMONTH($B$158,$B$13)&lt;=I$27)+$C$152*(YEAR($C$158)&lt;2027)*(EOMONTH($C$158,$B$13)&lt;=I$27)+$D$152*(YEAR($D$158)&lt;2027)*(EOMONTH($D$158,$B$13)&lt;=I$27)+$E$152*(YEAR($E$158)&lt;2027)*(EOMONTH($E$158,$B$13)&lt;=I$27))*(1-$B$12)/$B$9</f>
        <v>0</v>
      </c>
      <c r="J231" s="147" t="n">
        <f aca="false">($B$152*(YEAR($B$158)&lt;2027)*(EOMONTH($B$158,$B$13)&lt;=J$27)+$C$152*(YEAR($C$158)&lt;2027)*(EOMONTH($C$158,$B$13)&lt;=J$27)+$D$152*(YEAR($D$158)&lt;2027)*(EOMONTH($D$158,$B$13)&lt;=J$27)+$E$152*(YEAR($E$158)&lt;2027)*(EOMONTH($E$158,$B$13)&lt;=J$27))*(1-$B$12)/$B$9</f>
        <v>0</v>
      </c>
      <c r="K231" s="147" t="n">
        <f aca="false">($B$152*(YEAR($B$158)&lt;2027)*(EOMONTH($B$158,$B$13)&lt;=K$27)+$C$152*(YEAR($C$158)&lt;2027)*(EOMONTH($C$158,$B$13)&lt;=K$27)+$D$152*(YEAR($D$158)&lt;2027)*(EOMONTH($D$158,$B$13)&lt;=K$27)+$E$152*(YEAR($E$158)&lt;2027)*(EOMONTH($E$158,$B$13)&lt;=K$27))*(1-$B$12)/$B$9</f>
        <v>0</v>
      </c>
      <c r="L231" s="147" t="n">
        <f aca="false">($B$152*(YEAR($B$158)&lt;2027)*(EOMONTH($B$158,$B$13)&lt;=L$27)+$C$152*(YEAR($C$158)&lt;2027)*(EOMONTH($C$158,$B$13)&lt;=L$27)+$D$152*(YEAR($D$158)&lt;2027)*(EOMONTH($D$158,$B$13)&lt;=L$27)+$E$152*(YEAR($E$158)&lt;2027)*(EOMONTH($E$158,$B$13)&lt;=L$27))*(1-$B$12)/$B$9</f>
        <v>0</v>
      </c>
      <c r="M231" s="147" t="n">
        <f aca="false">($B$152*(YEAR($B$158)&lt;2027)*(EOMONTH($B$158,$B$13)&lt;=M$27)+$C$152*(YEAR($C$158)&lt;2027)*(EOMONTH($C$158,$B$13)&lt;=M$27)+$D$152*(YEAR($D$158)&lt;2027)*(EOMONTH($D$158,$B$13)&lt;=M$27)+$E$152*(YEAR($E$158)&lt;2027)*(EOMONTH($E$158,$B$13)&lt;=M$27))*(1-$B$12)/$B$9</f>
        <v>0</v>
      </c>
      <c r="N231" s="147" t="n">
        <f aca="false">($B$152*(YEAR($B$158)&lt;2027)*(EOMONTH($B$158,$B$13)&lt;=N$27)+$C$152*(YEAR($C$158)&lt;2027)*(EOMONTH($C$158,$B$13)&lt;=N$27)+$D$152*(YEAR($D$158)&lt;2027)*(EOMONTH($D$158,$B$13)&lt;=N$27)+$E$152*(YEAR($E$158)&lt;2027)*(EOMONTH($E$158,$B$13)&lt;=N$27))*(1-$B$12)/$B$9</f>
        <v>0</v>
      </c>
      <c r="O231" s="147" t="n">
        <f aca="false">($B$152*(YEAR($B$158)&lt;2027)*(EOMONTH($B$158,$B$13)&lt;=O$27)+$C$152*(YEAR($C$158)&lt;2027)*(EOMONTH($C$158,$B$13)&lt;=O$27)+$D$152*(YEAR($D$158)&lt;2027)*(EOMONTH($D$158,$B$13)&lt;=O$27)+$E$152*(YEAR($E$158)&lt;2027)*(EOMONTH($E$158,$B$13)&lt;=O$27))*(1-$B$12)/$B$9</f>
        <v>0</v>
      </c>
      <c r="P231" s="147" t="n">
        <f aca="false">($B$152*(YEAR($B$158)&lt;2027)*(EOMONTH($B$158,$B$13)&lt;=P$27)+$C$152*(YEAR($C$158)&lt;2027)*(EOMONTH($C$158,$B$13)&lt;=P$27)+$D$152*(YEAR($D$158)&lt;2027)*(EOMONTH($D$158,$B$13)&lt;=P$27)+$E$152*(YEAR($E$158)&lt;2027)*(EOMONTH($E$158,$B$13)&lt;=P$27))*(1-$B$12)/$B$9</f>
        <v>0</v>
      </c>
      <c r="Q231" s="147" t="n">
        <f aca="false">($B$152*(YEAR($B$158)&lt;2027)*(EOMONTH($B$158,$B$13)&lt;=Q$27)+$C$152*(YEAR($C$158)&lt;2027)*(EOMONTH($C$158,$B$13)&lt;=Q$27)+$D$152*(YEAR($D$158)&lt;2027)*(EOMONTH($D$158,$B$13)&lt;=Q$27)+$E$152*(YEAR($E$158)&lt;2027)*(EOMONTH($E$158,$B$13)&lt;=Q$27))*(1-$B$12)/$B$9</f>
        <v>0</v>
      </c>
      <c r="R231" s="147" t="n">
        <f aca="false">SUM(F231:Q231)</f>
        <v>0</v>
      </c>
      <c r="S231" s="0" t="inlineStr">
        <is>
          <t xml:space="preserve">Pooled labour (rows 152 / 154, B:E) of builds whose go-live (row 158) is in 2026, from go-live + B13; lives B9 / B10; -&gt; rows 193 / 194</t>
        </is>
      </c>
    </row>
    <row r="232">
      <c r="A232" s="0" t="inlineStr">
        <is>
          <t xml:space="preserve">SlipTrays built Sep-Dec 26 that go live in 2026: labour depreciation</t>
        </is>
      </c>
      <c r="F232" s="147" t="n">
        <f aca="false">($B$154*(YEAR($B$158)&lt;2027)*(EOMONTH($B$158,$B$13)&lt;=F$27)+$C$154*(YEAR($C$158)&lt;2027)*(EOMONTH($C$158,$B$13)&lt;=F$27)+$D$154*(YEAR($D$158)&lt;2027)*(EOMONTH($D$158,$B$13)&lt;=F$27)+$E$154*(YEAR($E$158)&lt;2027)*(EOMONTH($E$158,$B$13)&lt;=F$27))*(1-$B$12)/$B$10</f>
        <v>0</v>
      </c>
      <c r="G232" s="147" t="n">
        <f aca="false">($B$154*(YEAR($B$158)&lt;2027)*(EOMONTH($B$158,$B$13)&lt;=G$27)+$C$154*(YEAR($C$158)&lt;2027)*(EOMONTH($C$158,$B$13)&lt;=G$27)+$D$154*(YEAR($D$158)&lt;2027)*(EOMONTH($D$158,$B$13)&lt;=G$27)+$E$154*(YEAR($E$158)&lt;2027)*(EOMONTH($E$158,$B$13)&lt;=G$27))*(1-$B$12)/$B$10</f>
        <v>0</v>
      </c>
      <c r="H232" s="147" t="n">
        <f aca="false">($B$154*(YEAR($B$158)&lt;2027)*(EOMONTH($B$158,$B$13)&lt;=H$27)+$C$154*(YEAR($C$158)&lt;2027)*(EOMONTH($C$158,$B$13)&lt;=H$27)+$D$154*(YEAR($D$158)&lt;2027)*(EOMONTH($D$158,$B$13)&lt;=H$27)+$E$154*(YEAR($E$158)&lt;2027)*(EOMONTH($E$158,$B$13)&lt;=H$27))*(1-$B$12)/$B$10</f>
        <v>0</v>
      </c>
      <c r="I232" s="147" t="n">
        <f aca="false">($B$154*(YEAR($B$158)&lt;2027)*(EOMONTH($B$158,$B$13)&lt;=I$27)+$C$154*(YEAR($C$158)&lt;2027)*(EOMONTH($C$158,$B$13)&lt;=I$27)+$D$154*(YEAR($D$158)&lt;2027)*(EOMONTH($D$158,$B$13)&lt;=I$27)+$E$154*(YEAR($E$158)&lt;2027)*(EOMONTH($E$158,$B$13)&lt;=I$27))*(1-$B$12)/$B$10</f>
        <v>0</v>
      </c>
      <c r="J232" s="147" t="n">
        <f aca="false">($B$154*(YEAR($B$158)&lt;2027)*(EOMONTH($B$158,$B$13)&lt;=J$27)+$C$154*(YEAR($C$158)&lt;2027)*(EOMONTH($C$158,$B$13)&lt;=J$27)+$D$154*(YEAR($D$158)&lt;2027)*(EOMONTH($D$158,$B$13)&lt;=J$27)+$E$154*(YEAR($E$158)&lt;2027)*(EOMONTH($E$158,$B$13)&lt;=J$27))*(1-$B$12)/$B$10</f>
        <v>0</v>
      </c>
      <c r="K232" s="147" t="n">
        <f aca="false">($B$154*(YEAR($B$158)&lt;2027)*(EOMONTH($B$158,$B$13)&lt;=K$27)+$C$154*(YEAR($C$158)&lt;2027)*(EOMONTH($C$158,$B$13)&lt;=K$27)+$D$154*(YEAR($D$158)&lt;2027)*(EOMONTH($D$158,$B$13)&lt;=K$27)+$E$154*(YEAR($E$158)&lt;2027)*(EOMONTH($E$158,$B$13)&lt;=K$27))*(1-$B$12)/$B$10</f>
        <v>0</v>
      </c>
      <c r="L232" s="147" t="n">
        <f aca="false">($B$154*(YEAR($B$158)&lt;2027)*(EOMONTH($B$158,$B$13)&lt;=L$27)+$C$154*(YEAR($C$158)&lt;2027)*(EOMONTH($C$158,$B$13)&lt;=L$27)+$D$154*(YEAR($D$158)&lt;2027)*(EOMONTH($D$158,$B$13)&lt;=L$27)+$E$154*(YEAR($E$158)&lt;2027)*(EOMONTH($E$158,$B$13)&lt;=L$27))*(1-$B$12)/$B$10</f>
        <v>0</v>
      </c>
      <c r="M232" s="147" t="n">
        <f aca="false">($B$154*(YEAR($B$158)&lt;2027)*(EOMONTH($B$158,$B$13)&lt;=M$27)+$C$154*(YEAR($C$158)&lt;2027)*(EOMONTH($C$158,$B$13)&lt;=M$27)+$D$154*(YEAR($D$158)&lt;2027)*(EOMONTH($D$158,$B$13)&lt;=M$27)+$E$154*(YEAR($E$158)&lt;2027)*(EOMONTH($E$158,$B$13)&lt;=M$27))*(1-$B$12)/$B$10</f>
        <v>0</v>
      </c>
      <c r="N232" s="147" t="n">
        <f aca="false">($B$154*(YEAR($B$158)&lt;2027)*(EOMONTH($B$158,$B$13)&lt;=N$27)+$C$154*(YEAR($C$158)&lt;2027)*(EOMONTH($C$158,$B$13)&lt;=N$27)+$D$154*(YEAR($D$158)&lt;2027)*(EOMONTH($D$158,$B$13)&lt;=N$27)+$E$154*(YEAR($E$158)&lt;2027)*(EOMONTH($E$158,$B$13)&lt;=N$27))*(1-$B$12)/$B$10</f>
        <v>0</v>
      </c>
      <c r="O232" s="147" t="n">
        <f aca="false">($B$154*(YEAR($B$158)&lt;2027)*(EOMONTH($B$158,$B$13)&lt;=O$27)+$C$154*(YEAR($C$158)&lt;2027)*(EOMONTH($C$158,$B$13)&lt;=O$27)+$D$154*(YEAR($D$158)&lt;2027)*(EOMONTH($D$158,$B$13)&lt;=O$27)+$E$154*(YEAR($E$158)&lt;2027)*(EOMONTH($E$158,$B$13)&lt;=O$27))*(1-$B$12)/$B$10</f>
        <v>0</v>
      </c>
      <c r="P232" s="147" t="n">
        <f aca="false">($B$154*(YEAR($B$158)&lt;2027)*(EOMONTH($B$158,$B$13)&lt;=P$27)+$C$154*(YEAR($C$158)&lt;2027)*(EOMONTH($C$158,$B$13)&lt;=P$27)+$D$154*(YEAR($D$158)&lt;2027)*(EOMONTH($D$158,$B$13)&lt;=P$27)+$E$154*(YEAR($E$158)&lt;2027)*(EOMONTH($E$158,$B$13)&lt;=P$27))*(1-$B$12)/$B$10</f>
        <v>0</v>
      </c>
      <c r="Q232" s="147" t="n">
        <f aca="false">($B$154*(YEAR($B$158)&lt;2027)*(EOMONTH($B$158,$B$13)&lt;=Q$27)+$C$154*(YEAR($C$158)&lt;2027)*(EOMONTH($C$158,$B$13)&lt;=Q$27)+$D$154*(YEAR($D$158)&lt;2027)*(EOMONTH($D$158,$B$13)&lt;=Q$27)+$E$154*(YEAR($E$158)&lt;2027)*(EOMONTH($E$158,$B$13)&lt;=Q$27))*(1-$B$12)/$B$10</f>
        <v>0</v>
      </c>
      <c r="R232" s="147" t="n">
        <f aca="false">SUM(F232:Q232)</f>
        <v>0</v>
      </c>
    </row>
    <row r="233">
      <c r="A233" s="146" t="inlineStr">
        <is>
          <t xml:space="preserve">Total (rows 231:232)</t>
        </is>
      </c>
      <c r="F233" s="147" t="n">
        <f aca="false">F231+F232</f>
        <v>0</v>
      </c>
      <c r="G233" s="147" t="n">
        <f aca="false">G231+G232</f>
        <v>0</v>
      </c>
      <c r="H233" s="147" t="n">
        <f aca="false">H231+H232</f>
        <v>0</v>
      </c>
      <c r="I233" s="147" t="n">
        <f aca="false">I231+I232</f>
        <v>0</v>
      </c>
      <c r="J233" s="147" t="n">
        <f aca="false">J231+J232</f>
        <v>0</v>
      </c>
      <c r="K233" s="147" t="n">
        <f aca="false">K231+K232</f>
        <v>0</v>
      </c>
      <c r="L233" s="147" t="n">
        <f aca="false">L231+L232</f>
        <v>0</v>
      </c>
      <c r="M233" s="147" t="n">
        <f aca="false">M231+M232</f>
        <v>0</v>
      </c>
      <c r="N233" s="147" t="n">
        <f aca="false">N231+N232</f>
        <v>0</v>
      </c>
      <c r="O233" s="147" t="n">
        <f aca="false">O231+O232</f>
        <v>0</v>
      </c>
      <c r="P233" s="147" t="n">
        <f aca="false">P231+P232</f>
        <v>0</v>
      </c>
      <c r="Q233" s="147" t="n">
        <f aca="false">Q231+Q232</f>
        <v>0</v>
      </c>
      <c r="R233" s="147" t="n">
        <f aca="false">SUM(F233:Q233)</f>
        <v>0</v>
      </c>
    </row>
    <row r="235">
      <c r="A235" s="3" t="inlineStr">
        <is>
          <t xml:space="preserve">Memo (v9): CapEx and the Dec-27 balance sheet of the capitalised labour</t>
        </is>
      </c>
      <c r="B235" s="3" t="inlineStr">
        <is>
          <t xml:space="preserve">Value</t>
        </is>
      </c>
    </row>
    <row r="236">
      <c r="A236" s="0" t="inlineStr">
        <is>
          <t xml:space="preserve">CapEx increase in 2027 for production labour: 2027 payroll capitalised (R149 less the idle labour expensed, R223)</t>
        </is>
      </c>
      <c r="B236" s="147" t="n">
        <f aca="false">R149-R223</f>
        <v>2592893.90102852</v>
      </c>
    </row>
    <row r="237">
      <c r="A237" s="0" t="inlineStr">
        <is>
          <t xml:space="preserve">Sep-Dec 26 labour capitalised (2026 CapEx; 0 when B132 = 0)</t>
        </is>
      </c>
      <c r="B237" s="147" t="n">
        <f aca="false">SUM(B149:E149)-SUM(B221:E222)</f>
        <v>0</v>
      </c>
    </row>
    <row r="238">
      <c r="A238" s="0" t="inlineStr">
        <is>
          <t xml:space="preserve">PP&amp;E in service at Dec-27 (labour, net of 2027 depreciation) = B213</t>
        </is>
      </c>
      <c r="B238" s="147" t="n">
        <f aca="false">B213</f>
        <v>1837906.04230319</v>
      </c>
    </row>
    <row r="239">
      <c r="A239" s="0" t="inlineStr">
        <is>
          <t xml:space="preserve">PP&amp;E not yet placed in service (CIP) at Dec-27 (labour in builds for 2028 go-lives + labour waiting) = B204 + B205</t>
        </is>
      </c>
      <c r="B239" s="147" t="n">
        <f aca="false">B204+B205</f>
        <v>650571.18006802</v>
      </c>
    </row>
    <row r="240">
      <c r="A240" s="0" t="inlineStr">
        <is>
          <t xml:space="preserve">Idle-month labour expensed in 2027 (B135 = 0) = R223</t>
        </is>
      </c>
      <c r="B240" s="147" t="n">
        <f aca="false">R223</f>
        <v>0</v>
      </c>
    </row>
    <row r="241">
      <c r="A241" s="0" t="inlineStr">
        <is>
          <t xml:space="preserve">2027 depreciation of the Sep-26 builds' labour (B132 = 1) = R233</t>
        </is>
      </c>
      <c r="B241" s="147" t="n">
        <f aca="false">R233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n">
        <f aca="false">IF(MAX($C$8,B47)&gt;MAX($B$20:$O$20),MAX($B$20:$O$20),INDEX($B$20:$O$20,IFERROR(MATCH(MAX($C$8,B47),$B$20:$O$20,1),0)+ISNA(MATCH(MAX($C$8,B47),$B$20:$O$20,0))))</f>
        <v>10</v>
      </c>
      <c r="C48" s="221" t="n">
        <f aca="false">IF(MAX($C$8,C47)&gt;MAX($B$20:$O$20),MAX($B$20:$O$20),INDEX($B$20:$O$20,IFERROR(MATCH(MAX($C$8,C47),$B$20:$O$20,1),0)+ISNA(MATCH(MAX($C$8,C47),$B$20:$O$20,0))))</f>
        <v>10</v>
      </c>
      <c r="D48" s="221" t="n">
        <f aca="false">IF(MAX($C$8,D47)&gt;MAX($B$20:$O$20),MAX($B$20:$O$20),INDEX($B$20:$O$20,IFERROR(MATCH(MAX($C$8,D47),$B$20:$O$20,1),0)+ISNA(MATCH(MAX($C$8,D47),$B$20:$O$20,0))))</f>
        <v>20</v>
      </c>
      <c r="E48" s="221" t="n">
        <f aca="false">IF(MAX($C$8,E47)&gt;MAX($B$20:$O$20),MAX($B$20:$O$20),INDEX($B$20:$O$20,IFERROR(MATCH(MAX($C$8,E47),$B$20:$O$20,1),0)+ISNA(MATCH(MAX($C$8,E47),$B$20:$O$20,0))))</f>
        <v>10</v>
      </c>
      <c r="F48" s="221" t="n">
        <f aca="false">IF(MAX($C$8,F47)&gt;MAX($B$20:$O$20),MAX($B$20:$O$20),INDEX($B$20:$O$20,IFERROR(MATCH(MAX($C$8,F47),$B$20:$O$20,1),0)+ISNA(MATCH(MAX($C$8,F47),$B$20:$O$20,0))))</f>
        <v>10</v>
      </c>
      <c r="G48" s="221" t="n">
        <f aca="false">IF(MAX($C$8,G47)&gt;MAX($B$20:$O$20),MAX($B$20:$O$20),INDEX($B$20:$O$20,IFERROR(MATCH(MAX($C$8,G47),$B$20:$O$20,1),0)+ISNA(MATCH(MAX($C$8,G47),$B$20:$O$20,0))))</f>
        <v>30</v>
      </c>
      <c r="H48" s="221" t="n">
        <f aca="false">IF(MAX($C$8,H47)&gt;MAX($B$20:$O$20),MAX($B$20:$O$20),INDEX($B$20:$O$20,IFERROR(MATCH(MAX($C$8,H47),$B$20:$O$20,1),0)+ISNA(MATCH(MAX($C$8,H47),$B$20:$O$20,0))))</f>
        <v>20</v>
      </c>
      <c r="I48" s="221" t="n">
        <f aca="false">IF(MAX($C$8,I47)&gt;MAX($B$20:$O$20),MAX($B$20:$O$20),INDEX($B$20:$O$20,IFERROR(MATCH(MAX($C$8,I47),$B$20:$O$20,1),0)+ISNA(MATCH(MAX($C$8,I47),$B$20:$O$20,0))))</f>
        <v>30</v>
      </c>
      <c r="J48" s="221" t="n">
        <f aca="false">IF(MAX($C$8,J47)&gt;MAX($B$20:$O$20),MAX($B$20:$O$20),INDEX($B$20:$O$20,IFERROR(MATCH(MAX($C$8,J47),$B$20:$O$20,1),0)+ISNA(MATCH(MAX($C$8,J47),$B$20:$O$20,0))))</f>
        <v>20</v>
      </c>
      <c r="K48" s="221" t="n">
        <f aca="false">IF(MAX($C$8,K47)&gt;MAX($B$20:$O$20),MAX($B$20:$O$20),INDEX($B$20:$O$20,IFERROR(MATCH(MAX($C$8,K47),$B$20:$O$20,1),0)+ISNA(MATCH(MAX($C$8,K47),$B$20:$O$20,0))))</f>
        <v>20</v>
      </c>
      <c r="L48" s="221" t="n">
        <f aca="false">IF(MAX($C$8,L47)&gt;MAX($B$20:$O$20),MAX($B$20:$O$20),INDEX($B$20:$O$20,IFERROR(MATCH(MAX($C$8,L47),$B$20:$O$20,1),0)+ISNA(MATCH(MAX($C$8,L47),$B$20:$O$20,0))))</f>
        <v>30</v>
      </c>
      <c r="M48" s="221" t="n">
        <f aca="false">IF(MAX($C$8,M47)&gt;MAX($B$20:$O$20),MAX($B$20:$O$20),INDEX($B$20:$O$20,IFERROR(MATCH(MAX($C$8,M47),$B$20:$O$20,1),0)+ISNA(MATCH(MAX($C$8,M47),$B$20:$O$20,0))))</f>
        <v>30</v>
      </c>
      <c r="N48" s="221" t="n">
        <f aca="false">IF(MAX($C$8,N47)&gt;MAX($B$20:$O$20),MAX($B$20:$O$20),INDEX($B$20:$O$20,IFERROR(MATCH(MAX($C$8,N47),$B$20:$O$20,1),0)+ISNA(MATCH(MAX($C$8,N47),$B$20:$O$20,0))))</f>
        <v>40</v>
      </c>
      <c r="O48" s="221" t="n">
        <f aca="false">IF(MAX($C$8,O47)&gt;MAX($B$20:$O$20),MAX($B$20:$O$20),INDEX($B$20:$O$20,IFERROR(MATCH(MAX($C$8,O47),$B$20:$O$20,1),0)+ISNA(MATCH(MAX($C$8,O47),$B$20:$O$20,0))))</f>
        <v>40</v>
      </c>
      <c r="P48" s="221" t="n">
        <f aca="false">IF(MAX($C$8,P47)&gt;MAX($B$20:$O$20),MAX($B$20:$O$20),INDEX($B$20:$O$20,IFERROR(MATCH(MAX($C$8,P47),$B$20:$O$20,1),0)+ISNA(MATCH(MAX($C$8,P47),$B$20:$O$20,0))))</f>
        <v>50</v>
      </c>
      <c r="Q48" s="221" t="n">
        <f aca="false">IF(MAX($C$8,Q47)&gt;MAX($B$20:$O$20),MAX($B$20:$O$20),INDEX($B$20:$O$20,IFERROR(MATCH(MAX($C$8,Q47),$B$20:$O$20,1),0)+ISNA(MATCH(MAX($C$8,Q47),$B$20:$O$20,0))))</f>
        <v>50</v>
      </c>
      <c r="R48" s="222"/>
      <c r="S48" s="222"/>
      <c r="T48" s="186"/>
    </row>
    <row r="49" customFormat="false" ht="14.25" hidden="false" customHeight="true" outlineLevel="0" collapsed="false">
      <c r="A49" s="185" t="s">
        <v>1743</v>
      </c>
      <c r="B49" s="223" t="n">
        <f aca="false" t="array" ref="B49:B49">INDEX($B$22:$O$22,MATCH(B48,$B$20:$O$20,0))</f>
        <v>3</v>
      </c>
      <c r="C49" s="223" t="n">
        <f aca="false">MAX(B49,INDEX($B$22:$O$22,MATCH(C48,$B$20:$O$20,0)))</f>
        <v>3</v>
      </c>
      <c r="D49" s="223" t="n">
        <f aca="false">MAX(C49,INDEX($B$22:$O$22,MATCH(D48,$B$20:$O$20,0)))</f>
        <v>6</v>
      </c>
      <c r="E49" s="223" t="n">
        <f aca="false">MAX(D49,INDEX($B$22:$O$22,MATCH(E48,$B$20:$O$20,0)))</f>
        <v>6</v>
      </c>
      <c r="F49" s="223" t="n">
        <f aca="false">MAX(E49,INDEX($B$22:$O$22,MATCH(F48,$B$20:$O$20,0)))</f>
        <v>6</v>
      </c>
      <c r="G49" s="223" t="n">
        <f aca="false">MAX(F49,INDEX($B$22:$O$22,MATCH(G48,$B$20:$O$20,0)))</f>
        <v>9</v>
      </c>
      <c r="H49" s="223" t="n">
        <f aca="false">MAX(G49,INDEX($B$22:$O$22,MATCH(H48,$B$20:$O$20,0)))</f>
        <v>9</v>
      </c>
      <c r="I49" s="223" t="n">
        <f aca="false">MAX(H49,INDEX($B$22:$O$22,MATCH(I48,$B$20:$O$20,0)))</f>
        <v>9</v>
      </c>
      <c r="J49" s="223" t="n">
        <f aca="false">MAX(I49,INDEX($B$22:$O$22,MATCH(J48,$B$20:$O$20,0)))</f>
        <v>9</v>
      </c>
      <c r="K49" s="223" t="n">
        <f aca="false">MAX(J49,INDEX($B$22:$O$22,MATCH(K48,$B$20:$O$20,0)))</f>
        <v>9</v>
      </c>
      <c r="L49" s="223" t="n">
        <f aca="false">MAX(K49,INDEX($B$22:$O$22,MATCH(L48,$B$20:$O$20,0)))</f>
        <v>9</v>
      </c>
      <c r="M49" s="223" t="n">
        <f aca="false">MAX(L49,INDEX($B$22:$O$22,MATCH(M48,$B$20:$O$20,0)))</f>
        <v>9</v>
      </c>
      <c r="N49" s="223" t="n">
        <f aca="false">MAX(M49,INDEX($B$22:$O$22,MATCH(N48,$B$20:$O$20,0)))</f>
        <v>12</v>
      </c>
      <c r="O49" s="223" t="n">
        <f aca="false">MAX(N49,INDEX($B$22:$O$22,MATCH(O48,$B$20:$O$20,0)))</f>
        <v>12</v>
      </c>
      <c r="P49" s="223" t="n">
        <f aca="false">MAX(O49,INDEX($B$22:$O$22,MATCH(P48,$B$20:$O$20,0)))</f>
        <v>15</v>
      </c>
      <c r="Q49" s="223" t="n">
        <f aca="false">MAX(P49,INDEX($B$22:$O$22,MATCH(Q48,$B$20:$O$20,0)))</f>
        <v>15</v>
      </c>
      <c r="R49" s="224" t="n">
        <f aca="false">AVERAGE(B49:E49)</f>
        <v>4.5</v>
      </c>
      <c r="S49" s="224" t="n">
        <f aca="false">AVERAGE(F49:Q49)</f>
        <v>10.25</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n">
        <f aca="false">MAX(0,B49-B50)</f>
        <v>1</v>
      </c>
      <c r="C51" s="223" t="n">
        <f aca="false">MAX(0,C49-C50)</f>
        <v>1</v>
      </c>
      <c r="D51" s="223" t="n">
        <f aca="false">MAX(0,D49-D50)</f>
        <v>4</v>
      </c>
      <c r="E51" s="223" t="n">
        <f aca="false">MAX(0,E49-E50)</f>
        <v>4</v>
      </c>
      <c r="F51" s="223" t="n">
        <f aca="false">MAX(0,F49-F50)</f>
        <v>4</v>
      </c>
      <c r="G51" s="223" t="n">
        <f aca="false">MAX(0,G49-G50)</f>
        <v>7</v>
      </c>
      <c r="H51" s="223" t="n">
        <f aca="false">MAX(0,H49-H50)</f>
        <v>7</v>
      </c>
      <c r="I51" s="223" t="n">
        <f aca="false">MAX(0,I49-I50)</f>
        <v>7</v>
      </c>
      <c r="J51" s="223" t="n">
        <f aca="false">MAX(0,J49-J50)</f>
        <v>7</v>
      </c>
      <c r="K51" s="223" t="n">
        <f aca="false">MAX(0,K49-K50)</f>
        <v>7</v>
      </c>
      <c r="L51" s="223" t="n">
        <f aca="false">MAX(0,L49-L50)</f>
        <v>7</v>
      </c>
      <c r="M51" s="223" t="n">
        <f aca="false">MAX(0,M49-M50)</f>
        <v>7</v>
      </c>
      <c r="N51" s="223" t="n">
        <f aca="false">MAX(0,N49-N50)</f>
        <v>10</v>
      </c>
      <c r="O51" s="223" t="n">
        <f aca="false">MAX(0,O49-O50)</f>
        <v>10</v>
      </c>
      <c r="P51" s="223" t="n">
        <f aca="false">MAX(0,P49-P50)</f>
        <v>13</v>
      </c>
      <c r="Q51" s="223" t="n">
        <f aca="false">MAX(0,Q49-Q50)</f>
        <v>13</v>
      </c>
      <c r="R51" s="224" t="n">
        <f aca="false">AVERAGE(B51:E51)</f>
        <v>2.5</v>
      </c>
      <c r="S51" s="224" t="n">
        <f aca="false">AVERAGE(F51:Q51)</f>
        <v>8.25</v>
      </c>
      <c r="T51" s="186"/>
    </row>
    <row r="52" customFormat="false" ht="14.25" hidden="false" customHeight="true" outlineLevel="0" collapsed="false">
      <c r="A52" s="185" t="s">
        <v>1744</v>
      </c>
      <c r="B52" s="223" t="n">
        <f aca="false">B50+B51</f>
        <v>3</v>
      </c>
      <c r="C52" s="223" t="n">
        <f aca="false">C50+C51</f>
        <v>3</v>
      </c>
      <c r="D52" s="223" t="n">
        <f aca="false">D50+D51</f>
        <v>6</v>
      </c>
      <c r="E52" s="223" t="n">
        <f aca="false">E50+E51</f>
        <v>6</v>
      </c>
      <c r="F52" s="223" t="n">
        <f aca="false">F50+F51</f>
        <v>6</v>
      </c>
      <c r="G52" s="223" t="n">
        <f aca="false">G50+G51</f>
        <v>9</v>
      </c>
      <c r="H52" s="223" t="n">
        <f aca="false">H50+H51</f>
        <v>9</v>
      </c>
      <c r="I52" s="223" t="n">
        <f aca="false">I50+I51</f>
        <v>9</v>
      </c>
      <c r="J52" s="223" t="n">
        <f aca="false">J50+J51</f>
        <v>9</v>
      </c>
      <c r="K52" s="223" t="n">
        <f aca="false">K50+K51</f>
        <v>9</v>
      </c>
      <c r="L52" s="223" t="n">
        <f aca="false">L50+L51</f>
        <v>9</v>
      </c>
      <c r="M52" s="223" t="n">
        <f aca="false">M50+M51</f>
        <v>9</v>
      </c>
      <c r="N52" s="223" t="n">
        <f aca="false">N50+N51</f>
        <v>12</v>
      </c>
      <c r="O52" s="223" t="n">
        <f aca="false">O50+O51</f>
        <v>12</v>
      </c>
      <c r="P52" s="223" t="n">
        <f aca="false">P50+P51</f>
        <v>15</v>
      </c>
      <c r="Q52" s="223" t="n">
        <f aca="false">Q50+Q51</f>
        <v>15</v>
      </c>
      <c r="R52" s="224" t="n">
        <f aca="false">AVERAGE(B52:E52)</f>
        <v>4.5</v>
      </c>
      <c r="S52" s="224" t="n">
        <f aca="false">AVERAGE(F52:Q52)</f>
        <v>10.25</v>
      </c>
      <c r="T52" s="186" t="s">
        <v>1730</v>
      </c>
    </row>
    <row r="53" customFormat="false" ht="14.25" hidden="false" customHeight="true" outlineLevel="0" collapsed="false">
      <c r="A53" s="185" t="s">
        <v>1649</v>
      </c>
      <c r="B53" s="225" t="n">
        <f aca="false">B52*$C$5/12+IF(B$24&gt;=$M$6,MIN(B52,INDEX($B52:$Q52,IFERROR(MATCH(EOMONTH($M$6,-$M$9-1),$B$24:$Q$24,0),1)))*$C$5/12*$M$5,0)</f>
        <v>14300.013</v>
      </c>
      <c r="C53" s="225" t="n">
        <f aca="false">C52*$C$5/12+IF(C$24&gt;=$M$6,MIN(C52,INDEX($B52:$Q52,IFERROR(MATCH(EOMONTH($M$6,-$M$9-1),$B$24:$Q$24,0),1)))*$C$5/12*$M$5,0)</f>
        <v>14300.013</v>
      </c>
      <c r="D53" s="225" t="n">
        <f aca="false">D52*$C$5/12+IF(D$24&gt;=$M$6,MIN(D52,INDEX($B52:$Q52,IFERROR(MATCH(EOMONTH($M$6,-$M$9-1),$B$24:$Q$24,0),1)))*$C$5/12*$M$5,0)</f>
        <v>28600.026</v>
      </c>
      <c r="E53" s="225" t="n">
        <f aca="false">E52*$C$5/12+IF(E$24&gt;=$M$6,MIN(E52,INDEX($B52:$Q52,IFERROR(MATCH(EOMONTH($M$6,-$M$9-1),$B$24:$Q$24,0),1)))*$C$5/12*$M$5,0)</f>
        <v>28600.026</v>
      </c>
      <c r="F53" s="225" t="n">
        <f aca="false">F52*$C$5/12+IF(F$24&gt;=$M$6,MIN(F52,INDEX($B52:$Q52,IFERROR(MATCH(EOMONTH($M$6,-$M$9-1),$B$24:$Q$24,0),1)))*$C$5/12*$M$5,0)</f>
        <v>28600.026</v>
      </c>
      <c r="G53" s="225" t="n">
        <f aca="false">G52*$C$5/12+IF(G$24&gt;=$M$6,MIN(G52,INDEX($B52:$Q52,IFERROR(MATCH(EOMONTH($M$6,-$M$9-1),$B$24:$Q$24,0),1)))*$C$5/12*$M$5,0)</f>
        <v>42900.039</v>
      </c>
      <c r="H53" s="225" t="n">
        <f aca="false">H52*$C$5/12+IF(H$24&gt;=$M$6,MIN(H52,INDEX($B52:$Q52,IFERROR(MATCH(EOMONTH($M$6,-$M$9-1),$B$24:$Q$24,0),1)))*$C$5/12*$M$5,0)</f>
        <v>42900.039</v>
      </c>
      <c r="I53" s="225" t="n">
        <f aca="false">I52*$C$5/12+IF(I$24&gt;=$M$6,MIN(I52,INDEX($B52:$Q52,IFERROR(MATCH(EOMONTH($M$6,-$M$9-1),$B$24:$Q$24,0),1)))*$C$5/12*$M$5,0)</f>
        <v>42900.039</v>
      </c>
      <c r="J53" s="225" t="n">
        <f aca="false">J52*$C$5/12+IF(J$24&gt;=$M$6,MIN(J52,INDEX($B52:$Q52,IFERROR(MATCH(EOMONTH($M$6,-$M$9-1),$B$24:$Q$24,0),1)))*$C$5/12*$M$5,0)</f>
        <v>42900.039</v>
      </c>
      <c r="K53" s="225" t="n">
        <f aca="false">K52*$C$5/12+IF(K$24&gt;=$M$6,MIN(K52,INDEX($B52:$Q52,IFERROR(MATCH(EOMONTH($M$6,-$M$9-1),$B$24:$Q$24,0),1)))*$C$5/12*$M$5,0)</f>
        <v>42900.039</v>
      </c>
      <c r="L53" s="225" t="n">
        <f aca="false">L52*$C$5/12+IF(L$24&gt;=$M$6,MIN(L52,INDEX($B52:$Q52,IFERROR(MATCH(EOMONTH($M$6,-$M$9-1),$B$24:$Q$24,0),1)))*$C$5/12*$M$5,0)</f>
        <v>42900.039</v>
      </c>
      <c r="M53" s="225" t="n">
        <f aca="false">M52*$C$5/12+IF(M$24&gt;=$M$6,MIN(M52,INDEX($B52:$Q52,IFERROR(MATCH(EOMONTH($M$6,-$M$9-1),$B$24:$Q$24,0),1)))*$C$5/12*$M$5,0)</f>
        <v>42900.039</v>
      </c>
      <c r="N53" s="225" t="n">
        <f aca="false">N52*$C$5/12+IF(N$24&gt;=$M$6,MIN(N52,INDEX($B52:$Q52,IFERROR(MATCH(EOMONTH($M$6,-$M$9-1),$B$24:$Q$24,0),1)))*$C$5/12*$M$5,0)</f>
        <v>57200.052</v>
      </c>
      <c r="O53" s="225" t="n">
        <f aca="false">O52*$C$5/12+IF(O$24&gt;=$M$6,MIN(O52,INDEX($B52:$Q52,IFERROR(MATCH(EOMONTH($M$6,-$M$9-1),$B$24:$Q$24,0),1)))*$C$5/12*$M$5,0)</f>
        <v>58487.05317</v>
      </c>
      <c r="P53" s="225" t="n">
        <f aca="false">P52*$C$5/12+IF(P$24&gt;=$M$6,MIN(P52,INDEX($B52:$Q52,IFERROR(MATCH(EOMONTH($M$6,-$M$9-1),$B$24:$Q$24,0),1)))*$C$5/12*$M$5,0)</f>
        <v>72787.06617</v>
      </c>
      <c r="Q53" s="225" t="n">
        <f aca="false">Q52*$C$5/12+IF(Q$24&gt;=$M$6,MIN(Q52,INDEX($B52:$Q52,IFERROR(MATCH(EOMONTH($M$6,-$M$9-1),$B$24:$Q$24,0),1)))*$C$5/12*$M$5,0)</f>
        <v>72787.06617</v>
      </c>
      <c r="R53" s="226" t="n">
        <f aca="false">SUM(B53:E53)</f>
        <v>85800.078</v>
      </c>
      <c r="S53" s="226" t="n">
        <f aca="false">SUM(F53:Q53)</f>
        <v>590161.53651</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0.0633333333333333</v>
      </c>
      <c r="S54" s="228" t="n">
        <f aca="false">IFERROR(S55/S53,0)</f>
        <v>0.0607487278895081</v>
      </c>
      <c r="T54" s="186" t="s">
        <v>1732</v>
      </c>
    </row>
    <row r="55" customFormat="false" ht="14.25" hidden="false" customHeight="true" outlineLevel="0" collapsed="false">
      <c r="A55" s="185" t="s">
        <v>1733</v>
      </c>
      <c r="B55" s="225" t="n">
        <f aca="false">B53*B54</f>
        <v>715.00065</v>
      </c>
      <c r="C55" s="225" t="n">
        <f aca="false">C53*C54</f>
        <v>715.00065</v>
      </c>
      <c r="D55" s="225" t="n">
        <f aca="false">D53*D54</f>
        <v>1716.00156</v>
      </c>
      <c r="E55" s="225" t="n">
        <f aca="false">E53*E54</f>
        <v>2288.00208</v>
      </c>
      <c r="F55" s="225" t="n">
        <f aca="false">F53*F54</f>
        <v>1430.0013</v>
      </c>
      <c r="G55" s="225" t="n">
        <f aca="false">G53*G54</f>
        <v>2145.00195</v>
      </c>
      <c r="H55" s="225" t="n">
        <f aca="false">H53*H54</f>
        <v>2145.00195</v>
      </c>
      <c r="I55" s="225" t="n">
        <f aca="false">I53*I54</f>
        <v>2145.00195</v>
      </c>
      <c r="J55" s="225" t="n">
        <f aca="false">J53*J54</f>
        <v>2574.00234</v>
      </c>
      <c r="K55" s="225" t="n">
        <f aca="false">K53*K54</f>
        <v>3003.00273</v>
      </c>
      <c r="L55" s="225" t="n">
        <f aca="false">L53*L54</f>
        <v>3432.00312</v>
      </c>
      <c r="M55" s="225" t="n">
        <f aca="false">M53*M54</f>
        <v>3003.00273</v>
      </c>
      <c r="N55" s="225" t="n">
        <f aca="false">N53*N54</f>
        <v>2860.0026</v>
      </c>
      <c r="O55" s="225" t="n">
        <f aca="false">O53*O54</f>
        <v>2924.3526585</v>
      </c>
      <c r="P55" s="225" t="n">
        <f aca="false">P53*P54</f>
        <v>4367.2239702</v>
      </c>
      <c r="Q55" s="225" t="n">
        <f aca="false">Q53*Q54</f>
        <v>5822.9652936</v>
      </c>
      <c r="R55" s="226" t="n">
        <f aca="false">SUM(B55:E55)</f>
        <v>5434.00494</v>
      </c>
      <c r="S55" s="226" t="n">
        <f aca="false">SUM(F55:Q55)</f>
        <v>35851.5625923</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n">
        <f aca="false">B53*B56*$M$10</f>
        <v>0</v>
      </c>
      <c r="C57" s="225" t="n">
        <f aca="false">C53*C56*$M$10</f>
        <v>0</v>
      </c>
      <c r="D57" s="225" t="n">
        <f aca="false">D53*D56*$M$10</f>
        <v>0</v>
      </c>
      <c r="E57" s="225" t="n">
        <f aca="false">E53*E56*$M$10</f>
        <v>0</v>
      </c>
      <c r="F57" s="225" t="n">
        <f aca="false">F53*F56*$M$10</f>
        <v>0</v>
      </c>
      <c r="G57" s="225" t="n">
        <f aca="false">G53*G56*$M$10</f>
        <v>0</v>
      </c>
      <c r="H57" s="225" t="n">
        <f aca="false">H53*H56*$M$10</f>
        <v>0</v>
      </c>
      <c r="I57" s="225" t="n">
        <f aca="false">I53*I56*$M$10</f>
        <v>0</v>
      </c>
      <c r="J57" s="225" t="n">
        <f aca="false">J53*J56*$M$10</f>
        <v>0</v>
      </c>
      <c r="K57" s="225" t="n">
        <f aca="false">K53*K56*$M$10</f>
        <v>0</v>
      </c>
      <c r="L57" s="225" t="n">
        <f aca="false">L53*L56*$M$10</f>
        <v>0</v>
      </c>
      <c r="M57" s="225" t="n">
        <f aca="false">M53*M56*$M$10</f>
        <v>0</v>
      </c>
      <c r="N57" s="225" t="n">
        <f aca="false">N53*N56*$M$10</f>
        <v>0</v>
      </c>
      <c r="O57" s="225" t="n">
        <f aca="false">O53*O56*$M$10</f>
        <v>0</v>
      </c>
      <c r="P57" s="225" t="n">
        <f aca="false">P53*P56*$M$10</f>
        <v>0</v>
      </c>
      <c r="Q57" s="225" t="n">
        <f aca="false">Q53*Q56*$M$10</f>
        <v>0</v>
      </c>
      <c r="R57" s="226" t="n">
        <f aca="false">SUM(B57:E57)</f>
        <v>0</v>
      </c>
      <c r="S57" s="226" t="n">
        <f aca="false">SUM(F57:Q57)</f>
        <v>0</v>
      </c>
    </row>
    <row r="58" customFormat="false" ht="14.25" hidden="false" customHeight="true" outlineLevel="0" collapsed="false">
      <c r="A58" s="185" t="s">
        <v>1650</v>
      </c>
      <c r="B58" s="225" t="n">
        <f aca="false">(B53+B55+B57)*$C$6</f>
        <v>1126.12602375</v>
      </c>
      <c r="C58" s="225" t="n">
        <f aca="false">(C53+C55+C57)*$C$6</f>
        <v>1126.12602375</v>
      </c>
      <c r="D58" s="225" t="n">
        <f aca="false">(D53+D55+D57)*$C$6</f>
        <v>2273.702067</v>
      </c>
      <c r="E58" s="225" t="n">
        <f aca="false">(E53+E55+E57)*$C$6</f>
        <v>2316.602106</v>
      </c>
      <c r="F58" s="225" t="n">
        <f aca="false">(F53+F55+F57)*$C$6</f>
        <v>2252.2520475</v>
      </c>
      <c r="G58" s="225" t="n">
        <f aca="false">(G53+G55+G57)*$C$6</f>
        <v>3378.37807125</v>
      </c>
      <c r="H58" s="225" t="n">
        <f aca="false">(H53+H55+H57)*$C$6</f>
        <v>3378.37807125</v>
      </c>
      <c r="I58" s="225" t="n">
        <f aca="false">(I53+I55+I57)*$C$6</f>
        <v>3378.37807125</v>
      </c>
      <c r="J58" s="225" t="n">
        <f aca="false">(J53+J55+J57)*$C$6</f>
        <v>3410.5531005</v>
      </c>
      <c r="K58" s="225" t="n">
        <f aca="false">(K53+K55+K57)*$C$6</f>
        <v>3442.72812975</v>
      </c>
      <c r="L58" s="225" t="n">
        <f aca="false">(L53+L55+L57)*$C$6</f>
        <v>3474.903159</v>
      </c>
      <c r="M58" s="225" t="n">
        <f aca="false">(M53+M55+M57)*$C$6</f>
        <v>3442.72812975</v>
      </c>
      <c r="N58" s="225" t="n">
        <f aca="false">(N53+N55+N57)*$C$6</f>
        <v>4504.504095</v>
      </c>
      <c r="O58" s="225" t="n">
        <f aca="false">(O53+O55+O57)*$C$6</f>
        <v>4605.8554371375</v>
      </c>
      <c r="P58" s="225" t="n">
        <f aca="false">(P53+P55+P57)*$C$6</f>
        <v>5786.571760515</v>
      </c>
      <c r="Q58" s="225" t="n">
        <f aca="false">(Q53+Q55+Q57)*$C$6</f>
        <v>5895.75235977</v>
      </c>
      <c r="R58" s="226" t="n">
        <f aca="false">SUM(B58:E58)</f>
        <v>6842.5562205</v>
      </c>
      <c r="S58" s="226" t="n">
        <f aca="false">SUM(F58:Q58)</f>
        <v>46950.9824326725</v>
      </c>
    </row>
    <row r="59" customFormat="false" ht="14.25" hidden="false" customHeight="true" outlineLevel="0" collapsed="false">
      <c r="A59" s="185" t="s">
        <v>1390</v>
      </c>
      <c r="B59" s="225" t="n">
        <f aca="false">B53*$C$7</f>
        <v>1144.00104</v>
      </c>
      <c r="C59" s="225" t="n">
        <f aca="false">C53*$C$7</f>
        <v>1144.00104</v>
      </c>
      <c r="D59" s="225" t="n">
        <f aca="false">D53*$C$7</f>
        <v>2288.00208</v>
      </c>
      <c r="E59" s="225" t="n">
        <f aca="false">E53*$C$7</f>
        <v>2288.00208</v>
      </c>
      <c r="F59" s="225" t="n">
        <f aca="false">F53*$C$7</f>
        <v>2288.00208</v>
      </c>
      <c r="G59" s="225" t="n">
        <f aca="false">G53*$C$7</f>
        <v>3432.00312</v>
      </c>
      <c r="H59" s="225" t="n">
        <f aca="false">H53*$C$7</f>
        <v>3432.00312</v>
      </c>
      <c r="I59" s="225" t="n">
        <f aca="false">I53*$C$7</f>
        <v>3432.00312</v>
      </c>
      <c r="J59" s="225" t="n">
        <f aca="false">J53*$C$7</f>
        <v>3432.00312</v>
      </c>
      <c r="K59" s="225" t="n">
        <f aca="false">K53*$C$7</f>
        <v>3432.00312</v>
      </c>
      <c r="L59" s="225" t="n">
        <f aca="false">L53*$C$7</f>
        <v>3432.00312</v>
      </c>
      <c r="M59" s="225" t="n">
        <f aca="false">M53*$C$7</f>
        <v>3432.00312</v>
      </c>
      <c r="N59" s="225" t="n">
        <f aca="false">N53*$C$7</f>
        <v>4576.00416</v>
      </c>
      <c r="O59" s="225" t="n">
        <f aca="false">O53*$C$7</f>
        <v>4678.9642536</v>
      </c>
      <c r="P59" s="225" t="n">
        <f aca="false">P53*$C$7</f>
        <v>5822.9652936</v>
      </c>
      <c r="Q59" s="225" t="n">
        <f aca="false">Q53*$C$7</f>
        <v>5822.9652936</v>
      </c>
      <c r="R59" s="226" t="n">
        <f aca="false">SUM(B59:E59)</f>
        <v>6864.00624</v>
      </c>
      <c r="S59" s="226" t="n">
        <f aca="false">SUM(F59:Q59)</f>
        <v>47212.9229208</v>
      </c>
    </row>
    <row r="60" customFormat="false" ht="14.25" hidden="false" customHeight="true" outlineLevel="0" collapsed="false">
      <c r="A60" s="185" t="s">
        <v>1745</v>
      </c>
      <c r="B60" s="223" t="n">
        <f aca="false">B51</f>
        <v>1</v>
      </c>
      <c r="C60" s="223" t="n">
        <f aca="false">MAX(0,C51-B51)</f>
        <v>0</v>
      </c>
      <c r="D60" s="223" t="n">
        <f aca="false">MAX(0,D51-C51)</f>
        <v>3</v>
      </c>
      <c r="E60" s="223" t="n">
        <f aca="false">MAX(0,E51-D51)</f>
        <v>0</v>
      </c>
      <c r="F60" s="223" t="n">
        <f aca="false">MAX(0,F51-E51)</f>
        <v>0</v>
      </c>
      <c r="G60" s="223" t="n">
        <f aca="false">MAX(0,G51-F51)</f>
        <v>3</v>
      </c>
      <c r="H60" s="223" t="n">
        <f aca="false">MAX(0,H51-G51)</f>
        <v>0</v>
      </c>
      <c r="I60" s="223" t="n">
        <f aca="false">MAX(0,I51-H51)</f>
        <v>0</v>
      </c>
      <c r="J60" s="223" t="n">
        <f aca="false">MAX(0,J51-I51)</f>
        <v>0</v>
      </c>
      <c r="K60" s="223" t="n">
        <f aca="false">MAX(0,K51-J51)</f>
        <v>0</v>
      </c>
      <c r="L60" s="223" t="n">
        <f aca="false">MAX(0,L51-K51)</f>
        <v>0</v>
      </c>
      <c r="M60" s="223" t="n">
        <f aca="false">MAX(0,M51-L51)</f>
        <v>0</v>
      </c>
      <c r="N60" s="223" t="n">
        <f aca="false">MAX(0,N51-M51)</f>
        <v>3</v>
      </c>
      <c r="O60" s="223" t="n">
        <f aca="false">MAX(0,O51-N51)</f>
        <v>0</v>
      </c>
      <c r="P60" s="223" t="n">
        <f aca="false">MAX(0,P51-O51)</f>
        <v>3</v>
      </c>
      <c r="Q60" s="223" t="n">
        <f aca="false">MAX(0,Q51-P51)</f>
        <v>0</v>
      </c>
      <c r="R60" s="224" t="n">
        <f aca="false">SUM(B60:E60)</f>
        <v>4</v>
      </c>
      <c r="S60" s="224" t="n">
        <f aca="false">SUM(F60:Q60)</f>
        <v>9</v>
      </c>
      <c r="T60" s="186"/>
    </row>
    <row r="61" customFormat="false" ht="14.25" hidden="false" customHeight="true" outlineLevel="0" collapsed="false">
      <c r="A61" s="185" t="s">
        <v>1657</v>
      </c>
      <c r="B61" s="225" t="n">
        <f aca="false">B60*$M$7</f>
        <v>1000</v>
      </c>
      <c r="C61" s="225" t="n">
        <f aca="false">C60*$M$7</f>
        <v>0</v>
      </c>
      <c r="D61" s="225" t="n">
        <f aca="false">D60*$M$7</f>
        <v>3000</v>
      </c>
      <c r="E61" s="225" t="n">
        <f aca="false">E60*$M$7</f>
        <v>0</v>
      </c>
      <c r="F61" s="225" t="n">
        <f aca="false">F60*$M$7</f>
        <v>0</v>
      </c>
      <c r="G61" s="225" t="n">
        <f aca="false">G60*$M$7</f>
        <v>3000</v>
      </c>
      <c r="H61" s="225" t="n">
        <f aca="false">H60*$M$7</f>
        <v>0</v>
      </c>
      <c r="I61" s="225" t="n">
        <f aca="false">I60*$M$7</f>
        <v>0</v>
      </c>
      <c r="J61" s="225" t="n">
        <f aca="false">J60*$M$7</f>
        <v>0</v>
      </c>
      <c r="K61" s="225" t="n">
        <f aca="false">K60*$M$7</f>
        <v>0</v>
      </c>
      <c r="L61" s="225" t="n">
        <f aca="false">L60*$M$7</f>
        <v>0</v>
      </c>
      <c r="M61" s="225" t="n">
        <f aca="false">M60*$M$7</f>
        <v>0</v>
      </c>
      <c r="N61" s="225" t="n">
        <f aca="false">N60*$M$7</f>
        <v>3000</v>
      </c>
      <c r="O61" s="225" t="n">
        <f aca="false">O60*$M$7</f>
        <v>0</v>
      </c>
      <c r="P61" s="225" t="n">
        <f aca="false">P60*$M$7</f>
        <v>3000</v>
      </c>
      <c r="Q61" s="225" t="n">
        <f aca="false">Q60*$M$7</f>
        <v>0</v>
      </c>
      <c r="R61" s="226" t="n">
        <f aca="false">SUM(B61:E61)</f>
        <v>4000</v>
      </c>
      <c r="S61" s="226" t="n">
        <f aca="false">SUM(F61:Q61)</f>
        <v>9000</v>
      </c>
    </row>
    <row r="62" customFormat="false" ht="14.25" hidden="false" customHeight="true" outlineLevel="0" collapsed="false">
      <c r="A62" s="229" t="s">
        <v>1746</v>
      </c>
      <c r="B62" s="230" t="n">
        <f aca="false">B53+B55+B57+B58+B59+B61</f>
        <v>18285.14071375</v>
      </c>
      <c r="C62" s="230" t="n">
        <f aca="false">C53+C55+C57+C58+C59+C61</f>
        <v>17285.14071375</v>
      </c>
      <c r="D62" s="230" t="n">
        <f aca="false">D53+D55+D57+D58+D59+D61</f>
        <v>37877.731707</v>
      </c>
      <c r="E62" s="230" t="n">
        <f aca="false">E53+E55+E57+E58+E59+E61</f>
        <v>35492.632266</v>
      </c>
      <c r="F62" s="230" t="n">
        <f aca="false">F53+F55+F57+F58+F59+F61</f>
        <v>34570.2814275</v>
      </c>
      <c r="G62" s="230" t="n">
        <f aca="false">G53+G55+G57+G58+G59+G61</f>
        <v>54855.42214125</v>
      </c>
      <c r="H62" s="230" t="n">
        <f aca="false">H53+H55+H57+H58+H59+H61</f>
        <v>51855.42214125</v>
      </c>
      <c r="I62" s="230" t="n">
        <f aca="false">I53+I55+I57+I58+I59+I61</f>
        <v>51855.42214125</v>
      </c>
      <c r="J62" s="230" t="n">
        <f aca="false">J53+J55+J57+J58+J59+J61</f>
        <v>52316.5975605</v>
      </c>
      <c r="K62" s="230" t="n">
        <f aca="false">K53+K55+K57+K58+K59+K61</f>
        <v>52777.77297975</v>
      </c>
      <c r="L62" s="230" t="n">
        <f aca="false">L53+L55+L57+L58+L59+L61</f>
        <v>53238.948399</v>
      </c>
      <c r="M62" s="230" t="n">
        <f aca="false">M53+M55+M57+M58+M59+M61</f>
        <v>52777.77297975</v>
      </c>
      <c r="N62" s="230" t="n">
        <f aca="false">N53+N55+N57+N58+N59+N61</f>
        <v>72140.562855</v>
      </c>
      <c r="O62" s="230" t="n">
        <f aca="false">O53+O55+O57+O58+O59+O61</f>
        <v>70696.2255192375</v>
      </c>
      <c r="P62" s="230" t="n">
        <f aca="false">P53+P55+P57+P58+P59+P61</f>
        <v>91763.827194315</v>
      </c>
      <c r="Q62" s="230" t="n">
        <f aca="false">Q53+Q55+Q57+Q58+Q59+Q61</f>
        <v>90328.74911697</v>
      </c>
      <c r="R62" s="231" t="n">
        <f aca="false">SUM(B62:E62)</f>
        <v>108940.6454005</v>
      </c>
      <c r="S62" s="231" t="n">
        <f aca="false">SUM(F62:Q62)</f>
        <v>729177.004455773</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n">
        <f aca="false">B31+B52</f>
        <v>13</v>
      </c>
      <c r="C67" s="223" t="n">
        <f aca="false">C31+C52</f>
        <v>13</v>
      </c>
      <c r="D67" s="223" t="n">
        <f aca="false">D31+D52</f>
        <v>22</v>
      </c>
      <c r="E67" s="223" t="n">
        <f aca="false">E31+E52</f>
        <v>22</v>
      </c>
      <c r="F67" s="223" t="n">
        <f aca="false">F31+F52</f>
        <v>22</v>
      </c>
      <c r="G67" s="223" t="n">
        <f aca="false">G31+G52</f>
        <v>28</v>
      </c>
      <c r="H67" s="223" t="n">
        <f aca="false">H31+H52</f>
        <v>28</v>
      </c>
      <c r="I67" s="223" t="n">
        <f aca="false">I31+I52</f>
        <v>28</v>
      </c>
      <c r="J67" s="223" t="n">
        <f aca="false">J31+J52</f>
        <v>28</v>
      </c>
      <c r="K67" s="223" t="n">
        <f aca="false">K31+K52</f>
        <v>28</v>
      </c>
      <c r="L67" s="223" t="n">
        <f aca="false">L31+L52</f>
        <v>31</v>
      </c>
      <c r="M67" s="223" t="n">
        <f aca="false">M31+M52</f>
        <v>31</v>
      </c>
      <c r="N67" s="223" t="n">
        <f aca="false">N31+N52</f>
        <v>37</v>
      </c>
      <c r="O67" s="223" t="n">
        <f aca="false">O31+O52</f>
        <v>40</v>
      </c>
      <c r="P67" s="223" t="n">
        <f aca="false">P31+P52</f>
        <v>47</v>
      </c>
      <c r="Q67" s="223" t="n">
        <f aca="false">Q31+Q52</f>
        <v>50</v>
      </c>
      <c r="R67" s="224" t="n">
        <f aca="false">AVERAGE(B67:E67)</f>
        <v>17.5</v>
      </c>
      <c r="S67" s="224" t="n">
        <f aca="false">AVERAGE(F67:Q67)</f>
        <v>33.1666666666667</v>
      </c>
      <c r="T67" s="186" t="s">
        <v>1730</v>
      </c>
    </row>
    <row r="68" customFormat="false" ht="14.25" hidden="false" customHeight="true" outlineLevel="0" collapsed="false">
      <c r="A68" s="185" t="s">
        <v>1676</v>
      </c>
      <c r="B68" s="223" t="n">
        <f aca="false">MAX($H$9,ROUNDUP(B67/$H$8,0))</f>
        <v>1</v>
      </c>
      <c r="C68" s="223" t="n">
        <f aca="false">MAX(B68,$H$9,ROUNDUP(C67/$H$8,0))</f>
        <v>1</v>
      </c>
      <c r="D68" s="223" t="n">
        <f aca="false">MAX(C68,$H$9,ROUNDUP(D67/$H$8,0))</f>
        <v>2</v>
      </c>
      <c r="E68" s="223" t="n">
        <f aca="false">MAX(D68,$H$9,ROUNDUP(E67/$H$8,0))</f>
        <v>2</v>
      </c>
      <c r="F68" s="223" t="n">
        <f aca="false">MAX(E68,$H$9,ROUNDUP(F67/$H$8,0))</f>
        <v>2</v>
      </c>
      <c r="G68" s="223" t="n">
        <f aca="false">MAX(F68,$H$9,ROUNDUP(G67/$H$8,0))</f>
        <v>2</v>
      </c>
      <c r="H68" s="223" t="n">
        <f aca="false">MAX(G68,$H$9,ROUNDUP(H67/$H$8,0))</f>
        <v>2</v>
      </c>
      <c r="I68" s="223" t="n">
        <f aca="false">MAX(H68,$H$9,ROUNDUP(I67/$H$8,0))</f>
        <v>2</v>
      </c>
      <c r="J68" s="223" t="n">
        <f aca="false">MAX(I68,$H$9,ROUNDUP(J67/$H$8,0))</f>
        <v>2</v>
      </c>
      <c r="K68" s="223" t="n">
        <f aca="false">MAX(J68,$H$9,ROUNDUP(K67/$H$8,0))</f>
        <v>2</v>
      </c>
      <c r="L68" s="223" t="n">
        <f aca="false">MAX(K68,$H$9,ROUNDUP(L67/$H$8,0))</f>
        <v>3</v>
      </c>
      <c r="M68" s="223" t="n">
        <f aca="false">MAX(L68,$H$9,ROUNDUP(M67/$H$8,0))</f>
        <v>3</v>
      </c>
      <c r="N68" s="223" t="n">
        <f aca="false">MAX(M68,$H$9,ROUNDUP(N67/$H$8,0))</f>
        <v>3</v>
      </c>
      <c r="O68" s="223" t="n">
        <f aca="false">MAX(N68,$H$9,ROUNDUP(O67/$H$8,0))</f>
        <v>3</v>
      </c>
      <c r="P68" s="223" t="n">
        <f aca="false">MAX(O68,$H$9,ROUNDUP(P67/$H$8,0))</f>
        <v>4</v>
      </c>
      <c r="Q68" s="223" t="n">
        <f aca="false">MAX(P68,$H$9,ROUNDUP(Q67/$H$8,0))</f>
        <v>4</v>
      </c>
      <c r="R68" s="224" t="n">
        <f aca="false">AVERAGE(B68:E68)</f>
        <v>1.5</v>
      </c>
      <c r="S68" s="224" t="n">
        <f aca="false">AVERAGE(F68:Q68)</f>
        <v>2.66666666666667</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n">
        <f aca="false">MAX(0,B68-B69)</f>
        <v>1</v>
      </c>
      <c r="C70" s="223" t="n">
        <f aca="false">MAX(0,C68-C69)</f>
        <v>1</v>
      </c>
      <c r="D70" s="223" t="n">
        <f aca="false">MAX(0,D68-D69)</f>
        <v>2</v>
      </c>
      <c r="E70" s="223" t="n">
        <f aca="false">MAX(0,E68-E69)</f>
        <v>2</v>
      </c>
      <c r="F70" s="223" t="n">
        <f aca="false">MAX(0,F68-F69)</f>
        <v>2</v>
      </c>
      <c r="G70" s="223" t="n">
        <f aca="false">MAX(0,G68-G69)</f>
        <v>2</v>
      </c>
      <c r="H70" s="223" t="n">
        <f aca="false">MAX(0,H68-H69)</f>
        <v>2</v>
      </c>
      <c r="I70" s="223" t="n">
        <f aca="false">MAX(0,I68-I69)</f>
        <v>2</v>
      </c>
      <c r="J70" s="223" t="n">
        <f aca="false">MAX(0,J68-J69)</f>
        <v>2</v>
      </c>
      <c r="K70" s="223" t="n">
        <f aca="false">MAX(0,K68-K69)</f>
        <v>2</v>
      </c>
      <c r="L70" s="223" t="n">
        <f aca="false">MAX(0,L68-L69)</f>
        <v>3</v>
      </c>
      <c r="M70" s="223" t="n">
        <f aca="false">MAX(0,M68-M69)</f>
        <v>3</v>
      </c>
      <c r="N70" s="223" t="n">
        <f aca="false">MAX(0,N68-N69)</f>
        <v>3</v>
      </c>
      <c r="O70" s="223" t="n">
        <f aca="false">MAX(0,O68-O69)</f>
        <v>3</v>
      </c>
      <c r="P70" s="223" t="n">
        <f aca="false">MAX(0,P68-P69)</f>
        <v>4</v>
      </c>
      <c r="Q70" s="223" t="n">
        <f aca="false">MAX(0,Q68-Q69)</f>
        <v>4</v>
      </c>
      <c r="R70" s="224" t="n">
        <f aca="false">AVERAGE(B70:E70)</f>
        <v>1.5</v>
      </c>
      <c r="S70" s="224" t="n">
        <f aca="false">AVERAGE(F70:Q70)</f>
        <v>2.66666666666667</v>
      </c>
      <c r="T70" s="186"/>
    </row>
    <row r="71" customFormat="false" ht="14.25" hidden="false" customHeight="true" outlineLevel="0" collapsed="false">
      <c r="A71" s="185" t="s">
        <v>1749</v>
      </c>
      <c r="B71" s="223" t="n">
        <f aca="false">B69+B70</f>
        <v>1</v>
      </c>
      <c r="C71" s="223" t="n">
        <f aca="false">C69+C70</f>
        <v>1</v>
      </c>
      <c r="D71" s="223" t="n">
        <f aca="false">D69+D70</f>
        <v>2</v>
      </c>
      <c r="E71" s="223" t="n">
        <f aca="false">E69+E70</f>
        <v>2</v>
      </c>
      <c r="F71" s="223" t="n">
        <f aca="false">F69+F70</f>
        <v>2</v>
      </c>
      <c r="G71" s="223" t="n">
        <f aca="false">G69+G70</f>
        <v>2</v>
      </c>
      <c r="H71" s="223" t="n">
        <f aca="false">H69+H70</f>
        <v>2</v>
      </c>
      <c r="I71" s="223" t="n">
        <f aca="false">I69+I70</f>
        <v>2</v>
      </c>
      <c r="J71" s="223" t="n">
        <f aca="false">J69+J70</f>
        <v>2</v>
      </c>
      <c r="K71" s="223" t="n">
        <f aca="false">K69+K70</f>
        <v>2</v>
      </c>
      <c r="L71" s="223" t="n">
        <f aca="false">L69+L70</f>
        <v>3</v>
      </c>
      <c r="M71" s="223" t="n">
        <f aca="false">M69+M70</f>
        <v>3</v>
      </c>
      <c r="N71" s="223" t="n">
        <f aca="false">N69+N70</f>
        <v>3</v>
      </c>
      <c r="O71" s="223" t="n">
        <f aca="false">O69+O70</f>
        <v>3</v>
      </c>
      <c r="P71" s="223" t="n">
        <f aca="false">P69+P70</f>
        <v>4</v>
      </c>
      <c r="Q71" s="223" t="n">
        <f aca="false">Q69+Q70</f>
        <v>4</v>
      </c>
      <c r="R71" s="224" t="n">
        <f aca="false">AVERAGE(B71:E71)</f>
        <v>1.5</v>
      </c>
      <c r="S71" s="224" t="n">
        <f aca="false">AVERAGE(F71:Q71)</f>
        <v>2.66666666666667</v>
      </c>
      <c r="T71" s="186" t="s">
        <v>1750</v>
      </c>
    </row>
    <row r="72" customFormat="false" ht="14.25" hidden="false" customHeight="true" outlineLevel="0" collapsed="false">
      <c r="A72" s="185" t="s">
        <v>1649</v>
      </c>
      <c r="B72" s="225" t="n">
        <f aca="false">B71*$H$5/12+IF(B$24&gt;=$M$6,MIN(B71,INDEX($B71:$Q71,IFERROR(MATCH(EOMONTH($M$6,-$M$9-1),$B$24:$Q$24,0),1)))*$H$5/12*$M$5,0)</f>
        <v>6250</v>
      </c>
      <c r="C72" s="225" t="n">
        <f aca="false">C71*$H$5/12+IF(C$24&gt;=$M$6,MIN(C71,INDEX($B71:$Q71,IFERROR(MATCH(EOMONTH($M$6,-$M$9-1),$B$24:$Q$24,0),1)))*$H$5/12*$M$5,0)</f>
        <v>6250</v>
      </c>
      <c r="D72" s="225" t="n">
        <f aca="false">D71*$H$5/12+IF(D$24&gt;=$M$6,MIN(D71,INDEX($B71:$Q71,IFERROR(MATCH(EOMONTH($M$6,-$M$9-1),$B$24:$Q$24,0),1)))*$H$5/12*$M$5,0)</f>
        <v>12500</v>
      </c>
      <c r="E72" s="225" t="n">
        <f aca="false">E71*$H$5/12+IF(E$24&gt;=$M$6,MIN(E71,INDEX($B71:$Q71,IFERROR(MATCH(EOMONTH($M$6,-$M$9-1),$B$24:$Q$24,0),1)))*$H$5/12*$M$5,0)</f>
        <v>12500</v>
      </c>
      <c r="F72" s="225" t="n">
        <f aca="false">F71*$H$5/12+IF(F$24&gt;=$M$6,MIN(F71,INDEX($B71:$Q71,IFERROR(MATCH(EOMONTH($M$6,-$M$9-1),$B$24:$Q$24,0),1)))*$H$5/12*$M$5,0)</f>
        <v>12500</v>
      </c>
      <c r="G72" s="225" t="n">
        <f aca="false">G71*$H$5/12+IF(G$24&gt;=$M$6,MIN(G71,INDEX($B71:$Q71,IFERROR(MATCH(EOMONTH($M$6,-$M$9-1),$B$24:$Q$24,0),1)))*$H$5/12*$M$5,0)</f>
        <v>12500</v>
      </c>
      <c r="H72" s="225" t="n">
        <f aca="false">H71*$H$5/12+IF(H$24&gt;=$M$6,MIN(H71,INDEX($B71:$Q71,IFERROR(MATCH(EOMONTH($M$6,-$M$9-1),$B$24:$Q$24,0),1)))*$H$5/12*$M$5,0)</f>
        <v>12500</v>
      </c>
      <c r="I72" s="225" t="n">
        <f aca="false">I71*$H$5/12+IF(I$24&gt;=$M$6,MIN(I71,INDEX($B71:$Q71,IFERROR(MATCH(EOMONTH($M$6,-$M$9-1),$B$24:$Q$24,0),1)))*$H$5/12*$M$5,0)</f>
        <v>12500</v>
      </c>
      <c r="J72" s="225" t="n">
        <f aca="false">J71*$H$5/12+IF(J$24&gt;=$M$6,MIN(J71,INDEX($B71:$Q71,IFERROR(MATCH(EOMONTH($M$6,-$M$9-1),$B$24:$Q$24,0),1)))*$H$5/12*$M$5,0)</f>
        <v>12500</v>
      </c>
      <c r="K72" s="225" t="n">
        <f aca="false">K71*$H$5/12+IF(K$24&gt;=$M$6,MIN(K71,INDEX($B71:$Q71,IFERROR(MATCH(EOMONTH($M$6,-$M$9-1),$B$24:$Q$24,0),1)))*$H$5/12*$M$5,0)</f>
        <v>12500</v>
      </c>
      <c r="L72" s="225" t="n">
        <f aca="false">L71*$H$5/12+IF(L$24&gt;=$M$6,MIN(L71,INDEX($B71:$Q71,IFERROR(MATCH(EOMONTH($M$6,-$M$9-1),$B$24:$Q$24,0),1)))*$H$5/12*$M$5,0)</f>
        <v>18750</v>
      </c>
      <c r="M72" s="225" t="n">
        <f aca="false">M71*$H$5/12+IF(M$24&gt;=$M$6,MIN(M71,INDEX($B71:$Q71,IFERROR(MATCH(EOMONTH($M$6,-$M$9-1),$B$24:$Q$24,0),1)))*$H$5/12*$M$5,0)</f>
        <v>18750</v>
      </c>
      <c r="N72" s="225" t="n">
        <f aca="false">N71*$H$5/12+IF(N$24&gt;=$M$6,MIN(N71,INDEX($B71:$Q71,IFERROR(MATCH(EOMONTH($M$6,-$M$9-1),$B$24:$Q$24,0),1)))*$H$5/12*$M$5,0)</f>
        <v>18750</v>
      </c>
      <c r="O72" s="225" t="n">
        <f aca="false">O71*$H$5/12+IF(O$24&gt;=$M$6,MIN(O71,INDEX($B71:$Q71,IFERROR(MATCH(EOMONTH($M$6,-$M$9-1),$B$24:$Q$24,0),1)))*$H$5/12*$M$5,0)</f>
        <v>19125</v>
      </c>
      <c r="P72" s="225" t="n">
        <f aca="false">P71*$H$5/12+IF(P$24&gt;=$M$6,MIN(P71,INDEX($B71:$Q71,IFERROR(MATCH(EOMONTH($M$6,-$M$9-1),$B$24:$Q$24,0),1)))*$H$5/12*$M$5,0)</f>
        <v>25375</v>
      </c>
      <c r="Q72" s="225" t="n">
        <f aca="false">Q71*$H$5/12+IF(Q$24&gt;=$M$6,MIN(Q71,INDEX($B71:$Q71,IFERROR(MATCH(EOMONTH($M$6,-$M$9-1),$B$24:$Q$24,0),1)))*$H$5/12*$M$5,0)</f>
        <v>25375</v>
      </c>
      <c r="R72" s="226" t="n">
        <f aca="false">SUM(B72:E72)</f>
        <v>37500</v>
      </c>
      <c r="S72" s="226" t="n">
        <f aca="false">SUM(F72:Q72)</f>
        <v>201125</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n">
        <f aca="false">B72*B73</f>
        <v>0</v>
      </c>
      <c r="C74" s="225" t="n">
        <f aca="false">C72*C73</f>
        <v>0</v>
      </c>
      <c r="D74" s="225" t="n">
        <f aca="false">D72*D73</f>
        <v>0</v>
      </c>
      <c r="E74" s="225" t="n">
        <f aca="false">E72*E73</f>
        <v>0</v>
      </c>
      <c r="F74" s="225" t="n">
        <f aca="false">F72*F73</f>
        <v>0</v>
      </c>
      <c r="G74" s="225" t="n">
        <f aca="false">G72*G73</f>
        <v>0</v>
      </c>
      <c r="H74" s="225" t="n">
        <f aca="false">H72*H73</f>
        <v>0</v>
      </c>
      <c r="I74" s="225" t="n">
        <f aca="false">I72*I73</f>
        <v>0</v>
      </c>
      <c r="J74" s="225" t="n">
        <f aca="false">J72*J73</f>
        <v>0</v>
      </c>
      <c r="K74" s="225" t="n">
        <f aca="false">K72*K73</f>
        <v>0</v>
      </c>
      <c r="L74" s="225" t="n">
        <f aca="false">L72*L73</f>
        <v>0</v>
      </c>
      <c r="M74" s="225" t="n">
        <f aca="false">M72*M73</f>
        <v>0</v>
      </c>
      <c r="N74" s="225" t="n">
        <f aca="false">N72*N73</f>
        <v>0</v>
      </c>
      <c r="O74" s="225" t="n">
        <f aca="false">O72*O73</f>
        <v>0</v>
      </c>
      <c r="P74" s="225" t="n">
        <f aca="false">P72*P73</f>
        <v>0</v>
      </c>
      <c r="Q74" s="225" t="n">
        <f aca="false">Q72*Q73</f>
        <v>0</v>
      </c>
      <c r="R74" s="226" t="n">
        <f aca="false">SUM(B74:E74)</f>
        <v>0</v>
      </c>
      <c r="S74" s="226" t="n">
        <f aca="false">SUM(F74:Q74)</f>
        <v>0</v>
      </c>
    </row>
    <row r="75" customFormat="false" ht="14.25" hidden="false" customHeight="true" outlineLevel="0" collapsed="false">
      <c r="A75" s="185" t="s">
        <v>1650</v>
      </c>
      <c r="B75" s="225" t="n">
        <f aca="false">(B72+B74)*$H$6</f>
        <v>468.75</v>
      </c>
      <c r="C75" s="225" t="n">
        <f aca="false">(C72+C74)*$H$6</f>
        <v>468.75</v>
      </c>
      <c r="D75" s="225" t="n">
        <f aca="false">(D72+D74)*$H$6</f>
        <v>937.5</v>
      </c>
      <c r="E75" s="225" t="n">
        <f aca="false">(E72+E74)*$H$6</f>
        <v>937.5</v>
      </c>
      <c r="F75" s="225" t="n">
        <f aca="false">(F72+F74)*$H$6</f>
        <v>937.5</v>
      </c>
      <c r="G75" s="225" t="n">
        <f aca="false">(G72+G74)*$H$6</f>
        <v>937.5</v>
      </c>
      <c r="H75" s="225" t="n">
        <f aca="false">(H72+H74)*$H$6</f>
        <v>937.5</v>
      </c>
      <c r="I75" s="225" t="n">
        <f aca="false">(I72+I74)*$H$6</f>
        <v>937.5</v>
      </c>
      <c r="J75" s="225" t="n">
        <f aca="false">(J72+J74)*$H$6</f>
        <v>937.5</v>
      </c>
      <c r="K75" s="225" t="n">
        <f aca="false">(K72+K74)*$H$6</f>
        <v>937.5</v>
      </c>
      <c r="L75" s="225" t="n">
        <f aca="false">(L72+L74)*$H$6</f>
        <v>1406.25</v>
      </c>
      <c r="M75" s="225" t="n">
        <f aca="false">(M72+M74)*$H$6</f>
        <v>1406.25</v>
      </c>
      <c r="N75" s="225" t="n">
        <f aca="false">(N72+N74)*$H$6</f>
        <v>1406.25</v>
      </c>
      <c r="O75" s="225" t="n">
        <f aca="false">(O72+O74)*$H$6</f>
        <v>1434.375</v>
      </c>
      <c r="P75" s="225" t="n">
        <f aca="false">(P72+P74)*$H$6</f>
        <v>1903.125</v>
      </c>
      <c r="Q75" s="225" t="n">
        <f aca="false">(Q72+Q74)*$H$6</f>
        <v>1903.125</v>
      </c>
      <c r="R75" s="226" t="n">
        <f aca="false">SUM(B75:E75)</f>
        <v>2812.5</v>
      </c>
      <c r="S75" s="226" t="n">
        <f aca="false">SUM(F75:Q75)</f>
        <v>15084.375</v>
      </c>
    </row>
    <row r="76" customFormat="false" ht="14.25" hidden="false" customHeight="true" outlineLevel="0" collapsed="false">
      <c r="A76" s="185" t="s">
        <v>1390</v>
      </c>
      <c r="B76" s="225" t="n">
        <f aca="false">B72*$H$7</f>
        <v>468.75</v>
      </c>
      <c r="C76" s="225" t="n">
        <f aca="false">C72*$H$7</f>
        <v>468.75</v>
      </c>
      <c r="D76" s="225" t="n">
        <f aca="false">D72*$H$7</f>
        <v>937.5</v>
      </c>
      <c r="E76" s="225" t="n">
        <f aca="false">E72*$H$7</f>
        <v>937.5</v>
      </c>
      <c r="F76" s="225" t="n">
        <f aca="false">F72*$H$7</f>
        <v>937.5</v>
      </c>
      <c r="G76" s="225" t="n">
        <f aca="false">G72*$H$7</f>
        <v>937.5</v>
      </c>
      <c r="H76" s="225" t="n">
        <f aca="false">H72*$H$7</f>
        <v>937.5</v>
      </c>
      <c r="I76" s="225" t="n">
        <f aca="false">I72*$H$7</f>
        <v>937.5</v>
      </c>
      <c r="J76" s="225" t="n">
        <f aca="false">J72*$H$7</f>
        <v>937.5</v>
      </c>
      <c r="K76" s="225" t="n">
        <f aca="false">K72*$H$7</f>
        <v>937.5</v>
      </c>
      <c r="L76" s="225" t="n">
        <f aca="false">L72*$H$7</f>
        <v>1406.25</v>
      </c>
      <c r="M76" s="225" t="n">
        <f aca="false">M72*$H$7</f>
        <v>1406.25</v>
      </c>
      <c r="N76" s="225" t="n">
        <f aca="false">N72*$H$7</f>
        <v>1406.25</v>
      </c>
      <c r="O76" s="225" t="n">
        <f aca="false">O72*$H$7</f>
        <v>1434.375</v>
      </c>
      <c r="P76" s="225" t="n">
        <f aca="false">P72*$H$7</f>
        <v>1903.125</v>
      </c>
      <c r="Q76" s="225" t="n">
        <f aca="false">Q72*$H$7</f>
        <v>1903.125</v>
      </c>
      <c r="R76" s="226" t="n">
        <f aca="false">SUM(B76:E76)</f>
        <v>2812.5</v>
      </c>
      <c r="S76" s="226" t="n">
        <f aca="false">SUM(F76:Q76)</f>
        <v>15084.375</v>
      </c>
    </row>
    <row r="77" customFormat="false" ht="14.25" hidden="false" customHeight="true" outlineLevel="0" collapsed="false">
      <c r="A77" s="185" t="s">
        <v>1751</v>
      </c>
      <c r="B77" s="223" t="n">
        <f aca="false">B70</f>
        <v>1</v>
      </c>
      <c r="C77" s="223" t="n">
        <f aca="false">MAX(0,C70-B70)</f>
        <v>0</v>
      </c>
      <c r="D77" s="223" t="n">
        <f aca="false">MAX(0,D70-C70)</f>
        <v>1</v>
      </c>
      <c r="E77" s="223" t="n">
        <f aca="false">MAX(0,E70-D70)</f>
        <v>0</v>
      </c>
      <c r="F77" s="223" t="n">
        <f aca="false">MAX(0,F70-E70)</f>
        <v>0</v>
      </c>
      <c r="G77" s="223" t="n">
        <f aca="false">MAX(0,G70-F70)</f>
        <v>0</v>
      </c>
      <c r="H77" s="223" t="n">
        <f aca="false">MAX(0,H70-G70)</f>
        <v>0</v>
      </c>
      <c r="I77" s="223" t="n">
        <f aca="false">MAX(0,I70-H70)</f>
        <v>0</v>
      </c>
      <c r="J77" s="223" t="n">
        <f aca="false">MAX(0,J70-I70)</f>
        <v>0</v>
      </c>
      <c r="K77" s="223" t="n">
        <f aca="false">MAX(0,K70-J70)</f>
        <v>0</v>
      </c>
      <c r="L77" s="223" t="n">
        <f aca="false">MAX(0,L70-K70)</f>
        <v>1</v>
      </c>
      <c r="M77" s="223" t="n">
        <f aca="false">MAX(0,M70-L70)</f>
        <v>0</v>
      </c>
      <c r="N77" s="223" t="n">
        <f aca="false">MAX(0,N70-M70)</f>
        <v>0</v>
      </c>
      <c r="O77" s="223" t="n">
        <f aca="false">MAX(0,O70-N70)</f>
        <v>0</v>
      </c>
      <c r="P77" s="223" t="n">
        <f aca="false">MAX(0,P70-O70)</f>
        <v>1</v>
      </c>
      <c r="Q77" s="223" t="n">
        <f aca="false">MAX(0,Q70-P70)</f>
        <v>0</v>
      </c>
      <c r="R77" s="224" t="n">
        <f aca="false">SUM(B77:E77)</f>
        <v>2</v>
      </c>
      <c r="S77" s="224" t="n">
        <f aca="false">SUM(F77:Q77)</f>
        <v>2</v>
      </c>
      <c r="T77" s="186"/>
    </row>
    <row r="78" customFormat="false" ht="14.25" hidden="false" customHeight="true" outlineLevel="0" collapsed="false">
      <c r="A78" s="185" t="s">
        <v>1657</v>
      </c>
      <c r="B78" s="225" t="n">
        <f aca="false">B77*$M$8</f>
        <v>5000</v>
      </c>
      <c r="C78" s="225" t="n">
        <f aca="false">C77*$M$8</f>
        <v>0</v>
      </c>
      <c r="D78" s="225" t="n">
        <f aca="false">D77*$M$8</f>
        <v>5000</v>
      </c>
      <c r="E78" s="225" t="n">
        <f aca="false">E77*$M$8</f>
        <v>0</v>
      </c>
      <c r="F78" s="225" t="n">
        <f aca="false">F77*$M$8</f>
        <v>0</v>
      </c>
      <c r="G78" s="225" t="n">
        <f aca="false">G77*$M$8</f>
        <v>0</v>
      </c>
      <c r="H78" s="225" t="n">
        <f aca="false">H77*$M$8</f>
        <v>0</v>
      </c>
      <c r="I78" s="225" t="n">
        <f aca="false">I77*$M$8</f>
        <v>0</v>
      </c>
      <c r="J78" s="225" t="n">
        <f aca="false">J77*$M$8</f>
        <v>0</v>
      </c>
      <c r="K78" s="225" t="n">
        <f aca="false">K77*$M$8</f>
        <v>0</v>
      </c>
      <c r="L78" s="225" t="n">
        <f aca="false">L77*$M$8</f>
        <v>5000</v>
      </c>
      <c r="M78" s="225" t="n">
        <f aca="false">M77*$M$8</f>
        <v>0</v>
      </c>
      <c r="N78" s="225" t="n">
        <f aca="false">N77*$M$8</f>
        <v>0</v>
      </c>
      <c r="O78" s="225" t="n">
        <f aca="false">O77*$M$8</f>
        <v>0</v>
      </c>
      <c r="P78" s="225" t="n">
        <f aca="false">P77*$M$8</f>
        <v>5000</v>
      </c>
      <c r="Q78" s="225" t="n">
        <f aca="false">Q77*$M$8</f>
        <v>0</v>
      </c>
      <c r="R78" s="226" t="n">
        <f aca="false">SUM(B78:E78)</f>
        <v>10000</v>
      </c>
      <c r="S78" s="226" t="n">
        <f aca="false">SUM(F78:Q78)</f>
        <v>10000</v>
      </c>
    </row>
    <row r="79" customFormat="false" ht="14.25" hidden="false" customHeight="true" outlineLevel="0" collapsed="false">
      <c r="A79" s="229" t="s">
        <v>1752</v>
      </c>
      <c r="B79" s="230" t="n">
        <f aca="false">B72+B74+B75+B76+B78</f>
        <v>12187.5</v>
      </c>
      <c r="C79" s="230" t="n">
        <f aca="false">C72+C74+C75+C76+C78</f>
        <v>7187.5</v>
      </c>
      <c r="D79" s="230" t="n">
        <f aca="false">D72+D74+D75+D76+D78</f>
        <v>19375</v>
      </c>
      <c r="E79" s="230" t="n">
        <f aca="false">E72+E74+E75+E76+E78</f>
        <v>14375</v>
      </c>
      <c r="F79" s="230" t="n">
        <f aca="false">F72+F74+F75+F76+F78</f>
        <v>14375</v>
      </c>
      <c r="G79" s="230" t="n">
        <f aca="false">G72+G74+G75+G76+G78</f>
        <v>14375</v>
      </c>
      <c r="H79" s="230" t="n">
        <f aca="false">H72+H74+H75+H76+H78</f>
        <v>14375</v>
      </c>
      <c r="I79" s="230" t="n">
        <f aca="false">I72+I74+I75+I76+I78</f>
        <v>14375</v>
      </c>
      <c r="J79" s="230" t="n">
        <f aca="false">J72+J74+J75+J76+J78</f>
        <v>14375</v>
      </c>
      <c r="K79" s="230" t="n">
        <f aca="false">K72+K74+K75+K76+K78</f>
        <v>14375</v>
      </c>
      <c r="L79" s="230" t="n">
        <f aca="false">L72+L74+L75+L76+L78</f>
        <v>26562.5</v>
      </c>
      <c r="M79" s="230" t="n">
        <f aca="false">M72+M74+M75+M76+M78</f>
        <v>21562.5</v>
      </c>
      <c r="N79" s="230" t="n">
        <f aca="false">N72+N74+N75+N76+N78</f>
        <v>21562.5</v>
      </c>
      <c r="O79" s="230" t="n">
        <f aca="false">O72+O74+O75+O76+O78</f>
        <v>21993.75</v>
      </c>
      <c r="P79" s="230" t="n">
        <f aca="false">P72+P74+P75+P76+P78</f>
        <v>34181.25</v>
      </c>
      <c r="Q79" s="230" t="n">
        <f aca="false">Q72+Q74+Q75+Q76+Q78</f>
        <v>29181.25</v>
      </c>
      <c r="R79" s="231" t="n">
        <f aca="false">SUM(B79:E79)</f>
        <v>53125</v>
      </c>
      <c r="S79" s="231" t="n">
        <f aca="false">SUM(F79:Q79)</f>
        <v>241293.75</v>
      </c>
    </row>
    <row r="80" customFormat="false" ht="14.25" hidden="false" customHeight="true" outlineLevel="0" collapsed="false"/>
    <row r="81" customFormat="false" ht="14.25" hidden="false" customHeight="true" outlineLevel="0" collapsed="false">
      <c r="A81" s="234" t="s">
        <v>1753</v>
      </c>
      <c r="B81" s="235" t="n">
        <f aca="false">B41+B62+B79</f>
        <v>90851.44287625</v>
      </c>
      <c r="C81" s="235" t="n">
        <f aca="false">C41+C62+C79</f>
        <v>81851.44287625</v>
      </c>
      <c r="D81" s="235" t="n">
        <f aca="false">D41+D62+D79</f>
        <v>155878.682579</v>
      </c>
      <c r="E81" s="235" t="n">
        <f aca="false">E41+E62+E79</f>
        <v>144133.317962</v>
      </c>
      <c r="F81" s="235" t="n">
        <f aca="false">F41+F62+F79</f>
        <v>140751.3648875</v>
      </c>
      <c r="G81" s="235" t="n">
        <f aca="false">G41+G62+G79</f>
        <v>181250.14625</v>
      </c>
      <c r="H81" s="235" t="n">
        <f aca="false">H41+H62+H79</f>
        <v>175250.14625</v>
      </c>
      <c r="I81" s="235" t="n">
        <f aca="false">I41+I62+I79</f>
        <v>175250.14625</v>
      </c>
      <c r="J81" s="235" t="n">
        <f aca="false">J41+J62+J79</f>
        <v>176684.914221</v>
      </c>
      <c r="K81" s="235" t="n">
        <f aca="false">K41+K62+K79</f>
        <v>178119.682192</v>
      </c>
      <c r="L81" s="235" t="n">
        <f aca="false">L41+L62+L79</f>
        <v>212416.766231</v>
      </c>
      <c r="M81" s="235" t="n">
        <f aca="false">M41+M62+M79</f>
        <v>202828.27312025</v>
      </c>
      <c r="N81" s="235" t="n">
        <f aca="false">N41+N62+N79</f>
        <v>240150.06826125</v>
      </c>
      <c r="O81" s="235" t="n">
        <f aca="false">O41+O62+O79</f>
        <v>259621.2132975</v>
      </c>
      <c r="P81" s="235" t="n">
        <f aca="false">P41+P62+P79</f>
        <v>318496.77843813</v>
      </c>
      <c r="Q81" s="235" t="n">
        <f aca="false">Q41+Q62+Q79</f>
        <v>332074.40162989</v>
      </c>
      <c r="R81" s="235" t="n">
        <f aca="false">SUM(B81:E81)</f>
        <v>472714.8862935</v>
      </c>
      <c r="S81" s="235" t="n">
        <f aca="false">SUM(F81:Q81)</f>
        <v>2592893.90102852</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t="n">
        <v>205000</v>
      </c>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17083.3333333333</v>
      </c>
      <c r="C67" s="264" t="n">
        <f aca="false">IF(C$58&gt;=$C$21,$B$21/12*(1+IF(C$58&gt;=$B$25,$B$24,0)),0)</f>
        <v>17083.3333333333</v>
      </c>
      <c r="D67" s="264" t="n">
        <f aca="false">IF(D$58&gt;=$C$21,$B$21/12*(1+IF(D$58&gt;=$B$25,$B$24,0)),0)</f>
        <v>17083.3333333333</v>
      </c>
      <c r="E67" s="264" t="n">
        <f aca="false">IF(E$58&gt;=$C$21,$B$21/12*(1+IF(E$58&gt;=$B$25,$B$24,0)),0)</f>
        <v>17083.3333333333</v>
      </c>
      <c r="F67" s="264" t="n">
        <f aca="false">IF(F$58&gt;=$C$21,$B$21/12*(1+IF(F$58&gt;=$B$25,$B$24,0)),0)</f>
        <v>17083.3333333333</v>
      </c>
      <c r="G67" s="264" t="n">
        <f aca="false">IF(G$58&gt;=$C$21,$B$21/12*(1+IF(G$58&gt;=$B$25,$B$24,0)),0)</f>
        <v>17083.3333333333</v>
      </c>
      <c r="H67" s="264" t="n">
        <f aca="false">IF(H$58&gt;=$C$21,$B$21/12*(1+IF(H$58&gt;=$B$25,$B$24,0)),0)</f>
        <v>17083.3333333333</v>
      </c>
      <c r="I67" s="264" t="n">
        <f aca="false">IF(I$58&gt;=$C$21,$B$21/12*(1+IF(I$58&gt;=$B$25,$B$24,0)),0)</f>
        <v>17083.3333333333</v>
      </c>
      <c r="J67" s="264" t="n">
        <f aca="false">IF(J$58&gt;=$C$21,$B$21/12*(1+IF(J$58&gt;=$B$25,$B$24,0)),0)</f>
        <v>17083.3333333333</v>
      </c>
      <c r="K67" s="264" t="n">
        <f aca="false">IF(K$58&gt;=$C$21,$B$21/12*(1+IF(K$58&gt;=$B$25,$B$24,0)),0)</f>
        <v>17595.8333333333</v>
      </c>
      <c r="L67" s="264" t="n">
        <f aca="false">IF(L$58&gt;=$C$21,$B$21/12*(1+IF(L$58&gt;=$B$25,$B$24,0)),0)</f>
        <v>17595.8333333333</v>
      </c>
      <c r="M67" s="264" t="n">
        <f aca="false">IF(M$58&gt;=$C$21,$B$21/12*(1+IF(M$58&gt;=$B$25,$B$24,0)),0)</f>
        <v>17595.8333333333</v>
      </c>
      <c r="N67" s="264" t="n">
        <f aca="false">SUM(B67:M67)</f>
        <v>206537.5</v>
      </c>
    </row>
    <row r="68" customFormat="false" ht="15" hidden="false" customHeight="true" outlineLevel="0" collapsed="false">
      <c r="A68" s="282" t="s">
        <v>1983</v>
      </c>
      <c r="B68" s="283" t="n">
        <f aca="false">SUM(B59:B67)</f>
        <v>73805.9166666667</v>
      </c>
      <c r="C68" s="283" t="n">
        <f aca="false">SUM(C59:C67)</f>
        <v>73805.9166666667</v>
      </c>
      <c r="D68" s="283" t="n">
        <f aca="false">SUM(D59:D67)</f>
        <v>73805.9166666667</v>
      </c>
      <c r="E68" s="283" t="n">
        <f aca="false">SUM(E59:E67)</f>
        <v>73805.9166666667</v>
      </c>
      <c r="F68" s="283" t="n">
        <f aca="false">SUM(F59:F67)</f>
        <v>73805.9166666667</v>
      </c>
      <c r="G68" s="283" t="n">
        <f aca="false">SUM(G59:G67)</f>
        <v>73805.9166666667</v>
      </c>
      <c r="H68" s="283" t="n">
        <f aca="false">SUM(H59:H67)</f>
        <v>73805.9166666667</v>
      </c>
      <c r="I68" s="283" t="n">
        <f aca="false">SUM(I59:I67)</f>
        <v>79222.5833333333</v>
      </c>
      <c r="J68" s="283" t="n">
        <f aca="false">SUM(J59:J67)</f>
        <v>79222.5833333333</v>
      </c>
      <c r="K68" s="283" t="n">
        <f aca="false">SUM(K59:K67)</f>
        <v>81599.2608333333</v>
      </c>
      <c r="L68" s="283" t="n">
        <f aca="false">SUM(L59:L67)</f>
        <v>81599.2608333333</v>
      </c>
      <c r="M68" s="283" t="n">
        <f aca="false">SUM(M59:M67)</f>
        <v>81599.2608333333</v>
      </c>
      <c r="N68" s="283" t="n">
        <f aca="false">SUM(B68:M68)</f>
        <v>919884.365833333</v>
      </c>
    </row>
    <row r="69" customFormat="false" ht="15" hidden="false" customHeight="true" outlineLevel="0" collapsed="false">
      <c r="A69" s="237" t="s">
        <v>1650</v>
      </c>
      <c r="B69" s="264" t="n">
        <f aca="false">B68*$B$22</f>
        <v>5018.80233333333</v>
      </c>
      <c r="C69" s="264" t="n">
        <f aca="false">C68*$B$22</f>
        <v>5018.80233333333</v>
      </c>
      <c r="D69" s="264" t="n">
        <f aca="false">D68*$B$22</f>
        <v>5018.80233333333</v>
      </c>
      <c r="E69" s="264" t="n">
        <f aca="false">E68*$B$22</f>
        <v>5018.80233333333</v>
      </c>
      <c r="F69" s="264" t="n">
        <f aca="false">F68*$B$22</f>
        <v>5018.80233333333</v>
      </c>
      <c r="G69" s="264" t="n">
        <f aca="false">G68*$B$22</f>
        <v>5018.80233333333</v>
      </c>
      <c r="H69" s="264" t="n">
        <f aca="false">H68*$B$22</f>
        <v>5018.80233333333</v>
      </c>
      <c r="I69" s="264" t="n">
        <f aca="false">I68*$B$22</f>
        <v>5387.13566666667</v>
      </c>
      <c r="J69" s="264" t="n">
        <f aca="false">J68*$B$22</f>
        <v>5387.13566666667</v>
      </c>
      <c r="K69" s="264" t="n">
        <f aca="false">K68*$B$22</f>
        <v>5548.74973666667</v>
      </c>
      <c r="L69" s="264" t="n">
        <f aca="false">L68*$B$22</f>
        <v>5548.74973666667</v>
      </c>
      <c r="M69" s="264" t="n">
        <f aca="false">M68*$B$22</f>
        <v>5548.74973666667</v>
      </c>
      <c r="N69" s="264" t="n">
        <f aca="false">SUM(B69:M69)</f>
        <v>62552.1368766667</v>
      </c>
    </row>
    <row r="70" customFormat="false" ht="15" hidden="false" customHeight="true" outlineLevel="0" collapsed="false">
      <c r="A70" s="237" t="s">
        <v>1390</v>
      </c>
      <c r="B70" s="264" t="n">
        <f aca="false">B68*$B$23</f>
        <v>12104.1703333333</v>
      </c>
      <c r="C70" s="264" t="n">
        <f aca="false">C68*$B$23</f>
        <v>12104.1703333333</v>
      </c>
      <c r="D70" s="264" t="n">
        <f aca="false">D68*$B$23</f>
        <v>12104.1703333333</v>
      </c>
      <c r="E70" s="264" t="n">
        <f aca="false">E68*$B$23</f>
        <v>12104.1703333333</v>
      </c>
      <c r="F70" s="264" t="n">
        <f aca="false">F68*$B$23</f>
        <v>12104.1703333333</v>
      </c>
      <c r="G70" s="264" t="n">
        <f aca="false">G68*$B$23</f>
        <v>12104.1703333333</v>
      </c>
      <c r="H70" s="264" t="n">
        <f aca="false">H68*$B$23</f>
        <v>12104.1703333333</v>
      </c>
      <c r="I70" s="264" t="n">
        <f aca="false">I68*$B$23</f>
        <v>12992.5036666667</v>
      </c>
      <c r="J70" s="264" t="n">
        <f aca="false">J68*$B$23</f>
        <v>12992.5036666667</v>
      </c>
      <c r="K70" s="264" t="n">
        <f aca="false">K68*$B$23</f>
        <v>13382.2787766667</v>
      </c>
      <c r="L70" s="264" t="n">
        <f aca="false">L68*$B$23</f>
        <v>13382.2787766667</v>
      </c>
      <c r="M70" s="264" t="n">
        <f aca="false">M68*$B$23</f>
        <v>13382.2787766667</v>
      </c>
      <c r="N70" s="264" t="n">
        <f aca="false">SUM(B70:M70)</f>
        <v>150861.035996667</v>
      </c>
    </row>
    <row r="71" customFormat="false" ht="15" hidden="false" customHeight="true" outlineLevel="0" collapsed="false">
      <c r="A71" s="282" t="s">
        <v>1984</v>
      </c>
      <c r="B71" s="283" t="n">
        <f aca="false">SUM(B68:B70)</f>
        <v>90928.8893333334</v>
      </c>
      <c r="C71" s="283" t="n">
        <f aca="false">SUM(C68:C70)</f>
        <v>90928.8893333334</v>
      </c>
      <c r="D71" s="283" t="n">
        <f aca="false">SUM(D68:D70)</f>
        <v>90928.8893333334</v>
      </c>
      <c r="E71" s="283" t="n">
        <f aca="false">SUM(E68:E70)</f>
        <v>90928.8893333334</v>
      </c>
      <c r="F71" s="283" t="n">
        <f aca="false">SUM(F68:F70)</f>
        <v>90928.8893333334</v>
      </c>
      <c r="G71" s="283" t="n">
        <f aca="false">SUM(G68:G70)</f>
        <v>90928.8893333334</v>
      </c>
      <c r="H71" s="283" t="n">
        <f aca="false">SUM(H68:H70)</f>
        <v>90928.8893333334</v>
      </c>
      <c r="I71" s="283" t="n">
        <f aca="false">SUM(I68:I70)</f>
        <v>97602.2226666667</v>
      </c>
      <c r="J71" s="283" t="n">
        <f aca="false">SUM(J68:J70)</f>
        <v>97602.2226666667</v>
      </c>
      <c r="K71" s="283" t="n">
        <f aca="false">SUM(K68:K70)</f>
        <v>100530.289346667</v>
      </c>
      <c r="L71" s="283" t="n">
        <f aca="false">SUM(L68:L70)</f>
        <v>100530.289346667</v>
      </c>
      <c r="M71" s="283" t="n">
        <f aca="false">SUM(M68:M70)</f>
        <v>100530.289346667</v>
      </c>
      <c r="N71" s="283" t="n">
        <f aca="false">SUM(B71:M71)</f>
        <v>1133297.53870667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73805.9166666667</v>
      </c>
      <c r="C78" s="284" t="n">
        <f aca="false">C68</f>
        <v>73805.9166666667</v>
      </c>
      <c r="D78" s="284" t="n">
        <f aca="false">D68</f>
        <v>73805.9166666667</v>
      </c>
      <c r="E78" s="284" t="n">
        <f aca="false">E68</f>
        <v>73805.9166666667</v>
      </c>
      <c r="F78" s="284" t="n">
        <f aca="false">F68</f>
        <v>73805.9166666667</v>
      </c>
      <c r="G78" s="284" t="n">
        <f aca="false">G68</f>
        <v>73805.9166666667</v>
      </c>
      <c r="H78" s="284" t="n">
        <f aca="false">H68</f>
        <v>73805.9166666667</v>
      </c>
      <c r="I78" s="284" t="n">
        <f aca="false">I68</f>
        <v>79222.5833333333</v>
      </c>
      <c r="J78" s="284" t="n">
        <f aca="false">J68</f>
        <v>79222.5833333333</v>
      </c>
      <c r="K78" s="284" t="n">
        <f aca="false">K68</f>
        <v>81599.2608333333</v>
      </c>
      <c r="L78" s="284" t="n">
        <f aca="false">L68</f>
        <v>81599.2608333333</v>
      </c>
      <c r="M78" s="284" t="n">
        <f aca="false">M68</f>
        <v>81599.2608333333</v>
      </c>
      <c r="N78" s="264" t="n">
        <f aca="false">SUM(B78:M78)</f>
        <v>919884.365833333</v>
      </c>
    </row>
    <row r="79" customFormat="false" ht="15" hidden="false" customHeight="true" outlineLevel="0" collapsed="false">
      <c r="A79" s="237" t="s">
        <v>1989</v>
      </c>
      <c r="B79" s="284" t="n">
        <f aca="false">B69</f>
        <v>5018.80233333333</v>
      </c>
      <c r="C79" s="284" t="n">
        <f aca="false">C69</f>
        <v>5018.80233333333</v>
      </c>
      <c r="D79" s="284" t="n">
        <f aca="false">D69</f>
        <v>5018.80233333333</v>
      </c>
      <c r="E79" s="284" t="n">
        <f aca="false">E69</f>
        <v>5018.80233333333</v>
      </c>
      <c r="F79" s="284" t="n">
        <f aca="false">F69</f>
        <v>5018.80233333333</v>
      </c>
      <c r="G79" s="284" t="n">
        <f aca="false">G69</f>
        <v>5018.80233333333</v>
      </c>
      <c r="H79" s="284" t="n">
        <f aca="false">H69</f>
        <v>5018.80233333333</v>
      </c>
      <c r="I79" s="284" t="n">
        <f aca="false">I69</f>
        <v>5387.13566666667</v>
      </c>
      <c r="J79" s="284" t="n">
        <f aca="false">J69</f>
        <v>5387.13566666667</v>
      </c>
      <c r="K79" s="284" t="n">
        <f aca="false">K69</f>
        <v>5548.74973666667</v>
      </c>
      <c r="L79" s="284" t="n">
        <f aca="false">L69</f>
        <v>5548.74973666667</v>
      </c>
      <c r="M79" s="284" t="n">
        <f aca="false">M69</f>
        <v>5548.74973666667</v>
      </c>
      <c r="N79" s="264" t="n">
        <f aca="false">SUM(B79:M79)</f>
        <v>62552.1368766667</v>
      </c>
    </row>
    <row r="80" customFormat="false" ht="15" hidden="false" customHeight="true" outlineLevel="0" collapsed="false">
      <c r="A80" s="237" t="s">
        <v>1990</v>
      </c>
      <c r="B80" s="284" t="n">
        <f aca="false">B70</f>
        <v>12104.1703333333</v>
      </c>
      <c r="C80" s="284" t="n">
        <f aca="false">C70</f>
        <v>12104.1703333333</v>
      </c>
      <c r="D80" s="284" t="n">
        <f aca="false">D70</f>
        <v>12104.1703333333</v>
      </c>
      <c r="E80" s="284" t="n">
        <f aca="false">E70</f>
        <v>12104.1703333333</v>
      </c>
      <c r="F80" s="284" t="n">
        <f aca="false">F70</f>
        <v>12104.1703333333</v>
      </c>
      <c r="G80" s="284" t="n">
        <f aca="false">G70</f>
        <v>12104.1703333333</v>
      </c>
      <c r="H80" s="284" t="n">
        <f aca="false">H70</f>
        <v>12104.1703333333</v>
      </c>
      <c r="I80" s="284" t="n">
        <f aca="false">I70</f>
        <v>12992.5036666667</v>
      </c>
      <c r="J80" s="284" t="n">
        <f aca="false">J70</f>
        <v>12992.5036666667</v>
      </c>
      <c r="K80" s="284" t="n">
        <f aca="false">K70</f>
        <v>13382.2787766667</v>
      </c>
      <c r="L80" s="284" t="n">
        <f aca="false">L70</f>
        <v>13382.2787766667</v>
      </c>
      <c r="M80" s="284" t="n">
        <f aca="false">M70</f>
        <v>13382.2787766667</v>
      </c>
      <c r="N80" s="264" t="n">
        <f aca="false">SUM(B80:M80)</f>
        <v>150861.035996667</v>
      </c>
    </row>
    <row r="81" customFormat="false" ht="15" hidden="false" customHeight="true" outlineLevel="0" collapsed="false">
      <c r="A81" s="282" t="s">
        <v>1991</v>
      </c>
      <c r="B81" s="283" t="n">
        <f aca="false">SUM(B74:B80)</f>
        <v>113877.001907738</v>
      </c>
      <c r="C81" s="283" t="n">
        <f aca="false">SUM(C74:C80)</f>
        <v>107685.700320437</v>
      </c>
      <c r="D81" s="283" t="n">
        <f aca="false">SUM(D74:D80)</f>
        <v>95303.0971458333</v>
      </c>
      <c r="E81" s="283" t="n">
        <f aca="false">SUM(E74:E80)</f>
        <v>124526.040637897</v>
      </c>
      <c r="F81" s="283" t="n">
        <f aca="false">SUM(F74:F80)</f>
        <v>118334.739050595</v>
      </c>
      <c r="G81" s="283" t="n">
        <f aca="false">SUM(G74:G80)</f>
        <v>128983.777780754</v>
      </c>
      <c r="H81" s="283" t="n">
        <f aca="false">SUM(H74:H80)</f>
        <v>124526.040637897</v>
      </c>
      <c r="I81" s="283" t="n">
        <f aca="false">SUM(I74:I80)</f>
        <v>137390.675558532</v>
      </c>
      <c r="J81" s="283" t="n">
        <f aca="false">SUM(J74:J80)</f>
        <v>148039.71428869</v>
      </c>
      <c r="K81" s="283" t="n">
        <f aca="false">SUM(K74:K80)</f>
        <v>150967.78096869</v>
      </c>
      <c r="L81" s="283" t="n">
        <f aca="false">SUM(L74:L80)</f>
        <v>161616.819698849</v>
      </c>
      <c r="M81" s="283" t="n">
        <f aca="false">SUM(M74:M80)</f>
        <v>163350.384143294</v>
      </c>
      <c r="N81" s="283" t="n">
        <f aca="false">SUM(B81:M81)</f>
        <v>1574601.77213921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919884.365833333</v>
      </c>
      <c r="E89" s="278" t="n">
        <f aca="false">FE!N67</f>
        <v>850614.65</v>
      </c>
      <c r="F89" s="264" t="n">
        <f aca="false">D89-E89</f>
        <v>69269.7158333333</v>
      </c>
      <c r="G89" s="278" t="n">
        <f aca="false">FE!AG67</f>
        <v>919884.365833333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62552.1368766667</v>
      </c>
      <c r="E90" s="278" t="n">
        <f aca="false">FE!N68</f>
        <v>40439.44</v>
      </c>
      <c r="F90" s="264" t="n">
        <f aca="false">D90-E90</f>
        <v>22112.6968766667</v>
      </c>
      <c r="G90" s="278" t="n">
        <f aca="false">FE!AG68</f>
        <v>62552.1368766667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150861.035996667</v>
      </c>
      <c r="E91" s="278" t="n">
        <f aca="false">FE!N69</f>
        <v>80480.42</v>
      </c>
      <c r="F91" s="264" t="n">
        <f aca="false">D91-E91</f>
        <v>70380.6159966667</v>
      </c>
      <c r="G91" s="278" t="n">
        <f aca="false">FE!AG69</f>
        <v>150861.035996667</v>
      </c>
      <c r="H91" s="237"/>
      <c r="I91" s="237"/>
      <c r="J91" s="237"/>
      <c r="K91" s="237"/>
      <c r="L91" s="237"/>
      <c r="M91" s="237"/>
      <c r="N91" s="237"/>
    </row>
    <row r="92" customFormat="false" ht="15" hidden="false" customHeight="true" outlineLevel="0" collapsed="false">
      <c r="A92" s="282" t="s">
        <v>1893</v>
      </c>
      <c r="B92" s="282"/>
      <c r="C92" s="282"/>
      <c r="D92" s="283" t="n">
        <f aca="false">SUM(D85:D91)</f>
        <v>1574601.77213921</v>
      </c>
      <c r="E92" s="283" t="n">
        <f aca="false">SUM(E85:E91)</f>
        <v>1109621.69</v>
      </c>
      <c r="F92" s="283" t="n">
        <f aca="false">D92-E92</f>
        <v>464980.082139206</v>
      </c>
      <c r="G92" s="283" t="n">
        <f aca="false">SUM(G85:G91)</f>
        <v>1574601.77213921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BA5D-0F14-40A7-A466-55BCD4D6A8BC}">
  <sheetPr>
    <tabColor theme="5" tint="0.59999389629810485"/>
  </sheetPr>
  <dimension ref="A1:AB71"/>
  <sheetViews>
    <sheetView zoomScale="80" zoomScaleNormal="80" workbookViewId="0">
      <pane xSplit="8" ySplit="11" topLeftCell="O12" activePane="bottomRight" state="frozen"/>
      <selection pane="topRight"/>
      <selection pane="bottomLeft"/>
      <selection pane="bottomRight" activeCell="D21" sqref="D21"/>
    </sheetView>
  </sheetViews>
  <sheetFormatPr defaultRowHeight="14.4" x14ac:dyDescent="0.3"/>
  <cols>
    <col min="1" max="1" width="23.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11.21875" customWidth="1"/>
    <col min="25" max="25" width="2.44140625" customWidth="1"/>
    <col min="26" max="26" width="12.6640625" customWidth="1"/>
    <col min="27" max="27" width="3.21875" customWidth="1"/>
    <col min="28" max="28" width="27.21875" customWidth="1"/>
  </cols>
  <sheetData>
    <row r="1" spans="1:28" ht="18" x14ac:dyDescent="0.35">
      <c r="A1" s="290" t="inlineStr">
        <is>
          <t>Slip Robotics, Inc.</t>
        </is>
      </c>
    </row>
    <row r="2" spans="1:28" ht="15.6" x14ac:dyDescent="0.3">
      <c r="A2" s="291" t="inlineStr">
        <is>
          <t>FIELD OPERATIONS (FO)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FO    |    P&amp;L Classification: COGS    |    GL Accounts — Salaries 5510 · Taxes 5530 · Benefits 5540</t>
        </is>
      </c>
    </row>
    <row r="5" spans="1:28" x14ac:dyDescent="0.3">
      <c r="B5" s="294" t="inlineStr">
        <is>
          <t>ASSUMPTIONS</t>
        </is>
      </c>
    </row>
    <row r="6" spans="1:28" x14ac:dyDescent="0.3">
      <c r="B6" s="295" t="inlineStr">
        <is>
          <t>Employer payroll tax rate (% of wages)</t>
        </is>
      </c>
      <c r="D6" s="296">
        <v>6.8470908430436739E-2</v>
      </c>
      <c r="E6" s="297"/>
    </row>
    <row r="7" spans="1:28" x14ac:dyDescent="0.3">
      <c r="B7" s="295" t="inlineStr">
        <is>
          <t>Benefits load (% of salary)</t>
        </is>
      </c>
      <c r="D7" s="298">
        <v>0.16405370751499249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Gavin Grizzle</t>
        </is>
      </c>
      <c r="C14" s="317" t="inlineStr">
        <is>
          <t>Field Technician</t>
        </is>
      </c>
      <c r="D14" s="318">
        <v>60513</v>
      </c>
      <c r="E14" s="319">
        <v>46266</v>
      </c>
      <c r="F14" s="319">
        <v>46722</v>
      </c>
      <c r="G14" s="320">
        <v>0.03</v>
      </c>
      <c r="H14" s="321">
        <f t="shared" ref="H14:H33" si="0">$D$8</f>
        <v>46661</v>
      </c>
      <c r="I14" s="322">
        <f t="shared" ref="I14:X33" si="1">IF(OR($D14="",$E14="",NOT(ISNUMBER($D14))),"",IF(AND($E14&lt;=I$10,IF($F14="",$X$10,$F14)&gt;=I$10),$D14/12*(1+N($G14))^IF(AND(ISNUMBER($H14),I$10&gt;=$H14),1+INT(DATEDIF($H14,I$10,"m")/12),0),0))</f>
        <v>5042.75</v>
      </c>
      <c r="J14" s="322">
        <f t="shared" si="1"/>
        <v>5042.75</v>
      </c>
      <c r="K14" s="322">
        <f t="shared" si="1"/>
        <v>5042.75</v>
      </c>
      <c r="L14" s="322">
        <f t="shared" si="1"/>
        <v>5042.75</v>
      </c>
      <c r="M14" s="323">
        <f t="shared" si="1"/>
        <v>5042.75</v>
      </c>
      <c r="N14" s="322">
        <f t="shared" si="1"/>
        <v>5042.75</v>
      </c>
      <c r="O14" s="322">
        <f t="shared" si="1"/>
        <v>5042.75</v>
      </c>
      <c r="P14" s="322">
        <f t="shared" si="1"/>
        <v>5042.75</v>
      </c>
      <c r="Q14" s="322">
        <f t="shared" si="1"/>
        <v>5042.75</v>
      </c>
      <c r="R14" s="322">
        <f t="shared" si="1"/>
        <v>5042.75</v>
      </c>
      <c r="S14" s="322">
        <f t="shared" si="1"/>
        <v>5042.75</v>
      </c>
      <c r="T14" s="322">
        <f t="shared" si="1"/>
        <v>5042.75</v>
      </c>
      <c r="U14" s="322">
        <f t="shared" si="1"/>
        <v>5042.75</v>
      </c>
      <c r="V14" s="322">
        <f t="shared" si="1"/>
        <v>5194.0325000000003</v>
      </c>
      <c r="W14" s="322">
        <f t="shared" si="1"/>
        <v>5194.0325000000003</v>
      </c>
      <c r="X14" s="322">
        <f t="shared" si="1"/>
        <v>5194.0325000000003</v>
      </c>
      <c r="Y14" s="322"/>
      <c r="Z14" s="322">
        <f>SUM(M14:X14)</f>
        <v>60966.847500000003</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Murphy</t>
        </is>
      </c>
      <c r="C15" s="317" t="inlineStr">
        <is>
          <t>Field Technician</t>
        </is>
      </c>
      <c r="D15" s="318">
        <v>70021</v>
      </c>
      <c r="E15" s="319">
        <v>46266</v>
      </c>
      <c r="F15" s="319">
        <v>46722</v>
      </c>
      <c r="G15" s="320">
        <v>0.03</v>
      </c>
      <c r="H15" s="321">
        <f t="shared" si="0"/>
        <v>46661</v>
      </c>
      <c r="I15" s="322">
        <f t="shared" si="1"/>
        <v>5835.083333333333</v>
      </c>
      <c r="J15" s="322">
        <f t="shared" si="1"/>
        <v>5835.083333333333</v>
      </c>
      <c r="K15" s="322">
        <f t="shared" si="1"/>
        <v>5835.083333333333</v>
      </c>
      <c r="L15" s="322">
        <f t="shared" si="1"/>
        <v>5835.083333333333</v>
      </c>
      <c r="M15" s="322">
        <f t="shared" si="1"/>
        <v>5835.083333333333</v>
      </c>
      <c r="N15" s="322">
        <f t="shared" si="1"/>
        <v>5835.083333333333</v>
      </c>
      <c r="O15" s="322">
        <f t="shared" si="1"/>
        <v>5835.083333333333</v>
      </c>
      <c r="P15" s="322">
        <f t="shared" si="1"/>
        <v>5835.083333333333</v>
      </c>
      <c r="Q15" s="322">
        <f t="shared" si="1"/>
        <v>5835.083333333333</v>
      </c>
      <c r="R15" s="322">
        <f t="shared" si="1"/>
        <v>5835.083333333333</v>
      </c>
      <c r="S15" s="322">
        <f t="shared" si="1"/>
        <v>5835.083333333333</v>
      </c>
      <c r="T15" s="322">
        <f t="shared" si="1"/>
        <v>5835.083333333333</v>
      </c>
      <c r="U15" s="322">
        <f t="shared" si="1"/>
        <v>5835.083333333333</v>
      </c>
      <c r="V15" s="322">
        <f t="shared" si="1"/>
        <v>6010.1358333333328</v>
      </c>
      <c r="W15" s="322">
        <f t="shared" si="1"/>
        <v>6010.1358333333328</v>
      </c>
      <c r="X15" s="322">
        <f t="shared" si="1"/>
        <v>6010.1358333333328</v>
      </c>
      <c r="Y15" s="322"/>
      <c r="Z15" s="322">
        <f t="shared" ref="Z15:Z33" si="3">SUM(M15:X15)</f>
        <v>70546.157500000001</v>
      </c>
      <c r="AB15" s="324" t="str">
        <f t="shared" si="2"/>
        <v/>
      </c>
    </row>
    <row r="16" spans="1:28" x14ac:dyDescent="0.3">
      <c r="B16" s="317" t="inlineStr">
        <is>
          <t>Adam Trostle</t>
        </is>
      </c>
      <c r="C16" s="317" t="inlineStr">
        <is>
          <t>Field Technician</t>
        </is>
      </c>
      <c r="D16" s="318">
        <v>69376</v>
      </c>
      <c r="E16" s="319">
        <v>46266</v>
      </c>
      <c r="F16" s="319">
        <v>46722</v>
      </c>
      <c r="G16" s="320">
        <v>0.03</v>
      </c>
      <c r="H16" s="321">
        <f t="shared" si="0"/>
        <v>46661</v>
      </c>
      <c r="I16" s="322">
        <f t="shared" si="1"/>
        <v>5781.333333333333</v>
      </c>
      <c r="J16" s="322">
        <f t="shared" si="1"/>
        <v>5781.333333333333</v>
      </c>
      <c r="K16" s="322">
        <f t="shared" si="1"/>
        <v>5781.333333333333</v>
      </c>
      <c r="L16" s="322">
        <f t="shared" si="1"/>
        <v>5781.333333333333</v>
      </c>
      <c r="M16" s="322">
        <f t="shared" si="1"/>
        <v>5781.333333333333</v>
      </c>
      <c r="N16" s="322">
        <f t="shared" si="1"/>
        <v>5781.333333333333</v>
      </c>
      <c r="O16" s="322">
        <f t="shared" si="1"/>
        <v>5781.333333333333</v>
      </c>
      <c r="P16" s="322">
        <f t="shared" si="1"/>
        <v>5781.333333333333</v>
      </c>
      <c r="Q16" s="322">
        <f t="shared" si="1"/>
        <v>5781.333333333333</v>
      </c>
      <c r="R16" s="322">
        <f t="shared" si="1"/>
        <v>5781.333333333333</v>
      </c>
      <c r="S16" s="322">
        <f t="shared" si="1"/>
        <v>5781.333333333333</v>
      </c>
      <c r="T16" s="322">
        <f t="shared" si="1"/>
        <v>5781.333333333333</v>
      </c>
      <c r="U16" s="322">
        <f t="shared" si="1"/>
        <v>5781.333333333333</v>
      </c>
      <c r="V16" s="322">
        <f t="shared" si="1"/>
        <v>5954.7733333333335</v>
      </c>
      <c r="W16" s="322">
        <f t="shared" si="1"/>
        <v>5954.7733333333335</v>
      </c>
      <c r="X16" s="322">
        <f t="shared" si="1"/>
        <v>5954.7733333333335</v>
      </c>
      <c r="Y16" s="322"/>
      <c r="Z16" s="322">
        <f t="shared" si="3"/>
        <v>69896.320000000007</v>
      </c>
      <c r="AB16" s="324" t="str">
        <f t="shared" si="2"/>
        <v/>
      </c>
    </row>
    <row r="17" spans="2:28" x14ac:dyDescent="0.3">
      <c r="B17" s="317" t="inlineStr">
        <is>
          <t>Joe Byers</t>
        </is>
      </c>
      <c r="C17" s="317" t="inlineStr">
        <is>
          <t>Field Technician</t>
        </is>
      </c>
      <c r="D17" s="318">
        <v>61687</v>
      </c>
      <c r="E17" s="319">
        <v>46266</v>
      </c>
      <c r="F17" s="319">
        <v>46722</v>
      </c>
      <c r="G17" s="320">
        <v>0.03</v>
      </c>
      <c r="H17" s="321">
        <f t="shared" si="0"/>
        <v>46661</v>
      </c>
      <c r="I17" s="322">
        <f t="shared" si="1"/>
        <v>5140.583333333333</v>
      </c>
      <c r="J17" s="322">
        <f t="shared" si="1"/>
        <v>5140.583333333333</v>
      </c>
      <c r="K17" s="322">
        <f t="shared" si="1"/>
        <v>5140.583333333333</v>
      </c>
      <c r="L17" s="322">
        <f t="shared" si="1"/>
        <v>5140.583333333333</v>
      </c>
      <c r="M17" s="322">
        <f t="shared" si="1"/>
        <v>5140.583333333333</v>
      </c>
      <c r="N17" s="322">
        <f t="shared" si="1"/>
        <v>5140.583333333333</v>
      </c>
      <c r="O17" s="322">
        <f t="shared" si="1"/>
        <v>5140.583333333333</v>
      </c>
      <c r="P17" s="322">
        <f t="shared" si="1"/>
        <v>5140.583333333333</v>
      </c>
      <c r="Q17" s="322">
        <f t="shared" si="1"/>
        <v>5140.583333333333</v>
      </c>
      <c r="R17" s="322">
        <f t="shared" si="1"/>
        <v>5140.583333333333</v>
      </c>
      <c r="S17" s="322">
        <f t="shared" si="1"/>
        <v>5140.583333333333</v>
      </c>
      <c r="T17" s="322">
        <f t="shared" si="1"/>
        <v>5140.583333333333</v>
      </c>
      <c r="U17" s="322">
        <f t="shared" si="1"/>
        <v>5140.583333333333</v>
      </c>
      <c r="V17" s="322">
        <f t="shared" si="1"/>
        <v>5294.8008333333328</v>
      </c>
      <c r="W17" s="322">
        <f t="shared" si="1"/>
        <v>5294.8008333333328</v>
      </c>
      <c r="X17" s="322">
        <f t="shared" si="1"/>
        <v>5294.8008333333328</v>
      </c>
      <c r="Y17" s="322"/>
      <c r="Z17" s="322">
        <f t="shared" si="3"/>
        <v>62149.652500000004</v>
      </c>
      <c r="AB17" s="324" t="str">
        <f t="shared" si="2"/>
        <v/>
      </c>
    </row>
    <row r="18" spans="2:28" x14ac:dyDescent="0.3">
      <c r="B18" s="317" t="inlineStr">
        <is>
          <t>Chad Seyfried</t>
        </is>
      </c>
      <c r="C18" s="317" t="inlineStr">
        <is>
          <t>Field Technician</t>
        </is>
      </c>
      <c r="D18" s="318">
        <v>60593</v>
      </c>
      <c r="E18" s="319">
        <v>46266</v>
      </c>
      <c r="F18" s="319">
        <v>46722</v>
      </c>
      <c r="G18" s="320">
        <v>0.03</v>
      </c>
      <c r="H18" s="321">
        <f t="shared" si="0"/>
        <v>46661</v>
      </c>
      <c r="I18" s="322">
        <f t="shared" si="1"/>
        <v>5049.416666666667</v>
      </c>
      <c r="J18" s="322">
        <f t="shared" si="1"/>
        <v>5049.416666666667</v>
      </c>
      <c r="K18" s="322">
        <f t="shared" si="1"/>
        <v>5049.416666666667</v>
      </c>
      <c r="L18" s="322">
        <f t="shared" si="1"/>
        <v>5049.416666666667</v>
      </c>
      <c r="M18" s="322">
        <f t="shared" si="1"/>
        <v>5049.416666666667</v>
      </c>
      <c r="N18" s="322">
        <f t="shared" si="1"/>
        <v>5049.416666666667</v>
      </c>
      <c r="O18" s="322">
        <f t="shared" si="1"/>
        <v>5049.416666666667</v>
      </c>
      <c r="P18" s="322">
        <f t="shared" si="1"/>
        <v>5049.416666666667</v>
      </c>
      <c r="Q18" s="322">
        <f t="shared" si="1"/>
        <v>5049.416666666667</v>
      </c>
      <c r="R18" s="322">
        <f t="shared" si="1"/>
        <v>5049.416666666667</v>
      </c>
      <c r="S18" s="322">
        <f t="shared" si="1"/>
        <v>5049.416666666667</v>
      </c>
      <c r="T18" s="322">
        <f t="shared" si="1"/>
        <v>5049.416666666667</v>
      </c>
      <c r="U18" s="322">
        <f t="shared" si="1"/>
        <v>5049.416666666667</v>
      </c>
      <c r="V18" s="322">
        <f t="shared" si="1"/>
        <v>5200.899166666667</v>
      </c>
      <c r="W18" s="322">
        <f t="shared" si="1"/>
        <v>5200.899166666667</v>
      </c>
      <c r="X18" s="322">
        <f t="shared" si="1"/>
        <v>5200.899166666667</v>
      </c>
      <c r="Y18" s="322"/>
      <c r="Z18" s="322">
        <f t="shared" si="3"/>
        <v>61047.447500000009</v>
      </c>
      <c r="AB18" s="324" t="str">
        <f t="shared" si="2"/>
        <v/>
      </c>
    </row>
    <row r="19" spans="2:28" x14ac:dyDescent="0.3">
      <c r="B19" s="317" t="inlineStr">
        <is>
          <t>Benjamin Phillips</t>
        </is>
      </c>
      <c r="C19" s="317" t="inlineStr">
        <is>
          <t>Field Technician</t>
        </is>
      </c>
      <c r="D19" s="318">
        <v>53092</v>
      </c>
      <c r="E19" s="319">
        <v>46266</v>
      </c>
      <c r="F19" s="319">
        <v>46722</v>
      </c>
      <c r="G19" s="320">
        <v>0.03</v>
      </c>
      <c r="H19" s="321">
        <f t="shared" si="0"/>
        <v>46661</v>
      </c>
      <c r="I19" s="322">
        <f t="shared" si="1"/>
        <v>4424.333333333333</v>
      </c>
      <c r="J19" s="322">
        <f t="shared" si="1"/>
        <v>4424.333333333333</v>
      </c>
      <c r="K19" s="322">
        <f t="shared" si="1"/>
        <v>4424.333333333333</v>
      </c>
      <c r="L19" s="322">
        <f t="shared" si="1"/>
        <v>4424.333333333333</v>
      </c>
      <c r="M19" s="322">
        <f t="shared" si="1"/>
        <v>4424.333333333333</v>
      </c>
      <c r="N19" s="322">
        <f t="shared" si="1"/>
        <v>4424.333333333333</v>
      </c>
      <c r="O19" s="322">
        <f t="shared" si="1"/>
        <v>4424.333333333333</v>
      </c>
      <c r="P19" s="322">
        <f t="shared" si="1"/>
        <v>4424.333333333333</v>
      </c>
      <c r="Q19" s="322">
        <f t="shared" si="1"/>
        <v>4424.333333333333</v>
      </c>
      <c r="R19" s="322">
        <f t="shared" si="1"/>
        <v>4424.333333333333</v>
      </c>
      <c r="S19" s="322">
        <f t="shared" si="1"/>
        <v>4424.333333333333</v>
      </c>
      <c r="T19" s="322">
        <f t="shared" si="1"/>
        <v>4424.333333333333</v>
      </c>
      <c r="U19" s="322">
        <f t="shared" si="1"/>
        <v>4424.333333333333</v>
      </c>
      <c r="V19" s="322">
        <f t="shared" si="1"/>
        <v>4557.0633333333335</v>
      </c>
      <c r="W19" s="322">
        <f t="shared" si="1"/>
        <v>4557.0633333333335</v>
      </c>
      <c r="X19" s="322">
        <f t="shared" si="1"/>
        <v>4557.0633333333335</v>
      </c>
      <c r="Y19" s="322"/>
      <c r="Z19" s="322">
        <f t="shared" si="3"/>
        <v>53490.189999999995</v>
      </c>
      <c r="AB19" s="324" t="str">
        <f t="shared" si="2"/>
        <v/>
      </c>
    </row>
    <row r="20" spans="2:28" x14ac:dyDescent="0.3">
      <c r="B20" s="317" t="inlineStr">
        <is>
          <t>Brian McSween</t>
        </is>
      </c>
      <c r="C20" s="317" t="inlineStr">
        <is>
          <t>Field Technician</t>
        </is>
      </c>
      <c r="D20" s="318">
        <v>59032</v>
      </c>
      <c r="E20" s="319">
        <v>46266</v>
      </c>
      <c r="F20" s="319">
        <v>46722</v>
      </c>
      <c r="G20" s="320">
        <v>0.03</v>
      </c>
      <c r="H20" s="321">
        <f t="shared" si="0"/>
        <v>46661</v>
      </c>
      <c r="I20" s="322">
        <f t="shared" si="1"/>
        <v>4919.333333333333</v>
      </c>
      <c r="J20" s="322">
        <f t="shared" si="1"/>
        <v>4919.333333333333</v>
      </c>
      <c r="K20" s="322">
        <f t="shared" si="1"/>
        <v>4919.333333333333</v>
      </c>
      <c r="L20" s="322">
        <f t="shared" si="1"/>
        <v>4919.333333333333</v>
      </c>
      <c r="M20" s="322">
        <f t="shared" si="1"/>
        <v>4919.333333333333</v>
      </c>
      <c r="N20" s="322">
        <f t="shared" si="1"/>
        <v>4919.333333333333</v>
      </c>
      <c r="O20" s="322">
        <f t="shared" si="1"/>
        <v>4919.333333333333</v>
      </c>
      <c r="P20" s="322">
        <f t="shared" si="1"/>
        <v>4919.333333333333</v>
      </c>
      <c r="Q20" s="322">
        <f t="shared" si="1"/>
        <v>4919.333333333333</v>
      </c>
      <c r="R20" s="322">
        <f t="shared" si="1"/>
        <v>4919.333333333333</v>
      </c>
      <c r="S20" s="322">
        <f t="shared" si="1"/>
        <v>4919.333333333333</v>
      </c>
      <c r="T20" s="322">
        <f t="shared" si="1"/>
        <v>4919.333333333333</v>
      </c>
      <c r="U20" s="322">
        <f t="shared" si="1"/>
        <v>4919.333333333333</v>
      </c>
      <c r="V20" s="322">
        <f t="shared" si="1"/>
        <v>5066.913333333333</v>
      </c>
      <c r="W20" s="322">
        <f t="shared" si="1"/>
        <v>5066.913333333333</v>
      </c>
      <c r="X20" s="322">
        <f t="shared" si="1"/>
        <v>5066.913333333333</v>
      </c>
      <c r="Y20" s="322"/>
      <c r="Z20" s="322">
        <f t="shared" si="3"/>
        <v>59474.739999999991</v>
      </c>
      <c r="AB20" s="324" t="str">
        <f t="shared" si="2"/>
        <v/>
      </c>
    </row>
    <row r="21" spans="2:28" x14ac:dyDescent="0.3">
      <c r="B21" s="317" t="inlineStr">
        <is>
          <t>Rebecca Tien</t>
        </is>
      </c>
      <c r="C21" s="317" t="inlineStr">
        <is>
          <t>Operations Coordinator</t>
        </is>
      </c>
      <c r="D21" s="318">
        <v>76515</v>
      </c>
      <c r="E21" s="319">
        <v>46266</v>
      </c>
      <c r="F21" s="319">
        <v>46722</v>
      </c>
      <c r="G21" s="320">
        <v>0.03</v>
      </c>
      <c r="H21" s="321">
        <f t="shared" si="0"/>
        <v>46661</v>
      </c>
      <c r="I21" s="322">
        <f t="shared" si="1"/>
        <v>6376.25</v>
      </c>
      <c r="J21" s="322">
        <f t="shared" si="1"/>
        <v>6376.25</v>
      </c>
      <c r="K21" s="322">
        <f t="shared" si="1"/>
        <v>6376.25</v>
      </c>
      <c r="L21" s="322">
        <f t="shared" si="1"/>
        <v>6376.25</v>
      </c>
      <c r="M21" s="322">
        <f t="shared" si="1"/>
        <v>6376.25</v>
      </c>
      <c r="N21" s="322">
        <f t="shared" si="1"/>
        <v>6376.25</v>
      </c>
      <c r="O21" s="322">
        <f t="shared" si="1"/>
        <v>6376.25</v>
      </c>
      <c r="P21" s="322">
        <f t="shared" si="1"/>
        <v>6376.25</v>
      </c>
      <c r="Q21" s="322">
        <f t="shared" si="1"/>
        <v>6376.25</v>
      </c>
      <c r="R21" s="322">
        <f t="shared" si="1"/>
        <v>6376.25</v>
      </c>
      <c r="S21" s="322">
        <f t="shared" si="1"/>
        <v>6376.25</v>
      </c>
      <c r="T21" s="322">
        <f t="shared" si="1"/>
        <v>6376.25</v>
      </c>
      <c r="U21" s="322">
        <f t="shared" si="1"/>
        <v>6376.25</v>
      </c>
      <c r="V21" s="322">
        <f t="shared" si="1"/>
        <v>6567.5375000000004</v>
      </c>
      <c r="W21" s="322">
        <f t="shared" si="1"/>
        <v>6567.5375000000004</v>
      </c>
      <c r="X21" s="322">
        <f t="shared" si="1"/>
        <v>6567.5375000000004</v>
      </c>
      <c r="Y21" s="322"/>
      <c r="Z21" s="322">
        <f t="shared" si="3"/>
        <v>77088.862500000003</v>
      </c>
      <c r="AB21" s="324" t="str">
        <f t="shared" si="2"/>
        <v/>
      </c>
    </row>
    <row r="22" spans="2:28" x14ac:dyDescent="0.3">
      <c r="B22" s="317" t="inlineStr">
        <is>
          <t>Juan Rodriguez</t>
        </is>
      </c>
      <c r="C22" s="317" t="inlineStr">
        <is>
          <t>Field Technician</t>
        </is>
      </c>
      <c r="D22" s="318">
        <v>64522</v>
      </c>
      <c r="E22" s="319">
        <v>46266</v>
      </c>
      <c r="F22" s="319">
        <v>46722</v>
      </c>
      <c r="G22" s="320">
        <v>0.03</v>
      </c>
      <c r="H22" s="321">
        <f t="shared" si="0"/>
        <v>46661</v>
      </c>
      <c r="I22" s="322">
        <f t="shared" si="1"/>
        <v>5376.833333333333</v>
      </c>
      <c r="J22" s="322">
        <f t="shared" si="1"/>
        <v>5376.833333333333</v>
      </c>
      <c r="K22" s="322">
        <f t="shared" si="1"/>
        <v>5376.833333333333</v>
      </c>
      <c r="L22" s="322">
        <f t="shared" si="1"/>
        <v>5376.833333333333</v>
      </c>
      <c r="M22" s="322">
        <f t="shared" si="1"/>
        <v>5376.833333333333</v>
      </c>
      <c r="N22" s="322">
        <f t="shared" si="1"/>
        <v>5376.833333333333</v>
      </c>
      <c r="O22" s="322">
        <f t="shared" si="1"/>
        <v>5376.833333333333</v>
      </c>
      <c r="P22" s="322">
        <f t="shared" si="1"/>
        <v>5376.833333333333</v>
      </c>
      <c r="Q22" s="322">
        <f t="shared" si="1"/>
        <v>5376.833333333333</v>
      </c>
      <c r="R22" s="322">
        <f t="shared" si="1"/>
        <v>5376.833333333333</v>
      </c>
      <c r="S22" s="322">
        <f t="shared" si="1"/>
        <v>5376.833333333333</v>
      </c>
      <c r="T22" s="322">
        <f t="shared" si="1"/>
        <v>5376.833333333333</v>
      </c>
      <c r="U22" s="322">
        <f t="shared" si="1"/>
        <v>5376.833333333333</v>
      </c>
      <c r="V22" s="322">
        <f t="shared" si="1"/>
        <v>5538.1383333333333</v>
      </c>
      <c r="W22" s="322">
        <f t="shared" si="1"/>
        <v>5538.1383333333333</v>
      </c>
      <c r="X22" s="322">
        <f t="shared" ref="X22" si="4">IF(OR($D22="",$E22="",NOT(ISNUMBER($D22))),"",IF(AND($E22&lt;=X$10,IF($F22="",$X$10,$F22)&gt;=X$10),$D22/12*(1+N($G22))^IF(AND(ISNUMBER($H22),X$10&gt;=$H22),1+INT(DATEDIF($H22,X$10,"m")/12),0),0))</f>
        <v>5538.1383333333333</v>
      </c>
      <c r="Y22" s="322"/>
      <c r="Z22" s="322">
        <f t="shared" ref="Z22:Z26" si="5">SUM(M22:X22)</f>
        <v>65005.915000000008</v>
      </c>
      <c r="AB22" s="324" t="str">
        <f t="shared" si="2"/>
        <v/>
      </c>
    </row>
    <row r="23" spans="2:28" x14ac:dyDescent="0.3">
      <c r="B23" s="317" t="inlineStr">
        <is>
          <t>Shanndon Ferguson</t>
        </is>
      </c>
      <c r="C23" s="317" t="inlineStr">
        <is>
          <t>Field Technician</t>
        </is>
      </c>
      <c r="D23" s="318">
        <v>49920</v>
      </c>
      <c r="E23" s="319">
        <v>46266</v>
      </c>
      <c r="F23" s="319">
        <v>46722</v>
      </c>
      <c r="G23" s="320">
        <v>0.03</v>
      </c>
      <c r="H23" s="321">
        <f t="shared" si="0"/>
        <v>46661</v>
      </c>
      <c r="I23" s="322">
        <f t="shared" ref="I23:X26" si="6">IF(OR($D23="",$E23="",NOT(ISNUMBER($D23))),"",IF(AND($E23&lt;=I$10,IF($F23="",$X$10,$F23)&gt;=I$10),$D23/12*(1+N($G23))^IF(AND(ISNUMBER($H23),I$10&gt;=$H23),1+INT(DATEDIF($H23,I$10,"m")/12),0),0))</f>
        <v>4160</v>
      </c>
      <c r="J23" s="322">
        <f t="shared" si="6"/>
        <v>4160</v>
      </c>
      <c r="K23" s="322">
        <f t="shared" si="6"/>
        <v>4160</v>
      </c>
      <c r="L23" s="322">
        <f t="shared" si="6"/>
        <v>4160</v>
      </c>
      <c r="M23" s="322">
        <f t="shared" si="6"/>
        <v>4160</v>
      </c>
      <c r="N23" s="322">
        <f t="shared" si="6"/>
        <v>4160</v>
      </c>
      <c r="O23" s="322">
        <f t="shared" si="6"/>
        <v>4160</v>
      </c>
      <c r="P23" s="322">
        <f t="shared" si="6"/>
        <v>4160</v>
      </c>
      <c r="Q23" s="322">
        <f t="shared" si="6"/>
        <v>4160</v>
      </c>
      <c r="R23" s="322">
        <f t="shared" si="6"/>
        <v>4160</v>
      </c>
      <c r="S23" s="322">
        <f t="shared" si="6"/>
        <v>4160</v>
      </c>
      <c r="T23" s="322">
        <f t="shared" si="6"/>
        <v>4160</v>
      </c>
      <c r="U23" s="322">
        <f t="shared" si="6"/>
        <v>4160</v>
      </c>
      <c r="V23" s="322">
        <f t="shared" si="6"/>
        <v>4284.8</v>
      </c>
      <c r="W23" s="322">
        <f t="shared" si="6"/>
        <v>4284.8</v>
      </c>
      <c r="X23" s="322">
        <f t="shared" si="6"/>
        <v>4284.8</v>
      </c>
      <c r="Y23" s="322"/>
      <c r="Z23" s="322">
        <f t="shared" si="5"/>
        <v>50294.400000000009</v>
      </c>
      <c r="AB23" s="324" t="str">
        <f t="shared" si="2"/>
        <v/>
      </c>
    </row>
    <row r="24" spans="2:28" x14ac:dyDescent="0.3">
      <c r="B24" s="317" t="inlineStr">
        <is>
          <t>Bernadette Sanchez</t>
        </is>
      </c>
      <c r="C24" s="317" t="inlineStr">
        <is>
          <t>Field Technician</t>
        </is>
      </c>
      <c r="D24" s="318">
        <v>70720</v>
      </c>
      <c r="E24" s="319">
        <v>46266</v>
      </c>
      <c r="F24" s="319">
        <v>46722</v>
      </c>
      <c r="G24" s="320">
        <v>0.03</v>
      </c>
      <c r="H24" s="321">
        <f t="shared" si="0"/>
        <v>46661</v>
      </c>
      <c r="I24" s="322">
        <f t="shared" si="6"/>
        <v>5893.333333333333</v>
      </c>
      <c r="J24" s="322">
        <f t="shared" si="6"/>
        <v>5893.333333333333</v>
      </c>
      <c r="K24" s="322">
        <f t="shared" si="6"/>
        <v>5893.333333333333</v>
      </c>
      <c r="L24" s="322">
        <f t="shared" si="6"/>
        <v>5893.333333333333</v>
      </c>
      <c r="M24" s="322">
        <f t="shared" si="6"/>
        <v>5893.333333333333</v>
      </c>
      <c r="N24" s="322">
        <f t="shared" si="6"/>
        <v>5893.333333333333</v>
      </c>
      <c r="O24" s="322">
        <f t="shared" si="6"/>
        <v>5893.333333333333</v>
      </c>
      <c r="P24" s="322">
        <f t="shared" si="6"/>
        <v>5893.333333333333</v>
      </c>
      <c r="Q24" s="322">
        <f t="shared" si="6"/>
        <v>5893.333333333333</v>
      </c>
      <c r="R24" s="322">
        <f t="shared" si="6"/>
        <v>5893.333333333333</v>
      </c>
      <c r="S24" s="322">
        <f t="shared" si="6"/>
        <v>5893.333333333333</v>
      </c>
      <c r="T24" s="322">
        <f t="shared" si="6"/>
        <v>5893.333333333333</v>
      </c>
      <c r="U24" s="322">
        <f t="shared" si="6"/>
        <v>5893.333333333333</v>
      </c>
      <c r="V24" s="322">
        <f t="shared" si="6"/>
        <v>6070.1333333333332</v>
      </c>
      <c r="W24" s="322">
        <f t="shared" si="6"/>
        <v>6070.1333333333332</v>
      </c>
      <c r="X24" s="322">
        <f t="shared" si="6"/>
        <v>6070.1333333333332</v>
      </c>
      <c r="Y24" s="322"/>
      <c r="Z24" s="322">
        <f t="shared" si="5"/>
        <v>71250.400000000009</v>
      </c>
      <c r="AB24" s="324" t="str">
        <f t="shared" si="2"/>
        <v/>
      </c>
    </row>
    <row r="25" spans="2:28" x14ac:dyDescent="0.3">
      <c r="B25" s="317" t="inlineStr">
        <is>
          <t>Isaiah Swallow</t>
        </is>
      </c>
      <c r="C25" s="317" t="inlineStr">
        <is>
          <t>Field Maintenance Manager</t>
        </is>
      </c>
      <c r="D25" s="318">
        <v>120000</v>
      </c>
      <c r="E25" s="319">
        <v>46266</v>
      </c>
      <c r="F25" s="319">
        <v>46722</v>
      </c>
      <c r="G25" s="320">
        <v>0.03</v>
      </c>
      <c r="H25" s="321">
        <f t="shared" si="0"/>
        <v>46661</v>
      </c>
      <c r="I25" s="322">
        <f t="shared" si="6"/>
        <v>10000</v>
      </c>
      <c r="J25" s="322">
        <f t="shared" si="6"/>
        <v>10000</v>
      </c>
      <c r="K25" s="322">
        <f t="shared" si="6"/>
        <v>10000</v>
      </c>
      <c r="L25" s="322">
        <f t="shared" si="6"/>
        <v>10000</v>
      </c>
      <c r="M25" s="322">
        <f t="shared" si="6"/>
        <v>10000</v>
      </c>
      <c r="N25" s="322">
        <f t="shared" si="6"/>
        <v>10000</v>
      </c>
      <c r="O25" s="322">
        <f t="shared" si="6"/>
        <v>10000</v>
      </c>
      <c r="P25" s="322">
        <f t="shared" si="6"/>
        <v>10000</v>
      </c>
      <c r="Q25" s="322">
        <f t="shared" si="6"/>
        <v>10000</v>
      </c>
      <c r="R25" s="322">
        <f t="shared" si="6"/>
        <v>10000</v>
      </c>
      <c r="S25" s="322">
        <f t="shared" si="6"/>
        <v>10000</v>
      </c>
      <c r="T25" s="322">
        <f t="shared" si="6"/>
        <v>10000</v>
      </c>
      <c r="U25" s="322">
        <f t="shared" si="6"/>
        <v>10000</v>
      </c>
      <c r="V25" s="322">
        <f t="shared" si="6"/>
        <v>10300</v>
      </c>
      <c r="W25" s="322">
        <f t="shared" si="6"/>
        <v>10300</v>
      </c>
      <c r="X25" s="322">
        <f t="shared" si="6"/>
        <v>10300</v>
      </c>
      <c r="Y25" s="322"/>
      <c r="Z25" s="322">
        <f t="shared" si="5"/>
        <v>120900</v>
      </c>
      <c r="AB25" s="324" t="str">
        <f t="shared" si="2"/>
        <v/>
      </c>
    </row>
    <row r="26" spans="2:28" x14ac:dyDescent="0.3">
      <c r="B26" s="317" t="inlineStr">
        <is>
          <t>Nathan Copas</t>
        </is>
      </c>
      <c r="C26" s="317" t="inlineStr">
        <is>
          <t>Field Technician</t>
        </is>
      </c>
      <c r="D26" s="318">
        <v>62400</v>
      </c>
      <c r="E26" s="319">
        <v>46266</v>
      </c>
      <c r="F26" s="319">
        <v>46722</v>
      </c>
      <c r="G26" s="320">
        <v>0.03</v>
      </c>
      <c r="H26" s="321">
        <f t="shared" si="0"/>
        <v>46661</v>
      </c>
      <c r="I26" s="322">
        <f t="shared" si="6"/>
        <v>5200</v>
      </c>
      <c r="J26" s="322">
        <f t="shared" si="6"/>
        <v>5200</v>
      </c>
      <c r="K26" s="322">
        <f t="shared" si="6"/>
        <v>5200</v>
      </c>
      <c r="L26" s="322">
        <f t="shared" si="6"/>
        <v>5200</v>
      </c>
      <c r="M26" s="322">
        <f t="shared" si="6"/>
        <v>5200</v>
      </c>
      <c r="N26" s="322">
        <f t="shared" si="6"/>
        <v>5200</v>
      </c>
      <c r="O26" s="322">
        <f t="shared" si="6"/>
        <v>5200</v>
      </c>
      <c r="P26" s="322">
        <f t="shared" si="6"/>
        <v>5200</v>
      </c>
      <c r="Q26" s="322">
        <f t="shared" si="6"/>
        <v>5200</v>
      </c>
      <c r="R26" s="322">
        <f t="shared" si="6"/>
        <v>5200</v>
      </c>
      <c r="S26" s="322">
        <f t="shared" si="6"/>
        <v>5200</v>
      </c>
      <c r="T26" s="322">
        <f t="shared" si="6"/>
        <v>5200</v>
      </c>
      <c r="U26" s="322">
        <f t="shared" si="6"/>
        <v>5200</v>
      </c>
      <c r="V26" s="322">
        <f t="shared" si="6"/>
        <v>5356</v>
      </c>
      <c r="W26" s="322">
        <f t="shared" si="6"/>
        <v>5356</v>
      </c>
      <c r="X26" s="322">
        <f t="shared" si="6"/>
        <v>5356</v>
      </c>
      <c r="Y26" s="322"/>
      <c r="Z26" s="322">
        <f t="shared" si="5"/>
        <v>62868</v>
      </c>
      <c r="AB26" s="324" t="str">
        <f t="shared" si="2"/>
        <v/>
      </c>
    </row>
    <row r="27" spans="2:28" x14ac:dyDescent="0.3">
      <c r="B27" s="317" t="inlineStr">
        <is>
          <t>Rohail Ayyub</t>
        </is>
      </c>
      <c r="C27" s="317" t="inlineStr">
        <is>
          <t>Field Technician</t>
        </is>
      </c>
      <c r="D27" s="318">
        <v>72800</v>
      </c>
      <c r="E27" s="319">
        <v>46266</v>
      </c>
      <c r="F27" s="319">
        <v>46722</v>
      </c>
      <c r="G27" s="320">
        <v>0.03</v>
      </c>
      <c r="H27" s="321">
        <f t="shared" si="0"/>
        <v>46661</v>
      </c>
      <c r="I27" s="322">
        <f t="shared" si="1"/>
        <v>6066.666666666667</v>
      </c>
      <c r="J27" s="322">
        <f t="shared" si="1"/>
        <v>6066.666666666667</v>
      </c>
      <c r="K27" s="322">
        <f t="shared" si="1"/>
        <v>6066.666666666667</v>
      </c>
      <c r="L27" s="322">
        <f t="shared" si="1"/>
        <v>6066.666666666667</v>
      </c>
      <c r="M27" s="322">
        <f t="shared" si="1"/>
        <v>6066.666666666667</v>
      </c>
      <c r="N27" s="322">
        <f t="shared" si="1"/>
        <v>6066.666666666667</v>
      </c>
      <c r="O27" s="322">
        <f t="shared" si="1"/>
        <v>6066.666666666667</v>
      </c>
      <c r="P27" s="322">
        <f t="shared" si="1"/>
        <v>6066.666666666667</v>
      </c>
      <c r="Q27" s="322">
        <f t="shared" si="1"/>
        <v>6066.666666666667</v>
      </c>
      <c r="R27" s="322">
        <f t="shared" si="1"/>
        <v>6066.666666666667</v>
      </c>
      <c r="S27" s="322">
        <f t="shared" si="1"/>
        <v>6066.666666666667</v>
      </c>
      <c r="T27" s="322">
        <f t="shared" si="1"/>
        <v>6066.666666666667</v>
      </c>
      <c r="U27" s="322">
        <f t="shared" si="1"/>
        <v>6066.666666666667</v>
      </c>
      <c r="V27" s="322">
        <f t="shared" si="1"/>
        <v>6248.666666666667</v>
      </c>
      <c r="W27" s="322">
        <f t="shared" si="1"/>
        <v>6248.666666666667</v>
      </c>
      <c r="X27" s="322">
        <f t="shared" si="1"/>
        <v>6248.666666666667</v>
      </c>
      <c r="Y27" s="322"/>
      <c r="Z27" s="322">
        <f t="shared" si="3"/>
        <v>73346</v>
      </c>
      <c r="AB27" s="324" t="str">
        <f t="shared" si="2"/>
        <v/>
      </c>
    </row>
    <row r="28" spans="2:28" x14ac:dyDescent="0.3">
      <c r="B28" s="317" t="inlineStr">
        <is>
          <t>Fayzel De Leon</t>
        </is>
      </c>
      <c r="C28" s="317" t="inlineStr">
        <is>
          <t>Field Technician</t>
        </is>
      </c>
      <c r="D28" s="318">
        <v>62400</v>
      </c>
      <c r="E28" s="319">
        <v>46266</v>
      </c>
      <c r="F28" s="319">
        <v>46722</v>
      </c>
      <c r="G28" s="320">
        <v>0.03</v>
      </c>
      <c r="H28" s="321">
        <f t="shared" si="0"/>
        <v>46661</v>
      </c>
      <c r="I28" s="322">
        <f t="shared" si="1"/>
        <v>5200</v>
      </c>
      <c r="J28" s="322">
        <f t="shared" si="1"/>
        <v>5200</v>
      </c>
      <c r="K28" s="322">
        <f t="shared" si="1"/>
        <v>5200</v>
      </c>
      <c r="L28" s="322">
        <f t="shared" si="1"/>
        <v>5200</v>
      </c>
      <c r="M28" s="322">
        <f t="shared" si="1"/>
        <v>5200</v>
      </c>
      <c r="N28" s="322">
        <f t="shared" si="1"/>
        <v>5200</v>
      </c>
      <c r="O28" s="322">
        <f t="shared" si="1"/>
        <v>5200</v>
      </c>
      <c r="P28" s="322">
        <f t="shared" si="1"/>
        <v>5200</v>
      </c>
      <c r="Q28" s="322">
        <f t="shared" si="1"/>
        <v>5200</v>
      </c>
      <c r="R28" s="322">
        <f t="shared" si="1"/>
        <v>5200</v>
      </c>
      <c r="S28" s="322">
        <f t="shared" si="1"/>
        <v>5200</v>
      </c>
      <c r="T28" s="322">
        <f t="shared" si="1"/>
        <v>5200</v>
      </c>
      <c r="U28" s="322">
        <f t="shared" si="1"/>
        <v>5200</v>
      </c>
      <c r="V28" s="322">
        <f t="shared" si="1"/>
        <v>5356</v>
      </c>
      <c r="W28" s="322">
        <f t="shared" si="1"/>
        <v>5356</v>
      </c>
      <c r="X28" s="322">
        <f t="shared" si="1"/>
        <v>5356</v>
      </c>
      <c r="Y28" s="322"/>
      <c r="Z28" s="322">
        <f t="shared" si="3"/>
        <v>62868</v>
      </c>
      <c r="AB28" s="324" t="str">
        <f t="shared" si="2"/>
        <v/>
      </c>
    </row>
    <row r="29" spans="2:28" x14ac:dyDescent="0.3">
      <c r="B29" s="317" t="inlineStr">
        <is>
          <t>Michael Yunker</t>
        </is>
      </c>
      <c r="C29" s="317" t="inlineStr">
        <is>
          <t>Field Technician</t>
        </is>
      </c>
      <c r="D29" s="318">
        <v>66560</v>
      </c>
      <c r="E29" s="319">
        <v>46266</v>
      </c>
      <c r="F29" s="319">
        <v>46722</v>
      </c>
      <c r="G29" s="320">
        <v>0.03</v>
      </c>
      <c r="H29" s="321">
        <f t="shared" si="0"/>
        <v>46661</v>
      </c>
      <c r="I29" s="322">
        <f t="shared" si="1"/>
        <v>5546.666666666667</v>
      </c>
      <c r="J29" s="322">
        <f t="shared" si="1"/>
        <v>5546.666666666667</v>
      </c>
      <c r="K29" s="322">
        <f t="shared" si="1"/>
        <v>5546.666666666667</v>
      </c>
      <c r="L29" s="322">
        <f t="shared" si="1"/>
        <v>5546.666666666667</v>
      </c>
      <c r="M29" s="322">
        <f t="shared" si="1"/>
        <v>5546.666666666667</v>
      </c>
      <c r="N29" s="322">
        <f t="shared" si="1"/>
        <v>5546.666666666667</v>
      </c>
      <c r="O29" s="322">
        <f t="shared" si="1"/>
        <v>5546.666666666667</v>
      </c>
      <c r="P29" s="322">
        <f t="shared" si="1"/>
        <v>5546.666666666667</v>
      </c>
      <c r="Q29" s="322">
        <f t="shared" si="1"/>
        <v>5546.666666666667</v>
      </c>
      <c r="R29" s="322">
        <f t="shared" si="1"/>
        <v>5546.666666666667</v>
      </c>
      <c r="S29" s="322">
        <f t="shared" si="1"/>
        <v>5546.666666666667</v>
      </c>
      <c r="T29" s="322">
        <f t="shared" si="1"/>
        <v>5546.666666666667</v>
      </c>
      <c r="U29" s="322">
        <f t="shared" si="1"/>
        <v>5546.666666666667</v>
      </c>
      <c r="V29" s="322">
        <f t="shared" si="1"/>
        <v>5713.0666666666675</v>
      </c>
      <c r="W29" s="322">
        <f t="shared" si="1"/>
        <v>5713.0666666666675</v>
      </c>
      <c r="X29" s="322">
        <f t="shared" si="1"/>
        <v>5713.0666666666675</v>
      </c>
      <c r="Y29" s="322"/>
      <c r="Z29" s="322">
        <f t="shared" si="3"/>
        <v>67059.199999999997</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90012.583333333343</v>
      </c>
      <c r="J67" s="348">
        <f t="shared" si="17"/>
        <v>90012.583333333343</v>
      </c>
      <c r="K67" s="348">
        <f t="shared" si="17"/>
        <v>90012.583333333343</v>
      </c>
      <c r="L67" s="348">
        <f t="shared" si="17"/>
        <v>90012.583333333343</v>
      </c>
      <c r="M67" s="348">
        <f t="shared" si="17"/>
        <v>90012.583333333343</v>
      </c>
      <c r="N67" s="348">
        <f t="shared" si="17"/>
        <v>90012.583333333343</v>
      </c>
      <c r="O67" s="348">
        <f t="shared" si="17"/>
        <v>90012.583333333343</v>
      </c>
      <c r="P67" s="348">
        <f t="shared" si="17"/>
        <v>90012.583333333343</v>
      </c>
      <c r="Q67" s="348">
        <f t="shared" si="17"/>
        <v>90012.583333333343</v>
      </c>
      <c r="R67" s="348">
        <f t="shared" si="17"/>
        <v>90012.583333333343</v>
      </c>
      <c r="S67" s="348">
        <f t="shared" si="17"/>
        <v>90012.583333333343</v>
      </c>
      <c r="T67" s="348">
        <f t="shared" si="17"/>
        <v>90012.583333333343</v>
      </c>
      <c r="U67" s="348">
        <f t="shared" si="17"/>
        <v>90012.583333333343</v>
      </c>
      <c r="V67" s="348">
        <f t="shared" si="17"/>
        <v>92712.960833333345</v>
      </c>
      <c r="W67" s="348">
        <f t="shared" si="17"/>
        <v>92712.960833333345</v>
      </c>
      <c r="X67" s="348">
        <f t="shared" si="17"/>
        <v>92712.960833333345</v>
      </c>
      <c r="Y67" s="349"/>
      <c r="Z67" s="348">
        <f>SUM(M67:X67)</f>
        <v>1088252.1325000003</v>
      </c>
    </row>
    <row r="68" spans="1:26" x14ac:dyDescent="0.3">
      <c r="B68" s="345" t="inlineStr">
        <is>
          <t>Payroll Taxes</t>
        </is>
      </c>
      <c r="C68" s="345"/>
      <c r="D68" s="346"/>
      <c r="E68" s="347"/>
      <c r="F68" s="347"/>
      <c r="G68" s="347"/>
      <c r="H68" s="347"/>
      <c r="I68" s="348">
        <f t="shared" ref="I68:X68" si="18">I67*$D$6</f>
        <v>6163.2433510037235</v>
      </c>
      <c r="J68" s="348">
        <f t="shared" si="18"/>
        <v>6163.2433510037235</v>
      </c>
      <c r="K68" s="348">
        <f t="shared" si="18"/>
        <v>6163.2433510037235</v>
      </c>
      <c r="L68" s="348">
        <f t="shared" si="18"/>
        <v>6163.2433510037235</v>
      </c>
      <c r="M68" s="348">
        <f t="shared" si="18"/>
        <v>6163.2433510037235</v>
      </c>
      <c r="N68" s="348">
        <f t="shared" si="18"/>
        <v>6163.2433510037235</v>
      </c>
      <c r="O68" s="348">
        <f t="shared" si="18"/>
        <v>6163.2433510037235</v>
      </c>
      <c r="P68" s="348">
        <f t="shared" si="18"/>
        <v>6163.2433510037235</v>
      </c>
      <c r="Q68" s="348">
        <f t="shared" si="18"/>
        <v>6163.2433510037235</v>
      </c>
      <c r="R68" s="348">
        <f t="shared" si="18"/>
        <v>6163.2433510037235</v>
      </c>
      <c r="S68" s="348">
        <f t="shared" si="18"/>
        <v>6163.2433510037235</v>
      </c>
      <c r="T68" s="348">
        <f t="shared" si="18"/>
        <v>6163.2433510037235</v>
      </c>
      <c r="U68" s="348">
        <f t="shared" si="18"/>
        <v>6163.2433510037235</v>
      </c>
      <c r="V68" s="348">
        <f t="shared" si="18"/>
        <v>6348.1406515338349</v>
      </c>
      <c r="W68" s="348">
        <f t="shared" si="18"/>
        <v>6348.1406515338349</v>
      </c>
      <c r="X68" s="348">
        <f t="shared" si="18"/>
        <v>6348.1406515338349</v>
      </c>
      <c r="Y68" s="349"/>
      <c r="Z68" s="348">
        <f>SUM(M68:X68)</f>
        <v>74513.612113635012</v>
      </c>
    </row>
    <row r="69" spans="1:26" x14ac:dyDescent="0.3">
      <c r="B69" s="345" t="inlineStr">
        <is>
          <t>Benefits</t>
        </is>
      </c>
      <c r="C69" s="345"/>
      <c r="D69" s="346"/>
      <c r="E69" s="347"/>
      <c r="F69" s="347"/>
      <c r="G69" s="347"/>
      <c r="H69" s="347"/>
      <c r="I69" s="348">
        <f t="shared" ref="I69:X69" si="19">I67*$D$7</f>
        <v>14766.898018835556</v>
      </c>
      <c r="J69" s="348">
        <f t="shared" si="19"/>
        <v>14766.898018835556</v>
      </c>
      <c r="K69" s="348">
        <f t="shared" si="19"/>
        <v>14766.898018835556</v>
      </c>
      <c r="L69" s="348">
        <f t="shared" si="19"/>
        <v>14766.898018835556</v>
      </c>
      <c r="M69" s="348">
        <f t="shared" si="19"/>
        <v>14766.898018835556</v>
      </c>
      <c r="N69" s="348">
        <f t="shared" si="19"/>
        <v>14766.898018835556</v>
      </c>
      <c r="O69" s="348">
        <f t="shared" si="19"/>
        <v>14766.898018835556</v>
      </c>
      <c r="P69" s="348">
        <f t="shared" si="19"/>
        <v>14766.898018835556</v>
      </c>
      <c r="Q69" s="348">
        <f t="shared" si="19"/>
        <v>14766.898018835556</v>
      </c>
      <c r="R69" s="348">
        <f t="shared" si="19"/>
        <v>14766.898018835556</v>
      </c>
      <c r="S69" s="348">
        <f t="shared" si="19"/>
        <v>14766.898018835556</v>
      </c>
      <c r="T69" s="348">
        <f t="shared" si="19"/>
        <v>14766.898018835556</v>
      </c>
      <c r="U69" s="348">
        <f t="shared" si="19"/>
        <v>14766.898018835556</v>
      </c>
      <c r="V69" s="348">
        <f t="shared" si="19"/>
        <v>15209.904959400623</v>
      </c>
      <c r="W69" s="348">
        <f t="shared" si="19"/>
        <v>15209.904959400623</v>
      </c>
      <c r="X69" s="348">
        <f t="shared" si="19"/>
        <v>15209.904959400623</v>
      </c>
      <c r="Y69" s="349"/>
      <c r="Z69" s="348">
        <f>SUM(M69:X69)</f>
        <v>178531.79704772183</v>
      </c>
    </row>
    <row r="70" spans="1:26" x14ac:dyDescent="0.3">
      <c r="B70" s="350" t="inlineStr">
        <is>
          <t>Total Payroll</t>
        </is>
      </c>
      <c r="C70" s="350"/>
      <c r="D70" s="351"/>
      <c r="E70" s="352"/>
      <c r="F70" s="352"/>
      <c r="G70" s="352"/>
      <c r="H70" s="352"/>
      <c r="I70" s="353">
        <f t="shared" ref="I70:X70" si="20">SUM(I67:I69)</f>
        <v>110942.72470317263</v>
      </c>
      <c r="J70" s="353">
        <f t="shared" si="20"/>
        <v>110942.72470317263</v>
      </c>
      <c r="K70" s="353">
        <f t="shared" si="20"/>
        <v>110942.72470317263</v>
      </c>
      <c r="L70" s="353">
        <f t="shared" si="20"/>
        <v>110942.72470317263</v>
      </c>
      <c r="M70" s="353">
        <f t="shared" si="20"/>
        <v>110942.72470317263</v>
      </c>
      <c r="N70" s="353">
        <f t="shared" si="20"/>
        <v>110942.72470317263</v>
      </c>
      <c r="O70" s="353">
        <f t="shared" si="20"/>
        <v>110942.72470317263</v>
      </c>
      <c r="P70" s="353">
        <f t="shared" si="20"/>
        <v>110942.72470317263</v>
      </c>
      <c r="Q70" s="353">
        <f t="shared" si="20"/>
        <v>110942.72470317263</v>
      </c>
      <c r="R70" s="353">
        <f t="shared" si="20"/>
        <v>110942.72470317263</v>
      </c>
      <c r="S70" s="353">
        <f t="shared" si="20"/>
        <v>110942.72470317263</v>
      </c>
      <c r="T70" s="353">
        <f t="shared" si="20"/>
        <v>110942.72470317263</v>
      </c>
      <c r="U70" s="353">
        <f t="shared" si="20"/>
        <v>110942.72470317263</v>
      </c>
      <c r="V70" s="353">
        <f t="shared" si="20"/>
        <v>114271.0064442678</v>
      </c>
      <c r="W70" s="353">
        <f t="shared" si="20"/>
        <v>114271.0064442678</v>
      </c>
      <c r="X70" s="353">
        <f t="shared" si="20"/>
        <v>114271.0064442678</v>
      </c>
      <c r="Y70" s="349"/>
      <c r="Z70" s="353">
        <f>SUM(M70:X70)</f>
        <v>1341297.541661357</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566005B-2B65-40C1-AD69-C32935A5E68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85F59A8B-63FF-4D84-B3F4-D60A94B4B097}">
      <formula1>$I$10:$X$10</formula1>
    </dataValidation>
    <dataValidation type="whole" allowBlank="1" showInputMessage="1" showErrorMessage="1" sqref="E51:F51 E65:E66 G41:H66 G35:H39 F58:F66 E58 G14:H33" xr:uid="{AC9AB30B-4DFA-4452-9360-2C54667ECC74}">
      <formula1>1</formula1>
      <formula2>24</formula2>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8AEB-7F77-43E7-AAA7-D7A587A812D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18" sqref="A18"/>
    </sheetView>
  </sheetViews>
  <sheetFormatPr defaultRowHeight="14.4" x14ac:dyDescent="0.3"/>
  <cols>
    <col min="1" max="1" width="19.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OPERATIONS (PO)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PO    |    P&amp;L Classification: COGS    |    GL Accounts — Salaries 5110 · Taxes 5130 · Benefits 5140</t>
        </is>
      </c>
    </row>
    <row r="5" spans="1:28" x14ac:dyDescent="0.3">
      <c r="B5" s="294" t="inlineStr">
        <is>
          <t>ASSUMPTIONS</t>
        </is>
      </c>
    </row>
    <row r="6" spans="1:28" x14ac:dyDescent="0.3">
      <c r="B6" s="295" t="inlineStr">
        <is>
          <t>Employer payroll tax rate (% of wages)</t>
        </is>
      </c>
      <c r="D6" s="296">
        <v>3.6368896884417502E-2</v>
      </c>
      <c r="E6" s="297"/>
    </row>
    <row r="7" spans="1:28" x14ac:dyDescent="0.3">
      <c r="B7" s="295" t="inlineStr">
        <is>
          <t>Benefits load (% of salary)</t>
        </is>
      </c>
      <c r="D7" s="298">
        <v>0.20636268701944149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60"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Jose Pagan</t>
        </is>
      </c>
      <c r="C14" s="317" t="inlineStr">
        <is>
          <t>Team Lead</t>
        </is>
      </c>
      <c r="D14" s="318">
        <v>67891</v>
      </c>
      <c r="E14" s="319">
        <v>46266</v>
      </c>
      <c r="F14" s="319">
        <v>46722</v>
      </c>
      <c r="G14" s="320">
        <v>0.03</v>
      </c>
      <c r="H14" s="321">
        <f t="shared" ref="H14:H33" si="0">$D$8</f>
        <v>46661</v>
      </c>
      <c r="I14" s="322">
        <f t="shared" ref="I14:X33" si="1">IF(OR($D14="",$E14="",NOT(ISNUMBER($D14))),"",IF(AND($E14&lt;=I$10,IF($F14="",$X$10,$F14)&gt;=I$10),$D14/12*(1+N($G14))^IF(AND(ISNUMBER($H14),I$10&gt;=$H14),1+INT(DATEDIF($H14,I$10,"m")/12),0),0))</f>
        <v>5657.583333333333</v>
      </c>
      <c r="J14" s="322">
        <f t="shared" si="1"/>
        <v>5657.583333333333</v>
      </c>
      <c r="K14" s="322">
        <f t="shared" si="1"/>
        <v>5657.583333333333</v>
      </c>
      <c r="L14" s="322">
        <f t="shared" si="1"/>
        <v>5657.583333333333</v>
      </c>
      <c r="M14" s="323">
        <f t="shared" si="1"/>
        <v>5657.583333333333</v>
      </c>
      <c r="N14" s="322">
        <f t="shared" si="1"/>
        <v>5657.583333333333</v>
      </c>
      <c r="O14" s="322">
        <f t="shared" si="1"/>
        <v>5657.583333333333</v>
      </c>
      <c r="P14" s="322">
        <f t="shared" si="1"/>
        <v>5657.583333333333</v>
      </c>
      <c r="Q14" s="322">
        <f t="shared" si="1"/>
        <v>5657.583333333333</v>
      </c>
      <c r="R14" s="322">
        <f t="shared" si="1"/>
        <v>5657.583333333333</v>
      </c>
      <c r="S14" s="322">
        <f t="shared" si="1"/>
        <v>5657.583333333333</v>
      </c>
      <c r="T14" s="322">
        <f t="shared" si="1"/>
        <v>5657.583333333333</v>
      </c>
      <c r="U14" s="322">
        <f t="shared" si="1"/>
        <v>5657.583333333333</v>
      </c>
      <c r="V14" s="322">
        <f t="shared" si="1"/>
        <v>5827.310833333333</v>
      </c>
      <c r="W14" s="322">
        <f t="shared" si="1"/>
        <v>5827.310833333333</v>
      </c>
      <c r="X14" s="322">
        <f t="shared" si="1"/>
        <v>5827.310833333333</v>
      </c>
      <c r="Y14" s="322"/>
      <c r="Z14" s="322">
        <f>SUM(M14:X14)</f>
        <v>68400.18250000001</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A15" s="358" t="inlineStr">
        <is>
          <t>x</t>
        </is>
      </c>
      <c r="B15" s="317" t="inlineStr">
        <is>
          <t>JB Bryant</t>
        </is>
      </c>
      <c r="C15" s="317" t="inlineStr">
        <is>
          <t>Team Lead</t>
        </is>
      </c>
      <c r="D15" s="318">
        <v>68810</v>
      </c>
      <c r="E15" s="319">
        <v>46266</v>
      </c>
      <c r="F15" s="319">
        <v>46722</v>
      </c>
      <c r="G15" s="320">
        <v>0.03</v>
      </c>
      <c r="H15" s="321">
        <f t="shared" si="0"/>
        <v>46661</v>
      </c>
      <c r="I15" s="322">
        <f t="shared" si="1"/>
        <v>5734.166666666667</v>
      </c>
      <c r="J15" s="322">
        <f t="shared" si="1"/>
        <v>5734.166666666667</v>
      </c>
      <c r="K15" s="322">
        <f t="shared" si="1"/>
        <v>5734.166666666667</v>
      </c>
      <c r="L15" s="322">
        <f t="shared" si="1"/>
        <v>5734.166666666667</v>
      </c>
      <c r="M15" s="322">
        <f t="shared" si="1"/>
        <v>5734.166666666667</v>
      </c>
      <c r="N15" s="322">
        <f t="shared" si="1"/>
        <v>5734.166666666667</v>
      </c>
      <c r="O15" s="322">
        <f t="shared" si="1"/>
        <v>5734.166666666667</v>
      </c>
      <c r="P15" s="322">
        <f t="shared" si="1"/>
        <v>5734.166666666667</v>
      </c>
      <c r="Q15" s="322">
        <f t="shared" si="1"/>
        <v>5734.166666666667</v>
      </c>
      <c r="R15" s="322">
        <f t="shared" si="1"/>
        <v>5734.166666666667</v>
      </c>
      <c r="S15" s="322">
        <f t="shared" si="1"/>
        <v>5734.166666666667</v>
      </c>
      <c r="T15" s="322">
        <f t="shared" si="1"/>
        <v>5734.166666666667</v>
      </c>
      <c r="U15" s="322">
        <f t="shared" si="1"/>
        <v>5734.166666666667</v>
      </c>
      <c r="V15" s="322">
        <f t="shared" si="1"/>
        <v>5906.1916666666675</v>
      </c>
      <c r="W15" s="322">
        <f t="shared" si="1"/>
        <v>5906.1916666666675</v>
      </c>
      <c r="X15" s="322">
        <f t="shared" si="1"/>
        <v>5906.1916666666675</v>
      </c>
      <c r="Y15" s="322"/>
      <c r="Z15" s="322">
        <f t="shared" ref="Z15:Z33" si="3">SUM(M15:X15)</f>
        <v>69326.074999999997</v>
      </c>
      <c r="AB15" s="324" t="str">
        <f t="shared" si="2"/>
        <v/>
      </c>
    </row>
    <row r="16" spans="1:28" x14ac:dyDescent="0.3">
      <c r="B16" s="317" t="inlineStr">
        <is>
          <t>Servando Flores Barrios</t>
        </is>
      </c>
      <c r="C16" s="317" t="inlineStr">
        <is>
          <t>Material Handling Team Lead</t>
        </is>
      </c>
      <c r="D16" s="318">
        <v>57554</v>
      </c>
      <c r="E16" s="319">
        <v>46266</v>
      </c>
      <c r="F16" s="319">
        <v>46722</v>
      </c>
      <c r="G16" s="320">
        <v>0.03</v>
      </c>
      <c r="H16" s="321">
        <f t="shared" si="0"/>
        <v>46661</v>
      </c>
      <c r="I16" s="322">
        <f t="shared" si="1"/>
        <v>4796.166666666667</v>
      </c>
      <c r="J16" s="322">
        <f t="shared" si="1"/>
        <v>4796.166666666667</v>
      </c>
      <c r="K16" s="322">
        <f t="shared" si="1"/>
        <v>4796.166666666667</v>
      </c>
      <c r="L16" s="322">
        <f t="shared" si="1"/>
        <v>4796.166666666667</v>
      </c>
      <c r="M16" s="322">
        <f t="shared" si="1"/>
        <v>4796.166666666667</v>
      </c>
      <c r="N16" s="322">
        <f t="shared" si="1"/>
        <v>4796.166666666667</v>
      </c>
      <c r="O16" s="322">
        <f t="shared" si="1"/>
        <v>4796.166666666667</v>
      </c>
      <c r="P16" s="322">
        <f t="shared" si="1"/>
        <v>4796.166666666667</v>
      </c>
      <c r="Q16" s="322">
        <f t="shared" si="1"/>
        <v>4796.166666666667</v>
      </c>
      <c r="R16" s="322">
        <f t="shared" si="1"/>
        <v>4796.166666666667</v>
      </c>
      <c r="S16" s="322">
        <f t="shared" si="1"/>
        <v>4796.166666666667</v>
      </c>
      <c r="T16" s="322">
        <f t="shared" si="1"/>
        <v>4796.166666666667</v>
      </c>
      <c r="U16" s="322">
        <f t="shared" si="1"/>
        <v>4796.166666666667</v>
      </c>
      <c r="V16" s="322">
        <f t="shared" si="1"/>
        <v>4940.0516666666672</v>
      </c>
      <c r="W16" s="322">
        <f t="shared" si="1"/>
        <v>4940.0516666666672</v>
      </c>
      <c r="X16" s="322">
        <f t="shared" si="1"/>
        <v>4940.0516666666672</v>
      </c>
      <c r="Y16" s="322"/>
      <c r="Z16" s="322">
        <f t="shared" si="3"/>
        <v>57985.654999999999</v>
      </c>
      <c r="AB16" s="324" t="str">
        <f t="shared" si="2"/>
        <v/>
      </c>
    </row>
    <row r="17" spans="1:28" x14ac:dyDescent="0.3">
      <c r="B17" s="317" t="inlineStr">
        <is>
          <t>Oz Exposito</t>
        </is>
      </c>
      <c r="C17" s="317" t="inlineStr">
        <is>
          <t>Senior Production Technician</t>
        </is>
      </c>
      <c r="D17" s="318">
        <v>64409</v>
      </c>
      <c r="E17" s="319">
        <v>46266</v>
      </c>
      <c r="F17" s="319">
        <v>46722</v>
      </c>
      <c r="G17" s="320">
        <v>0.03</v>
      </c>
      <c r="H17" s="321">
        <f t="shared" si="0"/>
        <v>46661</v>
      </c>
      <c r="I17" s="322">
        <f t="shared" si="1"/>
        <v>5367.416666666667</v>
      </c>
      <c r="J17" s="322">
        <f t="shared" si="1"/>
        <v>5367.416666666667</v>
      </c>
      <c r="K17" s="322">
        <f t="shared" si="1"/>
        <v>5367.416666666667</v>
      </c>
      <c r="L17" s="322">
        <f t="shared" si="1"/>
        <v>5367.416666666667</v>
      </c>
      <c r="M17" s="322">
        <f t="shared" si="1"/>
        <v>5367.416666666667</v>
      </c>
      <c r="N17" s="322">
        <f t="shared" si="1"/>
        <v>5367.416666666667</v>
      </c>
      <c r="O17" s="322">
        <f t="shared" si="1"/>
        <v>5367.416666666667</v>
      </c>
      <c r="P17" s="322">
        <f t="shared" si="1"/>
        <v>5367.416666666667</v>
      </c>
      <c r="Q17" s="322">
        <f t="shared" si="1"/>
        <v>5367.416666666667</v>
      </c>
      <c r="R17" s="322">
        <f t="shared" si="1"/>
        <v>5367.416666666667</v>
      </c>
      <c r="S17" s="322">
        <f t="shared" si="1"/>
        <v>5367.416666666667</v>
      </c>
      <c r="T17" s="322">
        <f t="shared" si="1"/>
        <v>5367.416666666667</v>
      </c>
      <c r="U17" s="322">
        <f t="shared" si="1"/>
        <v>5367.416666666667</v>
      </c>
      <c r="V17" s="322">
        <f t="shared" si="1"/>
        <v>5528.439166666667</v>
      </c>
      <c r="W17" s="322">
        <f t="shared" si="1"/>
        <v>5528.439166666667</v>
      </c>
      <c r="X17" s="322">
        <f t="shared" si="1"/>
        <v>5528.439166666667</v>
      </c>
      <c r="Y17" s="322"/>
      <c r="Z17" s="322">
        <f t="shared" si="3"/>
        <v>64892.06749999999</v>
      </c>
      <c r="AB17" s="324" t="str">
        <f t="shared" si="2"/>
        <v/>
      </c>
    </row>
    <row r="18" spans="1:28" x14ac:dyDescent="0.3">
      <c r="A18" s="358" t="inlineStr">
        <is>
          <t>x</t>
        </is>
      </c>
      <c r="B18" s="317" t="inlineStr">
        <is>
          <t>Todd VanDyke</t>
        </is>
      </c>
      <c r="C18" s="317" t="inlineStr">
        <is>
          <t>Senior Production Technician</t>
        </is>
      </c>
      <c r="D18" s="318">
        <v>57814</v>
      </c>
      <c r="E18" s="319">
        <v>46266</v>
      </c>
      <c r="F18" s="319">
        <v>46722</v>
      </c>
      <c r="G18" s="320">
        <v>0.03</v>
      </c>
      <c r="H18" s="321">
        <f t="shared" si="0"/>
        <v>46661</v>
      </c>
      <c r="I18" s="322">
        <f t="shared" si="1"/>
        <v>4817.833333333333</v>
      </c>
      <c r="J18" s="322">
        <f t="shared" si="1"/>
        <v>4817.833333333333</v>
      </c>
      <c r="K18" s="322">
        <f t="shared" si="1"/>
        <v>4817.833333333333</v>
      </c>
      <c r="L18" s="322">
        <f t="shared" si="1"/>
        <v>4817.833333333333</v>
      </c>
      <c r="M18" s="322">
        <f t="shared" si="1"/>
        <v>4817.833333333333</v>
      </c>
      <c r="N18" s="322">
        <f t="shared" si="1"/>
        <v>4817.833333333333</v>
      </c>
      <c r="O18" s="322">
        <f t="shared" si="1"/>
        <v>4817.833333333333</v>
      </c>
      <c r="P18" s="322">
        <f t="shared" si="1"/>
        <v>4817.833333333333</v>
      </c>
      <c r="Q18" s="322">
        <f t="shared" si="1"/>
        <v>4817.833333333333</v>
      </c>
      <c r="R18" s="322">
        <f t="shared" si="1"/>
        <v>4817.833333333333</v>
      </c>
      <c r="S18" s="322">
        <f t="shared" si="1"/>
        <v>4817.833333333333</v>
      </c>
      <c r="T18" s="322">
        <f t="shared" si="1"/>
        <v>4817.833333333333</v>
      </c>
      <c r="U18" s="322">
        <f t="shared" si="1"/>
        <v>4817.833333333333</v>
      </c>
      <c r="V18" s="322">
        <f t="shared" si="1"/>
        <v>4962.3683333333329</v>
      </c>
      <c r="W18" s="322">
        <f t="shared" si="1"/>
        <v>4962.3683333333329</v>
      </c>
      <c r="X18" s="322">
        <f t="shared" si="1"/>
        <v>4962.3683333333329</v>
      </c>
      <c r="Y18" s="322"/>
      <c r="Z18" s="322">
        <f t="shared" si="3"/>
        <v>58247.604999999996</v>
      </c>
      <c r="AB18" s="324" t="str">
        <f t="shared" si="2"/>
        <v/>
      </c>
    </row>
    <row r="19" spans="1:28" x14ac:dyDescent="0.3">
      <c r="A19" s="358" t="inlineStr">
        <is>
          <t>x</t>
        </is>
      </c>
      <c r="B19" s="317" t="inlineStr">
        <is>
          <t>Johnathan Argueta</t>
        </is>
      </c>
      <c r="C19" s="317" t="inlineStr">
        <is>
          <t>Production Technician</t>
        </is>
      </c>
      <c r="D19" s="318">
        <v>55162</v>
      </c>
      <c r="E19" s="319">
        <v>46266</v>
      </c>
      <c r="F19" s="319">
        <v>46722</v>
      </c>
      <c r="G19" s="320">
        <v>0.03</v>
      </c>
      <c r="H19" s="321">
        <f t="shared" si="0"/>
        <v>46661</v>
      </c>
      <c r="I19" s="322">
        <f t="shared" si="1"/>
        <v>4596.833333333333</v>
      </c>
      <c r="J19" s="322">
        <f t="shared" si="1"/>
        <v>4596.833333333333</v>
      </c>
      <c r="K19" s="322">
        <f t="shared" si="1"/>
        <v>4596.833333333333</v>
      </c>
      <c r="L19" s="322">
        <f t="shared" si="1"/>
        <v>4596.833333333333</v>
      </c>
      <c r="M19" s="322">
        <f t="shared" si="1"/>
        <v>4596.833333333333</v>
      </c>
      <c r="N19" s="322">
        <f t="shared" si="1"/>
        <v>4596.833333333333</v>
      </c>
      <c r="O19" s="322">
        <f t="shared" si="1"/>
        <v>4596.833333333333</v>
      </c>
      <c r="P19" s="322">
        <f t="shared" si="1"/>
        <v>4596.833333333333</v>
      </c>
      <c r="Q19" s="322">
        <f t="shared" si="1"/>
        <v>4596.833333333333</v>
      </c>
      <c r="R19" s="322">
        <f t="shared" si="1"/>
        <v>4596.833333333333</v>
      </c>
      <c r="S19" s="322">
        <f t="shared" si="1"/>
        <v>4596.833333333333</v>
      </c>
      <c r="T19" s="322">
        <f t="shared" si="1"/>
        <v>4596.833333333333</v>
      </c>
      <c r="U19" s="322">
        <f t="shared" si="1"/>
        <v>4596.833333333333</v>
      </c>
      <c r="V19" s="322">
        <f t="shared" si="1"/>
        <v>4734.7383333333328</v>
      </c>
      <c r="W19" s="322">
        <f t="shared" si="1"/>
        <v>4734.7383333333328</v>
      </c>
      <c r="X19" s="322">
        <f t="shared" si="1"/>
        <v>4734.7383333333328</v>
      </c>
      <c r="Y19" s="322"/>
      <c r="Z19" s="322">
        <f t="shared" si="3"/>
        <v>55575.715000000004</v>
      </c>
      <c r="AB19" s="324" t="str">
        <f t="shared" si="2"/>
        <v/>
      </c>
    </row>
    <row r="20" spans="1:28" x14ac:dyDescent="0.3">
      <c r="A20" s="358" t="inlineStr">
        <is>
          <t>x</t>
        </is>
      </c>
      <c r="B20" s="317" t="inlineStr">
        <is>
          <t>Austin Steed</t>
        </is>
      </c>
      <c r="C20" s="317" t="inlineStr">
        <is>
          <t>Material Handler</t>
        </is>
      </c>
      <c r="D20" s="318">
        <v>49920</v>
      </c>
      <c r="E20" s="319">
        <v>46266</v>
      </c>
      <c r="F20" s="319">
        <v>46722</v>
      </c>
      <c r="G20" s="320">
        <v>0.03</v>
      </c>
      <c r="H20" s="321">
        <f t="shared" si="0"/>
        <v>46661</v>
      </c>
      <c r="I20" s="322">
        <f t="shared" si="1"/>
        <v>4160</v>
      </c>
      <c r="J20" s="322">
        <f t="shared" si="1"/>
        <v>4160</v>
      </c>
      <c r="K20" s="322">
        <f t="shared" si="1"/>
        <v>4160</v>
      </c>
      <c r="L20" s="322">
        <f t="shared" si="1"/>
        <v>4160</v>
      </c>
      <c r="M20" s="322">
        <f t="shared" si="1"/>
        <v>4160</v>
      </c>
      <c r="N20" s="322">
        <f t="shared" si="1"/>
        <v>4160</v>
      </c>
      <c r="O20" s="322">
        <f t="shared" si="1"/>
        <v>4160</v>
      </c>
      <c r="P20" s="322">
        <f t="shared" si="1"/>
        <v>4160</v>
      </c>
      <c r="Q20" s="322">
        <f t="shared" si="1"/>
        <v>4160</v>
      </c>
      <c r="R20" s="322">
        <f t="shared" si="1"/>
        <v>4160</v>
      </c>
      <c r="S20" s="322">
        <f t="shared" si="1"/>
        <v>4160</v>
      </c>
      <c r="T20" s="322">
        <f t="shared" si="1"/>
        <v>4160</v>
      </c>
      <c r="U20" s="322">
        <f t="shared" si="1"/>
        <v>4160</v>
      </c>
      <c r="V20" s="322">
        <f t="shared" si="1"/>
        <v>4284.8</v>
      </c>
      <c r="W20" s="322">
        <f t="shared" si="1"/>
        <v>4284.8</v>
      </c>
      <c r="X20" s="322">
        <f t="shared" si="1"/>
        <v>4284.8</v>
      </c>
      <c r="Y20" s="322"/>
      <c r="Z20" s="322">
        <f t="shared" si="3"/>
        <v>50294.400000000009</v>
      </c>
      <c r="AB20" s="324" t="str">
        <f t="shared" si="2"/>
        <v/>
      </c>
    </row>
    <row r="21" spans="1:28" x14ac:dyDescent="0.3">
      <c r="A21" s="358" t="inlineStr">
        <is>
          <t>x</t>
        </is>
      </c>
      <c r="B21" s="317" t="inlineStr">
        <is>
          <t>Jason Price</t>
        </is>
      </c>
      <c r="C21" s="317" t="inlineStr">
        <is>
          <t>Production Associate</t>
        </is>
      </c>
      <c r="D21" s="318">
        <v>49920</v>
      </c>
      <c r="E21" s="319">
        <v>46266</v>
      </c>
      <c r="F21" s="319">
        <v>46722</v>
      </c>
      <c r="G21" s="320">
        <v>0.03</v>
      </c>
      <c r="H21" s="321">
        <f t="shared" si="0"/>
        <v>46661</v>
      </c>
      <c r="I21" s="322">
        <f t="shared" si="1"/>
        <v>4160</v>
      </c>
      <c r="J21" s="322">
        <f t="shared" si="1"/>
        <v>4160</v>
      </c>
      <c r="K21" s="322">
        <f t="shared" si="1"/>
        <v>4160</v>
      </c>
      <c r="L21" s="322">
        <f t="shared" si="1"/>
        <v>4160</v>
      </c>
      <c r="M21" s="322">
        <f t="shared" si="1"/>
        <v>4160</v>
      </c>
      <c r="N21" s="322">
        <f t="shared" si="1"/>
        <v>4160</v>
      </c>
      <c r="O21" s="322">
        <f t="shared" si="1"/>
        <v>4160</v>
      </c>
      <c r="P21" s="322">
        <f t="shared" si="1"/>
        <v>4160</v>
      </c>
      <c r="Q21" s="322">
        <f t="shared" si="1"/>
        <v>4160</v>
      </c>
      <c r="R21" s="322">
        <f t="shared" si="1"/>
        <v>4160</v>
      </c>
      <c r="S21" s="322">
        <f t="shared" si="1"/>
        <v>4160</v>
      </c>
      <c r="T21" s="322">
        <f t="shared" si="1"/>
        <v>4160</v>
      </c>
      <c r="U21" s="322">
        <f t="shared" si="1"/>
        <v>4160</v>
      </c>
      <c r="V21" s="322">
        <f t="shared" si="1"/>
        <v>4284.8</v>
      </c>
      <c r="W21" s="322">
        <f t="shared" si="1"/>
        <v>4284.8</v>
      </c>
      <c r="X21" s="322">
        <f t="shared" si="1"/>
        <v>4284.8</v>
      </c>
      <c r="Y21" s="322"/>
      <c r="Z21" s="322">
        <f t="shared" si="3"/>
        <v>50294.400000000009</v>
      </c>
      <c r="AB21" s="324" t="str">
        <f t="shared" si="2"/>
        <v/>
      </c>
    </row>
    <row r="22" spans="1:28" x14ac:dyDescent="0.3">
      <c r="A22" s="358" t="inlineStr">
        <is>
          <t>x</t>
        </is>
      </c>
      <c r="B22" s="317" t="inlineStr">
        <is>
          <t>Mose Carter</t>
        </is>
      </c>
      <c r="C22" s="317" t="inlineStr">
        <is>
          <t>Production Associate</t>
        </is>
      </c>
      <c r="D22" s="318">
        <v>49920</v>
      </c>
      <c r="E22" s="319">
        <v>46266</v>
      </c>
      <c r="F22" s="319">
        <v>46722</v>
      </c>
      <c r="G22" s="320">
        <v>0.03</v>
      </c>
      <c r="H22" s="321">
        <f t="shared" si="0"/>
        <v>46661</v>
      </c>
      <c r="I22" s="322">
        <f t="shared" si="1"/>
        <v>4160</v>
      </c>
      <c r="J22" s="322">
        <f t="shared" si="1"/>
        <v>4160</v>
      </c>
      <c r="K22" s="322">
        <f t="shared" si="1"/>
        <v>4160</v>
      </c>
      <c r="L22" s="322">
        <f t="shared" si="1"/>
        <v>4160</v>
      </c>
      <c r="M22" s="322">
        <f t="shared" si="1"/>
        <v>4160</v>
      </c>
      <c r="N22" s="322">
        <f t="shared" si="1"/>
        <v>4160</v>
      </c>
      <c r="O22" s="322">
        <f t="shared" si="1"/>
        <v>4160</v>
      </c>
      <c r="P22" s="322">
        <f t="shared" si="1"/>
        <v>4160</v>
      </c>
      <c r="Q22" s="322">
        <f t="shared" si="1"/>
        <v>4160</v>
      </c>
      <c r="R22" s="322">
        <f t="shared" si="1"/>
        <v>4160</v>
      </c>
      <c r="S22" s="322">
        <f t="shared" si="1"/>
        <v>4160</v>
      </c>
      <c r="T22" s="322">
        <f t="shared" si="1"/>
        <v>4160</v>
      </c>
      <c r="U22" s="322">
        <f t="shared" si="1"/>
        <v>4160</v>
      </c>
      <c r="V22" s="322">
        <f t="shared" si="1"/>
        <v>4284.8</v>
      </c>
      <c r="W22" s="322">
        <f t="shared" si="1"/>
        <v>4284.8</v>
      </c>
      <c r="X22" s="322">
        <f t="shared" si="1"/>
        <v>4284.8</v>
      </c>
      <c r="Y22" s="322"/>
      <c r="Z22" s="322">
        <f t="shared" si="3"/>
        <v>50294.400000000009</v>
      </c>
      <c r="AB22" s="324" t="str">
        <f t="shared" si="2"/>
        <v/>
      </c>
    </row>
    <row r="23" spans="1:28" x14ac:dyDescent="0.3">
      <c r="B23" s="317"/>
      <c r="C23" s="317"/>
      <c r="D23" s="318"/>
      <c r="E23" s="319">
        <v>46266</v>
      </c>
      <c r="F23" s="319">
        <v>46722</v>
      </c>
      <c r="G23" s="320">
        <v>0.03</v>
      </c>
      <c r="H23" s="321">
        <f t="shared" si="0"/>
        <v>46661</v>
      </c>
      <c r="I23" s="322" t="str">
        <f t="shared" si="1"/>
        <v/>
      </c>
      <c r="J23" s="322" t="str">
        <f t="shared" si="1"/>
        <v/>
      </c>
      <c r="K23" s="322" t="str">
        <f t="shared" si="1"/>
        <v/>
      </c>
      <c r="L23" s="322" t="str">
        <f t="shared" si="1"/>
        <v/>
      </c>
      <c r="M23" s="322" t="str">
        <f t="shared" si="1"/>
        <v/>
      </c>
      <c r="N23" s="322" t="str">
        <f t="shared" si="1"/>
        <v/>
      </c>
      <c r="O23" s="322" t="str">
        <f t="shared" si="1"/>
        <v/>
      </c>
      <c r="P23" s="322" t="str">
        <f t="shared" si="1"/>
        <v/>
      </c>
      <c r="Q23" s="322" t="str">
        <f t="shared" si="1"/>
        <v/>
      </c>
      <c r="R23" s="322" t="str">
        <f t="shared" si="1"/>
        <v/>
      </c>
      <c r="S23" s="322" t="str">
        <f t="shared" si="1"/>
        <v/>
      </c>
      <c r="T23" s="322" t="str">
        <f t="shared" si="1"/>
        <v/>
      </c>
      <c r="U23" s="322" t="str">
        <f t="shared" si="1"/>
        <v/>
      </c>
      <c r="V23" s="322" t="str">
        <f t="shared" si="1"/>
        <v/>
      </c>
      <c r="W23" s="322" t="str">
        <f t="shared" si="1"/>
        <v/>
      </c>
      <c r="X23" s="322" t="str">
        <f t="shared" si="1"/>
        <v/>
      </c>
      <c r="Y23" s="322"/>
      <c r="Z23" s="322">
        <f t="shared" si="3"/>
        <v>0</v>
      </c>
      <c r="AB23" s="324" t="str">
        <f t="shared" si="2"/>
        <v/>
      </c>
    </row>
    <row r="24" spans="1:28" x14ac:dyDescent="0.3">
      <c r="B24" s="317"/>
      <c r="C24" s="317"/>
      <c r="D24" s="318"/>
      <c r="E24" s="319">
        <v>46266</v>
      </c>
      <c r="F24" s="319">
        <v>46722</v>
      </c>
      <c r="G24" s="320">
        <v>0.03</v>
      </c>
      <c r="H24" s="321">
        <f t="shared" si="0"/>
        <v>46661</v>
      </c>
      <c r="I24" s="322" t="str">
        <f t="shared" ref="I24:X24" si="4">IF(OR($D24="",$E24="",NOT(ISNUMBER($D24))),"",IF(AND($E24&lt;=I$10,IF($F24="",$X$10,$F24)&gt;=I$10),$D24/12*(1+N($G24))^IF(AND(ISNUMBER($H24),I$10&gt;=$H24),1+INT(DATEDIF($H24,I$10,"m")/12),0),0))</f>
        <v/>
      </c>
      <c r="J24" s="322" t="str">
        <f t="shared" si="4"/>
        <v/>
      </c>
      <c r="K24" s="322" t="str">
        <f t="shared" si="4"/>
        <v/>
      </c>
      <c r="L24" s="322" t="str">
        <f t="shared" si="4"/>
        <v/>
      </c>
      <c r="M24" s="322" t="str">
        <f t="shared" si="4"/>
        <v/>
      </c>
      <c r="N24" s="322" t="str">
        <f t="shared" si="4"/>
        <v/>
      </c>
      <c r="O24" s="322" t="str">
        <f t="shared" si="4"/>
        <v/>
      </c>
      <c r="P24" s="322" t="str">
        <f t="shared" si="4"/>
        <v/>
      </c>
      <c r="Q24" s="322" t="str">
        <f t="shared" si="4"/>
        <v/>
      </c>
      <c r="R24" s="322" t="str">
        <f t="shared" si="4"/>
        <v/>
      </c>
      <c r="S24" s="322" t="str">
        <f t="shared" si="4"/>
        <v/>
      </c>
      <c r="T24" s="322" t="str">
        <f t="shared" si="4"/>
        <v/>
      </c>
      <c r="U24" s="322" t="str">
        <f t="shared" si="4"/>
        <v/>
      </c>
      <c r="V24" s="322" t="str">
        <f t="shared" si="4"/>
        <v/>
      </c>
      <c r="W24" s="322" t="str">
        <f t="shared" si="4"/>
        <v/>
      </c>
      <c r="X24" s="322" t="str">
        <f t="shared" si="4"/>
        <v/>
      </c>
      <c r="Y24" s="322"/>
      <c r="Z24" s="322">
        <f t="shared" ref="Z24" si="5">SUM(M24:X24)</f>
        <v>0</v>
      </c>
      <c r="AB24" s="324" t="str">
        <f t="shared" si="2"/>
        <v/>
      </c>
    </row>
    <row r="25" spans="1:28" x14ac:dyDescent="0.3">
      <c r="B25" s="317"/>
      <c r="C25" s="317"/>
      <c r="D25" s="318"/>
      <c r="E25" s="319">
        <v>46266</v>
      </c>
      <c r="F25" s="319">
        <v>46722</v>
      </c>
      <c r="G25" s="320">
        <v>0.03</v>
      </c>
      <c r="H25" s="321">
        <f t="shared" si="0"/>
        <v>46661</v>
      </c>
      <c r="I25" s="322" t="str">
        <f t="shared" ref="I25:X25" si="6">IF(OR($D25="",$E25="",NOT(ISNUMBER($D25))),"",IF(AND($E25&lt;=I$10,IF($F25="",$X$10,$F25)&gt;=I$10),$D25/12*(1+N($G25))^IF(AND(ISNUMBER($H25),I$10&gt;=$H25),1+INT(DATEDIF($H25,I$10,"m")/12),0),0))</f>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ref="Z25" si="7">SUM(M25:X25)</f>
        <v>0</v>
      </c>
      <c r="AB25" s="324" t="str">
        <f t="shared" si="2"/>
        <v/>
      </c>
    </row>
    <row r="26" spans="1:28" x14ac:dyDescent="0.3">
      <c r="B26" s="317"/>
      <c r="C26" s="317"/>
      <c r="D26" s="318"/>
      <c r="E26" s="319">
        <v>46266</v>
      </c>
      <c r="F26" s="319">
        <v>46722</v>
      </c>
      <c r="G26" s="320">
        <v>0.03</v>
      </c>
      <c r="H26" s="321">
        <f t="shared" si="0"/>
        <v>46661</v>
      </c>
      <c r="I26" s="322" t="str">
        <f t="shared" ref="I26:X26" si="8">IF(OR($D26="",$E26="",NOT(ISNUMBER($D26))),"",IF(AND($E26&lt;=I$10,IF($F26="",$X$10,$F26)&gt;=I$10),$D26/12*(1+N($G26))^IF(AND(ISNUMBER($H26),I$10&gt;=$H26),1+INT(DATEDIF($H26,I$10,"m")/12),0),0))</f>
        <v/>
      </c>
      <c r="J26" s="322" t="str">
        <f t="shared" si="8"/>
        <v/>
      </c>
      <c r="K26" s="322" t="str">
        <f t="shared" si="8"/>
        <v/>
      </c>
      <c r="L26" s="322" t="str">
        <f t="shared" si="8"/>
        <v/>
      </c>
      <c r="M26" s="322" t="str">
        <f t="shared" si="8"/>
        <v/>
      </c>
      <c r="N26" s="322" t="str">
        <f t="shared" si="8"/>
        <v/>
      </c>
      <c r="O26" s="322" t="str">
        <f t="shared" si="8"/>
        <v/>
      </c>
      <c r="P26" s="322" t="str">
        <f t="shared" si="8"/>
        <v/>
      </c>
      <c r="Q26" s="322" t="str">
        <f t="shared" si="8"/>
        <v/>
      </c>
      <c r="R26" s="322" t="str">
        <f t="shared" si="8"/>
        <v/>
      </c>
      <c r="S26" s="322" t="str">
        <f t="shared" si="8"/>
        <v/>
      </c>
      <c r="T26" s="322" t="str">
        <f t="shared" si="8"/>
        <v/>
      </c>
      <c r="U26" s="322" t="str">
        <f t="shared" si="8"/>
        <v/>
      </c>
      <c r="V26" s="322" t="str">
        <f t="shared" si="8"/>
        <v/>
      </c>
      <c r="W26" s="322" t="str">
        <f t="shared" si="8"/>
        <v/>
      </c>
      <c r="X26" s="322" t="str">
        <f t="shared" si="8"/>
        <v/>
      </c>
      <c r="Y26" s="322"/>
      <c r="Z26" s="322">
        <f t="shared" ref="Z26" si="9">SUM(M26:X26)</f>
        <v>0</v>
      </c>
      <c r="AB26" s="324" t="str">
        <f t="shared" si="2"/>
        <v/>
      </c>
    </row>
    <row r="27" spans="1:28" x14ac:dyDescent="0.3">
      <c r="B27" s="317"/>
      <c r="C27" s="317"/>
      <c r="D27" s="318"/>
      <c r="E27" s="319">
        <v>46266</v>
      </c>
      <c r="F27" s="319">
        <v>46722</v>
      </c>
      <c r="G27" s="320">
        <v>0.03</v>
      </c>
      <c r="H27" s="321">
        <f t="shared" si="0"/>
        <v>46661</v>
      </c>
      <c r="I27" s="322" t="str">
        <f t="shared" ref="I27:X27" si="10">IF(OR($D27="",$E27="",NOT(ISNUMBER($D27))),"",IF(AND($E27&lt;=I$10,IF($F27="",$X$10,$F27)&gt;=I$10),$D27/12*(1+N($G27))^IF(AND(ISNUMBER($H27),I$10&gt;=$H27),1+INT(DATEDIF($H27,I$10,"m")/12),0),0))</f>
        <v/>
      </c>
      <c r="J27" s="322" t="str">
        <f t="shared" si="10"/>
        <v/>
      </c>
      <c r="K27" s="322" t="str">
        <f t="shared" si="10"/>
        <v/>
      </c>
      <c r="L27" s="322" t="str">
        <f t="shared" si="10"/>
        <v/>
      </c>
      <c r="M27" s="322" t="str">
        <f t="shared" si="10"/>
        <v/>
      </c>
      <c r="N27" s="322" t="str">
        <f t="shared" si="10"/>
        <v/>
      </c>
      <c r="O27" s="322" t="str">
        <f t="shared" si="10"/>
        <v/>
      </c>
      <c r="P27" s="322" t="str">
        <f t="shared" si="10"/>
        <v/>
      </c>
      <c r="Q27" s="322" t="str">
        <f t="shared" si="10"/>
        <v/>
      </c>
      <c r="R27" s="322" t="str">
        <f t="shared" si="10"/>
        <v/>
      </c>
      <c r="S27" s="322" t="str">
        <f t="shared" si="10"/>
        <v/>
      </c>
      <c r="T27" s="322" t="str">
        <f t="shared" si="10"/>
        <v/>
      </c>
      <c r="U27" s="322" t="str">
        <f t="shared" si="10"/>
        <v/>
      </c>
      <c r="V27" s="322" t="str">
        <f t="shared" si="10"/>
        <v/>
      </c>
      <c r="W27" s="322" t="str">
        <f t="shared" si="10"/>
        <v/>
      </c>
      <c r="X27" s="322" t="str">
        <f t="shared" si="10"/>
        <v/>
      </c>
      <c r="Y27" s="322"/>
      <c r="Z27" s="322">
        <f t="shared" ref="Z27" si="11">SUM(M27:X27)</f>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ref="X28" si="12">IF(OR($D28="",$E28="",NOT(ISNUMBER($D28))),"",IF(AND($E28&lt;=X$10,IF($F28="",$X$10,$F28)&gt;=X$10),$D28/12*(1+N($G28))^IF(AND(ISNUMBER($H28),X$10&gt;=$H28),1+INT(DATEDIF($H28,X$10,"m")/12),0),0))</f>
        <v/>
      </c>
      <c r="Y28" s="322"/>
      <c r="Z28" s="322">
        <f t="shared" ref="Z28" si="13">SUM(M28:X28)</f>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14">IF(OR($D35="",$E35="",NOT(ISNUMBER($D35))),"",IF(AND($E35&lt;=I$10,IF($F35="",$X$10,$F35)&gt;=I$10),$D35/12*(1+N($G35))^IF(AND(ISNUMBER($H35),I$10&gt;=$H35),1+INT(DATEDIF($H35,I$10,"m")/12),0),0))</f>
        <v/>
      </c>
      <c r="J35" s="322" t="str">
        <f t="shared" si="14"/>
        <v/>
      </c>
      <c r="K35" s="322" t="str">
        <f t="shared" si="14"/>
        <v/>
      </c>
      <c r="L35" s="322" t="str">
        <f t="shared" si="14"/>
        <v/>
      </c>
      <c r="M35" s="322" t="str">
        <f t="shared" si="14"/>
        <v/>
      </c>
      <c r="N35" s="322" t="str">
        <f t="shared" si="14"/>
        <v/>
      </c>
      <c r="O35" s="322" t="str">
        <f t="shared" si="14"/>
        <v/>
      </c>
      <c r="P35" s="322" t="str">
        <f t="shared" si="14"/>
        <v/>
      </c>
      <c r="Q35" s="322" t="str">
        <f t="shared" si="14"/>
        <v/>
      </c>
      <c r="R35" s="322" t="str">
        <f t="shared" si="14"/>
        <v/>
      </c>
      <c r="S35" s="322" t="str">
        <f t="shared" si="14"/>
        <v/>
      </c>
      <c r="T35" s="322" t="str">
        <f t="shared" si="14"/>
        <v/>
      </c>
      <c r="U35" s="322" t="str">
        <f t="shared" si="14"/>
        <v/>
      </c>
      <c r="V35" s="322" t="str">
        <f t="shared" si="14"/>
        <v/>
      </c>
      <c r="W35" s="322" t="str">
        <f t="shared" si="14"/>
        <v/>
      </c>
      <c r="X35" s="322" t="str">
        <f t="shared" si="14"/>
        <v/>
      </c>
      <c r="Y35" s="322"/>
      <c r="Z35" s="322">
        <f t="shared" ref="Z35:Z50" si="15">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14"/>
        <v/>
      </c>
      <c r="J36" s="322" t="str">
        <f t="shared" si="14"/>
        <v/>
      </c>
      <c r="K36" s="322" t="str">
        <f t="shared" si="14"/>
        <v/>
      </c>
      <c r="L36" s="322" t="str">
        <f t="shared" si="14"/>
        <v/>
      </c>
      <c r="M36" s="322" t="str">
        <f t="shared" si="14"/>
        <v/>
      </c>
      <c r="N36" s="322" t="str">
        <f t="shared" si="14"/>
        <v/>
      </c>
      <c r="O36" s="322" t="str">
        <f t="shared" si="14"/>
        <v/>
      </c>
      <c r="P36" s="322" t="str">
        <f t="shared" si="14"/>
        <v/>
      </c>
      <c r="Q36" s="322" t="str">
        <f t="shared" si="14"/>
        <v/>
      </c>
      <c r="R36" s="322" t="str">
        <f t="shared" si="14"/>
        <v/>
      </c>
      <c r="S36" s="322" t="str">
        <f t="shared" si="14"/>
        <v/>
      </c>
      <c r="T36" s="322" t="str">
        <f t="shared" si="14"/>
        <v/>
      </c>
      <c r="U36" s="322" t="str">
        <f t="shared" si="14"/>
        <v/>
      </c>
      <c r="V36" s="322" t="str">
        <f t="shared" si="14"/>
        <v/>
      </c>
      <c r="W36" s="322" t="str">
        <f t="shared" si="14"/>
        <v/>
      </c>
      <c r="X36" s="322" t="str">
        <f t="shared" si="14"/>
        <v/>
      </c>
      <c r="Y36" s="322"/>
      <c r="Z36" s="322">
        <f t="shared" si="15"/>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14"/>
        <v/>
      </c>
      <c r="J37" s="322" t="str">
        <f t="shared" si="14"/>
        <v/>
      </c>
      <c r="K37" s="322" t="str">
        <f t="shared" si="14"/>
        <v/>
      </c>
      <c r="L37" s="322" t="str">
        <f t="shared" si="14"/>
        <v/>
      </c>
      <c r="M37" s="322" t="str">
        <f t="shared" si="14"/>
        <v/>
      </c>
      <c r="N37" s="322" t="str">
        <f t="shared" si="14"/>
        <v/>
      </c>
      <c r="O37" s="322" t="str">
        <f t="shared" si="14"/>
        <v/>
      </c>
      <c r="P37" s="322" t="str">
        <f t="shared" si="14"/>
        <v/>
      </c>
      <c r="Q37" s="322" t="str">
        <f t="shared" si="14"/>
        <v/>
      </c>
      <c r="R37" s="322" t="str">
        <f t="shared" si="14"/>
        <v/>
      </c>
      <c r="S37" s="322" t="str">
        <f t="shared" si="14"/>
        <v/>
      </c>
      <c r="T37" s="322" t="str">
        <f t="shared" si="14"/>
        <v/>
      </c>
      <c r="U37" s="322" t="str">
        <f t="shared" si="14"/>
        <v/>
      </c>
      <c r="V37" s="322" t="str">
        <f t="shared" si="14"/>
        <v/>
      </c>
      <c r="W37" s="322" t="str">
        <f t="shared" si="14"/>
        <v/>
      </c>
      <c r="X37" s="322" t="str">
        <f t="shared" si="14"/>
        <v/>
      </c>
      <c r="Y37" s="322"/>
      <c r="Z37" s="322">
        <f t="shared" si="15"/>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14"/>
        <v/>
      </c>
      <c r="J38" s="322" t="str">
        <f t="shared" si="14"/>
        <v/>
      </c>
      <c r="K38" s="322" t="str">
        <f t="shared" si="14"/>
        <v/>
      </c>
      <c r="L38" s="322" t="str">
        <f t="shared" si="14"/>
        <v/>
      </c>
      <c r="M38" s="322" t="str">
        <f t="shared" si="14"/>
        <v/>
      </c>
      <c r="N38" s="322" t="str">
        <f t="shared" si="14"/>
        <v/>
      </c>
      <c r="O38" s="322" t="str">
        <f t="shared" si="14"/>
        <v/>
      </c>
      <c r="P38" s="322" t="str">
        <f t="shared" si="14"/>
        <v/>
      </c>
      <c r="Q38" s="322" t="str">
        <f t="shared" si="14"/>
        <v/>
      </c>
      <c r="R38" s="322" t="str">
        <f t="shared" si="14"/>
        <v/>
      </c>
      <c r="S38" s="322" t="str">
        <f t="shared" si="14"/>
        <v/>
      </c>
      <c r="T38" s="322" t="str">
        <f t="shared" si="14"/>
        <v/>
      </c>
      <c r="U38" s="322" t="str">
        <f t="shared" si="14"/>
        <v/>
      </c>
      <c r="V38" s="322" t="str">
        <f t="shared" si="14"/>
        <v/>
      </c>
      <c r="W38" s="322" t="str">
        <f t="shared" si="14"/>
        <v/>
      </c>
      <c r="X38" s="322" t="str">
        <f t="shared" si="14"/>
        <v/>
      </c>
      <c r="Y38" s="322"/>
      <c r="Z38" s="322">
        <f t="shared" si="15"/>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14"/>
        <v/>
      </c>
      <c r="J39" s="322" t="str">
        <f t="shared" si="14"/>
        <v/>
      </c>
      <c r="K39" s="322" t="str">
        <f t="shared" si="14"/>
        <v/>
      </c>
      <c r="L39" s="322" t="str">
        <f t="shared" si="14"/>
        <v/>
      </c>
      <c r="M39" s="322" t="str">
        <f t="shared" si="14"/>
        <v/>
      </c>
      <c r="N39" s="322" t="str">
        <f t="shared" si="14"/>
        <v/>
      </c>
      <c r="O39" s="322" t="str">
        <f t="shared" si="14"/>
        <v/>
      </c>
      <c r="P39" s="322" t="str">
        <f t="shared" si="14"/>
        <v/>
      </c>
      <c r="Q39" s="322" t="str">
        <f t="shared" si="14"/>
        <v/>
      </c>
      <c r="R39" s="322" t="str">
        <f t="shared" si="14"/>
        <v/>
      </c>
      <c r="S39" s="322" t="str">
        <f t="shared" si="14"/>
        <v/>
      </c>
      <c r="T39" s="322" t="str">
        <f t="shared" si="14"/>
        <v/>
      </c>
      <c r="U39" s="322" t="str">
        <f t="shared" si="14"/>
        <v/>
      </c>
      <c r="V39" s="322" t="str">
        <f t="shared" si="14"/>
        <v/>
      </c>
      <c r="W39" s="322" t="str">
        <f t="shared" si="14"/>
        <v/>
      </c>
      <c r="X39" s="322" t="str">
        <f t="shared" si="14"/>
        <v/>
      </c>
      <c r="Y39" s="322"/>
      <c r="Z39" s="322">
        <f t="shared" si="15"/>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16">$D$8</f>
        <v>46661</v>
      </c>
      <c r="I41" s="322" t="str">
        <f t="shared" ref="I41:X50" si="17">IF(OR($D41="",$E41="",NOT(ISNUMBER($D41))),"",IF(AND($E41&lt;=I$10,IF($F41="",$X$10,$F41)&gt;=I$10),$D41/12*(1+N($G41))^IF(AND(ISNUMBER($H41),I$10&gt;=$H41),1+INT(DATEDIF($H41,I$10,"m")/12),0),0))</f>
        <v/>
      </c>
      <c r="J41" s="322" t="str">
        <f t="shared" si="17"/>
        <v/>
      </c>
      <c r="K41" s="322" t="str">
        <f t="shared" si="17"/>
        <v/>
      </c>
      <c r="L41" s="322" t="str">
        <f t="shared" si="17"/>
        <v/>
      </c>
      <c r="M41" s="322" t="str">
        <f t="shared" si="17"/>
        <v/>
      </c>
      <c r="N41" s="322" t="str">
        <f t="shared" si="17"/>
        <v/>
      </c>
      <c r="O41" s="322" t="str">
        <f t="shared" si="17"/>
        <v/>
      </c>
      <c r="P41" s="322" t="str">
        <f t="shared" si="17"/>
        <v/>
      </c>
      <c r="Q41" s="322" t="str">
        <f t="shared" si="17"/>
        <v/>
      </c>
      <c r="R41" s="322" t="str">
        <f t="shared" si="17"/>
        <v/>
      </c>
      <c r="S41" s="322" t="str">
        <f t="shared" si="17"/>
        <v/>
      </c>
      <c r="T41" s="322" t="str">
        <f t="shared" si="17"/>
        <v/>
      </c>
      <c r="U41" s="322" t="str">
        <f t="shared" si="17"/>
        <v/>
      </c>
      <c r="V41" s="322" t="str">
        <f t="shared" si="17"/>
        <v/>
      </c>
      <c r="W41" s="322" t="str">
        <f t="shared" si="17"/>
        <v/>
      </c>
      <c r="X41" s="322" t="str">
        <f t="shared" si="17"/>
        <v/>
      </c>
      <c r="Y41" s="322"/>
      <c r="Z41" s="322">
        <f t="shared" si="15"/>
        <v>0</v>
      </c>
      <c r="AB41" s="324" t="str">
        <f t="shared" ref="AB41:AB50" si="18">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16"/>
        <v>46661</v>
      </c>
      <c r="I42" s="322" t="str">
        <f t="shared" si="17"/>
        <v/>
      </c>
      <c r="J42" s="322" t="str">
        <f t="shared" si="17"/>
        <v/>
      </c>
      <c r="K42" s="322" t="str">
        <f t="shared" si="17"/>
        <v/>
      </c>
      <c r="L42" s="322" t="str">
        <f t="shared" si="17"/>
        <v/>
      </c>
      <c r="M42" s="322" t="str">
        <f t="shared" si="17"/>
        <v/>
      </c>
      <c r="N42" s="322" t="str">
        <f t="shared" si="17"/>
        <v/>
      </c>
      <c r="O42" s="322" t="str">
        <f t="shared" si="17"/>
        <v/>
      </c>
      <c r="P42" s="322" t="str">
        <f t="shared" si="17"/>
        <v/>
      </c>
      <c r="Q42" s="322" t="str">
        <f t="shared" si="17"/>
        <v/>
      </c>
      <c r="R42" s="322" t="str">
        <f t="shared" si="17"/>
        <v/>
      </c>
      <c r="S42" s="322" t="str">
        <f t="shared" si="17"/>
        <v/>
      </c>
      <c r="T42" s="322" t="str">
        <f t="shared" si="17"/>
        <v/>
      </c>
      <c r="U42" s="322" t="str">
        <f t="shared" si="17"/>
        <v/>
      </c>
      <c r="V42" s="322" t="str">
        <f t="shared" si="17"/>
        <v/>
      </c>
      <c r="W42" s="322" t="str">
        <f t="shared" si="17"/>
        <v/>
      </c>
      <c r="X42" s="322" t="str">
        <f t="shared" si="17"/>
        <v/>
      </c>
      <c r="Y42" s="322"/>
      <c r="Z42" s="322">
        <f t="shared" si="15"/>
        <v>0</v>
      </c>
      <c r="AB42" s="324" t="str">
        <f t="shared" si="18"/>
        <v/>
      </c>
    </row>
    <row r="43" spans="2:28" x14ac:dyDescent="0.3">
      <c r="B43" s="317"/>
      <c r="C43" s="317"/>
      <c r="D43" s="318"/>
      <c r="E43" s="319"/>
      <c r="F43" s="319">
        <v>46722</v>
      </c>
      <c r="G43" s="320">
        <v>0.03</v>
      </c>
      <c r="H43" s="321">
        <f t="shared" si="16"/>
        <v>46661</v>
      </c>
      <c r="I43" s="322" t="str">
        <f t="shared" si="17"/>
        <v/>
      </c>
      <c r="J43" s="322" t="str">
        <f t="shared" si="17"/>
        <v/>
      </c>
      <c r="K43" s="322" t="str">
        <f t="shared" si="17"/>
        <v/>
      </c>
      <c r="L43" s="322" t="str">
        <f t="shared" si="17"/>
        <v/>
      </c>
      <c r="M43" s="322" t="str">
        <f t="shared" si="17"/>
        <v/>
      </c>
      <c r="N43" s="322" t="str">
        <f t="shared" si="17"/>
        <v/>
      </c>
      <c r="O43" s="322" t="str">
        <f t="shared" si="17"/>
        <v/>
      </c>
      <c r="P43" s="322" t="str">
        <f t="shared" si="17"/>
        <v/>
      </c>
      <c r="Q43" s="322" t="str">
        <f t="shared" si="17"/>
        <v/>
      </c>
      <c r="R43" s="322" t="str">
        <f t="shared" si="17"/>
        <v/>
      </c>
      <c r="S43" s="322" t="str">
        <f t="shared" si="17"/>
        <v/>
      </c>
      <c r="T43" s="322" t="str">
        <f t="shared" si="17"/>
        <v/>
      </c>
      <c r="U43" s="322" t="str">
        <f t="shared" si="17"/>
        <v/>
      </c>
      <c r="V43" s="322" t="str">
        <f t="shared" si="17"/>
        <v/>
      </c>
      <c r="W43" s="322" t="str">
        <f t="shared" si="17"/>
        <v/>
      </c>
      <c r="X43" s="322" t="str">
        <f t="shared" si="17"/>
        <v/>
      </c>
      <c r="Y43" s="322"/>
      <c r="Z43" s="322">
        <f t="shared" si="15"/>
        <v>0</v>
      </c>
      <c r="AB43" s="324" t="str">
        <f t="shared" si="18"/>
        <v/>
      </c>
    </row>
    <row r="44" spans="2:28" x14ac:dyDescent="0.3">
      <c r="B44" s="317"/>
      <c r="C44" s="317"/>
      <c r="D44" s="318"/>
      <c r="E44" s="319"/>
      <c r="F44" s="319">
        <v>46722</v>
      </c>
      <c r="G44" s="320">
        <v>0.03</v>
      </c>
      <c r="H44" s="321">
        <f t="shared" si="16"/>
        <v>46661</v>
      </c>
      <c r="I44" s="322" t="str">
        <f t="shared" si="17"/>
        <v/>
      </c>
      <c r="J44" s="322" t="str">
        <f t="shared" si="17"/>
        <v/>
      </c>
      <c r="K44" s="322" t="str">
        <f t="shared" si="17"/>
        <v/>
      </c>
      <c r="L44" s="322" t="str">
        <f t="shared" si="17"/>
        <v/>
      </c>
      <c r="M44" s="322" t="str">
        <f t="shared" si="17"/>
        <v/>
      </c>
      <c r="N44" s="322" t="str">
        <f t="shared" si="17"/>
        <v/>
      </c>
      <c r="O44" s="322" t="str">
        <f t="shared" si="17"/>
        <v/>
      </c>
      <c r="P44" s="322" t="str">
        <f t="shared" si="17"/>
        <v/>
      </c>
      <c r="Q44" s="322" t="str">
        <f t="shared" si="17"/>
        <v/>
      </c>
      <c r="R44" s="322" t="str">
        <f t="shared" si="17"/>
        <v/>
      </c>
      <c r="S44" s="322" t="str">
        <f t="shared" si="17"/>
        <v/>
      </c>
      <c r="T44" s="322" t="str">
        <f t="shared" si="17"/>
        <v/>
      </c>
      <c r="U44" s="322" t="str">
        <f t="shared" si="17"/>
        <v/>
      </c>
      <c r="V44" s="322" t="str">
        <f t="shared" si="17"/>
        <v/>
      </c>
      <c r="W44" s="322" t="str">
        <f t="shared" si="17"/>
        <v/>
      </c>
      <c r="X44" s="322" t="str">
        <f t="shared" si="17"/>
        <v/>
      </c>
      <c r="Y44" s="322"/>
      <c r="Z44" s="322">
        <f t="shared" si="15"/>
        <v>0</v>
      </c>
      <c r="AB44" s="324" t="str">
        <f t="shared" si="18"/>
        <v/>
      </c>
    </row>
    <row r="45" spans="2:28" x14ac:dyDescent="0.3">
      <c r="B45" s="317"/>
      <c r="C45" s="317"/>
      <c r="D45" s="318"/>
      <c r="E45" s="319"/>
      <c r="F45" s="319">
        <v>46722</v>
      </c>
      <c r="G45" s="320">
        <v>0.03</v>
      </c>
      <c r="H45" s="321">
        <f t="shared" si="16"/>
        <v>46661</v>
      </c>
      <c r="I45" s="322" t="str">
        <f t="shared" si="17"/>
        <v/>
      </c>
      <c r="J45" s="322" t="str">
        <f t="shared" si="17"/>
        <v/>
      </c>
      <c r="K45" s="322" t="str">
        <f t="shared" si="17"/>
        <v/>
      </c>
      <c r="L45" s="322" t="str">
        <f t="shared" si="17"/>
        <v/>
      </c>
      <c r="M45" s="322" t="str">
        <f t="shared" si="17"/>
        <v/>
      </c>
      <c r="N45" s="322" t="str">
        <f t="shared" si="17"/>
        <v/>
      </c>
      <c r="O45" s="322" t="str">
        <f t="shared" si="17"/>
        <v/>
      </c>
      <c r="P45" s="322" t="str">
        <f t="shared" si="17"/>
        <v/>
      </c>
      <c r="Q45" s="322" t="str">
        <f t="shared" si="17"/>
        <v/>
      </c>
      <c r="R45" s="322" t="str">
        <f t="shared" si="17"/>
        <v/>
      </c>
      <c r="S45" s="322" t="str">
        <f t="shared" si="17"/>
        <v/>
      </c>
      <c r="T45" s="322" t="str">
        <f t="shared" si="17"/>
        <v/>
      </c>
      <c r="U45" s="322" t="str">
        <f t="shared" si="17"/>
        <v/>
      </c>
      <c r="V45" s="322" t="str">
        <f t="shared" si="17"/>
        <v/>
      </c>
      <c r="W45" s="322" t="str">
        <f t="shared" si="17"/>
        <v/>
      </c>
      <c r="X45" s="322" t="str">
        <f t="shared" si="17"/>
        <v/>
      </c>
      <c r="Y45" s="322"/>
      <c r="Z45" s="322">
        <f t="shared" si="15"/>
        <v>0</v>
      </c>
      <c r="AB45" s="324" t="str">
        <f t="shared" si="18"/>
        <v/>
      </c>
    </row>
    <row r="46" spans="2:28" x14ac:dyDescent="0.3">
      <c r="B46" s="317"/>
      <c r="C46" s="317"/>
      <c r="D46" s="318"/>
      <c r="E46" s="319"/>
      <c r="F46" s="319">
        <v>46722</v>
      </c>
      <c r="G46" s="320">
        <v>0.03</v>
      </c>
      <c r="H46" s="321">
        <f t="shared" si="16"/>
        <v>46661</v>
      </c>
      <c r="I46" s="322" t="str">
        <f t="shared" si="17"/>
        <v/>
      </c>
      <c r="J46" s="322" t="str">
        <f t="shared" si="17"/>
        <v/>
      </c>
      <c r="K46" s="322" t="str">
        <f t="shared" si="17"/>
        <v/>
      </c>
      <c r="L46" s="322" t="str">
        <f t="shared" si="17"/>
        <v/>
      </c>
      <c r="M46" s="322" t="str">
        <f t="shared" si="17"/>
        <v/>
      </c>
      <c r="N46" s="322" t="str">
        <f t="shared" si="17"/>
        <v/>
      </c>
      <c r="O46" s="322" t="str">
        <f t="shared" si="17"/>
        <v/>
      </c>
      <c r="P46" s="322" t="str">
        <f t="shared" si="17"/>
        <v/>
      </c>
      <c r="Q46" s="322" t="str">
        <f t="shared" si="17"/>
        <v/>
      </c>
      <c r="R46" s="322" t="str">
        <f t="shared" si="17"/>
        <v/>
      </c>
      <c r="S46" s="322" t="str">
        <f t="shared" si="17"/>
        <v/>
      </c>
      <c r="T46" s="322" t="str">
        <f t="shared" si="17"/>
        <v/>
      </c>
      <c r="U46" s="322" t="str">
        <f t="shared" si="17"/>
        <v/>
      </c>
      <c r="V46" s="322" t="str">
        <f t="shared" si="17"/>
        <v/>
      </c>
      <c r="W46" s="322" t="str">
        <f t="shared" si="17"/>
        <v/>
      </c>
      <c r="X46" s="322" t="str">
        <f t="shared" si="17"/>
        <v/>
      </c>
      <c r="Y46" s="322"/>
      <c r="Z46" s="322">
        <f t="shared" si="15"/>
        <v>0</v>
      </c>
      <c r="AB46" s="324" t="str">
        <f t="shared" si="18"/>
        <v/>
      </c>
    </row>
    <row r="47" spans="2:28" x14ac:dyDescent="0.3">
      <c r="B47" s="317"/>
      <c r="C47" s="317"/>
      <c r="D47" s="318"/>
      <c r="E47" s="319"/>
      <c r="F47" s="319">
        <v>46722</v>
      </c>
      <c r="G47" s="320">
        <v>0.03</v>
      </c>
      <c r="H47" s="321">
        <f t="shared" si="16"/>
        <v>46661</v>
      </c>
      <c r="I47" s="322" t="str">
        <f t="shared" si="17"/>
        <v/>
      </c>
      <c r="J47" s="322" t="str">
        <f t="shared" si="17"/>
        <v/>
      </c>
      <c r="K47" s="322" t="str">
        <f t="shared" si="17"/>
        <v/>
      </c>
      <c r="L47" s="322" t="str">
        <f t="shared" si="17"/>
        <v/>
      </c>
      <c r="M47" s="322" t="str">
        <f t="shared" si="17"/>
        <v/>
      </c>
      <c r="N47" s="322" t="str">
        <f t="shared" si="17"/>
        <v/>
      </c>
      <c r="O47" s="322" t="str">
        <f t="shared" si="17"/>
        <v/>
      </c>
      <c r="P47" s="322" t="str">
        <f t="shared" si="17"/>
        <v/>
      </c>
      <c r="Q47" s="322" t="str">
        <f t="shared" si="17"/>
        <v/>
      </c>
      <c r="R47" s="322" t="str">
        <f t="shared" si="17"/>
        <v/>
      </c>
      <c r="S47" s="322" t="str">
        <f t="shared" si="17"/>
        <v/>
      </c>
      <c r="T47" s="322" t="str">
        <f t="shared" si="17"/>
        <v/>
      </c>
      <c r="U47" s="322" t="str">
        <f t="shared" si="17"/>
        <v/>
      </c>
      <c r="V47" s="322" t="str">
        <f t="shared" si="17"/>
        <v/>
      </c>
      <c r="W47" s="322" t="str">
        <f t="shared" si="17"/>
        <v/>
      </c>
      <c r="X47" s="322" t="str">
        <f t="shared" si="17"/>
        <v/>
      </c>
      <c r="Y47" s="322"/>
      <c r="Z47" s="322">
        <f t="shared" si="15"/>
        <v>0</v>
      </c>
      <c r="AB47" s="324" t="str">
        <f t="shared" si="18"/>
        <v/>
      </c>
    </row>
    <row r="48" spans="2:28" x14ac:dyDescent="0.3">
      <c r="B48" s="317"/>
      <c r="C48" s="317"/>
      <c r="D48" s="318"/>
      <c r="E48" s="319"/>
      <c r="F48" s="319">
        <v>46722</v>
      </c>
      <c r="G48" s="320">
        <v>0.03</v>
      </c>
      <c r="H48" s="321">
        <f t="shared" si="16"/>
        <v>46661</v>
      </c>
      <c r="I48" s="322" t="str">
        <f t="shared" si="17"/>
        <v/>
      </c>
      <c r="J48" s="322" t="str">
        <f t="shared" si="17"/>
        <v/>
      </c>
      <c r="K48" s="322" t="str">
        <f t="shared" si="17"/>
        <v/>
      </c>
      <c r="L48" s="322" t="str">
        <f t="shared" si="17"/>
        <v/>
      </c>
      <c r="M48" s="322" t="str">
        <f t="shared" si="17"/>
        <v/>
      </c>
      <c r="N48" s="322" t="str">
        <f t="shared" si="17"/>
        <v/>
      </c>
      <c r="O48" s="322" t="str">
        <f t="shared" si="17"/>
        <v/>
      </c>
      <c r="P48" s="322" t="str">
        <f t="shared" si="17"/>
        <v/>
      </c>
      <c r="Q48" s="322" t="str">
        <f t="shared" si="17"/>
        <v/>
      </c>
      <c r="R48" s="322" t="str">
        <f t="shared" si="17"/>
        <v/>
      </c>
      <c r="S48" s="322" t="str">
        <f t="shared" si="17"/>
        <v/>
      </c>
      <c r="T48" s="322" t="str">
        <f t="shared" si="17"/>
        <v/>
      </c>
      <c r="U48" s="322" t="str">
        <f t="shared" si="17"/>
        <v/>
      </c>
      <c r="V48" s="322" t="str">
        <f t="shared" si="17"/>
        <v/>
      </c>
      <c r="W48" s="322" t="str">
        <f t="shared" si="17"/>
        <v/>
      </c>
      <c r="X48" s="322" t="str">
        <f t="shared" si="17"/>
        <v/>
      </c>
      <c r="Y48" s="322"/>
      <c r="Z48" s="322">
        <f t="shared" si="15"/>
        <v>0</v>
      </c>
      <c r="AB48" s="324" t="str">
        <f t="shared" si="18"/>
        <v/>
      </c>
    </row>
    <row r="49" spans="1:28" x14ac:dyDescent="0.3">
      <c r="B49" s="317"/>
      <c r="C49" s="317"/>
      <c r="D49" s="318"/>
      <c r="E49" s="319"/>
      <c r="F49" s="319">
        <v>46722</v>
      </c>
      <c r="G49" s="320">
        <v>0.03</v>
      </c>
      <c r="H49" s="321">
        <f t="shared" si="16"/>
        <v>46661</v>
      </c>
      <c r="I49" s="322" t="str">
        <f t="shared" si="17"/>
        <v/>
      </c>
      <c r="J49" s="322" t="str">
        <f t="shared" si="17"/>
        <v/>
      </c>
      <c r="K49" s="322" t="str">
        <f t="shared" si="17"/>
        <v/>
      </c>
      <c r="L49" s="322" t="str">
        <f t="shared" si="17"/>
        <v/>
      </c>
      <c r="M49" s="322" t="str">
        <f t="shared" si="17"/>
        <v/>
      </c>
      <c r="N49" s="322" t="str">
        <f t="shared" si="17"/>
        <v/>
      </c>
      <c r="O49" s="322" t="str">
        <f t="shared" si="17"/>
        <v/>
      </c>
      <c r="P49" s="322" t="str">
        <f t="shared" si="17"/>
        <v/>
      </c>
      <c r="Q49" s="322" t="str">
        <f t="shared" si="17"/>
        <v/>
      </c>
      <c r="R49" s="322" t="str">
        <f t="shared" si="17"/>
        <v/>
      </c>
      <c r="S49" s="322" t="str">
        <f t="shared" si="17"/>
        <v/>
      </c>
      <c r="T49" s="322" t="str">
        <f t="shared" si="17"/>
        <v/>
      </c>
      <c r="U49" s="322" t="str">
        <f t="shared" si="17"/>
        <v/>
      </c>
      <c r="V49" s="322" t="str">
        <f t="shared" si="17"/>
        <v/>
      </c>
      <c r="W49" s="322" t="str">
        <f t="shared" si="17"/>
        <v/>
      </c>
      <c r="X49" s="322" t="str">
        <f t="shared" si="17"/>
        <v/>
      </c>
      <c r="Y49" s="322"/>
      <c r="Z49" s="322">
        <f t="shared" si="15"/>
        <v>0</v>
      </c>
      <c r="AB49" s="324" t="str">
        <f t="shared" si="18"/>
        <v/>
      </c>
    </row>
    <row r="50" spans="1:28" x14ac:dyDescent="0.3">
      <c r="B50" s="317"/>
      <c r="C50" s="317"/>
      <c r="D50" s="318"/>
      <c r="E50" s="319"/>
      <c r="F50" s="319">
        <v>46722</v>
      </c>
      <c r="G50" s="320">
        <v>0.03</v>
      </c>
      <c r="H50" s="321">
        <f t="shared" si="16"/>
        <v>46661</v>
      </c>
      <c r="I50" s="322" t="str">
        <f t="shared" si="17"/>
        <v/>
      </c>
      <c r="J50" s="322" t="str">
        <f t="shared" si="17"/>
        <v/>
      </c>
      <c r="K50" s="322" t="str">
        <f t="shared" si="17"/>
        <v/>
      </c>
      <c r="L50" s="322" t="str">
        <f t="shared" si="17"/>
        <v/>
      </c>
      <c r="M50" s="322" t="str">
        <f t="shared" si="17"/>
        <v/>
      </c>
      <c r="N50" s="322" t="str">
        <f t="shared" si="17"/>
        <v/>
      </c>
      <c r="O50" s="322" t="str">
        <f t="shared" si="17"/>
        <v/>
      </c>
      <c r="P50" s="322" t="str">
        <f t="shared" si="17"/>
        <v/>
      </c>
      <c r="Q50" s="322" t="str">
        <f t="shared" si="17"/>
        <v/>
      </c>
      <c r="R50" s="322" t="str">
        <f t="shared" si="17"/>
        <v/>
      </c>
      <c r="S50" s="322" t="str">
        <f t="shared" si="17"/>
        <v/>
      </c>
      <c r="T50" s="322" t="str">
        <f t="shared" si="17"/>
        <v/>
      </c>
      <c r="U50" s="322" t="str">
        <f t="shared" si="17"/>
        <v/>
      </c>
      <c r="V50" s="322" t="str">
        <f t="shared" si="17"/>
        <v/>
      </c>
      <c r="W50" s="322" t="str">
        <f t="shared" si="17"/>
        <v/>
      </c>
      <c r="X50" s="322" t="str">
        <f t="shared" si="17"/>
        <v/>
      </c>
      <c r="Y50" s="322"/>
      <c r="Z50" s="322">
        <f t="shared" si="15"/>
        <v>0</v>
      </c>
      <c r="AB50" s="324" t="str">
        <f t="shared" si="18"/>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9">$D$8</f>
        <v>46661</v>
      </c>
      <c r="I52" s="322" t="str">
        <f t="shared" ref="I52:X57" si="20">IF(OR($D52="",$E52="",NOT(ISNUMBER($D52))),"",IF(AND($E52&lt;=I$10,IF($F52="",$X$10,$F52)&gt;=I$10),$D52/12*(1+N($G52))^IF(AND(ISNUMBER($H52),I$10&gt;=$H52),1+INT(DATEDIF($H52,I$10,"m")/12),0),0))</f>
        <v/>
      </c>
      <c r="J52" s="322" t="str">
        <f t="shared" si="20"/>
        <v/>
      </c>
      <c r="K52" s="322" t="str">
        <f t="shared" si="20"/>
        <v/>
      </c>
      <c r="L52" s="322" t="str">
        <f t="shared" si="20"/>
        <v/>
      </c>
      <c r="M52" s="322" t="str">
        <f t="shared" si="20"/>
        <v/>
      </c>
      <c r="N52" s="322" t="str">
        <f t="shared" si="20"/>
        <v/>
      </c>
      <c r="O52" s="322" t="str">
        <f t="shared" si="20"/>
        <v/>
      </c>
      <c r="P52" s="322" t="str">
        <f t="shared" si="20"/>
        <v/>
      </c>
      <c r="Q52" s="322" t="str">
        <f t="shared" si="20"/>
        <v/>
      </c>
      <c r="R52" s="322" t="str">
        <f t="shared" si="20"/>
        <v/>
      </c>
      <c r="S52" s="322" t="str">
        <f t="shared" si="20"/>
        <v/>
      </c>
      <c r="T52" s="322" t="str">
        <f t="shared" si="20"/>
        <v/>
      </c>
      <c r="U52" s="322" t="str">
        <f t="shared" si="20"/>
        <v/>
      </c>
      <c r="V52" s="322" t="str">
        <f t="shared" si="20"/>
        <v/>
      </c>
      <c r="W52" s="322" t="str">
        <f t="shared" si="20"/>
        <v/>
      </c>
      <c r="X52" s="322" t="str">
        <f t="shared" si="20"/>
        <v/>
      </c>
      <c r="Y52" s="322"/>
      <c r="Z52" s="322">
        <f t="shared" ref="Z52:Z57" si="21">SUM(M52:X52)</f>
        <v>0</v>
      </c>
      <c r="AB52" s="324" t="str">
        <f t="shared" ref="AB52:AB57" si="22">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9"/>
        <v>46661</v>
      </c>
      <c r="I53" s="322" t="str">
        <f t="shared" si="20"/>
        <v/>
      </c>
      <c r="J53" s="322" t="str">
        <f t="shared" si="20"/>
        <v/>
      </c>
      <c r="K53" s="322" t="str">
        <f t="shared" si="20"/>
        <v/>
      </c>
      <c r="L53" s="322" t="str">
        <f t="shared" si="20"/>
        <v/>
      </c>
      <c r="M53" s="322" t="str">
        <f t="shared" si="20"/>
        <v/>
      </c>
      <c r="N53" s="322" t="str">
        <f t="shared" si="20"/>
        <v/>
      </c>
      <c r="O53" s="322" t="str">
        <f t="shared" si="20"/>
        <v/>
      </c>
      <c r="P53" s="322" t="str">
        <f t="shared" si="20"/>
        <v/>
      </c>
      <c r="Q53" s="322" t="str">
        <f t="shared" si="20"/>
        <v/>
      </c>
      <c r="R53" s="322" t="str">
        <f t="shared" si="20"/>
        <v/>
      </c>
      <c r="S53" s="322" t="str">
        <f t="shared" si="20"/>
        <v/>
      </c>
      <c r="T53" s="322" t="str">
        <f t="shared" si="20"/>
        <v/>
      </c>
      <c r="U53" s="322" t="str">
        <f t="shared" si="20"/>
        <v/>
      </c>
      <c r="V53" s="322" t="str">
        <f t="shared" si="20"/>
        <v/>
      </c>
      <c r="W53" s="322" t="str">
        <f t="shared" si="20"/>
        <v/>
      </c>
      <c r="X53" s="322" t="str">
        <f t="shared" si="20"/>
        <v/>
      </c>
      <c r="Y53" s="322"/>
      <c r="Z53" s="322">
        <f t="shared" si="21"/>
        <v>0</v>
      </c>
      <c r="AB53" s="324" t="str">
        <f t="shared" si="22"/>
        <v/>
      </c>
    </row>
    <row r="54" spans="1:28" x14ac:dyDescent="0.3">
      <c r="A54" s="332"/>
      <c r="B54" s="317"/>
      <c r="C54" s="317"/>
      <c r="D54" s="318"/>
      <c r="E54" s="319"/>
      <c r="F54" s="319">
        <v>46722</v>
      </c>
      <c r="G54" s="320">
        <v>0.03</v>
      </c>
      <c r="H54" s="321">
        <f t="shared" si="19"/>
        <v>46661</v>
      </c>
      <c r="I54" s="322" t="str">
        <f t="shared" si="20"/>
        <v/>
      </c>
      <c r="J54" s="322" t="str">
        <f t="shared" si="20"/>
        <v/>
      </c>
      <c r="K54" s="322" t="str">
        <f t="shared" si="20"/>
        <v/>
      </c>
      <c r="L54" s="322" t="str">
        <f t="shared" si="20"/>
        <v/>
      </c>
      <c r="M54" s="322" t="str">
        <f t="shared" si="20"/>
        <v/>
      </c>
      <c r="N54" s="322" t="str">
        <f t="shared" si="20"/>
        <v/>
      </c>
      <c r="O54" s="322" t="str">
        <f t="shared" si="20"/>
        <v/>
      </c>
      <c r="P54" s="322" t="str">
        <f t="shared" si="20"/>
        <v/>
      </c>
      <c r="Q54" s="322" t="str">
        <f t="shared" si="20"/>
        <v/>
      </c>
      <c r="R54" s="322" t="str">
        <f t="shared" si="20"/>
        <v/>
      </c>
      <c r="S54" s="322" t="str">
        <f t="shared" si="20"/>
        <v/>
      </c>
      <c r="T54" s="322" t="str">
        <f t="shared" si="20"/>
        <v/>
      </c>
      <c r="U54" s="322" t="str">
        <f t="shared" si="20"/>
        <v/>
      </c>
      <c r="V54" s="322" t="str">
        <f t="shared" si="20"/>
        <v/>
      </c>
      <c r="W54" s="322" t="str">
        <f t="shared" si="20"/>
        <v/>
      </c>
      <c r="X54" s="322" t="str">
        <f t="shared" si="20"/>
        <v/>
      </c>
      <c r="Y54" s="322"/>
      <c r="Z54" s="322">
        <f t="shared" si="21"/>
        <v>0</v>
      </c>
      <c r="AB54" s="324" t="str">
        <f t="shared" si="22"/>
        <v/>
      </c>
    </row>
    <row r="55" spans="1:28" x14ac:dyDescent="0.3">
      <c r="A55" s="332"/>
      <c r="B55" s="317"/>
      <c r="C55" s="317"/>
      <c r="D55" s="318"/>
      <c r="E55" s="319"/>
      <c r="F55" s="319">
        <v>46722</v>
      </c>
      <c r="G55" s="320">
        <v>0.03</v>
      </c>
      <c r="H55" s="321">
        <f t="shared" si="19"/>
        <v>46661</v>
      </c>
      <c r="I55" s="322" t="str">
        <f t="shared" si="20"/>
        <v/>
      </c>
      <c r="J55" s="322" t="str">
        <f t="shared" si="20"/>
        <v/>
      </c>
      <c r="K55" s="322" t="str">
        <f t="shared" si="20"/>
        <v/>
      </c>
      <c r="L55" s="322" t="str">
        <f t="shared" si="20"/>
        <v/>
      </c>
      <c r="M55" s="322" t="str">
        <f t="shared" si="20"/>
        <v/>
      </c>
      <c r="N55" s="322" t="str">
        <f t="shared" si="20"/>
        <v/>
      </c>
      <c r="O55" s="322" t="str">
        <f t="shared" si="20"/>
        <v/>
      </c>
      <c r="P55" s="322" t="str">
        <f t="shared" si="20"/>
        <v/>
      </c>
      <c r="Q55" s="322" t="str">
        <f t="shared" si="20"/>
        <v/>
      </c>
      <c r="R55" s="322" t="str">
        <f t="shared" si="20"/>
        <v/>
      </c>
      <c r="S55" s="322" t="str">
        <f t="shared" si="20"/>
        <v/>
      </c>
      <c r="T55" s="322" t="str">
        <f t="shared" si="20"/>
        <v/>
      </c>
      <c r="U55" s="322" t="str">
        <f t="shared" si="20"/>
        <v/>
      </c>
      <c r="V55" s="322" t="str">
        <f t="shared" si="20"/>
        <v/>
      </c>
      <c r="W55" s="322" t="str">
        <f t="shared" si="20"/>
        <v/>
      </c>
      <c r="X55" s="322" t="str">
        <f t="shared" si="20"/>
        <v/>
      </c>
      <c r="Y55" s="322"/>
      <c r="Z55" s="322">
        <f t="shared" si="21"/>
        <v>0</v>
      </c>
      <c r="AB55" s="324" t="str">
        <f t="shared" si="22"/>
        <v/>
      </c>
    </row>
    <row r="56" spans="1:28" x14ac:dyDescent="0.3">
      <c r="A56" s="332"/>
      <c r="B56" s="317"/>
      <c r="C56" s="317"/>
      <c r="D56" s="318"/>
      <c r="E56" s="319"/>
      <c r="F56" s="319">
        <v>46722</v>
      </c>
      <c r="G56" s="320">
        <v>0.03</v>
      </c>
      <c r="H56" s="321">
        <f t="shared" si="19"/>
        <v>46661</v>
      </c>
      <c r="I56" s="322" t="str">
        <f t="shared" si="20"/>
        <v/>
      </c>
      <c r="J56" s="322" t="str">
        <f t="shared" si="20"/>
        <v/>
      </c>
      <c r="K56" s="322" t="str">
        <f t="shared" si="20"/>
        <v/>
      </c>
      <c r="L56" s="322" t="str">
        <f t="shared" si="20"/>
        <v/>
      </c>
      <c r="M56" s="322" t="str">
        <f t="shared" si="20"/>
        <v/>
      </c>
      <c r="N56" s="322" t="str">
        <f t="shared" si="20"/>
        <v/>
      </c>
      <c r="O56" s="322" t="str">
        <f t="shared" si="20"/>
        <v/>
      </c>
      <c r="P56" s="322" t="str">
        <f t="shared" si="20"/>
        <v/>
      </c>
      <c r="Q56" s="322" t="str">
        <f t="shared" si="20"/>
        <v/>
      </c>
      <c r="R56" s="322" t="str">
        <f t="shared" si="20"/>
        <v/>
      </c>
      <c r="S56" s="322" t="str">
        <f t="shared" si="20"/>
        <v/>
      </c>
      <c r="T56" s="322" t="str">
        <f t="shared" si="20"/>
        <v/>
      </c>
      <c r="U56" s="322" t="str">
        <f t="shared" si="20"/>
        <v/>
      </c>
      <c r="V56" s="322" t="str">
        <f t="shared" si="20"/>
        <v/>
      </c>
      <c r="W56" s="322" t="str">
        <f t="shared" si="20"/>
        <v/>
      </c>
      <c r="X56" s="322" t="str">
        <f t="shared" si="20"/>
        <v/>
      </c>
      <c r="Y56" s="322"/>
      <c r="Z56" s="322">
        <f t="shared" si="21"/>
        <v>0</v>
      </c>
      <c r="AB56" s="324" t="str">
        <f t="shared" si="22"/>
        <v/>
      </c>
    </row>
    <row r="57" spans="1:28" x14ac:dyDescent="0.3">
      <c r="A57" s="332"/>
      <c r="B57" s="317"/>
      <c r="C57" s="317"/>
      <c r="D57" s="318"/>
      <c r="E57" s="319"/>
      <c r="F57" s="319">
        <v>46722</v>
      </c>
      <c r="G57" s="320">
        <v>0.03</v>
      </c>
      <c r="H57" s="321">
        <f t="shared" si="19"/>
        <v>46661</v>
      </c>
      <c r="I57" s="322" t="str">
        <f t="shared" si="20"/>
        <v/>
      </c>
      <c r="J57" s="322" t="str">
        <f t="shared" si="20"/>
        <v/>
      </c>
      <c r="K57" s="322" t="str">
        <f t="shared" si="20"/>
        <v/>
      </c>
      <c r="L57" s="322" t="str">
        <f t="shared" si="20"/>
        <v/>
      </c>
      <c r="M57" s="322" t="str">
        <f t="shared" si="20"/>
        <v/>
      </c>
      <c r="N57" s="322" t="str">
        <f t="shared" si="20"/>
        <v/>
      </c>
      <c r="O57" s="322" t="str">
        <f t="shared" si="20"/>
        <v/>
      </c>
      <c r="P57" s="322" t="str">
        <f t="shared" si="20"/>
        <v/>
      </c>
      <c r="Q57" s="322" t="str">
        <f t="shared" si="20"/>
        <v/>
      </c>
      <c r="R57" s="322" t="str">
        <f t="shared" si="20"/>
        <v/>
      </c>
      <c r="S57" s="322" t="str">
        <f t="shared" si="20"/>
        <v/>
      </c>
      <c r="T57" s="322" t="str">
        <f t="shared" si="20"/>
        <v/>
      </c>
      <c r="U57" s="322" t="str">
        <f t="shared" si="20"/>
        <v/>
      </c>
      <c r="V57" s="322" t="str">
        <f t="shared" si="20"/>
        <v/>
      </c>
      <c r="W57" s="322" t="str">
        <f t="shared" si="20"/>
        <v/>
      </c>
      <c r="X57" s="322" t="str">
        <f t="shared" si="20"/>
        <v/>
      </c>
      <c r="Y57" s="322"/>
      <c r="Z57" s="322">
        <f t="shared" si="21"/>
        <v>0</v>
      </c>
      <c r="AB57" s="324" t="str">
        <f t="shared" si="22"/>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23">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23"/>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23"/>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23"/>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23"/>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23"/>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24">SUM(I14:I57)</f>
        <v>43450</v>
      </c>
      <c r="J67" s="348">
        <f t="shared" si="24"/>
        <v>43450</v>
      </c>
      <c r="K67" s="348">
        <f t="shared" si="24"/>
        <v>43450</v>
      </c>
      <c r="L67" s="348">
        <f t="shared" si="24"/>
        <v>43450</v>
      </c>
      <c r="M67" s="348">
        <f t="shared" si="24"/>
        <v>43450</v>
      </c>
      <c r="N67" s="348">
        <f t="shared" si="24"/>
        <v>43450</v>
      </c>
      <c r="O67" s="348">
        <f t="shared" si="24"/>
        <v>43450</v>
      </c>
      <c r="P67" s="348">
        <f t="shared" si="24"/>
        <v>43450</v>
      </c>
      <c r="Q67" s="348">
        <f t="shared" si="24"/>
        <v>43450</v>
      </c>
      <c r="R67" s="348">
        <f t="shared" si="24"/>
        <v>43450</v>
      </c>
      <c r="S67" s="348">
        <f t="shared" si="24"/>
        <v>43450</v>
      </c>
      <c r="T67" s="348">
        <f t="shared" si="24"/>
        <v>43450</v>
      </c>
      <c r="U67" s="348">
        <f t="shared" si="24"/>
        <v>43450</v>
      </c>
      <c r="V67" s="348">
        <f t="shared" si="24"/>
        <v>44753.500000000007</v>
      </c>
      <c r="W67" s="348">
        <f t="shared" si="24"/>
        <v>44753.500000000007</v>
      </c>
      <c r="X67" s="348">
        <f t="shared" si="24"/>
        <v>44753.500000000007</v>
      </c>
      <c r="Y67" s="349"/>
      <c r="Z67" s="348">
        <f>SUM(M67:X67)</f>
        <v>525310.5</v>
      </c>
    </row>
    <row r="68" spans="1:26" x14ac:dyDescent="0.3">
      <c r="B68" s="345" t="inlineStr">
        <is>
          <t>Payroll Taxes</t>
        </is>
      </c>
      <c r="C68" s="345"/>
      <c r="D68" s="346"/>
      <c r="E68" s="347"/>
      <c r="F68" s="347"/>
      <c r="G68" s="347"/>
      <c r="H68" s="347"/>
      <c r="I68" s="348">
        <f t="shared" ref="I68:X68" si="25">I67*$D$6</f>
        <v>1580.2285696279405</v>
      </c>
      <c r="J68" s="348">
        <f t="shared" si="25"/>
        <v>1580.2285696279405</v>
      </c>
      <c r="K68" s="348">
        <f t="shared" si="25"/>
        <v>1580.2285696279405</v>
      </c>
      <c r="L68" s="348">
        <f t="shared" si="25"/>
        <v>1580.2285696279405</v>
      </c>
      <c r="M68" s="348">
        <f t="shared" si="25"/>
        <v>1580.2285696279405</v>
      </c>
      <c r="N68" s="348">
        <f t="shared" si="25"/>
        <v>1580.2285696279405</v>
      </c>
      <c r="O68" s="348">
        <f t="shared" si="25"/>
        <v>1580.2285696279405</v>
      </c>
      <c r="P68" s="348">
        <f t="shared" si="25"/>
        <v>1580.2285696279405</v>
      </c>
      <c r="Q68" s="348">
        <f t="shared" si="25"/>
        <v>1580.2285696279405</v>
      </c>
      <c r="R68" s="348">
        <f t="shared" si="25"/>
        <v>1580.2285696279405</v>
      </c>
      <c r="S68" s="348">
        <f t="shared" si="25"/>
        <v>1580.2285696279405</v>
      </c>
      <c r="T68" s="348">
        <f t="shared" si="25"/>
        <v>1580.2285696279405</v>
      </c>
      <c r="U68" s="348">
        <f t="shared" si="25"/>
        <v>1580.2285696279405</v>
      </c>
      <c r="V68" s="348">
        <f t="shared" si="25"/>
        <v>1627.635426716779</v>
      </c>
      <c r="W68" s="348">
        <f t="shared" si="25"/>
        <v>1627.635426716779</v>
      </c>
      <c r="X68" s="348">
        <f t="shared" si="25"/>
        <v>1627.635426716779</v>
      </c>
      <c r="Y68" s="349"/>
      <c r="Z68" s="348">
        <f>SUM(M68:X68)</f>
        <v>19104.963406801799</v>
      </c>
    </row>
    <row r="69" spans="1:26" x14ac:dyDescent="0.3">
      <c r="B69" s="345" t="inlineStr">
        <is>
          <t>Benefits</t>
        </is>
      </c>
      <c r="C69" s="345"/>
      <c r="D69" s="346"/>
      <c r="E69" s="347"/>
      <c r="F69" s="347"/>
      <c r="G69" s="347"/>
      <c r="H69" s="347"/>
      <c r="I69" s="348">
        <f t="shared" ref="I69:X69" si="26">I67*$D$7</f>
        <v>8966.4587509947323</v>
      </c>
      <c r="J69" s="348">
        <f t="shared" si="26"/>
        <v>8966.4587509947323</v>
      </c>
      <c r="K69" s="348">
        <f t="shared" si="26"/>
        <v>8966.4587509947323</v>
      </c>
      <c r="L69" s="348">
        <f t="shared" si="26"/>
        <v>8966.4587509947323</v>
      </c>
      <c r="M69" s="348">
        <f t="shared" si="26"/>
        <v>8966.4587509947323</v>
      </c>
      <c r="N69" s="348">
        <f t="shared" si="26"/>
        <v>8966.4587509947323</v>
      </c>
      <c r="O69" s="348">
        <f t="shared" si="26"/>
        <v>8966.4587509947323</v>
      </c>
      <c r="P69" s="348">
        <f t="shared" si="26"/>
        <v>8966.4587509947323</v>
      </c>
      <c r="Q69" s="348">
        <f t="shared" si="26"/>
        <v>8966.4587509947323</v>
      </c>
      <c r="R69" s="348">
        <f t="shared" si="26"/>
        <v>8966.4587509947323</v>
      </c>
      <c r="S69" s="348">
        <f t="shared" si="26"/>
        <v>8966.4587509947323</v>
      </c>
      <c r="T69" s="348">
        <f t="shared" si="26"/>
        <v>8966.4587509947323</v>
      </c>
      <c r="U69" s="348">
        <f t="shared" si="26"/>
        <v>8966.4587509947323</v>
      </c>
      <c r="V69" s="348">
        <f t="shared" si="26"/>
        <v>9235.4525135245767</v>
      </c>
      <c r="W69" s="348">
        <f t="shared" si="26"/>
        <v>9235.4525135245767</v>
      </c>
      <c r="X69" s="348">
        <f t="shared" si="26"/>
        <v>9235.4525135245767</v>
      </c>
      <c r="Y69" s="349"/>
      <c r="Z69" s="348">
        <f>SUM(M69:X69)</f>
        <v>108404.48629952632</v>
      </c>
    </row>
    <row r="70" spans="1:26" x14ac:dyDescent="0.3">
      <c r="B70" s="350" t="inlineStr">
        <is>
          <t>Total Payroll</t>
        </is>
      </c>
      <c r="C70" s="350"/>
      <c r="D70" s="351"/>
      <c r="E70" s="352"/>
      <c r="F70" s="352"/>
      <c r="G70" s="352"/>
      <c r="H70" s="352"/>
      <c r="I70" s="353">
        <f t="shared" ref="I70:X70" si="27">SUM(I67:I69)</f>
        <v>53996.687320622674</v>
      </c>
      <c r="J70" s="353">
        <f t="shared" si="27"/>
        <v>53996.687320622674</v>
      </c>
      <c r="K70" s="353">
        <f t="shared" si="27"/>
        <v>53996.687320622674</v>
      </c>
      <c r="L70" s="353">
        <f t="shared" si="27"/>
        <v>53996.687320622674</v>
      </c>
      <c r="M70" s="353">
        <f t="shared" si="27"/>
        <v>53996.687320622674</v>
      </c>
      <c r="N70" s="353">
        <f t="shared" si="27"/>
        <v>53996.687320622674</v>
      </c>
      <c r="O70" s="353">
        <f t="shared" si="27"/>
        <v>53996.687320622674</v>
      </c>
      <c r="P70" s="353">
        <f t="shared" si="27"/>
        <v>53996.687320622674</v>
      </c>
      <c r="Q70" s="353">
        <f t="shared" si="27"/>
        <v>53996.687320622674</v>
      </c>
      <c r="R70" s="353">
        <f t="shared" si="27"/>
        <v>53996.687320622674</v>
      </c>
      <c r="S70" s="353">
        <f t="shared" si="27"/>
        <v>53996.687320622674</v>
      </c>
      <c r="T70" s="353">
        <f t="shared" si="27"/>
        <v>53996.687320622674</v>
      </c>
      <c r="U70" s="353">
        <f t="shared" si="27"/>
        <v>53996.687320622674</v>
      </c>
      <c r="V70" s="353">
        <f t="shared" si="27"/>
        <v>55616.587940241363</v>
      </c>
      <c r="W70" s="353">
        <f t="shared" si="27"/>
        <v>55616.587940241363</v>
      </c>
      <c r="X70" s="353">
        <f t="shared" si="27"/>
        <v>55616.587940241363</v>
      </c>
      <c r="Y70" s="349"/>
      <c r="Z70" s="353">
        <f>SUM(M70:X70)</f>
        <v>652819.9497063281</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428E90B9-EB69-46E9-83C1-A05417B8EBF7}">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FF8B5AB0-596B-4156-AD0A-80704AB883C0}">
      <formula1>$I$10:$X$10</formula1>
    </dataValidation>
    <dataValidation type="whole" allowBlank="1" showInputMessage="1" showErrorMessage="1" sqref="E51:F51 E65:E66 G41:H66 G35:H39 F58:F66 E58 G14:H33" xr:uid="{3453DE3C-3939-4371-85FA-4E0A0EFA35A3}">
      <formula1>1</formula1>
      <formula2>24</formula2>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29E2-D67D-4826-9303-22B11085B5AB}">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C1" sqref="C1"/>
    </sheetView>
  </sheetViews>
  <sheetFormatPr defaultRowHeight="14.4" x14ac:dyDescent="0.3"/>
  <cols>
    <col min="1" max="1" width="17.21875" style="358" customWidth="1"/>
    <col min="2" max="2" width="25.33203125" customWidth="1"/>
    <col min="3" max="3" width="45.109375" bestFit="1"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CENTRAL OPERATIONS (CO)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CO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5.221456081868095E-2</v>
      </c>
      <c r="E6" s="297"/>
    </row>
    <row r="7" spans="1:28" x14ac:dyDescent="0.3">
      <c r="B7" s="295" t="inlineStr">
        <is>
          <t>Benefits load (% of salary)</t>
        </is>
      </c>
      <c r="D7" s="298">
        <v>0.11905805336231291</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Ada Sierraalta</t>
        </is>
      </c>
      <c r="C14" s="317" t="inlineStr">
        <is>
          <t>Senior Strategic Program Manager, Operations</t>
        </is>
      </c>
      <c r="D14" s="318">
        <v>138600</v>
      </c>
      <c r="E14" s="319">
        <v>46266</v>
      </c>
      <c r="F14" s="319">
        <v>46722</v>
      </c>
      <c r="G14" s="320">
        <v>0.03</v>
      </c>
      <c r="H14" s="321">
        <f t="shared" ref="H14:H33" si="0">$D$8</f>
        <v>46661</v>
      </c>
      <c r="I14" s="322">
        <f t="shared" ref="I14:X33" si="1">IF(OR($D14="",$E14="",NOT(ISNUMBER($D14))),"",IF(AND($E14&lt;=I$10,IF($F14="",$X$10,$F14)&gt;=I$10),$D14/12*(1+N($G14))^IF(AND(ISNUMBER($H14),I$10&gt;=$H14),1+INT(DATEDIF($H14,I$10,"m")/12),0),0))</f>
        <v>11550</v>
      </c>
      <c r="J14" s="322">
        <f t="shared" si="1"/>
        <v>11550</v>
      </c>
      <c r="K14" s="322">
        <f t="shared" si="1"/>
        <v>11550</v>
      </c>
      <c r="L14" s="322">
        <f t="shared" si="1"/>
        <v>11550</v>
      </c>
      <c r="M14" s="323">
        <f t="shared" si="1"/>
        <v>11550</v>
      </c>
      <c r="N14" s="322">
        <f t="shared" si="1"/>
        <v>11550</v>
      </c>
      <c r="O14" s="322">
        <f t="shared" si="1"/>
        <v>11550</v>
      </c>
      <c r="P14" s="322">
        <f t="shared" si="1"/>
        <v>11550</v>
      </c>
      <c r="Q14" s="322">
        <f t="shared" si="1"/>
        <v>11550</v>
      </c>
      <c r="R14" s="322">
        <f t="shared" si="1"/>
        <v>11550</v>
      </c>
      <c r="S14" s="322">
        <f t="shared" si="1"/>
        <v>11550</v>
      </c>
      <c r="T14" s="322">
        <f t="shared" si="1"/>
        <v>11550</v>
      </c>
      <c r="U14" s="322">
        <f t="shared" si="1"/>
        <v>11550</v>
      </c>
      <c r="V14" s="322">
        <f t="shared" si="1"/>
        <v>11896.5</v>
      </c>
      <c r="W14" s="322">
        <f t="shared" si="1"/>
        <v>11896.5</v>
      </c>
      <c r="X14" s="322">
        <f t="shared" si="1"/>
        <v>11896.5</v>
      </c>
      <c r="Y14" s="322"/>
      <c r="Z14" s="322">
        <f>SUM(M14:X14)</f>
        <v>139639.5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Thomas Disney</t>
        </is>
      </c>
      <c r="C15" s="317" t="inlineStr">
        <is>
          <t>Digital Operations Automation Engineer</t>
        </is>
      </c>
      <c r="D15" s="318">
        <v>118500</v>
      </c>
      <c r="E15" s="319">
        <v>46266</v>
      </c>
      <c r="F15" s="319">
        <v>46722</v>
      </c>
      <c r="G15" s="320">
        <v>0.03</v>
      </c>
      <c r="H15" s="321">
        <f t="shared" si="0"/>
        <v>46661</v>
      </c>
      <c r="I15" s="322">
        <f t="shared" si="1"/>
        <v>9875</v>
      </c>
      <c r="J15" s="322">
        <f t="shared" si="1"/>
        <v>9875</v>
      </c>
      <c r="K15" s="322">
        <f t="shared" si="1"/>
        <v>9875</v>
      </c>
      <c r="L15" s="322">
        <f t="shared" si="1"/>
        <v>9875</v>
      </c>
      <c r="M15" s="322">
        <f t="shared" si="1"/>
        <v>9875</v>
      </c>
      <c r="N15" s="322">
        <f t="shared" si="1"/>
        <v>9875</v>
      </c>
      <c r="O15" s="322">
        <f t="shared" si="1"/>
        <v>9875</v>
      </c>
      <c r="P15" s="322">
        <f t="shared" si="1"/>
        <v>9875</v>
      </c>
      <c r="Q15" s="322">
        <f t="shared" si="1"/>
        <v>9875</v>
      </c>
      <c r="R15" s="322">
        <f t="shared" si="1"/>
        <v>9875</v>
      </c>
      <c r="S15" s="322">
        <f t="shared" si="1"/>
        <v>9875</v>
      </c>
      <c r="T15" s="322">
        <f t="shared" si="1"/>
        <v>9875</v>
      </c>
      <c r="U15" s="322">
        <f t="shared" si="1"/>
        <v>9875</v>
      </c>
      <c r="V15" s="322">
        <f t="shared" si="1"/>
        <v>10171.25</v>
      </c>
      <c r="W15" s="322">
        <f t="shared" si="1"/>
        <v>10171.25</v>
      </c>
      <c r="X15" s="322">
        <f t="shared" si="1"/>
        <v>10171.25</v>
      </c>
      <c r="Y15" s="322"/>
      <c r="Z15" s="322">
        <f t="shared" ref="Z15:Z33" si="3">SUM(M15:X15)</f>
        <v>119388.75</v>
      </c>
      <c r="AB15" s="324" t="str">
        <f t="shared" si="2"/>
        <v/>
      </c>
    </row>
    <row r="16" spans="1:28" x14ac:dyDescent="0.3">
      <c r="B16" s="317" t="inlineStr">
        <is>
          <t>Aaron Smith</t>
        </is>
      </c>
      <c r="C16" s="317" t="inlineStr">
        <is>
          <t>Engineering Technician</t>
        </is>
      </c>
      <c r="D16" s="318">
        <v>57418</v>
      </c>
      <c r="E16" s="319">
        <v>46266</v>
      </c>
      <c r="F16" s="319">
        <v>46722</v>
      </c>
      <c r="G16" s="320">
        <v>0.03</v>
      </c>
      <c r="H16" s="321">
        <f t="shared" si="0"/>
        <v>46661</v>
      </c>
      <c r="I16" s="322">
        <f t="shared" si="1"/>
        <v>4784.833333333333</v>
      </c>
      <c r="J16" s="322">
        <f t="shared" si="1"/>
        <v>4784.833333333333</v>
      </c>
      <c r="K16" s="322">
        <f t="shared" si="1"/>
        <v>4784.833333333333</v>
      </c>
      <c r="L16" s="322">
        <f t="shared" si="1"/>
        <v>4784.833333333333</v>
      </c>
      <c r="M16" s="322">
        <f t="shared" si="1"/>
        <v>4784.833333333333</v>
      </c>
      <c r="N16" s="322">
        <f t="shared" si="1"/>
        <v>4784.833333333333</v>
      </c>
      <c r="O16" s="322">
        <f t="shared" si="1"/>
        <v>4784.833333333333</v>
      </c>
      <c r="P16" s="322">
        <f t="shared" si="1"/>
        <v>4784.833333333333</v>
      </c>
      <c r="Q16" s="322">
        <f t="shared" si="1"/>
        <v>4784.833333333333</v>
      </c>
      <c r="R16" s="322">
        <f t="shared" si="1"/>
        <v>4784.833333333333</v>
      </c>
      <c r="S16" s="322">
        <f t="shared" si="1"/>
        <v>4784.833333333333</v>
      </c>
      <c r="T16" s="322">
        <f t="shared" si="1"/>
        <v>4784.833333333333</v>
      </c>
      <c r="U16" s="322">
        <f t="shared" si="1"/>
        <v>4784.833333333333</v>
      </c>
      <c r="V16" s="322">
        <f t="shared" si="1"/>
        <v>4928.3783333333331</v>
      </c>
      <c r="W16" s="322">
        <f t="shared" si="1"/>
        <v>4928.3783333333331</v>
      </c>
      <c r="X16" s="322">
        <f t="shared" si="1"/>
        <v>4928.3783333333331</v>
      </c>
      <c r="Y16" s="322"/>
      <c r="Z16" s="322">
        <f t="shared" si="3"/>
        <v>57848.635000000002</v>
      </c>
      <c r="AB16" s="324" t="str">
        <f t="shared" si="2"/>
        <v/>
      </c>
    </row>
    <row r="17" spans="2:28" x14ac:dyDescent="0.3">
      <c r="B17" s="317" t="inlineStr">
        <is>
          <t>William Welser</t>
        </is>
      </c>
      <c r="C17" s="317" t="inlineStr">
        <is>
          <t>Field Logistics Manager</t>
        </is>
      </c>
      <c r="D17" s="318">
        <v>120000</v>
      </c>
      <c r="E17" s="319">
        <v>46266</v>
      </c>
      <c r="F17" s="319">
        <v>46722</v>
      </c>
      <c r="G17" s="320">
        <v>0.03</v>
      </c>
      <c r="H17" s="321">
        <f t="shared" si="0"/>
        <v>46661</v>
      </c>
      <c r="I17" s="322">
        <f t="shared" si="1"/>
        <v>10000</v>
      </c>
      <c r="J17" s="322">
        <f t="shared" si="1"/>
        <v>10000</v>
      </c>
      <c r="K17" s="322">
        <f t="shared" si="1"/>
        <v>10000</v>
      </c>
      <c r="L17" s="322">
        <f t="shared" si="1"/>
        <v>10000</v>
      </c>
      <c r="M17" s="322">
        <f t="shared" si="1"/>
        <v>10000</v>
      </c>
      <c r="N17" s="322">
        <f t="shared" si="1"/>
        <v>10000</v>
      </c>
      <c r="O17" s="322">
        <f t="shared" si="1"/>
        <v>10000</v>
      </c>
      <c r="P17" s="322">
        <f t="shared" si="1"/>
        <v>10000</v>
      </c>
      <c r="Q17" s="322">
        <f t="shared" si="1"/>
        <v>10000</v>
      </c>
      <c r="R17" s="322">
        <f t="shared" si="1"/>
        <v>10000</v>
      </c>
      <c r="S17" s="322">
        <f t="shared" si="1"/>
        <v>10000</v>
      </c>
      <c r="T17" s="322">
        <f t="shared" si="1"/>
        <v>10000</v>
      </c>
      <c r="U17" s="322">
        <f t="shared" si="1"/>
        <v>10000</v>
      </c>
      <c r="V17" s="322">
        <f t="shared" si="1"/>
        <v>10300</v>
      </c>
      <c r="W17" s="322">
        <f t="shared" si="1"/>
        <v>10300</v>
      </c>
      <c r="X17" s="322">
        <f t="shared" si="1"/>
        <v>10300</v>
      </c>
      <c r="Y17" s="322"/>
      <c r="Z17" s="322">
        <f t="shared" si="3"/>
        <v>120900</v>
      </c>
      <c r="AB17" s="324" t="str">
        <f t="shared" si="2"/>
        <v/>
      </c>
    </row>
    <row r="18" spans="2:28" x14ac:dyDescent="0.3">
      <c r="B18" s="317" t="inlineStr">
        <is>
          <t xml:space="preserve">Patrick Chism</t>
        </is>
      </c>
      <c r="C18" s="317" t="inlineStr">
        <is>
          <t xml:space="preserve">(title not provided; new CO employee, user-confirmed 2026-10-10)</t>
        </is>
      </c>
      <c r="D18" s="318" t="n">
        <v>110000</v>
      </c>
      <c r="E18" s="319" t="n">
        <v>46388</v>
      </c>
      <c r="F18" s="319">
        <v>46722</v>
      </c>
      <c r="G18" s="320">
        <v>0.03</v>
      </c>
      <c r="H18" s="321">
        <f t="shared" si="0"/>
        <v>46661</v>
      </c>
      <c r="I18" s="322" t="n">
        <f t="shared" si="1"/>
        <v>0</v>
      </c>
      <c r="J18" s="322" t="n">
        <f t="shared" si="1"/>
        <v>0</v>
      </c>
      <c r="K18" s="322" t="n">
        <f t="shared" si="1"/>
        <v>0</v>
      </c>
      <c r="L18" s="322" t="n">
        <f t="shared" si="1"/>
        <v>0</v>
      </c>
      <c r="M18" s="322" t="n">
        <f t="shared" si="1"/>
        <v>9166.66666666667</v>
      </c>
      <c r="N18" s="322" t="n">
        <f t="shared" si="1"/>
        <v>9166.66666666667</v>
      </c>
      <c r="O18" s="322" t="n">
        <f t="shared" si="1"/>
        <v>9166.66666666667</v>
      </c>
      <c r="P18" s="322" t="n">
        <f t="shared" si="1"/>
        <v>9166.66666666667</v>
      </c>
      <c r="Q18" s="322" t="n">
        <f t="shared" si="1"/>
        <v>9166.66666666667</v>
      </c>
      <c r="R18" s="322" t="n">
        <f t="shared" si="1"/>
        <v>9166.66666666667</v>
      </c>
      <c r="S18" s="322" t="n">
        <f t="shared" si="1"/>
        <v>9166.66666666667</v>
      </c>
      <c r="T18" s="322" t="n">
        <f t="shared" si="1"/>
        <v>9166.66666666667</v>
      </c>
      <c r="U18" s="322" t="n">
        <f t="shared" si="1"/>
        <v>9166.66666666667</v>
      </c>
      <c r="V18" s="322" t="n">
        <f t="shared" si="1"/>
        <v>9441.66666666667</v>
      </c>
      <c r="W18" s="322" t="n">
        <f t="shared" si="1"/>
        <v>9441.66666666667</v>
      </c>
      <c r="X18" s="322" t="n">
        <f t="shared" si="1"/>
        <v>9441.66666666667</v>
      </c>
      <c r="Y18" s="322"/>
      <c r="Z18" s="322" t="n">
        <f t="shared" si="3"/>
        <v>110825</v>
      </c>
      <c r="AB18" s="324" t="str">
        <f t="shared" si="2"/>
        <v/>
      </c>
    </row>
    <row r="19" spans="2:28" x14ac:dyDescent="0.3">
      <c r="B19" s="317"/>
      <c r="C19" s="317"/>
      <c r="D19" s="318"/>
      <c r="E19" s="319">
        <v>46266</v>
      </c>
      <c r="F19" s="319">
        <v>46722</v>
      </c>
      <c r="G19" s="320">
        <v>0.03</v>
      </c>
      <c r="H19" s="321">
        <f t="shared" si="0"/>
        <v>46661</v>
      </c>
      <c r="I19" s="322" t="str">
        <f t="shared" si="1"/>
        <v/>
      </c>
      <c r="J19" s="322" t="str">
        <f t="shared" si="1"/>
        <v/>
      </c>
      <c r="K19" s="322" t="str">
        <f t="shared" si="1"/>
        <v/>
      </c>
      <c r="L19" s="322" t="str">
        <f t="shared" si="1"/>
        <v/>
      </c>
      <c r="M19" s="322" t="str">
        <f t="shared" si="1"/>
        <v/>
      </c>
      <c r="N19" s="322" t="str">
        <f t="shared" si="1"/>
        <v/>
      </c>
      <c r="O19" s="322" t="str">
        <f t="shared" si="1"/>
        <v/>
      </c>
      <c r="P19" s="322" t="str">
        <f t="shared" si="1"/>
        <v/>
      </c>
      <c r="Q19" s="322" t="str">
        <f t="shared" si="1"/>
        <v/>
      </c>
      <c r="R19" s="322" t="str">
        <f t="shared" si="1"/>
        <v/>
      </c>
      <c r="S19" s="322" t="str">
        <f t="shared" si="1"/>
        <v/>
      </c>
      <c r="T19" s="322" t="str">
        <f t="shared" si="1"/>
        <v/>
      </c>
      <c r="U19" s="322" t="str">
        <f t="shared" si="1"/>
        <v/>
      </c>
      <c r="V19" s="322" t="str">
        <f t="shared" si="1"/>
        <v/>
      </c>
      <c r="W19" s="322" t="str">
        <f t="shared" si="1"/>
        <v/>
      </c>
      <c r="X19" s="322" t="str">
        <f t="shared" ref="X19" si="4">IF(OR($D19="",$E19="",NOT(ISNUMBER($D19))),"",IF(AND($E19&lt;=X$10,IF($F19="",$X$10,$F19)&gt;=X$10),$D19/12*(1+N($G19))^IF(AND(ISNUMBER($H19),X$10&gt;=$H19),1+INT(DATEDIF($H19,X$10,"m")/12),0),0))</f>
        <v/>
      </c>
      <c r="Y19" s="322"/>
      <c r="Z19" s="322">
        <f t="shared" ref="Z19:Z24" si="5">SUM(M19:X19)</f>
        <v>0</v>
      </c>
      <c r="AB19" s="324" t="str">
        <f t="shared" si="2"/>
        <v/>
      </c>
    </row>
    <row r="20" spans="2:28" x14ac:dyDescent="0.3">
      <c r="B20" s="317"/>
      <c r="C20" s="317"/>
      <c r="D20" s="318"/>
      <c r="E20" s="319">
        <v>46266</v>
      </c>
      <c r="F20" s="319">
        <v>46722</v>
      </c>
      <c r="G20" s="320">
        <v>0.03</v>
      </c>
      <c r="H20" s="321">
        <f t="shared" si="0"/>
        <v>46661</v>
      </c>
      <c r="I20" s="322" t="str">
        <f t="shared" ref="I20:X24" si="6">IF(OR($D20="",$E20="",NOT(ISNUMBER($D20))),"",IF(AND($E20&lt;=I$10,IF($F20="",$X$10,$F20)&gt;=I$10),$D20/12*(1+N($G20))^IF(AND(ISNUMBER($H20),I$10&gt;=$H20),1+INT(DATEDIF($H20,I$10,"m")/12),0),0))</f>
        <v/>
      </c>
      <c r="J20" s="322" t="str">
        <f t="shared" si="6"/>
        <v/>
      </c>
      <c r="K20" s="322" t="str">
        <f t="shared" si="6"/>
        <v/>
      </c>
      <c r="L20" s="322" t="str">
        <f t="shared" si="6"/>
        <v/>
      </c>
      <c r="M20" s="322" t="str">
        <f t="shared" si="6"/>
        <v/>
      </c>
      <c r="N20" s="322" t="str">
        <f t="shared" si="6"/>
        <v/>
      </c>
      <c r="O20" s="322" t="str">
        <f t="shared" si="6"/>
        <v/>
      </c>
      <c r="P20" s="322" t="str">
        <f t="shared" si="6"/>
        <v/>
      </c>
      <c r="Q20" s="322" t="str">
        <f t="shared" si="6"/>
        <v/>
      </c>
      <c r="R20" s="322" t="str">
        <f t="shared" si="6"/>
        <v/>
      </c>
      <c r="S20" s="322" t="str">
        <f t="shared" si="6"/>
        <v/>
      </c>
      <c r="T20" s="322" t="str">
        <f t="shared" si="6"/>
        <v/>
      </c>
      <c r="U20" s="322" t="str">
        <f t="shared" si="6"/>
        <v/>
      </c>
      <c r="V20" s="322" t="str">
        <f t="shared" si="6"/>
        <v/>
      </c>
      <c r="W20" s="322" t="str">
        <f t="shared" si="6"/>
        <v/>
      </c>
      <c r="X20" s="322" t="str">
        <f t="shared" si="6"/>
        <v/>
      </c>
      <c r="Y20" s="322"/>
      <c r="Z20" s="322">
        <f t="shared" si="5"/>
        <v>0</v>
      </c>
      <c r="AB20" s="324" t="str">
        <f t="shared" si="2"/>
        <v/>
      </c>
    </row>
    <row r="21" spans="2:28" x14ac:dyDescent="0.3">
      <c r="B21" s="317"/>
      <c r="C21" s="317"/>
      <c r="D21" s="318"/>
      <c r="E21" s="319">
        <v>46266</v>
      </c>
      <c r="F21" s="319">
        <v>46722</v>
      </c>
      <c r="G21" s="320">
        <v>0.03</v>
      </c>
      <c r="H21" s="321">
        <f t="shared" si="0"/>
        <v>46661</v>
      </c>
      <c r="I21" s="322" t="str">
        <f t="shared" si="6"/>
        <v/>
      </c>
      <c r="J21" s="322" t="str">
        <f t="shared" si="6"/>
        <v/>
      </c>
      <c r="K21" s="322" t="str">
        <f t="shared" si="6"/>
        <v/>
      </c>
      <c r="L21" s="322" t="str">
        <f t="shared" si="6"/>
        <v/>
      </c>
      <c r="M21" s="322" t="str">
        <f t="shared" si="6"/>
        <v/>
      </c>
      <c r="N21" s="322" t="str">
        <f t="shared" si="6"/>
        <v/>
      </c>
      <c r="O21" s="322" t="str">
        <f t="shared" si="6"/>
        <v/>
      </c>
      <c r="P21" s="322" t="str">
        <f t="shared" si="6"/>
        <v/>
      </c>
      <c r="Q21" s="322" t="str">
        <f t="shared" si="6"/>
        <v/>
      </c>
      <c r="R21" s="322" t="str">
        <f t="shared" si="6"/>
        <v/>
      </c>
      <c r="S21" s="322" t="str">
        <f t="shared" si="6"/>
        <v/>
      </c>
      <c r="T21" s="322" t="str">
        <f t="shared" si="6"/>
        <v/>
      </c>
      <c r="U21" s="322" t="str">
        <f t="shared" si="6"/>
        <v/>
      </c>
      <c r="V21" s="322" t="str">
        <f t="shared" si="6"/>
        <v/>
      </c>
      <c r="W21" s="322" t="str">
        <f t="shared" si="6"/>
        <v/>
      </c>
      <c r="X21" s="322" t="str">
        <f t="shared" si="6"/>
        <v/>
      </c>
      <c r="Y21" s="322"/>
      <c r="Z21" s="322">
        <f t="shared" si="5"/>
        <v>0</v>
      </c>
      <c r="AB21" s="324" t="str">
        <f t="shared" si="2"/>
        <v/>
      </c>
    </row>
    <row r="22" spans="2:28" x14ac:dyDescent="0.3">
      <c r="B22" s="317"/>
      <c r="C22" s="317"/>
      <c r="D22" s="318"/>
      <c r="E22" s="319">
        <v>46266</v>
      </c>
      <c r="F22" s="319">
        <v>46722</v>
      </c>
      <c r="G22" s="320">
        <v>0.03</v>
      </c>
      <c r="H22" s="321">
        <f t="shared" si="0"/>
        <v>46661</v>
      </c>
      <c r="I22" s="322" t="str">
        <f t="shared" si="6"/>
        <v/>
      </c>
      <c r="J22" s="322" t="str">
        <f t="shared" si="6"/>
        <v/>
      </c>
      <c r="K22" s="322" t="str">
        <f t="shared" si="6"/>
        <v/>
      </c>
      <c r="L22" s="322" t="str">
        <f t="shared" si="6"/>
        <v/>
      </c>
      <c r="M22" s="322" t="str">
        <f t="shared" si="6"/>
        <v/>
      </c>
      <c r="N22" s="322" t="str">
        <f t="shared" si="6"/>
        <v/>
      </c>
      <c r="O22" s="322" t="str">
        <f t="shared" si="6"/>
        <v/>
      </c>
      <c r="P22" s="322" t="str">
        <f t="shared" si="6"/>
        <v/>
      </c>
      <c r="Q22" s="322" t="str">
        <f t="shared" si="6"/>
        <v/>
      </c>
      <c r="R22" s="322" t="str">
        <f t="shared" si="6"/>
        <v/>
      </c>
      <c r="S22" s="322" t="str">
        <f t="shared" si="6"/>
        <v/>
      </c>
      <c r="T22" s="322" t="str">
        <f t="shared" si="6"/>
        <v/>
      </c>
      <c r="U22" s="322" t="str">
        <f t="shared" si="6"/>
        <v/>
      </c>
      <c r="V22" s="322" t="str">
        <f t="shared" si="6"/>
        <v/>
      </c>
      <c r="W22" s="322" t="str">
        <f t="shared" si="6"/>
        <v/>
      </c>
      <c r="X22" s="322" t="str">
        <f t="shared" si="6"/>
        <v/>
      </c>
      <c r="Y22" s="322"/>
      <c r="Z22" s="322">
        <f t="shared" si="5"/>
        <v>0</v>
      </c>
      <c r="AB22" s="324" t="str">
        <f t="shared" si="2"/>
        <v/>
      </c>
    </row>
    <row r="23" spans="2: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2: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2: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t="inlineStr">
        <is>
          <t>Blake Bertero</t>
        </is>
      </c>
      <c r="C41" s="317" t="inlineStr">
        <is>
          <t>Operations Project Manager</t>
        </is>
      </c>
      <c r="D41" s="318">
        <v>90000</v>
      </c>
      <c r="E41" s="319">
        <v>46296</v>
      </c>
      <c r="F41" s="319">
        <v>46722</v>
      </c>
      <c r="G41" s="320">
        <v>0.03</v>
      </c>
      <c r="H41" s="321">
        <f t="shared" ref="H41:H50" si="9">$D$8</f>
        <v>46661</v>
      </c>
      <c r="I41" s="322">
        <f t="shared" ref="I41:X50" si="10">IF(OR($D41="",$E41="",NOT(ISNUMBER($D41))),"",IF(AND($E41&lt;=I$10,IF($F41="",$X$10,$F41)&gt;=I$10),$D41/12*(1+N($G41))^IF(AND(ISNUMBER($H41),I$10&gt;=$H41),1+INT(DATEDIF($H41,I$10,"m")/12),0),0))</f>
        <v>0</v>
      </c>
      <c r="J41" s="322">
        <f t="shared" si="10"/>
        <v>7500</v>
      </c>
      <c r="K41" s="322">
        <f t="shared" si="10"/>
        <v>7500</v>
      </c>
      <c r="L41" s="322">
        <f t="shared" si="10"/>
        <v>7500</v>
      </c>
      <c r="M41" s="322">
        <f t="shared" si="10"/>
        <v>7500</v>
      </c>
      <c r="N41" s="322">
        <f t="shared" si="10"/>
        <v>7500</v>
      </c>
      <c r="O41" s="322">
        <f t="shared" si="10"/>
        <v>7500</v>
      </c>
      <c r="P41" s="322">
        <f t="shared" si="10"/>
        <v>7500</v>
      </c>
      <c r="Q41" s="322">
        <f t="shared" si="10"/>
        <v>7500</v>
      </c>
      <c r="R41" s="322">
        <f t="shared" si="10"/>
        <v>7500</v>
      </c>
      <c r="S41" s="322">
        <f t="shared" si="10"/>
        <v>7500</v>
      </c>
      <c r="T41" s="322">
        <f t="shared" si="10"/>
        <v>7500</v>
      </c>
      <c r="U41" s="322">
        <f t="shared" si="10"/>
        <v>7500</v>
      </c>
      <c r="V41" s="322">
        <f t="shared" si="10"/>
        <v>7725</v>
      </c>
      <c r="W41" s="322">
        <f t="shared" si="10"/>
        <v>7725</v>
      </c>
      <c r="X41" s="322">
        <f t="shared" si="10"/>
        <v>7725</v>
      </c>
      <c r="Y41" s="322"/>
      <c r="Z41" s="322">
        <f t="shared" si="8"/>
        <v>90675</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36209.833333333328</v>
      </c>
      <c r="J67" s="348">
        <f t="shared" si="17"/>
        <v>43709.833333333328</v>
      </c>
      <c r="K67" s="348">
        <f t="shared" si="17"/>
        <v>43709.833333333328</v>
      </c>
      <c r="L67" s="348">
        <f t="shared" si="17"/>
        <v>43709.833333333328</v>
      </c>
      <c r="M67" s="348" t="n">
        <f t="shared" si="17"/>
        <v>52876.5</v>
      </c>
      <c r="N67" s="348" t="n">
        <f t="shared" si="17"/>
        <v>52876.5</v>
      </c>
      <c r="O67" s="348" t="n">
        <f t="shared" si="17"/>
        <v>52876.5</v>
      </c>
      <c r="P67" s="348" t="n">
        <f t="shared" si="17"/>
        <v>52876.5</v>
      </c>
      <c r="Q67" s="348" t="n">
        <f t="shared" si="17"/>
        <v>52876.5</v>
      </c>
      <c r="R67" s="348" t="n">
        <f t="shared" si="17"/>
        <v>52876.5</v>
      </c>
      <c r="S67" s="348" t="n">
        <f t="shared" si="17"/>
        <v>52876.5</v>
      </c>
      <c r="T67" s="348" t="n">
        <f t="shared" si="17"/>
        <v>52876.5</v>
      </c>
      <c r="U67" s="348" t="n">
        <f t="shared" si="17"/>
        <v>52876.5</v>
      </c>
      <c r="V67" s="348" t="n">
        <f t="shared" si="17"/>
        <v>54462.795</v>
      </c>
      <c r="W67" s="348" t="n">
        <f t="shared" si="17"/>
        <v>54462.795</v>
      </c>
      <c r="X67" s="348" t="n">
        <f t="shared" si="17"/>
        <v>54462.795</v>
      </c>
      <c r="Y67" s="349"/>
      <c r="Z67" s="348" t="n">
        <f>SUM(M67:X67)</f>
        <v>639276.885</v>
      </c>
    </row>
    <row r="68" spans="1:26" x14ac:dyDescent="0.3">
      <c r="B68" s="345" t="inlineStr">
        <is>
          <t>Payroll Taxes</t>
        </is>
      </c>
      <c r="C68" s="345"/>
      <c r="D68" s="346"/>
      <c r="E68" s="347"/>
      <c r="F68" s="347"/>
      <c r="G68" s="347"/>
      <c r="H68" s="347"/>
      <c r="I68" s="348">
        <f t="shared" ref="I68:X68" si="18">I67*$D$6</f>
        <v>1890.6805448176337</v>
      </c>
      <c r="J68" s="348">
        <f t="shared" si="18"/>
        <v>2282.289750957741</v>
      </c>
      <c r="K68" s="348">
        <f t="shared" si="18"/>
        <v>2282.289750957741</v>
      </c>
      <c r="L68" s="348">
        <f t="shared" si="18"/>
        <v>2282.289750957741</v>
      </c>
      <c r="M68" s="348" t="n">
        <f t="shared" si="18"/>
        <v>2760.92322512898</v>
      </c>
      <c r="N68" s="348" t="n">
        <f t="shared" si="18"/>
        <v>2760.92322512898</v>
      </c>
      <c r="O68" s="348" t="n">
        <f t="shared" si="18"/>
        <v>2760.92322512898</v>
      </c>
      <c r="P68" s="348" t="n">
        <f t="shared" si="18"/>
        <v>2760.92322512898</v>
      </c>
      <c r="Q68" s="348" t="n">
        <f t="shared" si="18"/>
        <v>2760.92322512898</v>
      </c>
      <c r="R68" s="348" t="n">
        <f t="shared" si="18"/>
        <v>2760.92322512898</v>
      </c>
      <c r="S68" s="348" t="n">
        <f t="shared" si="18"/>
        <v>2760.92322512898</v>
      </c>
      <c r="T68" s="348" t="n">
        <f t="shared" si="18"/>
        <v>2760.92322512898</v>
      </c>
      <c r="U68" s="348" t="n">
        <f t="shared" si="18"/>
        <v>2760.92322512898</v>
      </c>
      <c r="V68" s="348" t="n">
        <f t="shared" si="18"/>
        <v>2843.75092188285</v>
      </c>
      <c r="W68" s="348" t="n">
        <f t="shared" si="18"/>
        <v>2843.75092188285</v>
      </c>
      <c r="X68" s="348" t="n">
        <f t="shared" si="18"/>
        <v>2843.75092188285</v>
      </c>
      <c r="Y68" s="349"/>
      <c r="Z68" s="348" t="n">
        <f>SUM(M68:X68)</f>
        <v>33379.5617918094</v>
      </c>
    </row>
    <row r="69" spans="1:26" x14ac:dyDescent="0.3">
      <c r="B69" s="345" t="inlineStr">
        <is>
          <t>Benefits</t>
        </is>
      </c>
      <c r="C69" s="345"/>
      <c r="D69" s="346"/>
      <c r="E69" s="347"/>
      <c r="F69" s="347"/>
      <c r="G69" s="347"/>
      <c r="H69" s="347"/>
      <c r="I69" s="348">
        <f t="shared" ref="I69:X69" si="19">I67*$D$7</f>
        <v>4311.0722692404561</v>
      </c>
      <c r="J69" s="348">
        <f t="shared" si="19"/>
        <v>5204.0076694578029</v>
      </c>
      <c r="K69" s="348">
        <f t="shared" si="19"/>
        <v>5204.0076694578029</v>
      </c>
      <c r="L69" s="348">
        <f t="shared" si="19"/>
        <v>5204.0076694578029</v>
      </c>
      <c r="M69" s="348" t="n">
        <f t="shared" si="19"/>
        <v>6295.37315861234</v>
      </c>
      <c r="N69" s="348" t="n">
        <f t="shared" si="19"/>
        <v>6295.37315861234</v>
      </c>
      <c r="O69" s="348" t="n">
        <f t="shared" si="19"/>
        <v>6295.37315861234</v>
      </c>
      <c r="P69" s="348" t="n">
        <f t="shared" si="19"/>
        <v>6295.37315861234</v>
      </c>
      <c r="Q69" s="348" t="n">
        <f t="shared" si="19"/>
        <v>6295.37315861234</v>
      </c>
      <c r="R69" s="348" t="n">
        <f t="shared" si="19"/>
        <v>6295.37315861234</v>
      </c>
      <c r="S69" s="348" t="n">
        <f t="shared" si="19"/>
        <v>6295.37315861234</v>
      </c>
      <c r="T69" s="348" t="n">
        <f t="shared" si="19"/>
        <v>6295.37315861234</v>
      </c>
      <c r="U69" s="348" t="n">
        <f t="shared" si="19"/>
        <v>6295.37315861234</v>
      </c>
      <c r="V69" s="348" t="n">
        <f t="shared" si="19"/>
        <v>6484.23435337071</v>
      </c>
      <c r="W69" s="348" t="n">
        <f t="shared" si="19"/>
        <v>6484.23435337071</v>
      </c>
      <c r="X69" s="348" t="n">
        <f t="shared" si="19"/>
        <v>6484.23435337071</v>
      </c>
      <c r="Y69" s="349"/>
      <c r="Z69" s="348" t="n">
        <f>SUM(M69:X69)</f>
        <v>76111.0614876232</v>
      </c>
    </row>
    <row r="70" spans="1:26" x14ac:dyDescent="0.3">
      <c r="B70" s="350" t="inlineStr">
        <is>
          <t>Total Payroll</t>
        </is>
      </c>
      <c r="C70" s="350"/>
      <c r="D70" s="351"/>
      <c r="E70" s="352"/>
      <c r="F70" s="352"/>
      <c r="G70" s="352"/>
      <c r="H70" s="352"/>
      <c r="I70" s="353">
        <f t="shared" ref="I70:X70" si="20">SUM(I67:I69)</f>
        <v>42411.586147391412</v>
      </c>
      <c r="J70" s="353">
        <f t="shared" si="20"/>
        <v>51196.130753748868</v>
      </c>
      <c r="K70" s="353">
        <f t="shared" si="20"/>
        <v>51196.130753748868</v>
      </c>
      <c r="L70" s="353">
        <f t="shared" si="20"/>
        <v>51196.130753748868</v>
      </c>
      <c r="M70" s="353" t="n">
        <f t="shared" si="20"/>
        <v>61932.7963837413</v>
      </c>
      <c r="N70" s="353" t="n">
        <f t="shared" si="20"/>
        <v>61932.7963837413</v>
      </c>
      <c r="O70" s="353" t="n">
        <f t="shared" si="20"/>
        <v>61932.7963837413</v>
      </c>
      <c r="P70" s="353" t="n">
        <f t="shared" si="20"/>
        <v>61932.7963837413</v>
      </c>
      <c r="Q70" s="353" t="n">
        <f t="shared" si="20"/>
        <v>61932.7963837413</v>
      </c>
      <c r="R70" s="353" t="n">
        <f t="shared" si="20"/>
        <v>61932.7963837413</v>
      </c>
      <c r="S70" s="353" t="n">
        <f t="shared" si="20"/>
        <v>61932.7963837413</v>
      </c>
      <c r="T70" s="353" t="n">
        <f t="shared" si="20"/>
        <v>61932.7963837413</v>
      </c>
      <c r="U70" s="353" t="n">
        <f t="shared" si="20"/>
        <v>61932.7963837413</v>
      </c>
      <c r="V70" s="353" t="n">
        <f t="shared" si="20"/>
        <v>63790.7802752536</v>
      </c>
      <c r="W70" s="353" t="n">
        <f t="shared" si="20"/>
        <v>63790.7802752536</v>
      </c>
      <c r="X70" s="353" t="n">
        <f t="shared" si="20"/>
        <v>63790.7802752536</v>
      </c>
      <c r="Y70" s="349"/>
      <c r="Z70" s="353" t="n">
        <f>SUM(M70:X70)</f>
        <v>748767.508279433</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8E84C752-9E6A-462B-8873-3EBB428C6028}">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6A306FCC-145C-4507-BC6F-97C4A48E177E}">
      <formula1>$I$10:$X$10</formula1>
    </dataValidation>
    <dataValidation type="whole" allowBlank="1" showInputMessage="1" showErrorMessage="1" sqref="E51:F51 E65:E66 G41:H66 G35:H39 F58:F66 E58 G14:H33" xr:uid="{613D969B-A54D-49D1-821F-A2FCCAA8684C}">
      <formula1>1</formula1>
      <formula2>24</formula2>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26B-D1F8-4F78-8886-78F4FC5B0E1B}">
  <sheetPr>
    <tabColor theme="5" tint="0.59999389629810485"/>
  </sheetPr>
  <dimension ref="A1:AB71"/>
  <sheetViews>
    <sheetView zoomScale="80" zoomScaleNormal="80" workbookViewId="0">
      <pane xSplit="8" ySplit="11" topLeftCell="I38" activePane="bottomRight" state="frozen"/>
      <selection activeCell="C20" sqref="C20"/>
      <selection pane="topRight" activeCell="C20" sqref="C20"/>
      <selection pane="bottomLeft" activeCell="C20" sqref="C20"/>
      <selection pane="bottomRight" activeCell="F8" sqref="F8"/>
    </sheetView>
  </sheetViews>
  <sheetFormatPr defaultRowHeight="14.4" x14ac:dyDescent="0.3"/>
  <cols>
    <col min="1" max="1" width="21.332031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FIELD ENGINEERING (FE)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4.0692069161390718E-2</v>
      </c>
      <c r="E6" s="297"/>
    </row>
    <row r="7" spans="1:28" x14ac:dyDescent="0.3">
      <c r="B7" s="295" t="inlineStr">
        <is>
          <t>Benefits load (% of salary)</t>
        </is>
      </c>
      <c r="D7" s="298">
        <v>7.222908537898412E-2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Hogan Welch</t>
        </is>
      </c>
      <c r="C14" s="317" t="inlineStr">
        <is>
          <t>Senior Field Robotics Engineer</t>
        </is>
      </c>
      <c r="D14" s="318">
        <v>98591</v>
      </c>
      <c r="E14" s="319">
        <v>46266</v>
      </c>
      <c r="F14" s="319">
        <v>46722</v>
      </c>
      <c r="G14" s="320">
        <v>0.03</v>
      </c>
      <c r="H14" s="321">
        <f t="shared" ref="H14:H33" si="0">$D$8</f>
        <v>46661</v>
      </c>
      <c r="I14" s="322">
        <f t="shared" ref="I14:X33" si="1">IF(OR($D14="",$E14="",NOT(ISNUMBER($D14))),"",IF(AND($E14&lt;=I$10,IF($F14="",$X$10,$F14)&gt;=I$10),$D14/12*(1+N($G14))^IF(AND(ISNUMBER($H14),I$10&gt;=$H14),1+INT(DATEDIF($H14,I$10,"m")/12),0),0))</f>
        <v>8215.9166666666661</v>
      </c>
      <c r="J14" s="322">
        <f t="shared" si="1"/>
        <v>8215.9166666666661</v>
      </c>
      <c r="K14" s="322">
        <f t="shared" si="1"/>
        <v>8215.9166666666661</v>
      </c>
      <c r="L14" s="322">
        <f t="shared" si="1"/>
        <v>8215.9166666666661</v>
      </c>
      <c r="M14" s="323">
        <f t="shared" si="1"/>
        <v>8215.9166666666661</v>
      </c>
      <c r="N14" s="322">
        <f t="shared" si="1"/>
        <v>8215.9166666666661</v>
      </c>
      <c r="O14" s="322">
        <f t="shared" si="1"/>
        <v>8215.9166666666661</v>
      </c>
      <c r="P14" s="322">
        <f t="shared" si="1"/>
        <v>8215.9166666666661</v>
      </c>
      <c r="Q14" s="322">
        <f t="shared" si="1"/>
        <v>8215.9166666666661</v>
      </c>
      <c r="R14" s="322">
        <f t="shared" si="1"/>
        <v>8215.9166666666661</v>
      </c>
      <c r="S14" s="322">
        <f t="shared" si="1"/>
        <v>8215.9166666666661</v>
      </c>
      <c r="T14" s="322">
        <f t="shared" si="1"/>
        <v>8215.9166666666661</v>
      </c>
      <c r="U14" s="322">
        <f t="shared" si="1"/>
        <v>8215.9166666666661</v>
      </c>
      <c r="V14" s="322">
        <f t="shared" si="1"/>
        <v>8462.3941666666669</v>
      </c>
      <c r="W14" s="322">
        <f t="shared" si="1"/>
        <v>8462.3941666666669</v>
      </c>
      <c r="X14" s="322">
        <f t="shared" si="1"/>
        <v>8462.3941666666669</v>
      </c>
      <c r="Y14" s="322"/>
      <c r="Z14" s="322">
        <f>SUM(M14:X14)</f>
        <v>99330.432499999995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Mead</t>
        </is>
      </c>
      <c r="C15" s="317" t="inlineStr">
        <is>
          <t>Associate Field Robotics Engineer</t>
        </is>
      </c>
      <c r="D15" s="318">
        <v>72080</v>
      </c>
      <c r="E15" s="319">
        <v>46266</v>
      </c>
      <c r="F15" s="319">
        <v>46722</v>
      </c>
      <c r="G15" s="320">
        <v>0.03</v>
      </c>
      <c r="H15" s="321">
        <f t="shared" si="0"/>
        <v>46661</v>
      </c>
      <c r="I15" s="322">
        <f t="shared" si="1"/>
        <v>6006.666666666667</v>
      </c>
      <c r="J15" s="322">
        <f t="shared" si="1"/>
        <v>6006.666666666667</v>
      </c>
      <c r="K15" s="322">
        <f t="shared" si="1"/>
        <v>6006.666666666667</v>
      </c>
      <c r="L15" s="322">
        <f t="shared" si="1"/>
        <v>6006.666666666667</v>
      </c>
      <c r="M15" s="322">
        <f t="shared" si="1"/>
        <v>6006.666666666667</v>
      </c>
      <c r="N15" s="322">
        <f t="shared" si="1"/>
        <v>6006.666666666667</v>
      </c>
      <c r="O15" s="322">
        <f t="shared" si="1"/>
        <v>6006.666666666667</v>
      </c>
      <c r="P15" s="322">
        <f t="shared" si="1"/>
        <v>6006.666666666667</v>
      </c>
      <c r="Q15" s="322">
        <f t="shared" si="1"/>
        <v>6006.666666666667</v>
      </c>
      <c r="R15" s="322">
        <f t="shared" si="1"/>
        <v>6006.666666666667</v>
      </c>
      <c r="S15" s="322">
        <f t="shared" si="1"/>
        <v>6006.666666666667</v>
      </c>
      <c r="T15" s="322">
        <f t="shared" si="1"/>
        <v>6006.666666666667</v>
      </c>
      <c r="U15" s="322">
        <f t="shared" si="1"/>
        <v>6006.666666666667</v>
      </c>
      <c r="V15" s="322">
        <f t="shared" si="1"/>
        <v>6186.8666666666668</v>
      </c>
      <c r="W15" s="322">
        <f t="shared" si="1"/>
        <v>6186.8666666666668</v>
      </c>
      <c r="X15" s="322">
        <f t="shared" si="1"/>
        <v>6186.8666666666668</v>
      </c>
      <c r="Y15" s="322"/>
      <c r="Z15" s="322">
        <f t="shared" ref="Z15:Z33" si="3">SUM(M15:X15)</f>
        <v>72620.599999999991</v>
      </c>
      <c r="AB15" s="324" t="str">
        <f t="shared" si="2"/>
        <v/>
      </c>
    </row>
    <row r="16" spans="1:28" x14ac:dyDescent="0.3">
      <c r="B16" s="317" t="inlineStr">
        <is>
          <t>Rasheen Henry</t>
        </is>
      </c>
      <c r="C16" s="317" t="inlineStr">
        <is>
          <t>Head of Service Delivery</t>
        </is>
      </c>
      <c r="D16" s="318">
        <v>205000</v>
      </c>
      <c r="E16" s="319">
        <v>46266</v>
      </c>
      <c r="F16" s="319">
        <v>46722</v>
      </c>
      <c r="G16" s="320">
        <v>0.03</v>
      </c>
      <c r="H16" s="321">
        <f t="shared" si="0"/>
        <v>46661</v>
      </c>
      <c r="I16" s="322">
        <f t="shared" si="1"/>
        <v>17083.333333333332</v>
      </c>
      <c r="J16" s="322">
        <f t="shared" si="1"/>
        <v>17083.333333333332</v>
      </c>
      <c r="K16" s="322">
        <f t="shared" si="1"/>
        <v>17083.333333333332</v>
      </c>
      <c r="L16" s="322">
        <f t="shared" si="1"/>
        <v>17083.333333333332</v>
      </c>
      <c r="M16" s="322">
        <f t="shared" si="1"/>
        <v>17083.333333333332</v>
      </c>
      <c r="N16" s="322">
        <f t="shared" si="1"/>
        <v>17083.333333333332</v>
      </c>
      <c r="O16" s="322">
        <f t="shared" si="1"/>
        <v>17083.333333333332</v>
      </c>
      <c r="P16" s="322">
        <f t="shared" si="1"/>
        <v>17083.333333333332</v>
      </c>
      <c r="Q16" s="322">
        <f t="shared" si="1"/>
        <v>17083.333333333332</v>
      </c>
      <c r="R16" s="322">
        <f t="shared" si="1"/>
        <v>17083.333333333332</v>
      </c>
      <c r="S16" s="322">
        <f t="shared" si="1"/>
        <v>17083.333333333332</v>
      </c>
      <c r="T16" s="322">
        <f t="shared" si="1"/>
        <v>17083.333333333332</v>
      </c>
      <c r="U16" s="322">
        <f t="shared" si="1"/>
        <v>17083.333333333332</v>
      </c>
      <c r="V16" s="322">
        <f t="shared" si="1"/>
        <v>17595.833333333332</v>
      </c>
      <c r="W16" s="322">
        <f t="shared" si="1"/>
        <v>17595.833333333332</v>
      </c>
      <c r="X16" s="322">
        <f t="shared" si="1"/>
        <v>17595.833333333332</v>
      </c>
      <c r="Y16" s="322"/>
      <c r="Z16" s="322">
        <f t="shared" si="3"/>
        <v>206537.50000000003</v>
      </c>
      <c r="AB16" s="324" t="str">
        <f t="shared" si="2"/>
        <v/>
      </c>
    </row>
    <row r="17" spans="2:28" x14ac:dyDescent="0.3">
      <c r="B17" s="317" t="inlineStr">
        <is>
          <t>Seng Goo</t>
        </is>
      </c>
      <c r="C17" s="317" t="inlineStr">
        <is>
          <t>Customer Support Manager</t>
        </is>
      </c>
      <c r="D17" s="318">
        <v>160000</v>
      </c>
      <c r="E17" s="319">
        <v>46266</v>
      </c>
      <c r="F17" s="319">
        <v>46722</v>
      </c>
      <c r="G17" s="320">
        <v>0.03</v>
      </c>
      <c r="H17" s="321">
        <f t="shared" si="0"/>
        <v>46661</v>
      </c>
      <c r="I17" s="322">
        <f t="shared" si="1"/>
        <v>13333.333333333334</v>
      </c>
      <c r="J17" s="322">
        <f t="shared" si="1"/>
        <v>13333.333333333334</v>
      </c>
      <c r="K17" s="322">
        <f t="shared" si="1"/>
        <v>13333.333333333334</v>
      </c>
      <c r="L17" s="322">
        <f t="shared" si="1"/>
        <v>13333.333333333334</v>
      </c>
      <c r="M17" s="322">
        <f t="shared" si="1"/>
        <v>13333.333333333334</v>
      </c>
      <c r="N17" s="322">
        <f t="shared" si="1"/>
        <v>13333.333333333334</v>
      </c>
      <c r="O17" s="322">
        <f t="shared" si="1"/>
        <v>13333.333333333334</v>
      </c>
      <c r="P17" s="322">
        <f t="shared" si="1"/>
        <v>13333.333333333334</v>
      </c>
      <c r="Q17" s="322">
        <f t="shared" si="1"/>
        <v>13333.333333333334</v>
      </c>
      <c r="R17" s="322">
        <f t="shared" si="1"/>
        <v>13333.333333333334</v>
      </c>
      <c r="S17" s="322">
        <f t="shared" si="1"/>
        <v>13333.333333333334</v>
      </c>
      <c r="T17" s="322">
        <f t="shared" si="1"/>
        <v>13333.333333333334</v>
      </c>
      <c r="U17" s="322">
        <f t="shared" si="1"/>
        <v>13333.333333333334</v>
      </c>
      <c r="V17" s="322">
        <f t="shared" si="1"/>
        <v>13733.333333333334</v>
      </c>
      <c r="W17" s="322">
        <f t="shared" si="1"/>
        <v>13733.333333333334</v>
      </c>
      <c r="X17" s="322">
        <f t="shared" si="1"/>
        <v>13733.333333333334</v>
      </c>
      <c r="Y17" s="322"/>
      <c r="Z17" s="322">
        <f t="shared" si="3"/>
        <v>161200</v>
      </c>
      <c r="AB17" s="324" t="str">
        <f t="shared" si="2"/>
        <v/>
      </c>
    </row>
    <row r="18" spans="2:28" x14ac:dyDescent="0.3">
      <c r="B18" s="317" t="inlineStr">
        <is>
          <t>Jessica Landaverde</t>
        </is>
      </c>
      <c r="C18" s="317" t="inlineStr">
        <is>
          <t>Customer Support Specialist</t>
        </is>
      </c>
      <c r="D18" s="318">
        <v>65000</v>
      </c>
      <c r="E18" s="319">
        <v>46266</v>
      </c>
      <c r="F18" s="319">
        <v>46722</v>
      </c>
      <c r="G18" s="320">
        <v>0.03</v>
      </c>
      <c r="H18" s="321">
        <f t="shared" si="0"/>
        <v>46661</v>
      </c>
      <c r="I18" s="322">
        <f t="shared" si="1"/>
        <v>5416.666666666667</v>
      </c>
      <c r="J18" s="322">
        <f t="shared" si="1"/>
        <v>5416.666666666667</v>
      </c>
      <c r="K18" s="322">
        <f t="shared" si="1"/>
        <v>5416.666666666667</v>
      </c>
      <c r="L18" s="322">
        <f t="shared" si="1"/>
        <v>5416.666666666667</v>
      </c>
      <c r="M18" s="322">
        <f t="shared" si="1"/>
        <v>5416.666666666667</v>
      </c>
      <c r="N18" s="322">
        <f t="shared" si="1"/>
        <v>5416.666666666667</v>
      </c>
      <c r="O18" s="322">
        <f t="shared" si="1"/>
        <v>5416.666666666667</v>
      </c>
      <c r="P18" s="322">
        <f t="shared" si="1"/>
        <v>5416.666666666667</v>
      </c>
      <c r="Q18" s="322">
        <f t="shared" si="1"/>
        <v>5416.666666666667</v>
      </c>
      <c r="R18" s="322">
        <f t="shared" si="1"/>
        <v>5416.666666666667</v>
      </c>
      <c r="S18" s="322">
        <f t="shared" si="1"/>
        <v>5416.666666666667</v>
      </c>
      <c r="T18" s="322">
        <f t="shared" si="1"/>
        <v>5416.666666666667</v>
      </c>
      <c r="U18" s="322">
        <f t="shared" si="1"/>
        <v>5416.666666666667</v>
      </c>
      <c r="V18" s="322">
        <f t="shared" si="1"/>
        <v>5579.166666666667</v>
      </c>
      <c r="W18" s="322">
        <f t="shared" si="1"/>
        <v>5579.166666666667</v>
      </c>
      <c r="X18" s="322">
        <f t="shared" si="1"/>
        <v>5579.166666666667</v>
      </c>
      <c r="Y18" s="322"/>
      <c r="Z18" s="322">
        <f t="shared" si="3"/>
        <v>65487.499999999993</v>
      </c>
      <c r="AB18" s="324" t="str">
        <f t="shared" si="2"/>
        <v/>
      </c>
    </row>
    <row r="19" spans="2:28" x14ac:dyDescent="0.3">
      <c r="B19" s="317" t="inlineStr">
        <is>
          <t>Elizabeth Ferry</t>
        </is>
      </c>
      <c r="C19" s="317" t="inlineStr">
        <is>
          <t>Associate Field Robotics Engineer</t>
        </is>
      </c>
      <c r="D19" s="318">
        <v>70000</v>
      </c>
      <c r="E19" s="319">
        <v>46266</v>
      </c>
      <c r="F19" s="319">
        <v>46722</v>
      </c>
      <c r="G19" s="320">
        <v>0.03</v>
      </c>
      <c r="H19" s="321">
        <f t="shared" si="0"/>
        <v>46661</v>
      </c>
      <c r="I19" s="322">
        <f t="shared" si="1"/>
        <v>5833.333333333333</v>
      </c>
      <c r="J19" s="322">
        <f t="shared" si="1"/>
        <v>5833.333333333333</v>
      </c>
      <c r="K19" s="322">
        <f t="shared" si="1"/>
        <v>5833.333333333333</v>
      </c>
      <c r="L19" s="322">
        <f t="shared" si="1"/>
        <v>5833.333333333333</v>
      </c>
      <c r="M19" s="322">
        <f t="shared" si="1"/>
        <v>5833.333333333333</v>
      </c>
      <c r="N19" s="322">
        <f t="shared" si="1"/>
        <v>5833.333333333333</v>
      </c>
      <c r="O19" s="322">
        <f t="shared" si="1"/>
        <v>5833.333333333333</v>
      </c>
      <c r="P19" s="322">
        <f t="shared" si="1"/>
        <v>5833.333333333333</v>
      </c>
      <c r="Q19" s="322">
        <f t="shared" si="1"/>
        <v>5833.333333333333</v>
      </c>
      <c r="R19" s="322">
        <f t="shared" si="1"/>
        <v>5833.333333333333</v>
      </c>
      <c r="S19" s="322">
        <f t="shared" si="1"/>
        <v>5833.333333333333</v>
      </c>
      <c r="T19" s="322">
        <f t="shared" si="1"/>
        <v>5833.333333333333</v>
      </c>
      <c r="U19" s="322">
        <f t="shared" si="1"/>
        <v>5833.333333333333</v>
      </c>
      <c r="V19" s="322">
        <f t="shared" si="1"/>
        <v>6008.333333333333</v>
      </c>
      <c r="W19" s="322">
        <f t="shared" si="1"/>
        <v>6008.333333333333</v>
      </c>
      <c r="X19" s="322">
        <f t="shared" si="1"/>
        <v>6008.333333333333</v>
      </c>
      <c r="Y19" s="322"/>
      <c r="Z19" s="322">
        <f t="shared" si="3"/>
        <v>70525.000000000015</v>
      </c>
      <c r="AB19" s="324" t="str">
        <f t="shared" si="2"/>
        <v/>
      </c>
    </row>
    <row r="20" spans="2:28" x14ac:dyDescent="0.3">
      <c r="B20" s="317"/>
      <c r="C20" s="317"/>
      <c r="D20" s="318"/>
      <c r="E20" s="319">
        <v>46266</v>
      </c>
      <c r="F20" s="319">
        <v>46722</v>
      </c>
      <c r="G20" s="320">
        <v>0.03</v>
      </c>
      <c r="H20" s="321">
        <f t="shared" si="0"/>
        <v>46661</v>
      </c>
      <c r="I20" s="322" t="str">
        <f t="shared" si="1"/>
        <v/>
      </c>
      <c r="J20" s="322" t="str">
        <f t="shared" si="1"/>
        <v/>
      </c>
      <c r="K20" s="322" t="str">
        <f t="shared" si="1"/>
        <v/>
      </c>
      <c r="L20" s="322" t="str">
        <f t="shared" si="1"/>
        <v/>
      </c>
      <c r="M20" s="322" t="str">
        <f t="shared" si="1"/>
        <v/>
      </c>
      <c r="N20" s="322" t="str">
        <f t="shared" si="1"/>
        <v/>
      </c>
      <c r="O20" s="322" t="str">
        <f t="shared" si="1"/>
        <v/>
      </c>
      <c r="P20" s="322" t="str">
        <f t="shared" si="1"/>
        <v/>
      </c>
      <c r="Q20" s="322" t="str">
        <f t="shared" si="1"/>
        <v/>
      </c>
      <c r="R20" s="322" t="str">
        <f t="shared" si="1"/>
        <v/>
      </c>
      <c r="S20" s="322" t="str">
        <f t="shared" si="1"/>
        <v/>
      </c>
      <c r="T20" s="322" t="str">
        <f t="shared" si="1"/>
        <v/>
      </c>
      <c r="U20" s="322" t="str">
        <f t="shared" si="1"/>
        <v/>
      </c>
      <c r="V20" s="322" t="str">
        <f t="shared" si="1"/>
        <v/>
      </c>
      <c r="W20" s="322" t="str">
        <f t="shared" si="1"/>
        <v/>
      </c>
      <c r="X20" s="322" t="str">
        <f t="shared" si="1"/>
        <v/>
      </c>
      <c r="Y20" s="322"/>
      <c r="Z20" s="322">
        <f t="shared" si="3"/>
        <v>0</v>
      </c>
      <c r="AB20" s="324" t="str">
        <f t="shared" si="2"/>
        <v/>
      </c>
    </row>
    <row r="21" spans="2:28" x14ac:dyDescent="0.3">
      <c r="B21" s="317"/>
      <c r="C21" s="317"/>
      <c r="D21" s="318"/>
      <c r="E21" s="319">
        <v>46266</v>
      </c>
      <c r="F21" s="319">
        <v>46722</v>
      </c>
      <c r="G21" s="320">
        <v>0.03</v>
      </c>
      <c r="H21" s="321">
        <f t="shared" si="0"/>
        <v>46661</v>
      </c>
      <c r="I21" s="322" t="str">
        <f t="shared" si="1"/>
        <v/>
      </c>
      <c r="J21" s="322" t="str">
        <f t="shared" si="1"/>
        <v/>
      </c>
      <c r="K21" s="322" t="str">
        <f t="shared" si="1"/>
        <v/>
      </c>
      <c r="L21" s="322" t="str">
        <f t="shared" si="1"/>
        <v/>
      </c>
      <c r="M21" s="322" t="str">
        <f t="shared" si="1"/>
        <v/>
      </c>
      <c r="N21" s="322" t="str">
        <f t="shared" si="1"/>
        <v/>
      </c>
      <c r="O21" s="322" t="str">
        <f t="shared" si="1"/>
        <v/>
      </c>
      <c r="P21" s="322" t="str">
        <f t="shared" si="1"/>
        <v/>
      </c>
      <c r="Q21" s="322" t="str">
        <f t="shared" si="1"/>
        <v/>
      </c>
      <c r="R21" s="322" t="str">
        <f t="shared" si="1"/>
        <v/>
      </c>
      <c r="S21" s="322" t="str">
        <f t="shared" si="1"/>
        <v/>
      </c>
      <c r="T21" s="322" t="str">
        <f t="shared" si="1"/>
        <v/>
      </c>
      <c r="U21" s="322" t="str">
        <f t="shared" si="1"/>
        <v/>
      </c>
      <c r="V21" s="322" t="str">
        <f t="shared" si="1"/>
        <v/>
      </c>
      <c r="W21" s="322" t="str">
        <f t="shared" si="1"/>
        <v/>
      </c>
      <c r="X21" s="322" t="str">
        <f t="shared" si="1"/>
        <v/>
      </c>
      <c r="Y21" s="322"/>
      <c r="Z21" s="322">
        <f t="shared" si="3"/>
        <v>0</v>
      </c>
      <c r="AB21" s="324" t="str">
        <f t="shared" si="2"/>
        <v/>
      </c>
    </row>
    <row r="22" spans="2:28" x14ac:dyDescent="0.3">
      <c r="B22" s="317"/>
      <c r="C22" s="317"/>
      <c r="D22" s="318"/>
      <c r="E22" s="319">
        <v>46266</v>
      </c>
      <c r="F22" s="319">
        <v>46722</v>
      </c>
      <c r="G22" s="320">
        <v>0.03</v>
      </c>
      <c r="H22" s="321">
        <f t="shared" si="0"/>
        <v>46661</v>
      </c>
      <c r="I22" s="322" t="str">
        <f t="shared" si="1"/>
        <v/>
      </c>
      <c r="J22" s="322" t="str">
        <f t="shared" si="1"/>
        <v/>
      </c>
      <c r="K22" s="322" t="str">
        <f t="shared" si="1"/>
        <v/>
      </c>
      <c r="L22" s="322" t="str">
        <f t="shared" si="1"/>
        <v/>
      </c>
      <c r="M22" s="322" t="str">
        <f t="shared" si="1"/>
        <v/>
      </c>
      <c r="N22" s="322" t="str">
        <f t="shared" si="1"/>
        <v/>
      </c>
      <c r="O22" s="322" t="str">
        <f t="shared" si="1"/>
        <v/>
      </c>
      <c r="P22" s="322" t="str">
        <f t="shared" si="1"/>
        <v/>
      </c>
      <c r="Q22" s="322" t="str">
        <f t="shared" si="1"/>
        <v/>
      </c>
      <c r="R22" s="322" t="str">
        <f t="shared" si="1"/>
        <v/>
      </c>
      <c r="S22" s="322" t="str">
        <f t="shared" si="1"/>
        <v/>
      </c>
      <c r="T22" s="322" t="str">
        <f t="shared" si="1"/>
        <v/>
      </c>
      <c r="U22" s="322" t="str">
        <f t="shared" si="1"/>
        <v/>
      </c>
      <c r="V22" s="322" t="str">
        <f t="shared" si="1"/>
        <v/>
      </c>
      <c r="W22" s="322" t="str">
        <f t="shared" si="1"/>
        <v/>
      </c>
      <c r="X22" s="322" t="str">
        <f t="shared" ref="X22" si="4">IF(OR($D22="",$E22="",NOT(ISNUMBER($D22))),"",IF(AND($E22&lt;=X$10,IF($F22="",$X$10,$F22)&gt;=X$10),$D22/12*(1+N($G22))^IF(AND(ISNUMBER($H22),X$10&gt;=$H22),1+INT(DATEDIF($H22,X$10,"m")/12),0),0))</f>
        <v/>
      </c>
      <c r="Y22" s="322"/>
      <c r="Z22" s="322">
        <f t="shared" ref="Z22:Z27" si="5">SUM(M22:X22)</f>
        <v>0</v>
      </c>
      <c r="AB22" s="324" t="str">
        <f t="shared" si="2"/>
        <v/>
      </c>
    </row>
    <row r="23" spans="2:28" x14ac:dyDescent="0.3">
      <c r="B23" s="317"/>
      <c r="C23" s="317"/>
      <c r="D23" s="318"/>
      <c r="E23" s="319">
        <v>46266</v>
      </c>
      <c r="F23" s="319">
        <v>46722</v>
      </c>
      <c r="G23" s="320">
        <v>0.03</v>
      </c>
      <c r="H23" s="321">
        <f t="shared" si="0"/>
        <v>46661</v>
      </c>
      <c r="I23" s="322" t="str">
        <f t="shared" ref="I23:X27" si="6">IF(OR($D23="",$E23="",NOT(ISNUMBER($D23))),"",IF(AND($E23&lt;=I$10,IF($F23="",$X$10,$F23)&gt;=I$10),$D23/12*(1+N($G23))^IF(AND(ISNUMBER($H23),I$10&gt;=$H23),1+INT(DATEDIF($H23,I$10,"m")/12),0),0))</f>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6"/>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si="5"/>
        <v>0</v>
      </c>
      <c r="AB25" s="324" t="str">
        <f t="shared" si="2"/>
        <v/>
      </c>
    </row>
    <row r="26" spans="2:28" x14ac:dyDescent="0.3">
      <c r="B26" s="317"/>
      <c r="C26" s="317"/>
      <c r="D26" s="318"/>
      <c r="E26" s="319">
        <v>46266</v>
      </c>
      <c r="F26" s="319">
        <v>46722</v>
      </c>
      <c r="G26" s="320">
        <v>0.03</v>
      </c>
      <c r="H26" s="321">
        <f t="shared" si="0"/>
        <v>46661</v>
      </c>
      <c r="I26" s="322" t="str">
        <f t="shared" si="6"/>
        <v/>
      </c>
      <c r="J26" s="322" t="str">
        <f t="shared" si="6"/>
        <v/>
      </c>
      <c r="K26" s="322" t="str">
        <f t="shared" si="6"/>
        <v/>
      </c>
      <c r="L26" s="322" t="str">
        <f t="shared" si="6"/>
        <v/>
      </c>
      <c r="M26" s="322" t="str">
        <f t="shared" si="6"/>
        <v/>
      </c>
      <c r="N26" s="322" t="str">
        <f t="shared" si="6"/>
        <v/>
      </c>
      <c r="O26" s="322" t="str">
        <f t="shared" si="6"/>
        <v/>
      </c>
      <c r="P26" s="322" t="str">
        <f t="shared" si="6"/>
        <v/>
      </c>
      <c r="Q26" s="322" t="str">
        <f t="shared" si="6"/>
        <v/>
      </c>
      <c r="R26" s="322" t="str">
        <f t="shared" si="6"/>
        <v/>
      </c>
      <c r="S26" s="322" t="str">
        <f t="shared" si="6"/>
        <v/>
      </c>
      <c r="T26" s="322" t="str">
        <f t="shared" si="6"/>
        <v/>
      </c>
      <c r="U26" s="322" t="str">
        <f t="shared" si="6"/>
        <v/>
      </c>
      <c r="V26" s="322" t="str">
        <f t="shared" si="6"/>
        <v/>
      </c>
      <c r="W26" s="322" t="str">
        <f t="shared" si="6"/>
        <v/>
      </c>
      <c r="X26" s="322" t="str">
        <f t="shared" si="6"/>
        <v/>
      </c>
      <c r="Y26" s="322"/>
      <c r="Z26" s="322">
        <f t="shared" si="5"/>
        <v>0</v>
      </c>
      <c r="AB26" s="324" t="str">
        <f t="shared" si="2"/>
        <v/>
      </c>
    </row>
    <row r="27" spans="2:28" x14ac:dyDescent="0.3">
      <c r="B27" s="317"/>
      <c r="C27" s="317"/>
      <c r="D27" s="318"/>
      <c r="E27" s="319">
        <v>46266</v>
      </c>
      <c r="F27" s="319">
        <v>46722</v>
      </c>
      <c r="G27" s="320">
        <v>0.03</v>
      </c>
      <c r="H27" s="321">
        <f t="shared" si="0"/>
        <v>46661</v>
      </c>
      <c r="I27" s="322" t="str">
        <f t="shared" si="6"/>
        <v/>
      </c>
      <c r="J27" s="322" t="str">
        <f t="shared" si="6"/>
        <v/>
      </c>
      <c r="K27" s="322" t="str">
        <f t="shared" si="6"/>
        <v/>
      </c>
      <c r="L27" s="322" t="str">
        <f t="shared" si="6"/>
        <v/>
      </c>
      <c r="M27" s="322" t="str">
        <f t="shared" si="6"/>
        <v/>
      </c>
      <c r="N27" s="322" t="str">
        <f t="shared" si="6"/>
        <v/>
      </c>
      <c r="O27" s="322" t="str">
        <f t="shared" si="6"/>
        <v/>
      </c>
      <c r="P27" s="322" t="str">
        <f t="shared" si="6"/>
        <v/>
      </c>
      <c r="Q27" s="322" t="str">
        <f t="shared" si="6"/>
        <v/>
      </c>
      <c r="R27" s="322" t="str">
        <f t="shared" si="6"/>
        <v/>
      </c>
      <c r="S27" s="322" t="str">
        <f t="shared" si="6"/>
        <v/>
      </c>
      <c r="T27" s="322" t="str">
        <f t="shared" si="6"/>
        <v/>
      </c>
      <c r="U27" s="322" t="str">
        <f t="shared" si="6"/>
        <v/>
      </c>
      <c r="V27" s="322" t="str">
        <f t="shared" si="6"/>
        <v/>
      </c>
      <c r="W27" s="322" t="str">
        <f t="shared" si="6"/>
        <v/>
      </c>
      <c r="X27" s="322" t="str">
        <f t="shared" si="6"/>
        <v/>
      </c>
      <c r="Y27" s="322"/>
      <c r="Z27" s="322">
        <f t="shared" si="5"/>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t="inlineStr">
        <is>
          <t>backfill</t>
        </is>
      </c>
      <c r="C35" s="317" t="inlineStr">
        <is>
          <t>Field Engineer Manager</t>
        </is>
      </c>
      <c r="D35" s="318">
        <v>140000</v>
      </c>
      <c r="E35" s="319">
        <v>46357</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0</v>
      </c>
      <c r="L35" s="322">
        <f t="shared" si="7"/>
        <v>11666.666666666666</v>
      </c>
      <c r="M35" s="322">
        <f t="shared" si="7"/>
        <v>11666.666666666666</v>
      </c>
      <c r="N35" s="322">
        <f t="shared" si="7"/>
        <v>11666.666666666666</v>
      </c>
      <c r="O35" s="322">
        <f t="shared" si="7"/>
        <v>11666.666666666666</v>
      </c>
      <c r="P35" s="322">
        <f t="shared" si="7"/>
        <v>11666.666666666666</v>
      </c>
      <c r="Q35" s="322">
        <f t="shared" si="7"/>
        <v>11666.666666666666</v>
      </c>
      <c r="R35" s="322">
        <f t="shared" si="7"/>
        <v>11666.666666666666</v>
      </c>
      <c r="S35" s="322">
        <f t="shared" si="7"/>
        <v>11666.666666666666</v>
      </c>
      <c r="T35" s="322">
        <f t="shared" si="7"/>
        <v>11666.666666666666</v>
      </c>
      <c r="U35" s="322">
        <f t="shared" si="7"/>
        <v>11666.666666666666</v>
      </c>
      <c r="V35" s="322">
        <f t="shared" si="7"/>
        <v>12016.666666666666</v>
      </c>
      <c r="W35" s="322">
        <f t="shared" si="7"/>
        <v>12016.666666666666</v>
      </c>
      <c r="X35" s="322">
        <f t="shared" si="7"/>
        <v>12016.666666666666</v>
      </c>
      <c r="Y35" s="322"/>
      <c r="Z35" s="322">
        <f t="shared" ref="Z35:Z50" si="8">SUM(M35:X35)</f>
        <v>141050.00000000003</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t="inlineStr">
        <is>
          <t>Field Engineer</t>
        </is>
      </c>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55889.25</v>
      </c>
      <c r="J67" s="348">
        <f t="shared" si="17"/>
        <v>55889.25</v>
      </c>
      <c r="K67" s="348">
        <f t="shared" si="17"/>
        <v>55889.25</v>
      </c>
      <c r="L67" s="348">
        <f t="shared" si="17"/>
        <v>67555.916666666672</v>
      </c>
      <c r="M67" s="348">
        <f t="shared" si="17"/>
        <v>67555.916666666672</v>
      </c>
      <c r="N67" s="348">
        <f t="shared" si="17"/>
        <v>67555.916666666672</v>
      </c>
      <c r="O67" s="348">
        <f t="shared" si="17"/>
        <v>67555.916666666672</v>
      </c>
      <c r="P67" s="348">
        <f t="shared" si="17"/>
        <v>67555.916666666672</v>
      </c>
      <c r="Q67" s="348">
        <f t="shared" si="17"/>
        <v>67555.916666666672</v>
      </c>
      <c r="R67" s="348">
        <f t="shared" si="17"/>
        <v>67555.916666666672</v>
      </c>
      <c r="S67" s="348">
        <f t="shared" si="17"/>
        <v>67555.916666666672</v>
      </c>
      <c r="T67" s="348">
        <f t="shared" si="17"/>
        <v>67555.916666666672</v>
      </c>
      <c r="U67" s="348">
        <f t="shared" si="17"/>
        <v>67555.916666666672</v>
      </c>
      <c r="V67" s="348">
        <f t="shared" si="17"/>
        <v>69582.594166666662</v>
      </c>
      <c r="W67" s="348">
        <f t="shared" si="17"/>
        <v>69582.594166666662</v>
      </c>
      <c r="X67" s="348">
        <f t="shared" si="17"/>
        <v>69582.594166666662</v>
      </c>
      <c r="Y67" s="349"/>
      <c r="Z67" s="348">
        <f>SUM(M67:X67)</f>
        <v>816751.03249999986</v>
      </c>
    </row>
    <row r="68" spans="1:26" x14ac:dyDescent="0.3">
      <c r="B68" s="345" t="inlineStr">
        <is>
          <t>Payroll Taxes</t>
        </is>
      </c>
      <c r="C68" s="345"/>
      <c r="D68" s="346"/>
      <c r="E68" s="347"/>
      <c r="F68" s="347"/>
      <c r="G68" s="347"/>
      <c r="H68" s="347"/>
      <c r="I68" s="348">
        <f t="shared" ref="I68:X68" si="18">I67*$D$6</f>
        <v>2274.249226378256</v>
      </c>
      <c r="J68" s="348">
        <f t="shared" si="18"/>
        <v>2274.249226378256</v>
      </c>
      <c r="K68" s="348">
        <f t="shared" si="18"/>
        <v>2274.249226378256</v>
      </c>
      <c r="L68" s="348">
        <f t="shared" si="18"/>
        <v>2748.9900332611483</v>
      </c>
      <c r="M68" s="348">
        <f t="shared" si="18"/>
        <v>2748.9900332611483</v>
      </c>
      <c r="N68" s="348">
        <f t="shared" si="18"/>
        <v>2748.9900332611483</v>
      </c>
      <c r="O68" s="348">
        <f t="shared" si="18"/>
        <v>2748.9900332611483</v>
      </c>
      <c r="P68" s="348">
        <f t="shared" si="18"/>
        <v>2748.9900332611483</v>
      </c>
      <c r="Q68" s="348">
        <f t="shared" si="18"/>
        <v>2748.9900332611483</v>
      </c>
      <c r="R68" s="348">
        <f t="shared" si="18"/>
        <v>2748.9900332611483</v>
      </c>
      <c r="S68" s="348">
        <f t="shared" si="18"/>
        <v>2748.9900332611483</v>
      </c>
      <c r="T68" s="348">
        <f t="shared" si="18"/>
        <v>2748.9900332611483</v>
      </c>
      <c r="U68" s="348">
        <f t="shared" si="18"/>
        <v>2748.9900332611483</v>
      </c>
      <c r="V68" s="348">
        <f t="shared" si="18"/>
        <v>2831.4597342589823</v>
      </c>
      <c r="W68" s="348">
        <f t="shared" si="18"/>
        <v>2831.4597342589823</v>
      </c>
      <c r="X68" s="348">
        <f t="shared" si="18"/>
        <v>2831.4597342589823</v>
      </c>
      <c r="Y68" s="349"/>
      <c r="Z68" s="348">
        <f>SUM(M68:X68)</f>
        <v>33235.289502127278</v>
      </c>
    </row>
    <row r="69" spans="1:26" x14ac:dyDescent="0.3">
      <c r="B69" s="345" t="inlineStr">
        <is>
          <t>Benefits</t>
        </is>
      </c>
      <c r="C69" s="345"/>
      <c r="D69" s="346"/>
      <c r="E69" s="347"/>
      <c r="F69" s="347"/>
      <c r="G69" s="347"/>
      <c r="H69" s="347"/>
      <c r="I69" s="348">
        <f t="shared" ref="I69:X69" si="19">I67*$D$7</f>
        <v>4036.8294100173885</v>
      </c>
      <c r="J69" s="348">
        <f t="shared" si="19"/>
        <v>4036.8294100173885</v>
      </c>
      <c r="K69" s="348">
        <f t="shared" si="19"/>
        <v>4036.8294100173885</v>
      </c>
      <c r="L69" s="348">
        <f t="shared" si="19"/>
        <v>4879.5020727722031</v>
      </c>
      <c r="M69" s="348">
        <f t="shared" si="19"/>
        <v>4879.5020727722031</v>
      </c>
      <c r="N69" s="348">
        <f t="shared" si="19"/>
        <v>4879.5020727722031</v>
      </c>
      <c r="O69" s="348">
        <f t="shared" si="19"/>
        <v>4879.5020727722031</v>
      </c>
      <c r="P69" s="348">
        <f t="shared" si="19"/>
        <v>4879.5020727722031</v>
      </c>
      <c r="Q69" s="348">
        <f t="shared" si="19"/>
        <v>4879.5020727722031</v>
      </c>
      <c r="R69" s="348">
        <f t="shared" si="19"/>
        <v>4879.5020727722031</v>
      </c>
      <c r="S69" s="348">
        <f t="shared" si="19"/>
        <v>4879.5020727722031</v>
      </c>
      <c r="T69" s="348">
        <f t="shared" si="19"/>
        <v>4879.5020727722031</v>
      </c>
      <c r="U69" s="348">
        <f t="shared" si="19"/>
        <v>4879.5020727722031</v>
      </c>
      <c r="V69" s="348">
        <f t="shared" si="19"/>
        <v>5025.8871349553683</v>
      </c>
      <c r="W69" s="348">
        <f t="shared" si="19"/>
        <v>5025.8871349553683</v>
      </c>
      <c r="X69" s="348">
        <f t="shared" si="19"/>
        <v>5025.8871349553683</v>
      </c>
      <c r="Y69" s="349"/>
      <c r="Z69" s="348">
        <f>SUM(M69:X69)</f>
        <v>58993.180059815924</v>
      </c>
    </row>
    <row r="70" spans="1:26" x14ac:dyDescent="0.3">
      <c r="B70" s="350" t="inlineStr">
        <is>
          <t>Total Payroll</t>
        </is>
      </c>
      <c r="C70" s="350"/>
      <c r="D70" s="351"/>
      <c r="E70" s="352"/>
      <c r="F70" s="352"/>
      <c r="G70" s="352"/>
      <c r="H70" s="352"/>
      <c r="I70" s="353">
        <f t="shared" ref="I70:X70" si="20">SUM(I67:I69)</f>
        <v>62200.328636395643</v>
      </c>
      <c r="J70" s="353">
        <f t="shared" si="20"/>
        <v>62200.328636395643</v>
      </c>
      <c r="K70" s="353">
        <f t="shared" si="20"/>
        <v>62200.328636395643</v>
      </c>
      <c r="L70" s="353">
        <f t="shared" si="20"/>
        <v>75184.408772700015</v>
      </c>
      <c r="M70" s="353">
        <f t="shared" si="20"/>
        <v>75184.408772700015</v>
      </c>
      <c r="N70" s="353">
        <f t="shared" si="20"/>
        <v>75184.408772700015</v>
      </c>
      <c r="O70" s="353">
        <f t="shared" si="20"/>
        <v>75184.408772700015</v>
      </c>
      <c r="P70" s="353">
        <f t="shared" si="20"/>
        <v>75184.408772700015</v>
      </c>
      <c r="Q70" s="353">
        <f t="shared" si="20"/>
        <v>75184.408772700015</v>
      </c>
      <c r="R70" s="353">
        <f t="shared" si="20"/>
        <v>75184.408772700015</v>
      </c>
      <c r="S70" s="353">
        <f t="shared" si="20"/>
        <v>75184.408772700015</v>
      </c>
      <c r="T70" s="353">
        <f t="shared" si="20"/>
        <v>75184.408772700015</v>
      </c>
      <c r="U70" s="353">
        <f t="shared" si="20"/>
        <v>75184.408772700015</v>
      </c>
      <c r="V70" s="353">
        <f t="shared" si="20"/>
        <v>77439.941035881013</v>
      </c>
      <c r="W70" s="353">
        <f t="shared" si="20"/>
        <v>77439.941035881013</v>
      </c>
      <c r="X70" s="353">
        <f t="shared" si="20"/>
        <v>77439.941035881013</v>
      </c>
      <c r="Y70" s="349"/>
      <c r="Z70" s="353">
        <f>SUM(M70:X70)</f>
        <v>908979.50206194329</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29C3EED-BF89-45D0-933E-29D3401BDCD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491124BA-C8B0-4524-B56E-20C8FD579DFE}">
      <formula1>$I$10:$X$10</formula1>
    </dataValidation>
    <dataValidation type="whole" allowBlank="1" showInputMessage="1" showErrorMessage="1" sqref="E51:F51 E65:E66 G41:H66 G35:H39 F58:F66 E58 G14:H33" xr:uid="{51D2D1A4-A965-4B9F-9D02-08F9B92E4906}">
      <formula1>1</formula1>
      <formula2>24</formula2>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FF4B-AD8E-4065-9787-21277B29E30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23" sqref="A23"/>
    </sheetView>
  </sheetViews>
  <sheetFormatPr defaultRowHeight="14.4" x14ac:dyDescent="0.3"/>
  <cols>
    <col min="1" max="1" width="18.10937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ENGINEERING (PE)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3.5714662078943617E-2</v>
      </c>
      <c r="E6" s="297"/>
    </row>
    <row r="7" spans="1:28" x14ac:dyDescent="0.3">
      <c r="B7" s="295" t="inlineStr">
        <is>
          <t>Benefits load (% of salary)</t>
        </is>
      </c>
      <c r="D7" s="298">
        <v>8.8232326796867933E-2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Katie Landers</t>
        </is>
      </c>
      <c r="C14" s="317" t="inlineStr">
        <is>
          <t>Senior Industrial Engineer</t>
        </is>
      </c>
      <c r="D14" s="318">
        <v>148834</v>
      </c>
      <c r="E14" s="319">
        <v>46266</v>
      </c>
      <c r="F14" s="319">
        <v>46722</v>
      </c>
      <c r="G14" s="320">
        <v>0.03</v>
      </c>
      <c r="H14" s="321">
        <f t="shared" ref="H14:H33" si="0">$D$8</f>
        <v>46661</v>
      </c>
      <c r="I14" s="322">
        <f t="shared" ref="I14:X33" si="1">IF(OR($D14="",$E14="",NOT(ISNUMBER($D14))),"",IF(AND($E14&lt;=I$10,IF($F14="",$X$10,$F14)&gt;=I$10),$D14/12*(1+N($G14))^IF(AND(ISNUMBER($H14),I$10&gt;=$H14),1+INT(DATEDIF($H14,I$10,"m")/12),0),0))</f>
        <v>12402.833333333334</v>
      </c>
      <c r="J14" s="322">
        <f t="shared" si="1"/>
        <v>12402.833333333334</v>
      </c>
      <c r="K14" s="322">
        <f t="shared" si="1"/>
        <v>12402.833333333334</v>
      </c>
      <c r="L14" s="322">
        <f t="shared" si="1"/>
        <v>12402.833333333334</v>
      </c>
      <c r="M14" s="323">
        <f t="shared" si="1"/>
        <v>12402.833333333334</v>
      </c>
      <c r="N14" s="322">
        <f t="shared" si="1"/>
        <v>12402.833333333334</v>
      </c>
      <c r="O14" s="322">
        <f t="shared" si="1"/>
        <v>12402.833333333334</v>
      </c>
      <c r="P14" s="322">
        <f t="shared" si="1"/>
        <v>12402.833333333334</v>
      </c>
      <c r="Q14" s="322">
        <f t="shared" si="1"/>
        <v>12402.833333333334</v>
      </c>
      <c r="R14" s="322">
        <f t="shared" si="1"/>
        <v>12402.833333333334</v>
      </c>
      <c r="S14" s="322">
        <f t="shared" si="1"/>
        <v>12402.833333333334</v>
      </c>
      <c r="T14" s="322">
        <f t="shared" si="1"/>
        <v>12402.833333333334</v>
      </c>
      <c r="U14" s="322">
        <f t="shared" si="1"/>
        <v>12402.833333333334</v>
      </c>
      <c r="V14" s="322">
        <f t="shared" si="1"/>
        <v>12774.918333333335</v>
      </c>
      <c r="W14" s="322">
        <f t="shared" si="1"/>
        <v>12774.918333333335</v>
      </c>
      <c r="X14" s="322">
        <f t="shared" si="1"/>
        <v>12774.918333333335</v>
      </c>
      <c r="Y14" s="322"/>
      <c r="Z14" s="322">
        <f>SUM(M14:X14)</f>
        <v>149950.255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Adam Hawkins</t>
        </is>
      </c>
      <c r="C15" s="317" t="inlineStr">
        <is>
          <t>Manufacturing Engineer</t>
        </is>
      </c>
      <c r="D15" s="318">
        <v>92000</v>
      </c>
      <c r="E15" s="319">
        <v>46266</v>
      </c>
      <c r="F15" s="319">
        <v>46722</v>
      </c>
      <c r="G15" s="320">
        <v>0.03</v>
      </c>
      <c r="H15" s="321">
        <f t="shared" si="0"/>
        <v>46661</v>
      </c>
      <c r="I15" s="322">
        <f t="shared" si="1"/>
        <v>7666.666666666667</v>
      </c>
      <c r="J15" s="322">
        <f t="shared" si="1"/>
        <v>7666.666666666667</v>
      </c>
      <c r="K15" s="322">
        <f t="shared" si="1"/>
        <v>7666.666666666667</v>
      </c>
      <c r="L15" s="322">
        <f t="shared" si="1"/>
        <v>7666.666666666667</v>
      </c>
      <c r="M15" s="322">
        <f t="shared" si="1"/>
        <v>7666.666666666667</v>
      </c>
      <c r="N15" s="322">
        <f t="shared" si="1"/>
        <v>7666.666666666667</v>
      </c>
      <c r="O15" s="322">
        <f t="shared" si="1"/>
        <v>7666.666666666667</v>
      </c>
      <c r="P15" s="322">
        <f t="shared" si="1"/>
        <v>7666.666666666667</v>
      </c>
      <c r="Q15" s="322">
        <f t="shared" si="1"/>
        <v>7666.666666666667</v>
      </c>
      <c r="R15" s="322">
        <f t="shared" si="1"/>
        <v>7666.666666666667</v>
      </c>
      <c r="S15" s="322">
        <f t="shared" si="1"/>
        <v>7666.666666666667</v>
      </c>
      <c r="T15" s="322">
        <f t="shared" si="1"/>
        <v>7666.666666666667</v>
      </c>
      <c r="U15" s="322">
        <f t="shared" si="1"/>
        <v>7666.666666666667</v>
      </c>
      <c r="V15" s="322">
        <f t="shared" si="1"/>
        <v>7896.666666666667</v>
      </c>
      <c r="W15" s="322">
        <f t="shared" si="1"/>
        <v>7896.666666666667</v>
      </c>
      <c r="X15" s="322">
        <f t="shared" si="1"/>
        <v>7896.666666666667</v>
      </c>
      <c r="Y15" s="322"/>
      <c r="Z15" s="322">
        <f t="shared" ref="Z15:Z33" si="3">SUM(M15:X15)</f>
        <v>92690.000000000015</v>
      </c>
      <c r="AB15" s="324" t="str">
        <f t="shared" si="2"/>
        <v/>
      </c>
    </row>
    <row r="16" spans="1:28" x14ac:dyDescent="0.3">
      <c r="B16" s="317" t="inlineStr">
        <is>
          <t>Lan Le</t>
        </is>
      </c>
      <c r="C16" s="317" t="inlineStr">
        <is>
          <t>Purchasing Analyst</t>
        </is>
      </c>
      <c r="D16" s="318">
        <v>118125</v>
      </c>
      <c r="E16" s="319">
        <v>46266</v>
      </c>
      <c r="F16" s="319">
        <v>46722</v>
      </c>
      <c r="G16" s="320">
        <v>0.03</v>
      </c>
      <c r="H16" s="321">
        <f t="shared" si="0"/>
        <v>46661</v>
      </c>
      <c r="I16" s="322">
        <f t="shared" si="1"/>
        <v>9843.75</v>
      </c>
      <c r="J16" s="322">
        <f t="shared" si="1"/>
        <v>9843.75</v>
      </c>
      <c r="K16" s="322">
        <f t="shared" si="1"/>
        <v>9843.75</v>
      </c>
      <c r="L16" s="322">
        <f t="shared" si="1"/>
        <v>9843.75</v>
      </c>
      <c r="M16" s="322">
        <f t="shared" si="1"/>
        <v>9843.75</v>
      </c>
      <c r="N16" s="322">
        <f t="shared" si="1"/>
        <v>9843.75</v>
      </c>
      <c r="O16" s="322">
        <f t="shared" si="1"/>
        <v>9843.75</v>
      </c>
      <c r="P16" s="322">
        <f t="shared" si="1"/>
        <v>9843.75</v>
      </c>
      <c r="Q16" s="322">
        <f t="shared" si="1"/>
        <v>9843.75</v>
      </c>
      <c r="R16" s="322">
        <f t="shared" si="1"/>
        <v>9843.75</v>
      </c>
      <c r="S16" s="322">
        <f t="shared" si="1"/>
        <v>9843.75</v>
      </c>
      <c r="T16" s="322">
        <f t="shared" si="1"/>
        <v>9843.75</v>
      </c>
      <c r="U16" s="322">
        <f t="shared" si="1"/>
        <v>9843.75</v>
      </c>
      <c r="V16" s="322">
        <f t="shared" si="1"/>
        <v>10139.0625</v>
      </c>
      <c r="W16" s="322">
        <f t="shared" si="1"/>
        <v>10139.0625</v>
      </c>
      <c r="X16" s="322">
        <f t="shared" si="1"/>
        <v>10139.0625</v>
      </c>
      <c r="Y16" s="322"/>
      <c r="Z16" s="322">
        <f t="shared" si="3"/>
        <v>119010.9375</v>
      </c>
      <c r="AB16" s="324" t="str">
        <f t="shared" si="2"/>
        <v/>
      </c>
    </row>
    <row r="17" spans="1:28" x14ac:dyDescent="0.3">
      <c r="B17" s="317" t="inlineStr">
        <is>
          <t>Marques Reed</t>
        </is>
      </c>
      <c r="C17" s="317" t="inlineStr">
        <is>
          <t>Head of Quality</t>
        </is>
      </c>
      <c r="D17" s="318">
        <v>171039</v>
      </c>
      <c r="E17" s="319">
        <v>46266</v>
      </c>
      <c r="F17" s="319">
        <v>46722</v>
      </c>
      <c r="G17" s="320">
        <v>0.03</v>
      </c>
      <c r="H17" s="321">
        <f t="shared" si="0"/>
        <v>46661</v>
      </c>
      <c r="I17" s="322">
        <f t="shared" si="1"/>
        <v>14253.25</v>
      </c>
      <c r="J17" s="322">
        <f t="shared" si="1"/>
        <v>14253.25</v>
      </c>
      <c r="K17" s="322">
        <f t="shared" si="1"/>
        <v>14253.25</v>
      </c>
      <c r="L17" s="322">
        <f t="shared" si="1"/>
        <v>14253.25</v>
      </c>
      <c r="M17" s="322">
        <f t="shared" si="1"/>
        <v>14253.25</v>
      </c>
      <c r="N17" s="322">
        <f t="shared" si="1"/>
        <v>14253.25</v>
      </c>
      <c r="O17" s="322">
        <f t="shared" si="1"/>
        <v>14253.25</v>
      </c>
      <c r="P17" s="322">
        <f t="shared" si="1"/>
        <v>14253.25</v>
      </c>
      <c r="Q17" s="322">
        <f t="shared" si="1"/>
        <v>14253.25</v>
      </c>
      <c r="R17" s="322">
        <f t="shared" si="1"/>
        <v>14253.25</v>
      </c>
      <c r="S17" s="322">
        <f t="shared" si="1"/>
        <v>14253.25</v>
      </c>
      <c r="T17" s="322">
        <f t="shared" si="1"/>
        <v>14253.25</v>
      </c>
      <c r="U17" s="322">
        <f t="shared" si="1"/>
        <v>14253.25</v>
      </c>
      <c r="V17" s="322">
        <f t="shared" si="1"/>
        <v>14680.8475</v>
      </c>
      <c r="W17" s="322">
        <f t="shared" si="1"/>
        <v>14680.8475</v>
      </c>
      <c r="X17" s="322">
        <f t="shared" si="1"/>
        <v>14680.8475</v>
      </c>
      <c r="Y17" s="322"/>
      <c r="Z17" s="322">
        <f t="shared" si="3"/>
        <v>172321.79250000001</v>
      </c>
      <c r="AB17" s="324" t="str">
        <f t="shared" si="2"/>
        <v/>
      </c>
    </row>
    <row r="18" spans="1:28" x14ac:dyDescent="0.3">
      <c r="B18" s="317" t="inlineStr">
        <is>
          <t>Daniel Broadnax</t>
        </is>
      </c>
      <c r="C18" s="317" t="inlineStr">
        <is>
          <t>Quality Inspector</t>
        </is>
      </c>
      <c r="D18" s="318">
        <v>67317</v>
      </c>
      <c r="E18" s="319">
        <v>46266</v>
      </c>
      <c r="F18" s="319">
        <v>46722</v>
      </c>
      <c r="G18" s="320">
        <v>0.03</v>
      </c>
      <c r="H18" s="321">
        <f t="shared" si="0"/>
        <v>46661</v>
      </c>
      <c r="I18" s="322">
        <f t="shared" si="1"/>
        <v>5609.75</v>
      </c>
      <c r="J18" s="322">
        <f t="shared" si="1"/>
        <v>5609.75</v>
      </c>
      <c r="K18" s="322">
        <f t="shared" si="1"/>
        <v>5609.75</v>
      </c>
      <c r="L18" s="322">
        <f t="shared" si="1"/>
        <v>5609.75</v>
      </c>
      <c r="M18" s="322">
        <f t="shared" si="1"/>
        <v>5609.75</v>
      </c>
      <c r="N18" s="322">
        <f t="shared" si="1"/>
        <v>5609.75</v>
      </c>
      <c r="O18" s="322">
        <f t="shared" si="1"/>
        <v>5609.75</v>
      </c>
      <c r="P18" s="322">
        <f t="shared" si="1"/>
        <v>5609.75</v>
      </c>
      <c r="Q18" s="322">
        <f t="shared" si="1"/>
        <v>5609.75</v>
      </c>
      <c r="R18" s="322">
        <f t="shared" si="1"/>
        <v>5609.75</v>
      </c>
      <c r="S18" s="322">
        <f t="shared" si="1"/>
        <v>5609.75</v>
      </c>
      <c r="T18" s="322">
        <f t="shared" si="1"/>
        <v>5609.75</v>
      </c>
      <c r="U18" s="322">
        <f t="shared" si="1"/>
        <v>5609.75</v>
      </c>
      <c r="V18" s="322">
        <f t="shared" si="1"/>
        <v>5778.0425000000005</v>
      </c>
      <c r="W18" s="322">
        <f t="shared" si="1"/>
        <v>5778.0425000000005</v>
      </c>
      <c r="X18" s="322">
        <f t="shared" si="1"/>
        <v>5778.0425000000005</v>
      </c>
      <c r="Y18" s="322"/>
      <c r="Z18" s="322">
        <f t="shared" si="3"/>
        <v>67821.877500000002</v>
      </c>
      <c r="AB18" s="324" t="str">
        <f t="shared" si="2"/>
        <v/>
      </c>
    </row>
    <row r="19" spans="1:28" x14ac:dyDescent="0.3">
      <c r="B19" s="317" t="inlineStr">
        <is>
          <t>Grant Wilson</t>
        </is>
      </c>
      <c r="C19" s="317" t="inlineStr">
        <is>
          <t>Supply Chain Project Manager</t>
        </is>
      </c>
      <c r="D19" s="318">
        <v>62400</v>
      </c>
      <c r="E19" s="319">
        <v>46266</v>
      </c>
      <c r="F19" s="319">
        <v>46722</v>
      </c>
      <c r="G19" s="320">
        <v>0.03</v>
      </c>
      <c r="H19" s="321">
        <f t="shared" si="0"/>
        <v>46661</v>
      </c>
      <c r="I19" s="322">
        <f t="shared" si="1"/>
        <v>5200</v>
      </c>
      <c r="J19" s="322">
        <f t="shared" si="1"/>
        <v>5200</v>
      </c>
      <c r="K19" s="322">
        <f t="shared" si="1"/>
        <v>5200</v>
      </c>
      <c r="L19" s="322">
        <f t="shared" si="1"/>
        <v>5200</v>
      </c>
      <c r="M19" s="322">
        <f t="shared" si="1"/>
        <v>5200</v>
      </c>
      <c r="N19" s="322">
        <f t="shared" si="1"/>
        <v>5200</v>
      </c>
      <c r="O19" s="322">
        <f t="shared" si="1"/>
        <v>5200</v>
      </c>
      <c r="P19" s="322">
        <f t="shared" si="1"/>
        <v>5200</v>
      </c>
      <c r="Q19" s="322">
        <f t="shared" si="1"/>
        <v>5200</v>
      </c>
      <c r="R19" s="322">
        <f t="shared" si="1"/>
        <v>5200</v>
      </c>
      <c r="S19" s="322">
        <f t="shared" si="1"/>
        <v>5200</v>
      </c>
      <c r="T19" s="322">
        <f t="shared" si="1"/>
        <v>5200</v>
      </c>
      <c r="U19" s="322">
        <f t="shared" si="1"/>
        <v>5200</v>
      </c>
      <c r="V19" s="322">
        <f t="shared" si="1"/>
        <v>5356</v>
      </c>
      <c r="W19" s="322">
        <f t="shared" si="1"/>
        <v>5356</v>
      </c>
      <c r="X19" s="322">
        <f t="shared" si="1"/>
        <v>5356</v>
      </c>
      <c r="Y19" s="322"/>
      <c r="Z19" s="322">
        <f t="shared" si="3"/>
        <v>62868</v>
      </c>
      <c r="AB19" s="324" t="str">
        <f t="shared" si="2"/>
        <v/>
      </c>
    </row>
    <row r="20" spans="1:28" x14ac:dyDescent="0.3">
      <c r="B20" s="317" t="inlineStr">
        <is>
          <t>Stephanie Smith</t>
        </is>
      </c>
      <c r="C20" s="317" t="inlineStr">
        <is>
          <t>Strategic Sourcing Analyst</t>
        </is>
      </c>
      <c r="D20" s="318">
        <v>85280</v>
      </c>
      <c r="E20" s="319">
        <v>46266</v>
      </c>
      <c r="F20" s="319">
        <v>46722</v>
      </c>
      <c r="G20" s="320">
        <v>0.03</v>
      </c>
      <c r="H20" s="321">
        <f t="shared" si="0"/>
        <v>46661</v>
      </c>
      <c r="I20" s="322">
        <f t="shared" si="1"/>
        <v>7106.666666666667</v>
      </c>
      <c r="J20" s="322">
        <f t="shared" si="1"/>
        <v>7106.666666666667</v>
      </c>
      <c r="K20" s="322">
        <f t="shared" si="1"/>
        <v>7106.666666666667</v>
      </c>
      <c r="L20" s="322">
        <f t="shared" si="1"/>
        <v>7106.666666666667</v>
      </c>
      <c r="M20" s="322">
        <f t="shared" si="1"/>
        <v>7106.666666666667</v>
      </c>
      <c r="N20" s="322">
        <f t="shared" si="1"/>
        <v>7106.666666666667</v>
      </c>
      <c r="O20" s="322">
        <f t="shared" si="1"/>
        <v>7106.666666666667</v>
      </c>
      <c r="P20" s="322">
        <f t="shared" si="1"/>
        <v>7106.666666666667</v>
      </c>
      <c r="Q20" s="322">
        <f t="shared" si="1"/>
        <v>7106.666666666667</v>
      </c>
      <c r="R20" s="322">
        <f t="shared" si="1"/>
        <v>7106.666666666667</v>
      </c>
      <c r="S20" s="322">
        <f t="shared" si="1"/>
        <v>7106.666666666667</v>
      </c>
      <c r="T20" s="322">
        <f t="shared" si="1"/>
        <v>7106.666666666667</v>
      </c>
      <c r="U20" s="322">
        <f t="shared" si="1"/>
        <v>7106.666666666667</v>
      </c>
      <c r="V20" s="322">
        <f t="shared" si="1"/>
        <v>7319.8666666666668</v>
      </c>
      <c r="W20" s="322">
        <f t="shared" si="1"/>
        <v>7319.8666666666668</v>
      </c>
      <c r="X20" s="322">
        <f t="shared" ref="X20" si="4">IF(OR($D20="",$E20="",NOT(ISNUMBER($D20))),"",IF(AND($E20&lt;=X$10,IF($F20="",$X$10,$F20)&gt;=X$10),$D20/12*(1+N($G20))^IF(AND(ISNUMBER($H20),X$10&gt;=$H20),1+INT(DATEDIF($H20,X$10,"m")/12),0),0))</f>
        <v>7319.8666666666668</v>
      </c>
      <c r="Y20" s="322"/>
      <c r="Z20" s="322">
        <f t="shared" ref="Z20:Z24" si="5">SUM(M20:X20)</f>
        <v>85919.599999999991</v>
      </c>
      <c r="AB20" s="324" t="str">
        <f t="shared" si="2"/>
        <v/>
      </c>
    </row>
    <row r="21" spans="1:28" x14ac:dyDescent="0.3">
      <c r="B21" s="317" t="inlineStr">
        <is>
          <t>Will Long</t>
        </is>
      </c>
      <c r="C21" s="317" t="inlineStr">
        <is>
          <t>Industrial Engineer</t>
        </is>
      </c>
      <c r="D21" s="318">
        <v>100000</v>
      </c>
      <c r="E21" s="319">
        <v>46266</v>
      </c>
      <c r="F21" s="319">
        <v>46722</v>
      </c>
      <c r="G21" s="320">
        <v>0.03</v>
      </c>
      <c r="H21" s="321">
        <f t="shared" si="0"/>
        <v>46661</v>
      </c>
      <c r="I21" s="322">
        <f t="shared" ref="I21:X24" si="6">IF(OR($D21="",$E21="",NOT(ISNUMBER($D21))),"",IF(AND($E21&lt;=I$10,IF($F21="",$X$10,$F21)&gt;=I$10),$D21/12*(1+N($G21))^IF(AND(ISNUMBER($H21),I$10&gt;=$H21),1+INT(DATEDIF($H21,I$10,"m")/12),0),0))</f>
        <v>8333.3333333333339</v>
      </c>
      <c r="J21" s="322">
        <f t="shared" si="6"/>
        <v>8333.3333333333339</v>
      </c>
      <c r="K21" s="322">
        <f t="shared" si="6"/>
        <v>8333.3333333333339</v>
      </c>
      <c r="L21" s="322">
        <f t="shared" si="6"/>
        <v>8333.3333333333339</v>
      </c>
      <c r="M21" s="322">
        <f t="shared" si="6"/>
        <v>8333.3333333333339</v>
      </c>
      <c r="N21" s="322">
        <f t="shared" si="6"/>
        <v>8333.3333333333339</v>
      </c>
      <c r="O21" s="322">
        <f t="shared" si="6"/>
        <v>8333.3333333333339</v>
      </c>
      <c r="P21" s="322">
        <f t="shared" si="6"/>
        <v>8333.3333333333339</v>
      </c>
      <c r="Q21" s="322">
        <f t="shared" si="6"/>
        <v>8333.3333333333339</v>
      </c>
      <c r="R21" s="322">
        <f t="shared" si="6"/>
        <v>8333.3333333333339</v>
      </c>
      <c r="S21" s="322">
        <f t="shared" si="6"/>
        <v>8333.3333333333339</v>
      </c>
      <c r="T21" s="322">
        <f t="shared" si="6"/>
        <v>8333.3333333333339</v>
      </c>
      <c r="U21" s="322">
        <f t="shared" si="6"/>
        <v>8333.3333333333339</v>
      </c>
      <c r="V21" s="322">
        <f t="shared" si="6"/>
        <v>8583.3333333333339</v>
      </c>
      <c r="W21" s="322">
        <f t="shared" si="6"/>
        <v>8583.3333333333339</v>
      </c>
      <c r="X21" s="322">
        <f t="shared" si="6"/>
        <v>8583.3333333333339</v>
      </c>
      <c r="Y21" s="322"/>
      <c r="Z21" s="322">
        <f t="shared" si="5"/>
        <v>100749.99999999999</v>
      </c>
      <c r="AB21" s="324" t="str">
        <f t="shared" si="2"/>
        <v/>
      </c>
    </row>
    <row r="22" spans="1:28" x14ac:dyDescent="0.3">
      <c r="A22" s="358" t="inlineStr">
        <is>
          <t>transfer?</t>
        </is>
      </c>
      <c r="B22" s="317" t="inlineStr">
        <is>
          <t>Drew Nelson</t>
        </is>
      </c>
      <c r="C22" s="317" t="inlineStr">
        <is>
          <t>Head of Production and Delivery</t>
        </is>
      </c>
      <c r="D22" s="318">
        <v>225000</v>
      </c>
      <c r="E22" s="319">
        <v>46266</v>
      </c>
      <c r="F22" s="319">
        <v>46722</v>
      </c>
      <c r="G22" s="320">
        <v>0.03</v>
      </c>
      <c r="H22" s="321">
        <f t="shared" si="0"/>
        <v>46661</v>
      </c>
      <c r="I22" s="322">
        <f t="shared" si="6"/>
        <v>18750</v>
      </c>
      <c r="J22" s="322">
        <f t="shared" si="6"/>
        <v>18750</v>
      </c>
      <c r="K22" s="322">
        <f t="shared" si="6"/>
        <v>18750</v>
      </c>
      <c r="L22" s="322">
        <f t="shared" si="6"/>
        <v>18750</v>
      </c>
      <c r="M22" s="322">
        <f t="shared" si="6"/>
        <v>18750</v>
      </c>
      <c r="N22" s="322">
        <f t="shared" si="6"/>
        <v>18750</v>
      </c>
      <c r="O22" s="322">
        <f t="shared" si="6"/>
        <v>18750</v>
      </c>
      <c r="P22" s="322">
        <f t="shared" si="6"/>
        <v>18750</v>
      </c>
      <c r="Q22" s="322">
        <f t="shared" si="6"/>
        <v>18750</v>
      </c>
      <c r="R22" s="322">
        <f t="shared" si="6"/>
        <v>18750</v>
      </c>
      <c r="S22" s="322">
        <f t="shared" si="6"/>
        <v>18750</v>
      </c>
      <c r="T22" s="322">
        <f t="shared" si="6"/>
        <v>18750</v>
      </c>
      <c r="U22" s="322">
        <f t="shared" si="6"/>
        <v>18750</v>
      </c>
      <c r="V22" s="322">
        <f t="shared" si="6"/>
        <v>19312.5</v>
      </c>
      <c r="W22" s="322">
        <f t="shared" si="6"/>
        <v>19312.5</v>
      </c>
      <c r="X22" s="322">
        <f t="shared" si="6"/>
        <v>19312.5</v>
      </c>
      <c r="Y22" s="322"/>
      <c r="Z22" s="322">
        <f t="shared" si="5"/>
        <v>226687.5</v>
      </c>
      <c r="AB22" s="324" t="str">
        <f t="shared" si="2"/>
        <v/>
      </c>
    </row>
    <row r="23" spans="1: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1: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1: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1: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1: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89166.25</v>
      </c>
      <c r="J67" s="348">
        <f t="shared" si="17"/>
        <v>89166.25</v>
      </c>
      <c r="K67" s="348">
        <f t="shared" si="17"/>
        <v>89166.25</v>
      </c>
      <c r="L67" s="348">
        <f t="shared" si="17"/>
        <v>89166.25</v>
      </c>
      <c r="M67" s="348">
        <f t="shared" si="17"/>
        <v>89166.25</v>
      </c>
      <c r="N67" s="348">
        <f t="shared" si="17"/>
        <v>89166.25</v>
      </c>
      <c r="O67" s="348">
        <f t="shared" si="17"/>
        <v>89166.25</v>
      </c>
      <c r="P67" s="348">
        <f t="shared" si="17"/>
        <v>89166.25</v>
      </c>
      <c r="Q67" s="348">
        <f t="shared" si="17"/>
        <v>89166.25</v>
      </c>
      <c r="R67" s="348">
        <f t="shared" si="17"/>
        <v>89166.25</v>
      </c>
      <c r="S67" s="348">
        <f t="shared" si="17"/>
        <v>89166.25</v>
      </c>
      <c r="T67" s="348">
        <f t="shared" si="17"/>
        <v>89166.25</v>
      </c>
      <c r="U67" s="348">
        <f t="shared" si="17"/>
        <v>89166.25</v>
      </c>
      <c r="V67" s="348">
        <f t="shared" si="17"/>
        <v>91841.237500000003</v>
      </c>
      <c r="W67" s="348">
        <f t="shared" si="17"/>
        <v>91841.237500000003</v>
      </c>
      <c r="X67" s="348">
        <f t="shared" si="17"/>
        <v>91841.237500000003</v>
      </c>
      <c r="Y67" s="349"/>
      <c r="Z67" s="348">
        <f>SUM(M67:X67)</f>
        <v>1078019.9625000001</v>
      </c>
    </row>
    <row r="68" spans="1:26" x14ac:dyDescent="0.3">
      <c r="B68" s="345" t="inlineStr">
        <is>
          <t>Payroll Taxes</t>
        </is>
      </c>
      <c r="C68" s="345"/>
      <c r="D68" s="346"/>
      <c r="E68" s="347"/>
      <c r="F68" s="347"/>
      <c r="G68" s="347"/>
      <c r="H68" s="347"/>
      <c r="I68" s="348">
        <f t="shared" ref="I68:X68" si="18">I67*$D$6</f>
        <v>3184.5424875966064</v>
      </c>
      <c r="J68" s="348">
        <f t="shared" si="18"/>
        <v>3184.5424875966064</v>
      </c>
      <c r="K68" s="348">
        <f t="shared" si="18"/>
        <v>3184.5424875966064</v>
      </c>
      <c r="L68" s="348">
        <f t="shared" si="18"/>
        <v>3184.5424875966064</v>
      </c>
      <c r="M68" s="348">
        <f t="shared" si="18"/>
        <v>3184.5424875966064</v>
      </c>
      <c r="N68" s="348">
        <f t="shared" si="18"/>
        <v>3184.5424875966064</v>
      </c>
      <c r="O68" s="348">
        <f t="shared" si="18"/>
        <v>3184.5424875966064</v>
      </c>
      <c r="P68" s="348">
        <f t="shared" si="18"/>
        <v>3184.5424875966064</v>
      </c>
      <c r="Q68" s="348">
        <f t="shared" si="18"/>
        <v>3184.5424875966064</v>
      </c>
      <c r="R68" s="348">
        <f t="shared" si="18"/>
        <v>3184.5424875966064</v>
      </c>
      <c r="S68" s="348">
        <f t="shared" si="18"/>
        <v>3184.5424875966064</v>
      </c>
      <c r="T68" s="348">
        <f t="shared" si="18"/>
        <v>3184.5424875966064</v>
      </c>
      <c r="U68" s="348">
        <f t="shared" si="18"/>
        <v>3184.5424875966064</v>
      </c>
      <c r="V68" s="348">
        <f t="shared" si="18"/>
        <v>3280.0787622245048</v>
      </c>
      <c r="W68" s="348">
        <f t="shared" si="18"/>
        <v>3280.0787622245048</v>
      </c>
      <c r="X68" s="348">
        <f t="shared" si="18"/>
        <v>3280.0787622245048</v>
      </c>
      <c r="Y68" s="349"/>
      <c r="Z68" s="348">
        <f>SUM(M68:X68)</f>
        <v>38501.11867504297</v>
      </c>
    </row>
    <row r="69" spans="1:26" x14ac:dyDescent="0.3">
      <c r="B69" s="345" t="inlineStr">
        <is>
          <t>Benefits</t>
        </is>
      </c>
      <c r="C69" s="345"/>
      <c r="D69" s="346"/>
      <c r="E69" s="347"/>
      <c r="F69" s="347"/>
      <c r="G69" s="347"/>
      <c r="H69" s="347"/>
      <c r="I69" s="348">
        <f t="shared" ref="I69:X69" si="19">I67*$D$7</f>
        <v>7867.3457092512253</v>
      </c>
      <c r="J69" s="348">
        <f t="shared" si="19"/>
        <v>7867.3457092512253</v>
      </c>
      <c r="K69" s="348">
        <f t="shared" si="19"/>
        <v>7867.3457092512253</v>
      </c>
      <c r="L69" s="348">
        <f t="shared" si="19"/>
        <v>7867.3457092512253</v>
      </c>
      <c r="M69" s="348">
        <f t="shared" si="19"/>
        <v>7867.3457092512253</v>
      </c>
      <c r="N69" s="348">
        <f t="shared" si="19"/>
        <v>7867.3457092512253</v>
      </c>
      <c r="O69" s="348">
        <f t="shared" si="19"/>
        <v>7867.3457092512253</v>
      </c>
      <c r="P69" s="348">
        <f t="shared" si="19"/>
        <v>7867.3457092512253</v>
      </c>
      <c r="Q69" s="348">
        <f t="shared" si="19"/>
        <v>7867.3457092512253</v>
      </c>
      <c r="R69" s="348">
        <f t="shared" si="19"/>
        <v>7867.3457092512253</v>
      </c>
      <c r="S69" s="348">
        <f t="shared" si="19"/>
        <v>7867.3457092512253</v>
      </c>
      <c r="T69" s="348">
        <f t="shared" si="19"/>
        <v>7867.3457092512253</v>
      </c>
      <c r="U69" s="348">
        <f t="shared" si="19"/>
        <v>7867.3457092512253</v>
      </c>
      <c r="V69" s="348">
        <f t="shared" si="19"/>
        <v>8103.3660805287627</v>
      </c>
      <c r="W69" s="348">
        <f t="shared" si="19"/>
        <v>8103.3660805287627</v>
      </c>
      <c r="X69" s="348">
        <f t="shared" si="19"/>
        <v>8103.3660805287627</v>
      </c>
      <c r="Y69" s="349"/>
      <c r="Z69" s="348">
        <f>SUM(M69:X69)</f>
        <v>95116.209624847324</v>
      </c>
    </row>
    <row r="70" spans="1:26" x14ac:dyDescent="0.3">
      <c r="B70" s="350" t="inlineStr">
        <is>
          <t>Total Payroll</t>
        </is>
      </c>
      <c r="C70" s="350"/>
      <c r="D70" s="351"/>
      <c r="E70" s="352"/>
      <c r="F70" s="352"/>
      <c r="G70" s="352"/>
      <c r="H70" s="352"/>
      <c r="I70" s="353">
        <f t="shared" ref="I70:X70" si="20">SUM(I67:I69)</f>
        <v>100218.13819684784</v>
      </c>
      <c r="J70" s="353">
        <f t="shared" si="20"/>
        <v>100218.13819684784</v>
      </c>
      <c r="K70" s="353">
        <f t="shared" si="20"/>
        <v>100218.13819684784</v>
      </c>
      <c r="L70" s="353">
        <f t="shared" si="20"/>
        <v>100218.13819684784</v>
      </c>
      <c r="M70" s="353">
        <f t="shared" si="20"/>
        <v>100218.13819684784</v>
      </c>
      <c r="N70" s="353">
        <f t="shared" si="20"/>
        <v>100218.13819684784</v>
      </c>
      <c r="O70" s="353">
        <f t="shared" si="20"/>
        <v>100218.13819684784</v>
      </c>
      <c r="P70" s="353">
        <f t="shared" si="20"/>
        <v>100218.13819684784</v>
      </c>
      <c r="Q70" s="353">
        <f t="shared" si="20"/>
        <v>100218.13819684784</v>
      </c>
      <c r="R70" s="353">
        <f t="shared" si="20"/>
        <v>100218.13819684784</v>
      </c>
      <c r="S70" s="353">
        <f t="shared" si="20"/>
        <v>100218.13819684784</v>
      </c>
      <c r="T70" s="353">
        <f t="shared" si="20"/>
        <v>100218.13819684784</v>
      </c>
      <c r="U70" s="353">
        <f t="shared" si="20"/>
        <v>100218.13819684784</v>
      </c>
      <c r="V70" s="353">
        <f t="shared" si="20"/>
        <v>103224.68234275328</v>
      </c>
      <c r="W70" s="353">
        <f t="shared" si="20"/>
        <v>103224.68234275328</v>
      </c>
      <c r="X70" s="353">
        <f t="shared" si="20"/>
        <v>103224.68234275328</v>
      </c>
      <c r="Y70" s="349"/>
      <c r="Z70" s="353">
        <f>SUM(M70:X70)</f>
        <v>1211637.2907998906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3FF910A4-B5F4-400B-AD52-7B6E16D66F9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E41972D3-B485-42D6-B8EB-EC1233C06F60}">
      <formula1>$I$10:$X$10</formula1>
    </dataValidation>
    <dataValidation type="whole" allowBlank="1" showInputMessage="1" showErrorMessage="1" sqref="E51:F51 E65:E66 G41:H66 G35:H39 F58:F66 E58 G14:H33" xr:uid="{1EC4C3CD-5508-40DC-80D4-C52744DD6BA6}">
      <formula1>1</formula1>
      <formula2>24</formula2>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4208-84A8-4364-ACC2-EE6A03462722}">
  <sheetPr>
    <tabColor theme="5" tint="-0.499984740745262"/>
  </sheetPr>
  <dimension ref="A1:Z76"/>
  <sheetViews>
    <sheetView zoomScale="80" zoomScaleNormal="80" workbookViewId="0">
      <pane xSplit="4" ySplit="10" topLeftCell="E11" activePane="bottomRight" state="frozen"/>
      <selection pane="topRight" activeCell="E1" sqref="E1"/>
      <selection pane="bottomLeft" activeCell="A11" sqref="A11"/>
      <selection pane="bottomRight" activeCell="B6" sqref="B6"/>
    </sheetView>
  </sheetViews>
  <sheetFormatPr defaultRowHeight="14.4" x14ac:dyDescent="0.3"/>
  <cols>
    <col min="2" max="2" width="25.109375" customWidth="1"/>
    <col min="3" max="3" width="32.5546875" customWidth="1"/>
    <col min="4" max="4" width="9.109375" customWidth="1"/>
    <col min="5" max="8" width="2.21875" customWidth="1"/>
    <col min="9" max="24" width="12.77734375" customWidth="1"/>
    <col min="25" max="25" width="2.5546875" customWidth="1"/>
    <col min="26" max="26" width="13.77734375" customWidth="1"/>
  </cols>
  <sheetData>
    <row r="1" spans="1:26" ht="18" x14ac:dyDescent="0.35">
      <c r="A1" s="361" t="inlineStr">
        <is>
          <t>Slip Robotics, Inc.</t>
        </is>
      </c>
    </row>
    <row r="2" spans="1:26" ht="15.6" x14ac:dyDescent="0.3">
      <c r="A2" s="362" t="inlineStr">
        <is>
          <t>COO — ORGANIZATION ROLL-UP  |  Sep-2026 → Dec-2027  |  2027 Budget Planning</t>
        </is>
      </c>
    </row>
    <row r="3" spans="1:26" x14ac:dyDescent="0.3">
      <c r="A3" s="363" t="inlineStr">
        <is>
          <t>Rolls up the department tabs in this workbook. All figures are formulas — edit the department tabs, not this one. Transfers between departments net to zero only at the total-company level (Org Total tab).</t>
        </is>
      </c>
    </row>
    <row r="10" spans="1:26" x14ac:dyDescent="0.3">
      <c r="B10" s="364" t="inlineStr">
        <is>
          <t>Dept</t>
        </is>
      </c>
      <c r="C10" s="364" t="inlineStr">
        <is>
          <t>Department Name</t>
        </is>
      </c>
      <c r="D10" s="364" t="inlineStr">
        <is>
          <t>P&amp;L</t>
        </is>
      </c>
      <c r="I10" s="365">
        <f>'HC-PO'!I10</f>
        <v>46266</v>
      </c>
      <c r="J10" s="365">
        <f>'HC-PO'!J10</f>
        <v>46296</v>
      </c>
      <c r="K10" s="365">
        <f>'HC-PO'!K10</f>
        <v>46327</v>
      </c>
      <c r="L10" s="365">
        <f>'HC-PO'!L10</f>
        <v>46357</v>
      </c>
      <c r="M10" s="366">
        <f>'HC-PO'!M10</f>
        <v>46388</v>
      </c>
      <c r="N10" s="366">
        <f>'HC-PO'!N10</f>
        <v>46419</v>
      </c>
      <c r="O10" s="366">
        <f>'HC-PO'!O10</f>
        <v>46447</v>
      </c>
      <c r="P10" s="366">
        <f>'HC-PO'!P10</f>
        <v>46478</v>
      </c>
      <c r="Q10" s="366">
        <f>'HC-PO'!Q10</f>
        <v>46508</v>
      </c>
      <c r="R10" s="366">
        <f>'HC-PO'!R10</f>
        <v>46539</v>
      </c>
      <c r="S10" s="366">
        <f>'HC-PO'!S10</f>
        <v>46569</v>
      </c>
      <c r="T10" s="366">
        <f>'HC-PO'!T10</f>
        <v>46600</v>
      </c>
      <c r="U10" s="366">
        <f>'HC-PO'!U10</f>
        <v>46631</v>
      </c>
      <c r="V10" s="366">
        <f>'HC-PO'!V10</f>
        <v>46661</v>
      </c>
      <c r="W10" s="366">
        <f>'HC-PO'!W10</f>
        <v>46692</v>
      </c>
      <c r="X10" s="366">
        <f>'HC-PO'!X10</f>
        <v>46722</v>
      </c>
      <c r="Z10" s="367" t="inlineStr">
        <is>
          <t>2027 Total</t>
        </is>
      </c>
    </row>
    <row r="11" spans="1:26" x14ac:dyDescent="0.3">
      <c r="I11" s="310">
        <f>'HC-PO'!I11</f>
        <v>1</v>
      </c>
      <c r="J11" s="310">
        <f>'HC-PO'!J11</f>
        <v>2</v>
      </c>
      <c r="K11" s="310">
        <f>'HC-PO'!K11</f>
        <v>3</v>
      </c>
      <c r="L11" s="310">
        <f>'HC-PO'!L11</f>
        <v>4</v>
      </c>
      <c r="M11" s="310">
        <f>'HC-PO'!M11</f>
        <v>5</v>
      </c>
      <c r="N11" s="310">
        <f>'HC-PO'!N11</f>
        <v>6</v>
      </c>
      <c r="O11" s="310">
        <f>'HC-PO'!O11</f>
        <v>7</v>
      </c>
      <c r="P11" s="310">
        <f>'HC-PO'!P11</f>
        <v>8</v>
      </c>
      <c r="Q11" s="310">
        <f>'HC-PO'!Q11</f>
        <v>9</v>
      </c>
      <c r="R11" s="310">
        <f>'HC-PO'!R11</f>
        <v>10</v>
      </c>
      <c r="S11" s="310">
        <f>'HC-PO'!S11</f>
        <v>11</v>
      </c>
      <c r="T11" s="310">
        <f>'HC-PO'!T11</f>
        <v>12</v>
      </c>
      <c r="U11" s="310">
        <f>'HC-PO'!U11</f>
        <v>13</v>
      </c>
      <c r="V11" s="310">
        <f>'HC-PO'!V11</f>
        <v>14</v>
      </c>
      <c r="W11" s="310">
        <f>'HC-PO'!W11</f>
        <v>15</v>
      </c>
      <c r="X11" s="310">
        <f>'HC-PO'!X11</f>
        <v>16</v>
      </c>
    </row>
    <row r="13" spans="1:26" x14ac:dyDescent="0.3">
      <c r="B13" s="316" t="inlineStr">
        <is>
          <t>Total Salaries &amp; Wages</t>
        </is>
      </c>
      <c r="C13" s="316"/>
      <c r="D13" s="316"/>
    </row>
    <row r="14" spans="1:26" x14ac:dyDescent="0.3">
      <c r="B14" t="inlineStr">
        <is>
          <t>PO</t>
        </is>
      </c>
      <c r="C14" t="inlineStr">
        <is>
          <t>Production Operations</t>
        </is>
      </c>
      <c r="D14" t="inlineStr">
        <is>
          <t>COGS</t>
        </is>
      </c>
      <c r="I14" s="368">
        <f>'HC-PO'!I67</f>
        <v>43450</v>
      </c>
      <c r="J14" s="368">
        <f>'HC-PO'!J67</f>
        <v>43450</v>
      </c>
      <c r="K14" s="368">
        <f>'HC-PO'!K67</f>
        <v>43450</v>
      </c>
      <c r="L14" s="368">
        <f>'HC-PO'!L67</f>
        <v>43450</v>
      </c>
      <c r="M14" s="368">
        <f>'HC-PO'!M67</f>
        <v>43450</v>
      </c>
      <c r="N14" s="368">
        <f>'HC-PO'!N67</f>
        <v>43450</v>
      </c>
      <c r="O14" s="368">
        <f>'HC-PO'!O67</f>
        <v>43450</v>
      </c>
      <c r="P14" s="368">
        <f>'HC-PO'!P67</f>
        <v>43450</v>
      </c>
      <c r="Q14" s="368">
        <f>'HC-PO'!Q67</f>
        <v>43450</v>
      </c>
      <c r="R14" s="368">
        <f>'HC-PO'!R67</f>
        <v>43450</v>
      </c>
      <c r="S14" s="368">
        <f>'HC-PO'!S67</f>
        <v>43450</v>
      </c>
      <c r="T14" s="368">
        <f>'HC-PO'!T67</f>
        <v>43450</v>
      </c>
      <c r="U14" s="368">
        <f>'HC-PO'!U67</f>
        <v>43450</v>
      </c>
      <c r="V14" s="368">
        <f>'HC-PO'!V67</f>
        <v>44753.500000000007</v>
      </c>
      <c r="W14" s="368">
        <f>'HC-PO'!W67</f>
        <v>44753.500000000007</v>
      </c>
      <c r="X14" s="368">
        <f>'HC-PO'!X67</f>
        <v>44753.500000000007</v>
      </c>
      <c r="Y14" s="368"/>
      <c r="Z14" s="368">
        <f t="shared" ref="Z14:Z19" si="0">SUM(M14:X14)</f>
        <v>525310.5</v>
      </c>
    </row>
    <row r="15" spans="1:26" x14ac:dyDescent="0.3">
      <c r="B15" t="inlineStr">
        <is>
          <t>FO</t>
        </is>
      </c>
      <c r="C15" t="inlineStr">
        <is>
          <t>Field Operations</t>
        </is>
      </c>
      <c r="D15" t="inlineStr">
        <is>
          <t>COGS</t>
        </is>
      </c>
      <c r="I15" s="368">
        <f>'HC-FO'!I67</f>
        <v>90012.583333333343</v>
      </c>
      <c r="J15" s="368">
        <f>'HC-FO'!J67</f>
        <v>90012.583333333343</v>
      </c>
      <c r="K15" s="368">
        <f>'HC-FO'!K67</f>
        <v>90012.583333333343</v>
      </c>
      <c r="L15" s="368">
        <f>'HC-FO'!L67</f>
        <v>90012.583333333343</v>
      </c>
      <c r="M15" s="368">
        <f>'HC-FO'!M67</f>
        <v>90012.583333333343</v>
      </c>
      <c r="N15" s="368">
        <f>'HC-FO'!N67</f>
        <v>90012.583333333343</v>
      </c>
      <c r="O15" s="368">
        <f>'HC-FO'!O67</f>
        <v>90012.583333333343</v>
      </c>
      <c r="P15" s="368">
        <f>'HC-FO'!P67</f>
        <v>90012.583333333343</v>
      </c>
      <c r="Q15" s="368">
        <f>'HC-FO'!Q67</f>
        <v>90012.583333333343</v>
      </c>
      <c r="R15" s="368">
        <f>'HC-FO'!R67</f>
        <v>90012.583333333343</v>
      </c>
      <c r="S15" s="368">
        <f>'HC-FO'!S67</f>
        <v>90012.583333333343</v>
      </c>
      <c r="T15" s="368">
        <f>'HC-FO'!T67</f>
        <v>90012.583333333343</v>
      </c>
      <c r="U15" s="368">
        <f>'HC-FO'!U67</f>
        <v>90012.583333333343</v>
      </c>
      <c r="V15" s="368">
        <f>'HC-FO'!V67</f>
        <v>92712.960833333345</v>
      </c>
      <c r="W15" s="368">
        <f>'HC-FO'!W67</f>
        <v>92712.960833333345</v>
      </c>
      <c r="X15" s="368">
        <f>'HC-FO'!X67</f>
        <v>92712.960833333345</v>
      </c>
      <c r="Y15" s="368"/>
      <c r="Z15" s="368">
        <f t="shared" si="0"/>
        <v>1088252.1325000003</v>
      </c>
    </row>
    <row r="16" spans="1:26" x14ac:dyDescent="0.3">
      <c r="B16" t="inlineStr">
        <is>
          <t>FE</t>
        </is>
      </c>
      <c r="C16" t="inlineStr">
        <is>
          <t>Field Engineering</t>
        </is>
      </c>
      <c r="D16" t="inlineStr">
        <is>
          <t>SG&amp;A</t>
        </is>
      </c>
      <c r="I16" s="368">
        <f>'HC-FE'!I67</f>
        <v>55889.25</v>
      </c>
      <c r="J16" s="368">
        <f>'HC-FE'!J67</f>
        <v>55889.25</v>
      </c>
      <c r="K16" s="368">
        <f>'HC-FE'!K67</f>
        <v>55889.25</v>
      </c>
      <c r="L16" s="368">
        <f>'HC-FE'!L67</f>
        <v>67555.916666666672</v>
      </c>
      <c r="M16" s="368">
        <f>'HC-FE'!M67</f>
        <v>67555.916666666672</v>
      </c>
      <c r="N16" s="368">
        <f>'HC-FE'!N67</f>
        <v>67555.916666666672</v>
      </c>
      <c r="O16" s="368">
        <f>'HC-FE'!O67</f>
        <v>67555.916666666672</v>
      </c>
      <c r="P16" s="368">
        <f>'HC-FE'!P67</f>
        <v>67555.916666666672</v>
      </c>
      <c r="Q16" s="368">
        <f>'HC-FE'!Q67</f>
        <v>67555.916666666672</v>
      </c>
      <c r="R16" s="368">
        <f>'HC-FE'!R67</f>
        <v>67555.916666666672</v>
      </c>
      <c r="S16" s="368">
        <f>'HC-FE'!S67</f>
        <v>67555.916666666672</v>
      </c>
      <c r="T16" s="368">
        <f>'HC-FE'!T67</f>
        <v>67555.916666666672</v>
      </c>
      <c r="U16" s="368">
        <f>'HC-FE'!U67</f>
        <v>67555.916666666672</v>
      </c>
      <c r="V16" s="368">
        <f>'HC-FE'!V67</f>
        <v>69582.594166666662</v>
      </c>
      <c r="W16" s="368">
        <f>'HC-FE'!W67</f>
        <v>69582.594166666662</v>
      </c>
      <c r="X16" s="368">
        <f>'HC-FE'!X67</f>
        <v>69582.594166666662</v>
      </c>
      <c r="Y16" s="368"/>
      <c r="Z16" s="368">
        <f t="shared" si="0"/>
        <v>816751.03249999986</v>
      </c>
    </row>
    <row r="17" spans="2:26" x14ac:dyDescent="0.3">
      <c r="B17" t="inlineStr">
        <is>
          <t>PE</t>
        </is>
      </c>
      <c r="C17" t="inlineStr">
        <is>
          <t>Production Engineering</t>
        </is>
      </c>
      <c r="D17" t="inlineStr">
        <is>
          <t>SG&amp;A</t>
        </is>
      </c>
      <c r="I17" s="368">
        <f>'HC-PE'!I67</f>
        <v>89166.25</v>
      </c>
      <c r="J17" s="368">
        <f>'HC-PE'!J67</f>
        <v>89166.25</v>
      </c>
      <c r="K17" s="368">
        <f>'HC-PE'!K67</f>
        <v>89166.25</v>
      </c>
      <c r="L17" s="368">
        <f>'HC-PE'!L67</f>
        <v>89166.25</v>
      </c>
      <c r="M17" s="368">
        <f>'HC-PE'!M67</f>
        <v>89166.25</v>
      </c>
      <c r="N17" s="368">
        <f>'HC-PE'!N67</f>
        <v>89166.25</v>
      </c>
      <c r="O17" s="368">
        <f>'HC-PE'!O67</f>
        <v>89166.25</v>
      </c>
      <c r="P17" s="368">
        <f>'HC-PE'!P67</f>
        <v>89166.25</v>
      </c>
      <c r="Q17" s="368">
        <f>'HC-PE'!Q67</f>
        <v>89166.25</v>
      </c>
      <c r="R17" s="368">
        <f>'HC-PE'!R67</f>
        <v>89166.25</v>
      </c>
      <c r="S17" s="368">
        <f>'HC-PE'!S67</f>
        <v>89166.25</v>
      </c>
      <c r="T17" s="368">
        <f>'HC-PE'!T67</f>
        <v>89166.25</v>
      </c>
      <c r="U17" s="368">
        <f>'HC-PE'!U67</f>
        <v>89166.25</v>
      </c>
      <c r="V17" s="368">
        <f>'HC-PE'!V67</f>
        <v>91841.237500000003</v>
      </c>
      <c r="W17" s="368">
        <f>'HC-PE'!W67</f>
        <v>91841.237500000003</v>
      </c>
      <c r="X17" s="368">
        <f>'HC-PE'!X67</f>
        <v>91841.237500000003</v>
      </c>
      <c r="Y17" s="368"/>
      <c r="Z17" s="368">
        <f t="shared" si="0"/>
        <v>1078019.9625000001</v>
      </c>
    </row>
    <row r="18" spans="2:26" x14ac:dyDescent="0.3">
      <c r="B18" t="inlineStr">
        <is>
          <t>CO</t>
        </is>
      </c>
      <c r="C18" t="inlineStr">
        <is>
          <t>Central Operations</t>
        </is>
      </c>
      <c r="D18" t="inlineStr">
        <is>
          <t>SG&amp;A</t>
        </is>
      </c>
      <c r="I18" s="368">
        <f>'HC-CO'!I67</f>
        <v>36209.833333333328</v>
      </c>
      <c r="J18" s="368">
        <f>'HC-CO'!J67</f>
        <v>43709.833333333328</v>
      </c>
      <c r="K18" s="368">
        <f>'HC-CO'!K67</f>
        <v>43709.833333333328</v>
      </c>
      <c r="L18" s="368">
        <f>'HC-CO'!L67</f>
        <v>43709.833333333328</v>
      </c>
      <c r="M18" s="368" t="n">
        <f>'HC-CO'!M67</f>
        <v>52876.5</v>
      </c>
      <c r="N18" s="368" t="n">
        <f>'HC-CO'!N67</f>
        <v>52876.5</v>
      </c>
      <c r="O18" s="368" t="n">
        <f>'HC-CO'!O67</f>
        <v>52876.5</v>
      </c>
      <c r="P18" s="368" t="n">
        <f>'HC-CO'!P67</f>
        <v>52876.5</v>
      </c>
      <c r="Q18" s="368" t="n">
        <f>'HC-CO'!Q67</f>
        <v>52876.5</v>
      </c>
      <c r="R18" s="368" t="n">
        <f>'HC-CO'!R67</f>
        <v>52876.5</v>
      </c>
      <c r="S18" s="368" t="n">
        <f>'HC-CO'!S67</f>
        <v>52876.5</v>
      </c>
      <c r="T18" s="368" t="n">
        <f>'HC-CO'!T67</f>
        <v>52876.5</v>
      </c>
      <c r="U18" s="368" t="n">
        <f>'HC-CO'!U67</f>
        <v>52876.5</v>
      </c>
      <c r="V18" s="368" t="n">
        <f>'HC-CO'!V67</f>
        <v>54462.795</v>
      </c>
      <c r="W18" s="368" t="n">
        <f>'HC-CO'!W67</f>
        <v>54462.795</v>
      </c>
      <c r="X18" s="368" t="n">
        <f>'HC-CO'!X67</f>
        <v>54462.795</v>
      </c>
      <c r="Y18" s="368"/>
      <c r="Z18" s="368" t="n">
        <f t="shared" si="0"/>
        <v>639276.885</v>
      </c>
    </row>
    <row r="19" spans="2:26" x14ac:dyDescent="0.3">
      <c r="B19" s="345" t="inlineStr">
        <is>
          <t>Total Salaries &amp; Wages — COO Total</t>
        </is>
      </c>
      <c r="C19" s="345"/>
      <c r="D19" s="345"/>
      <c r="E19" s="345"/>
      <c r="F19" s="345"/>
      <c r="G19" s="345"/>
      <c r="H19" s="345"/>
      <c r="I19" s="369">
        <f t="shared" ref="I19:X19" si="1">SUM(I14:I18)</f>
        <v>314727.91666666669</v>
      </c>
      <c r="J19" s="369">
        <f t="shared" si="1"/>
        <v>322227.91666666669</v>
      </c>
      <c r="K19" s="369">
        <f t="shared" si="1"/>
        <v>322227.91666666669</v>
      </c>
      <c r="L19" s="369">
        <f t="shared" si="1"/>
        <v>333894.58333333331</v>
      </c>
      <c r="M19" s="369" t="n">
        <f t="shared" si="1"/>
        <v>343061.25</v>
      </c>
      <c r="N19" s="369" t="n">
        <f t="shared" si="1"/>
        <v>343061.25</v>
      </c>
      <c r="O19" s="369" t="n">
        <f t="shared" si="1"/>
        <v>343061.25</v>
      </c>
      <c r="P19" s="369" t="n">
        <f t="shared" si="1"/>
        <v>343061.25</v>
      </c>
      <c r="Q19" s="369" t="n">
        <f t="shared" si="1"/>
        <v>343061.25</v>
      </c>
      <c r="R19" s="369" t="n">
        <f t="shared" si="1"/>
        <v>343061.25</v>
      </c>
      <c r="S19" s="369" t="n">
        <f t="shared" si="1"/>
        <v>343061.25</v>
      </c>
      <c r="T19" s="369" t="n">
        <f t="shared" si="1"/>
        <v>343061.25</v>
      </c>
      <c r="U19" s="369" t="n">
        <f t="shared" si="1"/>
        <v>343061.25</v>
      </c>
      <c r="V19" s="369" t="n">
        <f t="shared" si="1"/>
        <v>353353.0875</v>
      </c>
      <c r="W19" s="369" t="n">
        <f t="shared" si="1"/>
        <v>353353.0875</v>
      </c>
      <c r="X19" s="369" t="n">
        <f t="shared" si="1"/>
        <v>353353.0875</v>
      </c>
      <c r="Y19" s="369"/>
      <c r="Z19" s="369" t="n">
        <f t="shared" si="0"/>
        <v>4147610.5125</v>
      </c>
    </row>
    <row r="21" spans="2:26" x14ac:dyDescent="0.3">
      <c r="B21" s="316" t="inlineStr">
        <is>
          <t>Payroll Taxes</t>
        </is>
      </c>
      <c r="C21" s="316"/>
      <c r="D21" s="316"/>
    </row>
    <row r="22" spans="2:26" x14ac:dyDescent="0.3">
      <c r="B22" t="inlineStr">
        <is>
          <t>PO</t>
        </is>
      </c>
      <c r="C22" t="inlineStr">
        <is>
          <t>Production Operations</t>
        </is>
      </c>
      <c r="D22" t="inlineStr">
        <is>
          <t>COGS</t>
        </is>
      </c>
      <c r="I22" s="368">
        <f>'HC-PO'!I68</f>
        <v>1580.2285696279405</v>
      </c>
      <c r="J22" s="368">
        <f>'HC-PO'!J68</f>
        <v>1580.2285696279405</v>
      </c>
      <c r="K22" s="368">
        <f>'HC-PO'!K68</f>
        <v>1580.2285696279405</v>
      </c>
      <c r="L22" s="368">
        <f>'HC-PO'!L68</f>
        <v>1580.2285696279405</v>
      </c>
      <c r="M22" s="368">
        <f>'HC-PO'!M68</f>
        <v>1580.2285696279405</v>
      </c>
      <c r="N22" s="368">
        <f>'HC-PO'!N68</f>
        <v>1580.2285696279405</v>
      </c>
      <c r="O22" s="368">
        <f>'HC-PO'!O68</f>
        <v>1580.2285696279405</v>
      </c>
      <c r="P22" s="368">
        <f>'HC-PO'!P68</f>
        <v>1580.2285696279405</v>
      </c>
      <c r="Q22" s="368">
        <f>'HC-PO'!Q68</f>
        <v>1580.2285696279405</v>
      </c>
      <c r="R22" s="368">
        <f>'HC-PO'!R68</f>
        <v>1580.2285696279405</v>
      </c>
      <c r="S22" s="368">
        <f>'HC-PO'!S68</f>
        <v>1580.2285696279405</v>
      </c>
      <c r="T22" s="368">
        <f>'HC-PO'!T68</f>
        <v>1580.2285696279405</v>
      </c>
      <c r="U22" s="368">
        <f>'HC-PO'!U68</f>
        <v>1580.2285696279405</v>
      </c>
      <c r="V22" s="368">
        <f>'HC-PO'!V68</f>
        <v>1627.635426716779</v>
      </c>
      <c r="W22" s="368">
        <f>'HC-PO'!W68</f>
        <v>1627.635426716779</v>
      </c>
      <c r="X22" s="368">
        <f>'HC-PO'!X68</f>
        <v>1627.635426716779</v>
      </c>
      <c r="Y22" s="368"/>
      <c r="Z22" s="368">
        <f t="shared" ref="Z22:Z27" si="2">SUM(M22:X22)</f>
        <v>19104.963406801799</v>
      </c>
    </row>
    <row r="23" spans="2:26" x14ac:dyDescent="0.3">
      <c r="B23" t="inlineStr">
        <is>
          <t>FO</t>
        </is>
      </c>
      <c r="C23" t="inlineStr">
        <is>
          <t>Field Operations</t>
        </is>
      </c>
      <c r="D23" t="inlineStr">
        <is>
          <t>COGS</t>
        </is>
      </c>
      <c r="I23" s="368">
        <f>'HC-FO'!I68</f>
        <v>6163.2433510037235</v>
      </c>
      <c r="J23" s="368">
        <f>'HC-FO'!J68</f>
        <v>6163.2433510037235</v>
      </c>
      <c r="K23" s="368">
        <f>'HC-FO'!K68</f>
        <v>6163.2433510037235</v>
      </c>
      <c r="L23" s="368">
        <f>'HC-FO'!L68</f>
        <v>6163.2433510037235</v>
      </c>
      <c r="M23" s="368">
        <f>'HC-FO'!M68</f>
        <v>6163.2433510037235</v>
      </c>
      <c r="N23" s="368">
        <f>'HC-FO'!N68</f>
        <v>6163.2433510037235</v>
      </c>
      <c r="O23" s="368">
        <f>'HC-FO'!O68</f>
        <v>6163.2433510037235</v>
      </c>
      <c r="P23" s="368">
        <f>'HC-FO'!P68</f>
        <v>6163.2433510037235</v>
      </c>
      <c r="Q23" s="368">
        <f>'HC-FO'!Q68</f>
        <v>6163.2433510037235</v>
      </c>
      <c r="R23" s="368">
        <f>'HC-FO'!R68</f>
        <v>6163.2433510037235</v>
      </c>
      <c r="S23" s="368">
        <f>'HC-FO'!S68</f>
        <v>6163.2433510037235</v>
      </c>
      <c r="T23" s="368">
        <f>'HC-FO'!T68</f>
        <v>6163.2433510037235</v>
      </c>
      <c r="U23" s="368">
        <f>'HC-FO'!U68</f>
        <v>6163.2433510037235</v>
      </c>
      <c r="V23" s="368">
        <f>'HC-FO'!V68</f>
        <v>6348.1406515338349</v>
      </c>
      <c r="W23" s="368">
        <f>'HC-FO'!W68</f>
        <v>6348.1406515338349</v>
      </c>
      <c r="X23" s="368">
        <f>'HC-FO'!X68</f>
        <v>6348.1406515338349</v>
      </c>
      <c r="Y23" s="368"/>
      <c r="Z23" s="368">
        <f t="shared" si="2"/>
        <v>74513.612113635012</v>
      </c>
    </row>
    <row r="24" spans="2:26" x14ac:dyDescent="0.3">
      <c r="B24" t="inlineStr">
        <is>
          <t>FE</t>
        </is>
      </c>
      <c r="C24" t="inlineStr">
        <is>
          <t>Field Engineering</t>
        </is>
      </c>
      <c r="D24" t="inlineStr">
        <is>
          <t>SG&amp;A</t>
        </is>
      </c>
      <c r="I24" s="368">
        <f>'HC-FE'!I68</f>
        <v>2274.249226378256</v>
      </c>
      <c r="J24" s="368">
        <f>'HC-FE'!J68</f>
        <v>2274.249226378256</v>
      </c>
      <c r="K24" s="368">
        <f>'HC-FE'!K68</f>
        <v>2274.249226378256</v>
      </c>
      <c r="L24" s="368">
        <f>'HC-FE'!L68</f>
        <v>2748.9900332611483</v>
      </c>
      <c r="M24" s="368">
        <f>'HC-FE'!M68</f>
        <v>2748.9900332611483</v>
      </c>
      <c r="N24" s="368">
        <f>'HC-FE'!N68</f>
        <v>2748.9900332611483</v>
      </c>
      <c r="O24" s="368">
        <f>'HC-FE'!O68</f>
        <v>2748.9900332611483</v>
      </c>
      <c r="P24" s="368">
        <f>'HC-FE'!P68</f>
        <v>2748.9900332611483</v>
      </c>
      <c r="Q24" s="368">
        <f>'HC-FE'!Q68</f>
        <v>2748.9900332611483</v>
      </c>
      <c r="R24" s="368">
        <f>'HC-FE'!R68</f>
        <v>2748.9900332611483</v>
      </c>
      <c r="S24" s="368">
        <f>'HC-FE'!S68</f>
        <v>2748.9900332611483</v>
      </c>
      <c r="T24" s="368">
        <f>'HC-FE'!T68</f>
        <v>2748.9900332611483</v>
      </c>
      <c r="U24" s="368">
        <f>'HC-FE'!U68</f>
        <v>2748.9900332611483</v>
      </c>
      <c r="V24" s="368">
        <f>'HC-FE'!V68</f>
        <v>2831.4597342589823</v>
      </c>
      <c r="W24" s="368">
        <f>'HC-FE'!W68</f>
        <v>2831.4597342589823</v>
      </c>
      <c r="X24" s="368">
        <f>'HC-FE'!X68</f>
        <v>2831.4597342589823</v>
      </c>
      <c r="Y24" s="368"/>
      <c r="Z24" s="368">
        <f t="shared" si="2"/>
        <v>33235.289502127278</v>
      </c>
    </row>
    <row r="25" spans="2:26" x14ac:dyDescent="0.3">
      <c r="B25" t="inlineStr">
        <is>
          <t>PE</t>
        </is>
      </c>
      <c r="C25" t="inlineStr">
        <is>
          <t>Production Engineering</t>
        </is>
      </c>
      <c r="D25" t="inlineStr">
        <is>
          <t>SG&amp;A</t>
        </is>
      </c>
      <c r="I25" s="368">
        <f>'HC-PE'!I68</f>
        <v>3184.5424875966064</v>
      </c>
      <c r="J25" s="368">
        <f>'HC-PE'!J68</f>
        <v>3184.5424875966064</v>
      </c>
      <c r="K25" s="368">
        <f>'HC-PE'!K68</f>
        <v>3184.5424875966064</v>
      </c>
      <c r="L25" s="368">
        <f>'HC-PE'!L68</f>
        <v>3184.5424875966064</v>
      </c>
      <c r="M25" s="368">
        <f>'HC-PE'!M68</f>
        <v>3184.5424875966064</v>
      </c>
      <c r="N25" s="368">
        <f>'HC-PE'!N68</f>
        <v>3184.5424875966064</v>
      </c>
      <c r="O25" s="368">
        <f>'HC-PE'!O68</f>
        <v>3184.5424875966064</v>
      </c>
      <c r="P25" s="368">
        <f>'HC-PE'!P68</f>
        <v>3184.5424875966064</v>
      </c>
      <c r="Q25" s="368">
        <f>'HC-PE'!Q68</f>
        <v>3184.5424875966064</v>
      </c>
      <c r="R25" s="368">
        <f>'HC-PE'!R68</f>
        <v>3184.5424875966064</v>
      </c>
      <c r="S25" s="368">
        <f>'HC-PE'!S68</f>
        <v>3184.5424875966064</v>
      </c>
      <c r="T25" s="368">
        <f>'HC-PE'!T68</f>
        <v>3184.5424875966064</v>
      </c>
      <c r="U25" s="368">
        <f>'HC-PE'!U68</f>
        <v>3184.5424875966064</v>
      </c>
      <c r="V25" s="368">
        <f>'HC-PE'!V68</f>
        <v>3280.0787622245048</v>
      </c>
      <c r="W25" s="368">
        <f>'HC-PE'!W68</f>
        <v>3280.0787622245048</v>
      </c>
      <c r="X25" s="368">
        <f>'HC-PE'!X68</f>
        <v>3280.0787622245048</v>
      </c>
      <c r="Y25" s="368"/>
      <c r="Z25" s="368">
        <f t="shared" si="2"/>
        <v>38501.11867504297</v>
      </c>
    </row>
    <row r="26" spans="2:26" x14ac:dyDescent="0.3">
      <c r="B26" t="inlineStr">
        <is>
          <t>CO</t>
        </is>
      </c>
      <c r="C26" t="inlineStr">
        <is>
          <t>Central Operations</t>
        </is>
      </c>
      <c r="D26" t="inlineStr">
        <is>
          <t>SG&amp;A</t>
        </is>
      </c>
      <c r="I26" s="368">
        <f>'HC-CO'!I68</f>
        <v>1890.6805448176337</v>
      </c>
      <c r="J26" s="368">
        <f>'HC-CO'!J68</f>
        <v>2282.289750957741</v>
      </c>
      <c r="K26" s="368">
        <f>'HC-CO'!K68</f>
        <v>2282.289750957741</v>
      </c>
      <c r="L26" s="368">
        <f>'HC-CO'!L68</f>
        <v>2282.289750957741</v>
      </c>
      <c r="M26" s="368" t="n">
        <f>'HC-CO'!M68</f>
        <v>2760.92322512898</v>
      </c>
      <c r="N26" s="368" t="n">
        <f>'HC-CO'!N68</f>
        <v>2760.92322512898</v>
      </c>
      <c r="O26" s="368" t="n">
        <f>'HC-CO'!O68</f>
        <v>2760.92322512898</v>
      </c>
      <c r="P26" s="368" t="n">
        <f>'HC-CO'!P68</f>
        <v>2760.92322512898</v>
      </c>
      <c r="Q26" s="368" t="n">
        <f>'HC-CO'!Q68</f>
        <v>2760.92322512898</v>
      </c>
      <c r="R26" s="368" t="n">
        <f>'HC-CO'!R68</f>
        <v>2760.92322512898</v>
      </c>
      <c r="S26" s="368" t="n">
        <f>'HC-CO'!S68</f>
        <v>2760.92322512898</v>
      </c>
      <c r="T26" s="368" t="n">
        <f>'HC-CO'!T68</f>
        <v>2760.92322512898</v>
      </c>
      <c r="U26" s="368" t="n">
        <f>'HC-CO'!U68</f>
        <v>2760.92322512898</v>
      </c>
      <c r="V26" s="368" t="n">
        <f>'HC-CO'!V68</f>
        <v>2843.75092188285</v>
      </c>
      <c r="W26" s="368" t="n">
        <f>'HC-CO'!W68</f>
        <v>2843.75092188285</v>
      </c>
      <c r="X26" s="368" t="n">
        <f>'HC-CO'!X68</f>
        <v>2843.75092188285</v>
      </c>
      <c r="Y26" s="368"/>
      <c r="Z26" s="368" t="n">
        <f t="shared" si="2"/>
        <v>33379.5617918094</v>
      </c>
    </row>
    <row r="27" spans="2:26" x14ac:dyDescent="0.3">
      <c r="B27" s="345" t="inlineStr">
        <is>
          <t>Payroll Taxes — COO Total</t>
        </is>
      </c>
      <c r="C27" s="345"/>
      <c r="D27" s="345"/>
      <c r="E27" s="345"/>
      <c r="F27" s="345"/>
      <c r="G27" s="345"/>
      <c r="H27" s="345"/>
      <c r="I27" s="369">
        <f t="shared" ref="I27:X27" si="3">SUM(I22:I26)</f>
        <v>15092.944179424161</v>
      </c>
      <c r="J27" s="369">
        <f t="shared" si="3"/>
        <v>15484.553385564268</v>
      </c>
      <c r="K27" s="369">
        <f t="shared" si="3"/>
        <v>15484.553385564268</v>
      </c>
      <c r="L27" s="369">
        <f t="shared" si="3"/>
        <v>15959.29419244716</v>
      </c>
      <c r="M27" s="369" t="n">
        <f t="shared" si="3"/>
        <v>16437.9276666184</v>
      </c>
      <c r="N27" s="369" t="n">
        <f t="shared" si="3"/>
        <v>16437.9276666184</v>
      </c>
      <c r="O27" s="369" t="n">
        <f t="shared" si="3"/>
        <v>16437.9276666184</v>
      </c>
      <c r="P27" s="369" t="n">
        <f t="shared" si="3"/>
        <v>16437.9276666184</v>
      </c>
      <c r="Q27" s="369" t="n">
        <f t="shared" si="3"/>
        <v>16437.9276666184</v>
      </c>
      <c r="R27" s="369" t="n">
        <f t="shared" si="3"/>
        <v>16437.9276666184</v>
      </c>
      <c r="S27" s="369" t="n">
        <f t="shared" si="3"/>
        <v>16437.9276666184</v>
      </c>
      <c r="T27" s="369" t="n">
        <f t="shared" si="3"/>
        <v>16437.9276666184</v>
      </c>
      <c r="U27" s="369" t="n">
        <f t="shared" si="3"/>
        <v>16437.9276666184</v>
      </c>
      <c r="V27" s="369" t="n">
        <f t="shared" si="3"/>
        <v>16931.065496617</v>
      </c>
      <c r="W27" s="369" t="n">
        <f t="shared" si="3"/>
        <v>16931.065496617</v>
      </c>
      <c r="X27" s="369" t="n">
        <f t="shared" si="3"/>
        <v>16931.065496617</v>
      </c>
      <c r="Y27" s="369"/>
      <c r="Z27" s="369" t="n">
        <f t="shared" si="2"/>
        <v>198734.545489416</v>
      </c>
    </row>
    <row r="29" spans="2:26" x14ac:dyDescent="0.3">
      <c r="B29" s="316" t="inlineStr">
        <is>
          <t>Benefits</t>
        </is>
      </c>
      <c r="C29" s="316"/>
      <c r="D29" s="316"/>
    </row>
    <row r="30" spans="2:26" x14ac:dyDescent="0.3">
      <c r="B30" t="inlineStr">
        <is>
          <t>PO</t>
        </is>
      </c>
      <c r="C30" t="inlineStr">
        <is>
          <t>Production Operations</t>
        </is>
      </c>
      <c r="D30" t="inlineStr">
        <is>
          <t>COGS</t>
        </is>
      </c>
      <c r="I30" s="368">
        <f>'HC-PO'!I69</f>
        <v>8966.4587509947323</v>
      </c>
      <c r="J30" s="368">
        <f>'HC-PO'!J69</f>
        <v>8966.4587509947323</v>
      </c>
      <c r="K30" s="368">
        <f>'HC-PO'!K69</f>
        <v>8966.4587509947323</v>
      </c>
      <c r="L30" s="368">
        <f>'HC-PO'!L69</f>
        <v>8966.4587509947323</v>
      </c>
      <c r="M30" s="368">
        <f>'HC-PO'!M69</f>
        <v>8966.4587509947323</v>
      </c>
      <c r="N30" s="368">
        <f>'HC-PO'!N69</f>
        <v>8966.4587509947323</v>
      </c>
      <c r="O30" s="368">
        <f>'HC-PO'!O69</f>
        <v>8966.4587509947323</v>
      </c>
      <c r="P30" s="368">
        <f>'HC-PO'!P69</f>
        <v>8966.4587509947323</v>
      </c>
      <c r="Q30" s="368">
        <f>'HC-PO'!Q69</f>
        <v>8966.4587509947323</v>
      </c>
      <c r="R30" s="368">
        <f>'HC-PO'!R69</f>
        <v>8966.4587509947323</v>
      </c>
      <c r="S30" s="368">
        <f>'HC-PO'!S69</f>
        <v>8966.4587509947323</v>
      </c>
      <c r="T30" s="368">
        <f>'HC-PO'!T69</f>
        <v>8966.4587509947323</v>
      </c>
      <c r="U30" s="368">
        <f>'HC-PO'!U69</f>
        <v>8966.4587509947323</v>
      </c>
      <c r="V30" s="368">
        <f>'HC-PO'!V69</f>
        <v>9235.4525135245767</v>
      </c>
      <c r="W30" s="368">
        <f>'HC-PO'!W69</f>
        <v>9235.4525135245767</v>
      </c>
      <c r="X30" s="368">
        <f>'HC-PO'!X69</f>
        <v>9235.4525135245767</v>
      </c>
      <c r="Y30" s="368"/>
      <c r="Z30" s="368">
        <f t="shared" ref="Z30:Z35" si="4">SUM(M30:X30)</f>
        <v>108404.48629952632</v>
      </c>
    </row>
    <row r="31" spans="2:26" x14ac:dyDescent="0.3">
      <c r="B31" t="inlineStr">
        <is>
          <t>FO</t>
        </is>
      </c>
      <c r="C31" t="inlineStr">
        <is>
          <t>Field Operations</t>
        </is>
      </c>
      <c r="D31" t="inlineStr">
        <is>
          <t>COGS</t>
        </is>
      </c>
      <c r="I31" s="368">
        <f>'HC-FO'!I69</f>
        <v>14766.898018835556</v>
      </c>
      <c r="J31" s="368">
        <f>'HC-FO'!J69</f>
        <v>14766.898018835556</v>
      </c>
      <c r="K31" s="368">
        <f>'HC-FO'!K69</f>
        <v>14766.898018835556</v>
      </c>
      <c r="L31" s="368">
        <f>'HC-FO'!L69</f>
        <v>14766.898018835556</v>
      </c>
      <c r="M31" s="368">
        <f>'HC-FO'!M69</f>
        <v>14766.898018835556</v>
      </c>
      <c r="N31" s="368">
        <f>'HC-FO'!N69</f>
        <v>14766.898018835556</v>
      </c>
      <c r="O31" s="368">
        <f>'HC-FO'!O69</f>
        <v>14766.898018835556</v>
      </c>
      <c r="P31" s="368">
        <f>'HC-FO'!P69</f>
        <v>14766.898018835556</v>
      </c>
      <c r="Q31" s="368">
        <f>'HC-FO'!Q69</f>
        <v>14766.898018835556</v>
      </c>
      <c r="R31" s="368">
        <f>'HC-FO'!R69</f>
        <v>14766.898018835556</v>
      </c>
      <c r="S31" s="368">
        <f>'HC-FO'!S69</f>
        <v>14766.898018835556</v>
      </c>
      <c r="T31" s="368">
        <f>'HC-FO'!T69</f>
        <v>14766.898018835556</v>
      </c>
      <c r="U31" s="368">
        <f>'HC-FO'!U69</f>
        <v>14766.898018835556</v>
      </c>
      <c r="V31" s="368">
        <f>'HC-FO'!V69</f>
        <v>15209.904959400623</v>
      </c>
      <c r="W31" s="368">
        <f>'HC-FO'!W69</f>
        <v>15209.904959400623</v>
      </c>
      <c r="X31" s="368">
        <f>'HC-FO'!X69</f>
        <v>15209.904959400623</v>
      </c>
      <c r="Y31" s="368"/>
      <c r="Z31" s="368">
        <f t="shared" si="4"/>
        <v>178531.79704772183</v>
      </c>
    </row>
    <row r="32" spans="2:26" x14ac:dyDescent="0.3">
      <c r="B32" t="inlineStr">
        <is>
          <t>FE</t>
        </is>
      </c>
      <c r="C32" t="inlineStr">
        <is>
          <t>Field Engineering</t>
        </is>
      </c>
      <c r="D32" t="inlineStr">
        <is>
          <t>SG&amp;A</t>
        </is>
      </c>
      <c r="I32" s="368">
        <f>'HC-FE'!I69</f>
        <v>4036.8294100173885</v>
      </c>
      <c r="J32" s="368">
        <f>'HC-FE'!J69</f>
        <v>4036.8294100173885</v>
      </c>
      <c r="K32" s="368">
        <f>'HC-FE'!K69</f>
        <v>4036.8294100173885</v>
      </c>
      <c r="L32" s="368">
        <f>'HC-FE'!L69</f>
        <v>4879.5020727722031</v>
      </c>
      <c r="M32" s="368">
        <f>'HC-FE'!M69</f>
        <v>4879.5020727722031</v>
      </c>
      <c r="N32" s="368">
        <f>'HC-FE'!N69</f>
        <v>4879.5020727722031</v>
      </c>
      <c r="O32" s="368">
        <f>'HC-FE'!O69</f>
        <v>4879.5020727722031</v>
      </c>
      <c r="P32" s="368">
        <f>'HC-FE'!P69</f>
        <v>4879.5020727722031</v>
      </c>
      <c r="Q32" s="368">
        <f>'HC-FE'!Q69</f>
        <v>4879.5020727722031</v>
      </c>
      <c r="R32" s="368">
        <f>'HC-FE'!R69</f>
        <v>4879.5020727722031</v>
      </c>
      <c r="S32" s="368">
        <f>'HC-FE'!S69</f>
        <v>4879.5020727722031</v>
      </c>
      <c r="T32" s="368">
        <f>'HC-FE'!T69</f>
        <v>4879.5020727722031</v>
      </c>
      <c r="U32" s="368">
        <f>'HC-FE'!U69</f>
        <v>4879.5020727722031</v>
      </c>
      <c r="V32" s="368">
        <f>'HC-FE'!V69</f>
        <v>5025.8871349553683</v>
      </c>
      <c r="W32" s="368">
        <f>'HC-FE'!W69</f>
        <v>5025.8871349553683</v>
      </c>
      <c r="X32" s="368">
        <f>'HC-FE'!X69</f>
        <v>5025.8871349553683</v>
      </c>
      <c r="Y32" s="368"/>
      <c r="Z32" s="368">
        <f t="shared" si="4"/>
        <v>58993.180059815924</v>
      </c>
    </row>
    <row r="33" spans="2:26" x14ac:dyDescent="0.3">
      <c r="B33" t="inlineStr">
        <is>
          <t>PE</t>
        </is>
      </c>
      <c r="C33" t="inlineStr">
        <is>
          <t>Production Engineering</t>
        </is>
      </c>
      <c r="D33" t="inlineStr">
        <is>
          <t>SG&amp;A</t>
        </is>
      </c>
      <c r="I33" s="368">
        <f>'HC-PE'!I69</f>
        <v>7867.3457092512253</v>
      </c>
      <c r="J33" s="368">
        <f>'HC-PE'!J69</f>
        <v>7867.3457092512253</v>
      </c>
      <c r="K33" s="368">
        <f>'HC-PE'!K69</f>
        <v>7867.3457092512253</v>
      </c>
      <c r="L33" s="368">
        <f>'HC-PE'!L69</f>
        <v>7867.3457092512253</v>
      </c>
      <c r="M33" s="368">
        <f>'HC-PE'!M69</f>
        <v>7867.3457092512253</v>
      </c>
      <c r="N33" s="368">
        <f>'HC-PE'!N69</f>
        <v>7867.3457092512253</v>
      </c>
      <c r="O33" s="368">
        <f>'HC-PE'!O69</f>
        <v>7867.3457092512253</v>
      </c>
      <c r="P33" s="368">
        <f>'HC-PE'!P69</f>
        <v>7867.3457092512253</v>
      </c>
      <c r="Q33" s="368">
        <f>'HC-PE'!Q69</f>
        <v>7867.3457092512253</v>
      </c>
      <c r="R33" s="368">
        <f>'HC-PE'!R69</f>
        <v>7867.3457092512253</v>
      </c>
      <c r="S33" s="368">
        <f>'HC-PE'!S69</f>
        <v>7867.3457092512253</v>
      </c>
      <c r="T33" s="368">
        <f>'HC-PE'!T69</f>
        <v>7867.3457092512253</v>
      </c>
      <c r="U33" s="368">
        <f>'HC-PE'!U69</f>
        <v>7867.3457092512253</v>
      </c>
      <c r="V33" s="368">
        <f>'HC-PE'!V69</f>
        <v>8103.3660805287627</v>
      </c>
      <c r="W33" s="368">
        <f>'HC-PE'!W69</f>
        <v>8103.3660805287627</v>
      </c>
      <c r="X33" s="368">
        <f>'HC-PE'!X69</f>
        <v>8103.3660805287627</v>
      </c>
      <c r="Y33" s="368"/>
      <c r="Z33" s="368">
        <f t="shared" si="4"/>
        <v>95116.209624847324</v>
      </c>
    </row>
    <row r="34" spans="2:26" x14ac:dyDescent="0.3">
      <c r="B34" t="inlineStr">
        <is>
          <t>CO</t>
        </is>
      </c>
      <c r="C34" t="inlineStr">
        <is>
          <t>Central Operations</t>
        </is>
      </c>
      <c r="D34" t="inlineStr">
        <is>
          <t>SG&amp;A</t>
        </is>
      </c>
      <c r="I34" s="368">
        <f>'HC-CO'!I69</f>
        <v>4311.0722692404561</v>
      </c>
      <c r="J34" s="368">
        <f>'HC-CO'!J69</f>
        <v>5204.0076694578029</v>
      </c>
      <c r="K34" s="368">
        <f>'HC-CO'!K69</f>
        <v>5204.0076694578029</v>
      </c>
      <c r="L34" s="368">
        <f>'HC-CO'!L69</f>
        <v>5204.0076694578029</v>
      </c>
      <c r="M34" s="368" t="n">
        <f>'HC-CO'!M69</f>
        <v>6295.37315861234</v>
      </c>
      <c r="N34" s="368" t="n">
        <f>'HC-CO'!N69</f>
        <v>6295.37315861234</v>
      </c>
      <c r="O34" s="368" t="n">
        <f>'HC-CO'!O69</f>
        <v>6295.37315861234</v>
      </c>
      <c r="P34" s="368" t="n">
        <f>'HC-CO'!P69</f>
        <v>6295.37315861234</v>
      </c>
      <c r="Q34" s="368" t="n">
        <f>'HC-CO'!Q69</f>
        <v>6295.37315861234</v>
      </c>
      <c r="R34" s="368" t="n">
        <f>'HC-CO'!R69</f>
        <v>6295.37315861234</v>
      </c>
      <c r="S34" s="368" t="n">
        <f>'HC-CO'!S69</f>
        <v>6295.37315861234</v>
      </c>
      <c r="T34" s="368" t="n">
        <f>'HC-CO'!T69</f>
        <v>6295.37315861234</v>
      </c>
      <c r="U34" s="368" t="n">
        <f>'HC-CO'!U69</f>
        <v>6295.37315861234</v>
      </c>
      <c r="V34" s="368" t="n">
        <f>'HC-CO'!V69</f>
        <v>6484.23435337071</v>
      </c>
      <c r="W34" s="368" t="n">
        <f>'HC-CO'!W69</f>
        <v>6484.23435337071</v>
      </c>
      <c r="X34" s="368" t="n">
        <f>'HC-CO'!X69</f>
        <v>6484.23435337071</v>
      </c>
      <c r="Y34" s="368"/>
      <c r="Z34" s="368" t="n">
        <f t="shared" si="4"/>
        <v>76111.0614876232</v>
      </c>
    </row>
    <row r="35" spans="2:26" x14ac:dyDescent="0.3">
      <c r="B35" s="345" t="inlineStr">
        <is>
          <t>Benefits — COO Total</t>
        </is>
      </c>
      <c r="C35" s="345"/>
      <c r="D35" s="345"/>
      <c r="E35" s="345"/>
      <c r="F35" s="345"/>
      <c r="G35" s="345"/>
      <c r="H35" s="345"/>
      <c r="I35" s="369">
        <f t="shared" ref="I35:X35" si="5">SUM(I30:I34)</f>
        <v>39948.604158339353</v>
      </c>
      <c r="J35" s="369">
        <f t="shared" si="5"/>
        <v>40841.539558556702</v>
      </c>
      <c r="K35" s="369">
        <f t="shared" si="5"/>
        <v>40841.539558556702</v>
      </c>
      <c r="L35" s="369">
        <f t="shared" si="5"/>
        <v>41684.212221311522</v>
      </c>
      <c r="M35" s="369" t="n">
        <f t="shared" si="5"/>
        <v>42775.5777104661</v>
      </c>
      <c r="N35" s="369" t="n">
        <f t="shared" si="5"/>
        <v>42775.5777104661</v>
      </c>
      <c r="O35" s="369" t="n">
        <f t="shared" si="5"/>
        <v>42775.5777104661</v>
      </c>
      <c r="P35" s="369" t="n">
        <f t="shared" si="5"/>
        <v>42775.5777104661</v>
      </c>
      <c r="Q35" s="369" t="n">
        <f t="shared" si="5"/>
        <v>42775.5777104661</v>
      </c>
      <c r="R35" s="369" t="n">
        <f t="shared" si="5"/>
        <v>42775.5777104661</v>
      </c>
      <c r="S35" s="369" t="n">
        <f t="shared" si="5"/>
        <v>42775.5777104661</v>
      </c>
      <c r="T35" s="369" t="n">
        <f t="shared" si="5"/>
        <v>42775.5777104661</v>
      </c>
      <c r="U35" s="369" t="n">
        <f t="shared" si="5"/>
        <v>42775.5777104661</v>
      </c>
      <c r="V35" s="369" t="n">
        <f t="shared" si="5"/>
        <v>44058.84504178</v>
      </c>
      <c r="W35" s="369" t="n">
        <f t="shared" si="5"/>
        <v>44058.84504178</v>
      </c>
      <c r="X35" s="369" t="n">
        <f t="shared" si="5"/>
        <v>44058.84504178</v>
      </c>
      <c r="Y35" s="369"/>
      <c r="Z35" s="369" t="n">
        <f t="shared" si="4"/>
        <v>517156.734519535</v>
      </c>
    </row>
    <row r="37" spans="2:26" x14ac:dyDescent="0.3">
      <c r="B37" s="316" t="inlineStr">
        <is>
          <t>Total Payroll</t>
        </is>
      </c>
      <c r="C37" s="316"/>
      <c r="D37" s="316"/>
    </row>
    <row r="38" spans="2:26" x14ac:dyDescent="0.3">
      <c r="B38" t="inlineStr">
        <is>
          <t>PO</t>
        </is>
      </c>
      <c r="C38" t="inlineStr">
        <is>
          <t>Production Operations</t>
        </is>
      </c>
      <c r="D38" t="inlineStr">
        <is>
          <t>COGS</t>
        </is>
      </c>
      <c r="I38" s="368">
        <f>'HC-PO'!I70</f>
        <v>53996.687320622674</v>
      </c>
      <c r="J38" s="368">
        <f>'HC-PO'!J70</f>
        <v>53996.687320622674</v>
      </c>
      <c r="K38" s="368">
        <f>'HC-PO'!K70</f>
        <v>53996.687320622674</v>
      </c>
      <c r="L38" s="368">
        <f>'HC-PO'!L70</f>
        <v>53996.687320622674</v>
      </c>
      <c r="M38" s="368">
        <f>'HC-PO'!M70</f>
        <v>53996.687320622674</v>
      </c>
      <c r="N38" s="368">
        <f>'HC-PO'!N70</f>
        <v>53996.687320622674</v>
      </c>
      <c r="O38" s="368">
        <f>'HC-PO'!O70</f>
        <v>53996.687320622674</v>
      </c>
      <c r="P38" s="368">
        <f>'HC-PO'!P70</f>
        <v>53996.687320622674</v>
      </c>
      <c r="Q38" s="368">
        <f>'HC-PO'!Q70</f>
        <v>53996.687320622674</v>
      </c>
      <c r="R38" s="368">
        <f>'HC-PO'!R70</f>
        <v>53996.687320622674</v>
      </c>
      <c r="S38" s="368">
        <f>'HC-PO'!S70</f>
        <v>53996.687320622674</v>
      </c>
      <c r="T38" s="368">
        <f>'HC-PO'!T70</f>
        <v>53996.687320622674</v>
      </c>
      <c r="U38" s="368">
        <f>'HC-PO'!U70</f>
        <v>53996.687320622674</v>
      </c>
      <c r="V38" s="368">
        <f>'HC-PO'!V70</f>
        <v>55616.587940241363</v>
      </c>
      <c r="W38" s="368">
        <f>'HC-PO'!W70</f>
        <v>55616.587940241363</v>
      </c>
      <c r="X38" s="368">
        <f>'HC-PO'!X70</f>
        <v>55616.587940241363</v>
      </c>
      <c r="Y38" s="368"/>
      <c r="Z38" s="368">
        <f t="shared" ref="Z38:Z43" si="6">SUM(M38:X38)</f>
        <v>652819.9497063281</v>
      </c>
    </row>
    <row r="39" spans="2:26" x14ac:dyDescent="0.3">
      <c r="B39" t="inlineStr">
        <is>
          <t>FO</t>
        </is>
      </c>
      <c r="C39" t="inlineStr">
        <is>
          <t>Field Operations</t>
        </is>
      </c>
      <c r="D39" t="inlineStr">
        <is>
          <t>COGS</t>
        </is>
      </c>
      <c r="I39" s="368">
        <f>'HC-FO'!I70</f>
        <v>110942.72470317263</v>
      </c>
      <c r="J39" s="368">
        <f>'HC-FO'!J70</f>
        <v>110942.72470317263</v>
      </c>
      <c r="K39" s="368">
        <f>'HC-FO'!K70</f>
        <v>110942.72470317263</v>
      </c>
      <c r="L39" s="368">
        <f>'HC-FO'!L70</f>
        <v>110942.72470317263</v>
      </c>
      <c r="M39" s="368">
        <f>'HC-FO'!M70</f>
        <v>110942.72470317263</v>
      </c>
      <c r="N39" s="368">
        <f>'HC-FO'!N70</f>
        <v>110942.72470317263</v>
      </c>
      <c r="O39" s="368">
        <f>'HC-FO'!O70</f>
        <v>110942.72470317263</v>
      </c>
      <c r="P39" s="368">
        <f>'HC-FO'!P70</f>
        <v>110942.72470317263</v>
      </c>
      <c r="Q39" s="368">
        <f>'HC-FO'!Q70</f>
        <v>110942.72470317263</v>
      </c>
      <c r="R39" s="368">
        <f>'HC-FO'!R70</f>
        <v>110942.72470317263</v>
      </c>
      <c r="S39" s="368">
        <f>'HC-FO'!S70</f>
        <v>110942.72470317263</v>
      </c>
      <c r="T39" s="368">
        <f>'HC-FO'!T70</f>
        <v>110942.72470317263</v>
      </c>
      <c r="U39" s="368">
        <f>'HC-FO'!U70</f>
        <v>110942.72470317263</v>
      </c>
      <c r="V39" s="368">
        <f>'HC-FO'!V70</f>
        <v>114271.0064442678</v>
      </c>
      <c r="W39" s="368">
        <f>'HC-FO'!W70</f>
        <v>114271.0064442678</v>
      </c>
      <c r="X39" s="368">
        <f>'HC-FO'!X70</f>
        <v>114271.0064442678</v>
      </c>
      <c r="Y39" s="368"/>
      <c r="Z39" s="368">
        <f t="shared" si="6"/>
        <v>1341297.541661357</v>
      </c>
    </row>
    <row r="40" spans="2:26" x14ac:dyDescent="0.3">
      <c r="B40" t="inlineStr">
        <is>
          <t>FE</t>
        </is>
      </c>
      <c r="C40" t="inlineStr">
        <is>
          <t>Field Engineering</t>
        </is>
      </c>
      <c r="D40" t="inlineStr">
        <is>
          <t>SG&amp;A</t>
        </is>
      </c>
      <c r="I40" s="368">
        <f>'HC-FE'!I70</f>
        <v>62200.328636395643</v>
      </c>
      <c r="J40" s="368">
        <f>'HC-FE'!J70</f>
        <v>62200.328636395643</v>
      </c>
      <c r="K40" s="368">
        <f>'HC-FE'!K70</f>
        <v>62200.328636395643</v>
      </c>
      <c r="L40" s="368">
        <f>'HC-FE'!L70</f>
        <v>75184.408772700015</v>
      </c>
      <c r="M40" s="368">
        <f>'HC-FE'!M70</f>
        <v>75184.408772700015</v>
      </c>
      <c r="N40" s="368">
        <f>'HC-FE'!N70</f>
        <v>75184.408772700015</v>
      </c>
      <c r="O40" s="368">
        <f>'HC-FE'!O70</f>
        <v>75184.408772700015</v>
      </c>
      <c r="P40" s="368">
        <f>'HC-FE'!P70</f>
        <v>75184.408772700015</v>
      </c>
      <c r="Q40" s="368">
        <f>'HC-FE'!Q70</f>
        <v>75184.408772700015</v>
      </c>
      <c r="R40" s="368">
        <f>'HC-FE'!R70</f>
        <v>75184.408772700015</v>
      </c>
      <c r="S40" s="368">
        <f>'HC-FE'!S70</f>
        <v>75184.408772700015</v>
      </c>
      <c r="T40" s="368">
        <f>'HC-FE'!T70</f>
        <v>75184.408772700015</v>
      </c>
      <c r="U40" s="368">
        <f>'HC-FE'!U70</f>
        <v>75184.408772700015</v>
      </c>
      <c r="V40" s="368">
        <f>'HC-FE'!V70</f>
        <v>77439.941035881013</v>
      </c>
      <c r="W40" s="368">
        <f>'HC-FE'!W70</f>
        <v>77439.941035881013</v>
      </c>
      <c r="X40" s="368">
        <f>'HC-FE'!X70</f>
        <v>77439.941035881013</v>
      </c>
      <c r="Y40" s="368"/>
      <c r="Z40" s="368">
        <f t="shared" si="6"/>
        <v>908979.50206194329</v>
      </c>
    </row>
    <row r="41" spans="2:26" x14ac:dyDescent="0.3">
      <c r="B41" t="inlineStr">
        <is>
          <t>PE</t>
        </is>
      </c>
      <c r="C41" t="inlineStr">
        <is>
          <t>Production Engineering</t>
        </is>
      </c>
      <c r="D41" t="inlineStr">
        <is>
          <t>SG&amp;A</t>
        </is>
      </c>
      <c r="I41" s="368">
        <f>'HC-PE'!I70</f>
        <v>100218.13819684784</v>
      </c>
      <c r="J41" s="368">
        <f>'HC-PE'!J70</f>
        <v>100218.13819684784</v>
      </c>
      <c r="K41" s="368">
        <f>'HC-PE'!K70</f>
        <v>100218.13819684784</v>
      </c>
      <c r="L41" s="368">
        <f>'HC-PE'!L70</f>
        <v>100218.13819684784</v>
      </c>
      <c r="M41" s="368">
        <f>'HC-PE'!M70</f>
        <v>100218.13819684784</v>
      </c>
      <c r="N41" s="368">
        <f>'HC-PE'!N70</f>
        <v>100218.13819684784</v>
      </c>
      <c r="O41" s="368">
        <f>'HC-PE'!O70</f>
        <v>100218.13819684784</v>
      </c>
      <c r="P41" s="368">
        <f>'HC-PE'!P70</f>
        <v>100218.13819684784</v>
      </c>
      <c r="Q41" s="368">
        <f>'HC-PE'!Q70</f>
        <v>100218.13819684784</v>
      </c>
      <c r="R41" s="368">
        <f>'HC-PE'!R70</f>
        <v>100218.13819684784</v>
      </c>
      <c r="S41" s="368">
        <f>'HC-PE'!S70</f>
        <v>100218.13819684784</v>
      </c>
      <c r="T41" s="368">
        <f>'HC-PE'!T70</f>
        <v>100218.13819684784</v>
      </c>
      <c r="U41" s="368">
        <f>'HC-PE'!U70</f>
        <v>100218.13819684784</v>
      </c>
      <c r="V41" s="368">
        <f>'HC-PE'!V70</f>
        <v>103224.68234275328</v>
      </c>
      <c r="W41" s="368">
        <f>'HC-PE'!W70</f>
        <v>103224.68234275328</v>
      </c>
      <c r="X41" s="368">
        <f>'HC-PE'!X70</f>
        <v>103224.68234275328</v>
      </c>
      <c r="Y41" s="368"/>
      <c r="Z41" s="368">
        <f t="shared" si="6"/>
        <v>1211637.2907998906</v>
      </c>
    </row>
    <row r="42" spans="2:26" x14ac:dyDescent="0.3">
      <c r="B42" t="inlineStr">
        <is>
          <t>CO</t>
        </is>
      </c>
      <c r="C42" t="inlineStr">
        <is>
          <t>Central Operations</t>
        </is>
      </c>
      <c r="D42" t="inlineStr">
        <is>
          <t>SG&amp;A</t>
        </is>
      </c>
      <c r="I42" s="368">
        <f>'HC-CO'!I70</f>
        <v>42411.586147391412</v>
      </c>
      <c r="J42" s="368">
        <f>'HC-CO'!J70</f>
        <v>51196.130753748868</v>
      </c>
      <c r="K42" s="368">
        <f>'HC-CO'!K70</f>
        <v>51196.130753748868</v>
      </c>
      <c r="L42" s="368">
        <f>'HC-CO'!L70</f>
        <v>51196.130753748868</v>
      </c>
      <c r="M42" s="368" t="n">
        <f>'HC-CO'!M70</f>
        <v>61932.7963837413</v>
      </c>
      <c r="N42" s="368" t="n">
        <f>'HC-CO'!N70</f>
        <v>61932.7963837413</v>
      </c>
      <c r="O42" s="368" t="n">
        <f>'HC-CO'!O70</f>
        <v>61932.7963837413</v>
      </c>
      <c r="P42" s="368" t="n">
        <f>'HC-CO'!P70</f>
        <v>61932.7963837413</v>
      </c>
      <c r="Q42" s="368" t="n">
        <f>'HC-CO'!Q70</f>
        <v>61932.7963837413</v>
      </c>
      <c r="R42" s="368" t="n">
        <f>'HC-CO'!R70</f>
        <v>61932.7963837413</v>
      </c>
      <c r="S42" s="368" t="n">
        <f>'HC-CO'!S70</f>
        <v>61932.7963837413</v>
      </c>
      <c r="T42" s="368" t="n">
        <f>'HC-CO'!T70</f>
        <v>61932.7963837413</v>
      </c>
      <c r="U42" s="368" t="n">
        <f>'HC-CO'!U70</f>
        <v>61932.7963837413</v>
      </c>
      <c r="V42" s="368" t="n">
        <f>'HC-CO'!V70</f>
        <v>63790.7802752536</v>
      </c>
      <c r="W42" s="368" t="n">
        <f>'HC-CO'!W70</f>
        <v>63790.7802752536</v>
      </c>
      <c r="X42" s="368" t="n">
        <f>'HC-CO'!X70</f>
        <v>63790.7802752536</v>
      </c>
      <c r="Y42" s="368"/>
      <c r="Z42" s="368" t="n">
        <f t="shared" si="6"/>
        <v>748767.508279433</v>
      </c>
    </row>
    <row r="43" spans="2:26" x14ac:dyDescent="0.3">
      <c r="B43" s="370" t="inlineStr">
        <is>
          <t>Total Payroll — COO Total</t>
        </is>
      </c>
      <c r="C43" s="370"/>
      <c r="D43" s="370"/>
      <c r="E43" s="370"/>
      <c r="F43" s="370"/>
      <c r="G43" s="370"/>
      <c r="H43" s="370"/>
      <c r="I43" s="371">
        <f t="shared" ref="I43:X43" si="7">SUM(I38:I42)</f>
        <v>369769.46500443021</v>
      </c>
      <c r="J43" s="371">
        <f t="shared" si="7"/>
        <v>378554.00961078767</v>
      </c>
      <c r="K43" s="371">
        <f t="shared" si="7"/>
        <v>378554.00961078767</v>
      </c>
      <c r="L43" s="371">
        <f t="shared" si="7"/>
        <v>391538.08974709205</v>
      </c>
      <c r="M43" s="371" t="n">
        <f t="shared" si="7"/>
        <v>402274.755377085</v>
      </c>
      <c r="N43" s="371" t="n">
        <f t="shared" si="7"/>
        <v>402274.755377085</v>
      </c>
      <c r="O43" s="371" t="n">
        <f t="shared" si="7"/>
        <v>402274.755377085</v>
      </c>
      <c r="P43" s="371" t="n">
        <f t="shared" si="7"/>
        <v>402274.755377085</v>
      </c>
      <c r="Q43" s="371" t="n">
        <f t="shared" si="7"/>
        <v>402274.755377085</v>
      </c>
      <c r="R43" s="371" t="n">
        <f t="shared" si="7"/>
        <v>402274.755377085</v>
      </c>
      <c r="S43" s="371" t="n">
        <f t="shared" si="7"/>
        <v>402274.755377085</v>
      </c>
      <c r="T43" s="371" t="n">
        <f t="shared" si="7"/>
        <v>402274.755377085</v>
      </c>
      <c r="U43" s="371" t="n">
        <f t="shared" si="7"/>
        <v>402274.755377085</v>
      </c>
      <c r="V43" s="371" t="n">
        <f t="shared" si="7"/>
        <v>414342.998038397</v>
      </c>
      <c r="W43" s="371" t="n">
        <f t="shared" si="7"/>
        <v>414342.998038397</v>
      </c>
      <c r="X43" s="371" t="n">
        <f t="shared" si="7"/>
        <v>414342.998038397</v>
      </c>
      <c r="Y43" s="371"/>
      <c r="Z43" s="371" t="n">
        <f t="shared" si="6"/>
        <v>4863501.79250895</v>
      </c>
    </row>
    <row r="45" spans="2:26" x14ac:dyDescent="0.3">
      <c r="B45" s="316" t="inlineStr">
        <is>
          <t>Total Payroll by P&amp;L Classification</t>
        </is>
      </c>
      <c r="C45" s="316"/>
      <c r="D45" s="316"/>
    </row>
    <row r="46" spans="2:26" x14ac:dyDescent="0.3">
      <c r="B46" t="inlineStr">
        <is>
          <t>COGS</t>
        </is>
      </c>
      <c r="I46" s="368">
        <f t="shared" ref="I46:X47" si="8">SUMIF($D$38:$D$42,$B46,I$38:I$42)</f>
        <v>164939.4120237953</v>
      </c>
      <c r="J46" s="368">
        <f t="shared" si="8"/>
        <v>164939.4120237953</v>
      </c>
      <c r="K46" s="368">
        <f t="shared" si="8"/>
        <v>164939.4120237953</v>
      </c>
      <c r="L46" s="368">
        <f t="shared" si="8"/>
        <v>164939.4120237953</v>
      </c>
      <c r="M46" s="368">
        <f t="shared" si="8"/>
        <v>164939.4120237953</v>
      </c>
      <c r="N46" s="368">
        <f t="shared" si="8"/>
        <v>164939.4120237953</v>
      </c>
      <c r="O46" s="368">
        <f t="shared" si="8"/>
        <v>164939.4120237953</v>
      </c>
      <c r="P46" s="368">
        <f t="shared" si="8"/>
        <v>164939.4120237953</v>
      </c>
      <c r="Q46" s="368">
        <f t="shared" si="8"/>
        <v>164939.4120237953</v>
      </c>
      <c r="R46" s="368">
        <f t="shared" si="8"/>
        <v>164939.4120237953</v>
      </c>
      <c r="S46" s="368">
        <f t="shared" si="8"/>
        <v>164939.4120237953</v>
      </c>
      <c r="T46" s="368">
        <f t="shared" si="8"/>
        <v>164939.4120237953</v>
      </c>
      <c r="U46" s="368">
        <f t="shared" si="8"/>
        <v>164939.4120237953</v>
      </c>
      <c r="V46" s="368">
        <f t="shared" si="8"/>
        <v>169887.59438450917</v>
      </c>
      <c r="W46" s="368">
        <f t="shared" si="8"/>
        <v>169887.59438450917</v>
      </c>
      <c r="X46" s="368">
        <f t="shared" si="8"/>
        <v>169887.59438450917</v>
      </c>
      <c r="Y46" s="368"/>
      <c r="Z46" s="368">
        <f>SUM(M46:X46)</f>
        <v>1994117.4913676851</v>
      </c>
    </row>
    <row r="47" spans="2:26" x14ac:dyDescent="0.3">
      <c r="B47" t="inlineStr">
        <is>
          <t>SG&amp;A</t>
        </is>
      </c>
      <c r="I47" s="368">
        <f t="shared" si="8"/>
        <v>204830.05298063491</v>
      </c>
      <c r="J47" s="368">
        <f t="shared" si="8"/>
        <v>213614.59758699237</v>
      </c>
      <c r="K47" s="368">
        <f t="shared" si="8"/>
        <v>213614.59758699237</v>
      </c>
      <c r="L47" s="368">
        <f t="shared" si="8"/>
        <v>226598.67772329674</v>
      </c>
      <c r="M47" s="368" t="n">
        <f t="shared" si="8"/>
        <v>237335.343353289</v>
      </c>
      <c r="N47" s="368" t="n">
        <f t="shared" si="8"/>
        <v>237335.343353289</v>
      </c>
      <c r="O47" s="368" t="n">
        <f t="shared" si="8"/>
        <v>237335.343353289</v>
      </c>
      <c r="P47" s="368" t="n">
        <f t="shared" si="8"/>
        <v>237335.343353289</v>
      </c>
      <c r="Q47" s="368" t="n">
        <f t="shared" si="8"/>
        <v>237335.343353289</v>
      </c>
      <c r="R47" s="368" t="n">
        <f t="shared" si="8"/>
        <v>237335.343353289</v>
      </c>
      <c r="S47" s="368" t="n">
        <f t="shared" si="8"/>
        <v>237335.343353289</v>
      </c>
      <c r="T47" s="368" t="n">
        <f t="shared" si="8"/>
        <v>237335.343353289</v>
      </c>
      <c r="U47" s="368" t="n">
        <f t="shared" si="8"/>
        <v>237335.343353289</v>
      </c>
      <c r="V47" s="368" t="n">
        <f t="shared" si="8"/>
        <v>244455.403653888</v>
      </c>
      <c r="W47" s="368" t="n">
        <f t="shared" si="8"/>
        <v>244455.403653888</v>
      </c>
      <c r="X47" s="368" t="n">
        <f t="shared" si="8"/>
        <v>244455.403653888</v>
      </c>
      <c r="Y47" s="368"/>
      <c r="Z47" s="368" t="n">
        <f>SUM(M47:X47)</f>
        <v>2869384.30114127</v>
      </c>
    </row>
    <row r="48" spans="2:26" x14ac:dyDescent="0.3">
      <c r="B48" s="370" t="inlineStr">
        <is>
          <t>Total Payroll — COO</t>
        </is>
      </c>
      <c r="C48" s="370"/>
      <c r="D48" s="370"/>
      <c r="E48" s="370"/>
      <c r="F48" s="370"/>
      <c r="G48" s="370"/>
      <c r="H48" s="370"/>
      <c r="I48" s="371">
        <f t="shared" ref="I48:X48" si="9">SUM(I46:I47)</f>
        <v>369769.46500443021</v>
      </c>
      <c r="J48" s="371">
        <f t="shared" si="9"/>
        <v>378554.00961078767</v>
      </c>
      <c r="K48" s="371">
        <f t="shared" si="9"/>
        <v>378554.00961078767</v>
      </c>
      <c r="L48" s="371">
        <f t="shared" si="9"/>
        <v>391538.08974709205</v>
      </c>
      <c r="M48" s="371" t="n">
        <f t="shared" si="9"/>
        <v>402274.755377085</v>
      </c>
      <c r="N48" s="371" t="n">
        <f t="shared" si="9"/>
        <v>402274.755377085</v>
      </c>
      <c r="O48" s="371" t="n">
        <f t="shared" si="9"/>
        <v>402274.755377085</v>
      </c>
      <c r="P48" s="371" t="n">
        <f t="shared" si="9"/>
        <v>402274.755377085</v>
      </c>
      <c r="Q48" s="371" t="n">
        <f t="shared" si="9"/>
        <v>402274.755377085</v>
      </c>
      <c r="R48" s="371" t="n">
        <f t="shared" si="9"/>
        <v>402274.755377085</v>
      </c>
      <c r="S48" s="371" t="n">
        <f t="shared" si="9"/>
        <v>402274.755377085</v>
      </c>
      <c r="T48" s="371" t="n">
        <f t="shared" si="9"/>
        <v>402274.755377085</v>
      </c>
      <c r="U48" s="371" t="n">
        <f t="shared" si="9"/>
        <v>402274.755377085</v>
      </c>
      <c r="V48" s="371" t="n">
        <f t="shared" si="9"/>
        <v>414342.998038397</v>
      </c>
      <c r="W48" s="371" t="n">
        <f t="shared" si="9"/>
        <v>414342.998038397</v>
      </c>
      <c r="X48" s="371" t="n">
        <f t="shared" si="9"/>
        <v>414342.998038397</v>
      </c>
      <c r="Y48" s="371"/>
      <c r="Z48" s="371" t="n">
        <f>SUM(M48:X48)</f>
        <v>4863501.79250895</v>
      </c>
    </row>
    <row r="49" spans="2:26" x14ac:dyDescent="0.3">
      <c r="B49" s="372" t="inlineStr">
        <is>
          <t>Check: ties to Total Payroll above (should be zero)</t>
        </is>
      </c>
      <c r="C49" s="372"/>
      <c r="D49" s="372"/>
      <c r="E49" s="372"/>
      <c r="F49" s="372"/>
      <c r="G49" s="372"/>
      <c r="H49" s="372"/>
      <c r="I49" s="368">
        <f t="shared" ref="I49:X49" si="10">I48-I43</f>
        <v>0</v>
      </c>
      <c r="J49" s="368">
        <f t="shared" si="10"/>
        <v>0</v>
      </c>
      <c r="K49" s="368">
        <f t="shared" si="10"/>
        <v>0</v>
      </c>
      <c r="L49" s="368">
        <f t="shared" si="10"/>
        <v>0</v>
      </c>
      <c r="M49" s="368">
        <f t="shared" si="10"/>
        <v>0</v>
      </c>
      <c r="N49" s="368">
        <f t="shared" si="10"/>
        <v>0</v>
      </c>
      <c r="O49" s="368">
        <f t="shared" si="10"/>
        <v>0</v>
      </c>
      <c r="P49" s="368">
        <f t="shared" si="10"/>
        <v>0</v>
      </c>
      <c r="Q49" s="368">
        <f t="shared" si="10"/>
        <v>0</v>
      </c>
      <c r="R49" s="368">
        <f t="shared" si="10"/>
        <v>0</v>
      </c>
      <c r="S49" s="368">
        <f t="shared" si="10"/>
        <v>0</v>
      </c>
      <c r="T49" s="368">
        <f t="shared" si="10"/>
        <v>0</v>
      </c>
      <c r="U49" s="368">
        <f t="shared" si="10"/>
        <v>0</v>
      </c>
      <c r="V49" s="368">
        <f t="shared" si="10"/>
        <v>0</v>
      </c>
      <c r="W49" s="368">
        <f t="shared" si="10"/>
        <v>0</v>
      </c>
      <c r="X49" s="368">
        <f t="shared" si="10"/>
        <v>0</v>
      </c>
      <c r="Y49" s="368"/>
      <c r="Z49" s="368"/>
    </row>
    <row r="51" spans="2:26" x14ac:dyDescent="0.3">
      <c r="B51" s="316" t="inlineStr">
        <is>
          <t>Transfers In — Cost Landing in This Organization ($)</t>
        </is>
      </c>
      <c r="C51" s="316"/>
      <c r="D51" s="316"/>
    </row>
    <row r="52" spans="2:26" x14ac:dyDescent="0.3">
      <c r="B52" t="inlineStr">
        <is>
          <t>PO</t>
        </is>
      </c>
      <c r="C52" t="inlineStr">
        <is>
          <t>Production Operations</t>
        </is>
      </c>
      <c r="I52" s="368">
        <f>SUM('HC-PO'!I52:I57)</f>
        <v>0</v>
      </c>
      <c r="J52" s="368">
        <f>SUM('HC-PO'!J52:J57)</f>
        <v>0</v>
      </c>
      <c r="K52" s="368">
        <f>SUM('HC-PO'!K52:K57)</f>
        <v>0</v>
      </c>
      <c r="L52" s="368">
        <f>SUM('HC-PO'!L52:L57)</f>
        <v>0</v>
      </c>
      <c r="M52" s="368">
        <f>SUM('HC-PO'!M52:M57)</f>
        <v>0</v>
      </c>
      <c r="N52" s="368">
        <f>SUM('HC-PO'!N52:N57)</f>
        <v>0</v>
      </c>
      <c r="O52" s="368">
        <f>SUM('HC-PO'!O52:O57)</f>
        <v>0</v>
      </c>
      <c r="P52" s="368">
        <f>SUM('HC-PO'!P52:P57)</f>
        <v>0</v>
      </c>
      <c r="Q52" s="368">
        <f>SUM('HC-PO'!Q52:Q57)</f>
        <v>0</v>
      </c>
      <c r="R52" s="368">
        <f>SUM('HC-PO'!R52:R57)</f>
        <v>0</v>
      </c>
      <c r="S52" s="368">
        <f>SUM('HC-PO'!S52:S57)</f>
        <v>0</v>
      </c>
      <c r="T52" s="368">
        <f>SUM('HC-PO'!T52:T57)</f>
        <v>0</v>
      </c>
      <c r="U52" s="368">
        <f>SUM('HC-PO'!U52:U57)</f>
        <v>0</v>
      </c>
      <c r="V52" s="368">
        <f>SUM('HC-PO'!V52:V57)</f>
        <v>0</v>
      </c>
      <c r="W52" s="368">
        <f>SUM('HC-PO'!W52:W57)</f>
        <v>0</v>
      </c>
      <c r="X52" s="368">
        <f>SUM('HC-PO'!X52:X57)</f>
        <v>0</v>
      </c>
      <c r="Y52" s="368"/>
      <c r="Z52" s="368">
        <f t="shared" ref="Z52:Z57" si="11">SUM(M52:X52)</f>
        <v>0</v>
      </c>
    </row>
    <row r="53" spans="2:26" x14ac:dyDescent="0.3">
      <c r="B53" t="inlineStr">
        <is>
          <t>FO</t>
        </is>
      </c>
      <c r="C53" t="inlineStr">
        <is>
          <t>Field Operations</t>
        </is>
      </c>
      <c r="I53" s="368">
        <f>SUM('HC-FO'!I52:I57)</f>
        <v>0</v>
      </c>
      <c r="J53" s="368">
        <f>SUM('HC-FO'!J52:J57)</f>
        <v>0</v>
      </c>
      <c r="K53" s="368">
        <f>SUM('HC-FO'!K52:K57)</f>
        <v>0</v>
      </c>
      <c r="L53" s="368">
        <f>SUM('HC-FO'!L52:L57)</f>
        <v>0</v>
      </c>
      <c r="M53" s="368">
        <f>SUM('HC-FO'!M52:M57)</f>
        <v>0</v>
      </c>
      <c r="N53" s="368">
        <f>SUM('HC-FO'!N52:N57)</f>
        <v>0</v>
      </c>
      <c r="O53" s="368">
        <f>SUM('HC-FO'!O52:O57)</f>
        <v>0</v>
      </c>
      <c r="P53" s="368">
        <f>SUM('HC-FO'!P52:P57)</f>
        <v>0</v>
      </c>
      <c r="Q53" s="368">
        <f>SUM('HC-FO'!Q52:Q57)</f>
        <v>0</v>
      </c>
      <c r="R53" s="368">
        <f>SUM('HC-FO'!R52:R57)</f>
        <v>0</v>
      </c>
      <c r="S53" s="368">
        <f>SUM('HC-FO'!S52:S57)</f>
        <v>0</v>
      </c>
      <c r="T53" s="368">
        <f>SUM('HC-FO'!T52:T57)</f>
        <v>0</v>
      </c>
      <c r="U53" s="368">
        <f>SUM('HC-FO'!U52:U57)</f>
        <v>0</v>
      </c>
      <c r="V53" s="368">
        <f>SUM('HC-FO'!V52:V57)</f>
        <v>0</v>
      </c>
      <c r="W53" s="368">
        <f>SUM('HC-FO'!W52:W57)</f>
        <v>0</v>
      </c>
      <c r="X53" s="368">
        <f>SUM('HC-FO'!X52:X57)</f>
        <v>0</v>
      </c>
      <c r="Y53" s="368"/>
      <c r="Z53" s="368">
        <f t="shared" si="11"/>
        <v>0</v>
      </c>
    </row>
    <row r="54" spans="2:26" x14ac:dyDescent="0.3">
      <c r="B54" t="inlineStr">
        <is>
          <t>FE</t>
        </is>
      </c>
      <c r="C54" t="inlineStr">
        <is>
          <t>Field Engineering</t>
        </is>
      </c>
      <c r="I54" s="368">
        <f>SUM('HC-FE'!I52:I57)</f>
        <v>0</v>
      </c>
      <c r="J54" s="368">
        <f>SUM('HC-FE'!J52:J57)</f>
        <v>0</v>
      </c>
      <c r="K54" s="368">
        <f>SUM('HC-FE'!K52:K57)</f>
        <v>0</v>
      </c>
      <c r="L54" s="368">
        <f>SUM('HC-FE'!L52:L57)</f>
        <v>0</v>
      </c>
      <c r="M54" s="368">
        <f>SUM('HC-FE'!M52:M57)</f>
        <v>0</v>
      </c>
      <c r="N54" s="368">
        <f>SUM('HC-FE'!N52:N57)</f>
        <v>0</v>
      </c>
      <c r="O54" s="368">
        <f>SUM('HC-FE'!O52:O57)</f>
        <v>0</v>
      </c>
      <c r="P54" s="368">
        <f>SUM('HC-FE'!P52:P57)</f>
        <v>0</v>
      </c>
      <c r="Q54" s="368">
        <f>SUM('HC-FE'!Q52:Q57)</f>
        <v>0</v>
      </c>
      <c r="R54" s="368">
        <f>SUM('HC-FE'!R52:R57)</f>
        <v>0</v>
      </c>
      <c r="S54" s="368">
        <f>SUM('HC-FE'!S52:S57)</f>
        <v>0</v>
      </c>
      <c r="T54" s="368">
        <f>SUM('HC-FE'!T52:T57)</f>
        <v>0</v>
      </c>
      <c r="U54" s="368">
        <f>SUM('HC-FE'!U52:U57)</f>
        <v>0</v>
      </c>
      <c r="V54" s="368">
        <f>SUM('HC-FE'!V52:V57)</f>
        <v>0</v>
      </c>
      <c r="W54" s="368">
        <f>SUM('HC-FE'!W52:W57)</f>
        <v>0</v>
      </c>
      <c r="X54" s="368">
        <f>SUM('HC-FE'!X52:X57)</f>
        <v>0</v>
      </c>
      <c r="Y54" s="368"/>
      <c r="Z54" s="368">
        <f t="shared" si="11"/>
        <v>0</v>
      </c>
    </row>
    <row r="55" spans="2:26" x14ac:dyDescent="0.3">
      <c r="B55" t="inlineStr">
        <is>
          <t>PE</t>
        </is>
      </c>
      <c r="C55" t="inlineStr">
        <is>
          <t>Production Engineering</t>
        </is>
      </c>
      <c r="I55" s="368">
        <f>SUM('HC-PE'!I52:I57)</f>
        <v>0</v>
      </c>
      <c r="J55" s="368">
        <f>SUM('HC-PE'!J52:J57)</f>
        <v>0</v>
      </c>
      <c r="K55" s="368">
        <f>SUM('HC-PE'!K52:K57)</f>
        <v>0</v>
      </c>
      <c r="L55" s="368">
        <f>SUM('HC-PE'!L52:L57)</f>
        <v>0</v>
      </c>
      <c r="M55" s="368">
        <f>SUM('HC-PE'!M52:M57)</f>
        <v>0</v>
      </c>
      <c r="N55" s="368">
        <f>SUM('HC-PE'!N52:N57)</f>
        <v>0</v>
      </c>
      <c r="O55" s="368">
        <f>SUM('HC-PE'!O52:O57)</f>
        <v>0</v>
      </c>
      <c r="P55" s="368">
        <f>SUM('HC-PE'!P52:P57)</f>
        <v>0</v>
      </c>
      <c r="Q55" s="368">
        <f>SUM('HC-PE'!Q52:Q57)</f>
        <v>0</v>
      </c>
      <c r="R55" s="368">
        <f>SUM('HC-PE'!R52:R57)</f>
        <v>0</v>
      </c>
      <c r="S55" s="368">
        <f>SUM('HC-PE'!S52:S57)</f>
        <v>0</v>
      </c>
      <c r="T55" s="368">
        <f>SUM('HC-PE'!T52:T57)</f>
        <v>0</v>
      </c>
      <c r="U55" s="368">
        <f>SUM('HC-PE'!U52:U57)</f>
        <v>0</v>
      </c>
      <c r="V55" s="368">
        <f>SUM('HC-PE'!V52:V57)</f>
        <v>0</v>
      </c>
      <c r="W55" s="368">
        <f>SUM('HC-PE'!W52:W57)</f>
        <v>0</v>
      </c>
      <c r="X55" s="368">
        <f>SUM('HC-PE'!X52:X57)</f>
        <v>0</v>
      </c>
      <c r="Y55" s="368"/>
      <c r="Z55" s="368">
        <f t="shared" si="11"/>
        <v>0</v>
      </c>
    </row>
    <row r="56" spans="2:26" x14ac:dyDescent="0.3">
      <c r="B56" t="inlineStr">
        <is>
          <t>CO</t>
        </is>
      </c>
      <c r="C56" t="inlineStr">
        <is>
          <t>Central Operations</t>
        </is>
      </c>
      <c r="I56" s="368">
        <f>SUM('HC-CO'!I52:I57)</f>
        <v>0</v>
      </c>
      <c r="J56" s="368">
        <f>SUM('HC-CO'!J52:J57)</f>
        <v>0</v>
      </c>
      <c r="K56" s="368">
        <f>SUM('HC-CO'!K52:K57)</f>
        <v>0</v>
      </c>
      <c r="L56" s="368">
        <f>SUM('HC-CO'!L52:L57)</f>
        <v>0</v>
      </c>
      <c r="M56" s="368">
        <f>SUM('HC-CO'!M52:M57)</f>
        <v>0</v>
      </c>
      <c r="N56" s="368">
        <f>SUM('HC-CO'!N52:N57)</f>
        <v>0</v>
      </c>
      <c r="O56" s="368">
        <f>SUM('HC-CO'!O52:O57)</f>
        <v>0</v>
      </c>
      <c r="P56" s="368">
        <f>SUM('HC-CO'!P52:P57)</f>
        <v>0</v>
      </c>
      <c r="Q56" s="368">
        <f>SUM('HC-CO'!Q52:Q57)</f>
        <v>0</v>
      </c>
      <c r="R56" s="368">
        <f>SUM('HC-CO'!R52:R57)</f>
        <v>0</v>
      </c>
      <c r="S56" s="368">
        <f>SUM('HC-CO'!S52:S57)</f>
        <v>0</v>
      </c>
      <c r="T56" s="368">
        <f>SUM('HC-CO'!T52:T57)</f>
        <v>0</v>
      </c>
      <c r="U56" s="368">
        <f>SUM('HC-CO'!U52:U57)</f>
        <v>0</v>
      </c>
      <c r="V56" s="368">
        <f>SUM('HC-CO'!V52:V57)</f>
        <v>0</v>
      </c>
      <c r="W56" s="368">
        <f>SUM('HC-CO'!W52:W57)</f>
        <v>0</v>
      </c>
      <c r="X56" s="368">
        <f>SUM('HC-CO'!X52:X57)</f>
        <v>0</v>
      </c>
      <c r="Y56" s="368"/>
      <c r="Z56" s="368">
        <f t="shared" si="11"/>
        <v>0</v>
      </c>
    </row>
    <row r="57" spans="2:26" x14ac:dyDescent="0.3">
      <c r="B57" s="345" t="inlineStr">
        <is>
          <t>Total Transfers In — COO</t>
        </is>
      </c>
      <c r="C57" s="345"/>
      <c r="D57" s="345"/>
      <c r="E57" s="345"/>
      <c r="F57" s="345"/>
      <c r="G57" s="345"/>
      <c r="H57" s="345"/>
      <c r="I57" s="369">
        <f t="shared" ref="I57:X57" si="12">SUM(I52:I56)</f>
        <v>0</v>
      </c>
      <c r="J57" s="369">
        <f t="shared" si="12"/>
        <v>0</v>
      </c>
      <c r="K57" s="369">
        <f t="shared" si="12"/>
        <v>0</v>
      </c>
      <c r="L57" s="369">
        <f t="shared" si="12"/>
        <v>0</v>
      </c>
      <c r="M57" s="369">
        <f t="shared" si="12"/>
        <v>0</v>
      </c>
      <c r="N57" s="369">
        <f t="shared" si="12"/>
        <v>0</v>
      </c>
      <c r="O57" s="369">
        <f t="shared" si="12"/>
        <v>0</v>
      </c>
      <c r="P57" s="369">
        <f t="shared" si="12"/>
        <v>0</v>
      </c>
      <c r="Q57" s="369">
        <f t="shared" si="12"/>
        <v>0</v>
      </c>
      <c r="R57" s="369">
        <f t="shared" si="12"/>
        <v>0</v>
      </c>
      <c r="S57" s="369">
        <f t="shared" si="12"/>
        <v>0</v>
      </c>
      <c r="T57" s="369">
        <f t="shared" si="12"/>
        <v>0</v>
      </c>
      <c r="U57" s="369">
        <f t="shared" si="12"/>
        <v>0</v>
      </c>
      <c r="V57" s="369">
        <f t="shared" si="12"/>
        <v>0</v>
      </c>
      <c r="W57" s="369">
        <f t="shared" si="12"/>
        <v>0</v>
      </c>
      <c r="X57" s="369">
        <f t="shared" si="12"/>
        <v>0</v>
      </c>
      <c r="Y57" s="369"/>
      <c r="Z57" s="369">
        <f t="shared" si="11"/>
        <v>0</v>
      </c>
    </row>
    <row r="59" spans="2:26" x14ac:dyDescent="0.3">
      <c r="B59" s="316" t="inlineStr">
        <is>
          <t>Transfer Headcount Activity (people moving, by effective month)</t>
        </is>
      </c>
      <c r="C59" s="316"/>
      <c r="D59" s="316"/>
    </row>
    <row r="60" spans="2:26" x14ac:dyDescent="0.3">
      <c r="B60" t="inlineStr">
        <is>
          <t>Transfers In (headcount)</t>
        </is>
      </c>
      <c r="I60" s="373">
        <f>COUNTIF('HC-PO'!$E$52:$E$57,I$10)+COUNTIF('HC-FO'!$E$52:$E$57,I$10)+COUNTIF('HC-FE'!$E$52:$E$57,I$10)+COUNTIF('HC-PE'!$E$52:$E$57,I$10)+COUNTIF('HC-CO'!$E$52:$E$57,I$10)</f>
        <v>0</v>
      </c>
      <c r="J60" s="373">
        <f>COUNTIF('HC-PO'!$E$52:$E$57,J$10)+COUNTIF('HC-FO'!$E$52:$E$57,J$10)+COUNTIF('HC-FE'!$E$52:$E$57,J$10)+COUNTIF('HC-PE'!$E$52:$E$57,J$10)+COUNTIF('HC-CO'!$E$52:$E$57,J$10)</f>
        <v>0</v>
      </c>
      <c r="K60" s="373">
        <f>COUNTIF('HC-PO'!$E$52:$E$57,K$10)+COUNTIF('HC-FO'!$E$52:$E$57,K$10)+COUNTIF('HC-FE'!$E$52:$E$57,K$10)+COUNTIF('HC-PE'!$E$52:$E$57,K$10)+COUNTIF('HC-CO'!$E$52:$E$57,K$10)</f>
        <v>0</v>
      </c>
      <c r="L60" s="373">
        <f>COUNTIF('HC-PO'!$E$52:$E$57,L$10)+COUNTIF('HC-FO'!$E$52:$E$57,L$10)+COUNTIF('HC-FE'!$E$52:$E$57,L$10)+COUNTIF('HC-PE'!$E$52:$E$57,L$10)+COUNTIF('HC-CO'!$E$52:$E$57,L$10)</f>
        <v>0</v>
      </c>
      <c r="M60" s="373">
        <f>COUNTIF('HC-PO'!$E$52:$E$57,M$10)+COUNTIF('HC-FO'!$E$52:$E$57,M$10)+COUNTIF('HC-FE'!$E$52:$E$57,M$10)+COUNTIF('HC-PE'!$E$52:$E$57,M$10)+COUNTIF('HC-CO'!$E$52:$E$57,M$10)</f>
        <v>0</v>
      </c>
      <c r="N60" s="373">
        <f>COUNTIF('HC-PO'!$E$52:$E$57,N$10)+COUNTIF('HC-FO'!$E$52:$E$57,N$10)+COUNTIF('HC-FE'!$E$52:$E$57,N$10)+COUNTIF('HC-PE'!$E$52:$E$57,N$10)+COUNTIF('HC-CO'!$E$52:$E$57,N$10)</f>
        <v>0</v>
      </c>
      <c r="O60" s="373">
        <f>COUNTIF('HC-PO'!$E$52:$E$57,O$10)+COUNTIF('HC-FO'!$E$52:$E$57,O$10)+COUNTIF('HC-FE'!$E$52:$E$57,O$10)+COUNTIF('HC-PE'!$E$52:$E$57,O$10)+COUNTIF('HC-CO'!$E$52:$E$57,O$10)</f>
        <v>0</v>
      </c>
      <c r="P60" s="373">
        <f>COUNTIF('HC-PO'!$E$52:$E$57,P$10)+COUNTIF('HC-FO'!$E$52:$E$57,P$10)+COUNTIF('HC-FE'!$E$52:$E$57,P$10)+COUNTIF('HC-PE'!$E$52:$E$57,P$10)+COUNTIF('HC-CO'!$E$52:$E$57,P$10)</f>
        <v>0</v>
      </c>
      <c r="Q60" s="373">
        <f>COUNTIF('HC-PO'!$E$52:$E$57,Q$10)+COUNTIF('HC-FO'!$E$52:$E$57,Q$10)+COUNTIF('HC-FE'!$E$52:$E$57,Q$10)+COUNTIF('HC-PE'!$E$52:$E$57,Q$10)+COUNTIF('HC-CO'!$E$52:$E$57,Q$10)</f>
        <v>0</v>
      </c>
      <c r="R60" s="373">
        <f>COUNTIF('HC-PO'!$E$52:$E$57,R$10)+COUNTIF('HC-FO'!$E$52:$E$57,R$10)+COUNTIF('HC-FE'!$E$52:$E$57,R$10)+COUNTIF('HC-PE'!$E$52:$E$57,R$10)+COUNTIF('HC-CO'!$E$52:$E$57,R$10)</f>
        <v>0</v>
      </c>
      <c r="S60" s="373">
        <f>COUNTIF('HC-PO'!$E$52:$E$57,S$10)+COUNTIF('HC-FO'!$E$52:$E$57,S$10)+COUNTIF('HC-FE'!$E$52:$E$57,S$10)+COUNTIF('HC-PE'!$E$52:$E$57,S$10)+COUNTIF('HC-CO'!$E$52:$E$57,S$10)</f>
        <v>0</v>
      </c>
      <c r="T60" s="373">
        <f>COUNTIF('HC-PO'!$E$52:$E$57,T$10)+COUNTIF('HC-FO'!$E$52:$E$57,T$10)+COUNTIF('HC-FE'!$E$52:$E$57,T$10)+COUNTIF('HC-PE'!$E$52:$E$57,T$10)+COUNTIF('HC-CO'!$E$52:$E$57,T$10)</f>
        <v>0</v>
      </c>
      <c r="U60" s="373">
        <f>COUNTIF('HC-PO'!$E$52:$E$57,U$10)+COUNTIF('HC-FO'!$E$52:$E$57,U$10)+COUNTIF('HC-FE'!$E$52:$E$57,U$10)+COUNTIF('HC-PE'!$E$52:$E$57,U$10)+COUNTIF('HC-CO'!$E$52:$E$57,U$10)</f>
        <v>0</v>
      </c>
      <c r="V60" s="373">
        <f>COUNTIF('HC-PO'!$E$52:$E$57,V$10)+COUNTIF('HC-FO'!$E$52:$E$57,V$10)+COUNTIF('HC-FE'!$E$52:$E$57,V$10)+COUNTIF('HC-PE'!$E$52:$E$57,V$10)+COUNTIF('HC-CO'!$E$52:$E$57,V$10)</f>
        <v>0</v>
      </c>
      <c r="W60" s="373">
        <f>COUNTIF('HC-PO'!$E$52:$E$57,W$10)+COUNTIF('HC-FO'!$E$52:$E$57,W$10)+COUNTIF('HC-FE'!$E$52:$E$57,W$10)+COUNTIF('HC-PE'!$E$52:$E$57,W$10)+COUNTIF('HC-CO'!$E$52:$E$57,W$10)</f>
        <v>0</v>
      </c>
      <c r="X60" s="373">
        <f>COUNTIF('HC-PO'!$E$52:$E$57,X$10)+COUNTIF('HC-FO'!$E$52:$E$57,X$10)+COUNTIF('HC-FE'!$E$52:$E$57,X$10)+COUNTIF('HC-PE'!$E$52:$E$57,X$10)+COUNTIF('HC-CO'!$E$52:$E$57,X$10)</f>
        <v>0</v>
      </c>
      <c r="Y60" s="373"/>
      <c r="Z60" s="373">
        <f>SUM(M60:X60)</f>
        <v>0</v>
      </c>
    </row>
    <row r="61" spans="2:26" x14ac:dyDescent="0.3">
      <c r="B61" t="inlineStr">
        <is>
          <t>Transfers Out (headcount)</t>
        </is>
      </c>
      <c r="I61" s="373">
        <f>COUNTIF('HC-PO'!$E$59:$E$64,I$10)+COUNTIF('HC-FO'!$E$59:$E$64,I$10)+COUNTIF('HC-FE'!$E$59:$E$64,I$10)+COUNTIF('HC-PE'!$E$59:$E$64,I$10)+COUNTIF('HC-CO'!$E$59:$E$64,I$10)</f>
        <v>0</v>
      </c>
      <c r="J61" s="373">
        <f>COUNTIF('HC-PO'!$E$59:$E$64,J$10)+COUNTIF('HC-FO'!$E$59:$E$64,J$10)+COUNTIF('HC-FE'!$E$59:$E$64,J$10)+COUNTIF('HC-PE'!$E$59:$E$64,J$10)+COUNTIF('HC-CO'!$E$59:$E$64,J$10)</f>
        <v>0</v>
      </c>
      <c r="K61" s="373">
        <f>COUNTIF('HC-PO'!$E$59:$E$64,K$10)+COUNTIF('HC-FO'!$E$59:$E$64,K$10)+COUNTIF('HC-FE'!$E$59:$E$64,K$10)+COUNTIF('HC-PE'!$E$59:$E$64,K$10)+COUNTIF('HC-CO'!$E$59:$E$64,K$10)</f>
        <v>0</v>
      </c>
      <c r="L61" s="373">
        <f>COUNTIF('HC-PO'!$E$59:$E$64,L$10)+COUNTIF('HC-FO'!$E$59:$E$64,L$10)+COUNTIF('HC-FE'!$E$59:$E$64,L$10)+COUNTIF('HC-PE'!$E$59:$E$64,L$10)+COUNTIF('HC-CO'!$E$59:$E$64,L$10)</f>
        <v>0</v>
      </c>
      <c r="M61" s="373">
        <f>COUNTIF('HC-PO'!$E$59:$E$64,M$10)+COUNTIF('HC-FO'!$E$59:$E$64,M$10)+COUNTIF('HC-FE'!$E$59:$E$64,M$10)+COUNTIF('HC-PE'!$E$59:$E$64,M$10)+COUNTIF('HC-CO'!$E$59:$E$64,M$10)</f>
        <v>0</v>
      </c>
      <c r="N61" s="373">
        <f>COUNTIF('HC-PO'!$E$59:$E$64,N$10)+COUNTIF('HC-FO'!$E$59:$E$64,N$10)+COUNTIF('HC-FE'!$E$59:$E$64,N$10)+COUNTIF('HC-PE'!$E$59:$E$64,N$10)+COUNTIF('HC-CO'!$E$59:$E$64,N$10)</f>
        <v>0</v>
      </c>
      <c r="O61" s="373">
        <f>COUNTIF('HC-PO'!$E$59:$E$64,O$10)+COUNTIF('HC-FO'!$E$59:$E$64,O$10)+COUNTIF('HC-FE'!$E$59:$E$64,O$10)+COUNTIF('HC-PE'!$E$59:$E$64,O$10)+COUNTIF('HC-CO'!$E$59:$E$64,O$10)</f>
        <v>0</v>
      </c>
      <c r="P61" s="373">
        <f>COUNTIF('HC-PO'!$E$59:$E$64,P$10)+COUNTIF('HC-FO'!$E$59:$E$64,P$10)+COUNTIF('HC-FE'!$E$59:$E$64,P$10)+COUNTIF('HC-PE'!$E$59:$E$64,P$10)+COUNTIF('HC-CO'!$E$59:$E$64,P$10)</f>
        <v>0</v>
      </c>
      <c r="Q61" s="373">
        <f>COUNTIF('HC-PO'!$E$59:$E$64,Q$10)+COUNTIF('HC-FO'!$E$59:$E$64,Q$10)+COUNTIF('HC-FE'!$E$59:$E$64,Q$10)+COUNTIF('HC-PE'!$E$59:$E$64,Q$10)+COUNTIF('HC-CO'!$E$59:$E$64,Q$10)</f>
        <v>0</v>
      </c>
      <c r="R61" s="373">
        <f>COUNTIF('HC-PO'!$E$59:$E$64,R$10)+COUNTIF('HC-FO'!$E$59:$E$64,R$10)+COUNTIF('HC-FE'!$E$59:$E$64,R$10)+COUNTIF('HC-PE'!$E$59:$E$64,R$10)+COUNTIF('HC-CO'!$E$59:$E$64,R$10)</f>
        <v>0</v>
      </c>
      <c r="S61" s="373">
        <f>COUNTIF('HC-PO'!$E$59:$E$64,S$10)+COUNTIF('HC-FO'!$E$59:$E$64,S$10)+COUNTIF('HC-FE'!$E$59:$E$64,S$10)+COUNTIF('HC-PE'!$E$59:$E$64,S$10)+COUNTIF('HC-CO'!$E$59:$E$64,S$10)</f>
        <v>0</v>
      </c>
      <c r="T61" s="373">
        <f>COUNTIF('HC-PO'!$E$59:$E$64,T$10)+COUNTIF('HC-FO'!$E$59:$E$64,T$10)+COUNTIF('HC-FE'!$E$59:$E$64,T$10)+COUNTIF('HC-PE'!$E$59:$E$64,T$10)+COUNTIF('HC-CO'!$E$59:$E$64,T$10)</f>
        <v>0</v>
      </c>
      <c r="U61" s="373">
        <f>COUNTIF('HC-PO'!$E$59:$E$64,U$10)+COUNTIF('HC-FO'!$E$59:$E$64,U$10)+COUNTIF('HC-FE'!$E$59:$E$64,U$10)+COUNTIF('HC-PE'!$E$59:$E$64,U$10)+COUNTIF('HC-CO'!$E$59:$E$64,U$10)</f>
        <v>0</v>
      </c>
      <c r="V61" s="373">
        <f>COUNTIF('HC-PO'!$E$59:$E$64,V$10)+COUNTIF('HC-FO'!$E$59:$E$64,V$10)+COUNTIF('HC-FE'!$E$59:$E$64,V$10)+COUNTIF('HC-PE'!$E$59:$E$64,V$10)+COUNTIF('HC-CO'!$E$59:$E$64,V$10)</f>
        <v>0</v>
      </c>
      <c r="W61" s="373">
        <f>COUNTIF('HC-PO'!$E$59:$E$64,W$10)+COUNTIF('HC-FO'!$E$59:$E$64,W$10)+COUNTIF('HC-FE'!$E$59:$E$64,W$10)+COUNTIF('HC-PE'!$E$59:$E$64,W$10)+COUNTIF('HC-CO'!$E$59:$E$64,W$10)</f>
        <v>0</v>
      </c>
      <c r="X61" s="373">
        <f>COUNTIF('HC-PO'!$E$59:$E$64,X$10)+COUNTIF('HC-FO'!$E$59:$E$64,X$10)+COUNTIF('HC-FE'!$E$59:$E$64,X$10)+COUNTIF('HC-PE'!$E$59:$E$64,X$10)+COUNTIF('HC-CO'!$E$59:$E$64,X$10)</f>
        <v>0</v>
      </c>
      <c r="Y61" s="373"/>
      <c r="Z61" s="373">
        <f>SUM(M61:X61)</f>
        <v>0</v>
      </c>
    </row>
    <row r="62" spans="2:26" x14ac:dyDescent="0.3">
      <c r="B62" s="295" t="inlineStr">
        <is>
          <t>Net Headcount Change from Transfers</t>
        </is>
      </c>
      <c r="C62" s="295"/>
      <c r="D62" s="295"/>
      <c r="E62" s="295"/>
      <c r="F62" s="295"/>
      <c r="G62" s="295"/>
      <c r="H62" s="295"/>
      <c r="I62" s="374">
        <f t="shared" ref="I62:X62" si="13">I60-I61</f>
        <v>0</v>
      </c>
      <c r="J62" s="374">
        <f t="shared" si="13"/>
        <v>0</v>
      </c>
      <c r="K62" s="374">
        <f t="shared" si="13"/>
        <v>0</v>
      </c>
      <c r="L62" s="374">
        <f t="shared" si="13"/>
        <v>0</v>
      </c>
      <c r="M62" s="374">
        <f t="shared" si="13"/>
        <v>0</v>
      </c>
      <c r="N62" s="374">
        <f t="shared" si="13"/>
        <v>0</v>
      </c>
      <c r="O62" s="374">
        <f t="shared" si="13"/>
        <v>0</v>
      </c>
      <c r="P62" s="374">
        <f t="shared" si="13"/>
        <v>0</v>
      </c>
      <c r="Q62" s="374">
        <f t="shared" si="13"/>
        <v>0</v>
      </c>
      <c r="R62" s="374">
        <f t="shared" si="13"/>
        <v>0</v>
      </c>
      <c r="S62" s="374">
        <f t="shared" si="13"/>
        <v>0</v>
      </c>
      <c r="T62" s="374">
        <f t="shared" si="13"/>
        <v>0</v>
      </c>
      <c r="U62" s="374">
        <f t="shared" si="13"/>
        <v>0</v>
      </c>
      <c r="V62" s="374">
        <f t="shared" si="13"/>
        <v>0</v>
      </c>
      <c r="W62" s="374">
        <f t="shared" si="13"/>
        <v>0</v>
      </c>
      <c r="X62" s="374">
        <f t="shared" si="13"/>
        <v>0</v>
      </c>
      <c r="Y62" s="374"/>
      <c r="Z62" s="374">
        <f>SUM(M62:X62)</f>
        <v>0</v>
      </c>
    </row>
    <row r="64" spans="2:26" x14ac:dyDescent="0.3">
      <c r="B64" s="375" t="inlineStr">
        <is>
          <t>Headcount (#) — Active Employees by Month</t>
        </is>
      </c>
      <c r="Z64" s="376" t="inlineStr">
        <is>
          <t>Dec-27 Ending</t>
        </is>
      </c>
    </row>
    <row r="65" spans="2:26" x14ac:dyDescent="0.3">
      <c r="B65" t="inlineStr">
        <is>
          <t>PO</t>
        </is>
      </c>
      <c r="C65" t="inlineStr">
        <is>
          <t>Production Operations</t>
        </is>
      </c>
      <c r="D65" t="inlineStr">
        <is>
          <t>COGS</t>
        </is>
      </c>
      <c r="I65" s="377">
        <f>COUNTIF('HC-PO'!I$14:I$57,"&gt;0")</f>
        <v>9</v>
      </c>
      <c r="J65" s="377">
        <f>COUNTIF('HC-PO'!J$14:J$57,"&gt;0")</f>
        <v>9</v>
      </c>
      <c r="K65" s="377">
        <f>COUNTIF('HC-PO'!K$14:K$57,"&gt;0")</f>
        <v>9</v>
      </c>
      <c r="L65" s="377">
        <f>COUNTIF('HC-PO'!L$14:L$57,"&gt;0")</f>
        <v>9</v>
      </c>
      <c r="M65" s="377">
        <f>COUNTIF('HC-PO'!M$14:M$57,"&gt;0")</f>
        <v>9</v>
      </c>
      <c r="N65" s="377">
        <f>COUNTIF('HC-PO'!N$14:N$57,"&gt;0")</f>
        <v>9</v>
      </c>
      <c r="O65" s="377">
        <f>COUNTIF('HC-PO'!O$14:O$57,"&gt;0")</f>
        <v>9</v>
      </c>
      <c r="P65" s="377">
        <f>COUNTIF('HC-PO'!P$14:P$57,"&gt;0")</f>
        <v>9</v>
      </c>
      <c r="Q65" s="377">
        <f>COUNTIF('HC-PO'!Q$14:Q$57,"&gt;0")</f>
        <v>9</v>
      </c>
      <c r="R65" s="377">
        <f>COUNTIF('HC-PO'!R$14:R$57,"&gt;0")</f>
        <v>9</v>
      </c>
      <c r="S65" s="377">
        <f>COUNTIF('HC-PO'!S$14:S$57,"&gt;0")</f>
        <v>9</v>
      </c>
      <c r="T65" s="377">
        <f>COUNTIF('HC-PO'!T$14:T$57,"&gt;0")</f>
        <v>9</v>
      </c>
      <c r="U65" s="377">
        <f>COUNTIF('HC-PO'!U$14:U$57,"&gt;0")</f>
        <v>9</v>
      </c>
      <c r="V65" s="377">
        <f>COUNTIF('HC-PO'!V$14:V$57,"&gt;0")</f>
        <v>9</v>
      </c>
      <c r="W65" s="377">
        <f>COUNTIF('HC-PO'!W$14:W$57,"&gt;0")</f>
        <v>9</v>
      </c>
      <c r="X65" s="377">
        <f>COUNTIF('HC-PO'!X$14:X$57,"&gt;0")</f>
        <v>9</v>
      </c>
      <c r="Z65" s="377">
        <f t="shared" ref="Z65:Z70" si="14">X65</f>
        <v>9</v>
      </c>
    </row>
    <row r="66" spans="2:26" x14ac:dyDescent="0.3">
      <c r="B66" t="inlineStr">
        <is>
          <t>FO</t>
        </is>
      </c>
      <c r="C66" t="inlineStr">
        <is>
          <t>Field Operations</t>
        </is>
      </c>
      <c r="D66" t="inlineStr">
        <is>
          <t>COGS</t>
        </is>
      </c>
      <c r="I66" s="377">
        <f>COUNTIF('HC-FO'!I$14:I$57,"&gt;0")</f>
        <v>16</v>
      </c>
      <c r="J66" s="377">
        <f>COUNTIF('HC-FO'!J$14:J$57,"&gt;0")</f>
        <v>16</v>
      </c>
      <c r="K66" s="377">
        <f>COUNTIF('HC-FO'!K$14:K$57,"&gt;0")</f>
        <v>16</v>
      </c>
      <c r="L66" s="377">
        <f>COUNTIF('HC-FO'!L$14:L$57,"&gt;0")</f>
        <v>16</v>
      </c>
      <c r="M66" s="377">
        <f>COUNTIF('HC-FO'!M$14:M$57,"&gt;0")</f>
        <v>16</v>
      </c>
      <c r="N66" s="377">
        <f>COUNTIF('HC-FO'!N$14:N$57,"&gt;0")</f>
        <v>16</v>
      </c>
      <c r="O66" s="377">
        <f>COUNTIF('HC-FO'!O$14:O$57,"&gt;0")</f>
        <v>16</v>
      </c>
      <c r="P66" s="377">
        <f>COUNTIF('HC-FO'!P$14:P$57,"&gt;0")</f>
        <v>16</v>
      </c>
      <c r="Q66" s="377">
        <f>COUNTIF('HC-FO'!Q$14:Q$57,"&gt;0")</f>
        <v>16</v>
      </c>
      <c r="R66" s="377">
        <f>COUNTIF('HC-FO'!R$14:R$57,"&gt;0")</f>
        <v>16</v>
      </c>
      <c r="S66" s="377">
        <f>COUNTIF('HC-FO'!S$14:S$57,"&gt;0")</f>
        <v>16</v>
      </c>
      <c r="T66" s="377">
        <f>COUNTIF('HC-FO'!T$14:T$57,"&gt;0")</f>
        <v>16</v>
      </c>
      <c r="U66" s="377">
        <f>COUNTIF('HC-FO'!U$14:U$57,"&gt;0")</f>
        <v>16</v>
      </c>
      <c r="V66" s="377">
        <f>COUNTIF('HC-FO'!V$14:V$57,"&gt;0")</f>
        <v>16</v>
      </c>
      <c r="W66" s="377">
        <f>COUNTIF('HC-FO'!W$14:W$57,"&gt;0")</f>
        <v>16</v>
      </c>
      <c r="X66" s="377">
        <f>COUNTIF('HC-FO'!X$14:X$57,"&gt;0")</f>
        <v>16</v>
      </c>
      <c r="Z66" s="377">
        <f t="shared" si="14"/>
        <v>16</v>
      </c>
    </row>
    <row r="67" spans="2:26" x14ac:dyDescent="0.3">
      <c r="B67" t="inlineStr">
        <is>
          <t>FE</t>
        </is>
      </c>
      <c r="C67" t="inlineStr">
        <is>
          <t>Field Engineering</t>
        </is>
      </c>
      <c r="D67" t="inlineStr">
        <is>
          <t>SG&amp;A</t>
        </is>
      </c>
      <c r="I67" s="377">
        <f>COUNTIF('HC-FE'!I$14:I$57,"&gt;0")</f>
        <v>6</v>
      </c>
      <c r="J67" s="377">
        <f>COUNTIF('HC-FE'!J$14:J$57,"&gt;0")</f>
        <v>6</v>
      </c>
      <c r="K67" s="377">
        <f>COUNTIF('HC-FE'!K$14:K$57,"&gt;0")</f>
        <v>6</v>
      </c>
      <c r="L67" s="377">
        <f>COUNTIF('HC-FE'!L$14:L$57,"&gt;0")</f>
        <v>7</v>
      </c>
      <c r="M67" s="377">
        <f>COUNTIF('HC-FE'!M$14:M$57,"&gt;0")</f>
        <v>7</v>
      </c>
      <c r="N67" s="377">
        <f>COUNTIF('HC-FE'!N$14:N$57,"&gt;0")</f>
        <v>7</v>
      </c>
      <c r="O67" s="377">
        <f>COUNTIF('HC-FE'!O$14:O$57,"&gt;0")</f>
        <v>7</v>
      </c>
      <c r="P67" s="377">
        <f>COUNTIF('HC-FE'!P$14:P$57,"&gt;0")</f>
        <v>7</v>
      </c>
      <c r="Q67" s="377">
        <f>COUNTIF('HC-FE'!Q$14:Q$57,"&gt;0")</f>
        <v>7</v>
      </c>
      <c r="R67" s="377">
        <f>COUNTIF('HC-FE'!R$14:R$57,"&gt;0")</f>
        <v>7</v>
      </c>
      <c r="S67" s="377">
        <f>COUNTIF('HC-FE'!S$14:S$57,"&gt;0")</f>
        <v>7</v>
      </c>
      <c r="T67" s="377">
        <f>COUNTIF('HC-FE'!T$14:T$57,"&gt;0")</f>
        <v>7</v>
      </c>
      <c r="U67" s="377">
        <f>COUNTIF('HC-FE'!U$14:U$57,"&gt;0")</f>
        <v>7</v>
      </c>
      <c r="V67" s="377">
        <f>COUNTIF('HC-FE'!V$14:V$57,"&gt;0")</f>
        <v>7</v>
      </c>
      <c r="W67" s="377">
        <f>COUNTIF('HC-FE'!W$14:W$57,"&gt;0")</f>
        <v>7</v>
      </c>
      <c r="X67" s="377">
        <f>COUNTIF('HC-FE'!X$14:X$57,"&gt;0")</f>
        <v>7</v>
      </c>
      <c r="Z67" s="377">
        <f t="shared" si="14"/>
        <v>7</v>
      </c>
    </row>
    <row r="68" spans="2:26" x14ac:dyDescent="0.3">
      <c r="B68" t="inlineStr">
        <is>
          <t>PE</t>
        </is>
      </c>
      <c r="C68" t="inlineStr">
        <is>
          <t>Production Engineering</t>
        </is>
      </c>
      <c r="D68" t="inlineStr">
        <is>
          <t>SG&amp;A</t>
        </is>
      </c>
      <c r="I68" s="377">
        <f>COUNTIF('HC-PE'!I$14:I$57,"&gt;0")</f>
        <v>9</v>
      </c>
      <c r="J68" s="377">
        <f>COUNTIF('HC-PE'!J$14:J$57,"&gt;0")</f>
        <v>9</v>
      </c>
      <c r="K68" s="377">
        <f>COUNTIF('HC-PE'!K$14:K$57,"&gt;0")</f>
        <v>9</v>
      </c>
      <c r="L68" s="377">
        <f>COUNTIF('HC-PE'!L$14:L$57,"&gt;0")</f>
        <v>9</v>
      </c>
      <c r="M68" s="377">
        <f>COUNTIF('HC-PE'!M$14:M$57,"&gt;0")</f>
        <v>9</v>
      </c>
      <c r="N68" s="377">
        <f>COUNTIF('HC-PE'!N$14:N$57,"&gt;0")</f>
        <v>9</v>
      </c>
      <c r="O68" s="377">
        <f>COUNTIF('HC-PE'!O$14:O$57,"&gt;0")</f>
        <v>9</v>
      </c>
      <c r="P68" s="377">
        <f>COUNTIF('HC-PE'!P$14:P$57,"&gt;0")</f>
        <v>9</v>
      </c>
      <c r="Q68" s="377">
        <f>COUNTIF('HC-PE'!Q$14:Q$57,"&gt;0")</f>
        <v>9</v>
      </c>
      <c r="R68" s="377">
        <f>COUNTIF('HC-PE'!R$14:R$57,"&gt;0")</f>
        <v>9</v>
      </c>
      <c r="S68" s="377">
        <f>COUNTIF('HC-PE'!S$14:S$57,"&gt;0")</f>
        <v>9</v>
      </c>
      <c r="T68" s="377">
        <f>COUNTIF('HC-PE'!T$14:T$57,"&gt;0")</f>
        <v>9</v>
      </c>
      <c r="U68" s="377">
        <f>COUNTIF('HC-PE'!U$14:U$57,"&gt;0")</f>
        <v>9</v>
      </c>
      <c r="V68" s="377">
        <f>COUNTIF('HC-PE'!V$14:V$57,"&gt;0")</f>
        <v>9</v>
      </c>
      <c r="W68" s="377">
        <f>COUNTIF('HC-PE'!W$14:W$57,"&gt;0")</f>
        <v>9</v>
      </c>
      <c r="X68" s="377">
        <f>COUNTIF('HC-PE'!X$14:X$57,"&gt;0")</f>
        <v>9</v>
      </c>
      <c r="Z68" s="377">
        <f t="shared" si="14"/>
        <v>9</v>
      </c>
    </row>
    <row r="69" spans="2:26" x14ac:dyDescent="0.3">
      <c r="B69" t="inlineStr">
        <is>
          <t>CO</t>
        </is>
      </c>
      <c r="C69" t="inlineStr">
        <is>
          <t>Central Operations</t>
        </is>
      </c>
      <c r="D69" t="inlineStr">
        <is>
          <t>SG&amp;A</t>
        </is>
      </c>
      <c r="I69" s="377">
        <f>COUNTIF('HC-CO'!I$14:I$57,"&gt;0")</f>
        <v>4</v>
      </c>
      <c r="J69" s="377">
        <f>COUNTIF('HC-CO'!J$14:J$57,"&gt;0")</f>
        <v>5</v>
      </c>
      <c r="K69" s="377">
        <f>COUNTIF('HC-CO'!K$14:K$57,"&gt;0")</f>
        <v>5</v>
      </c>
      <c r="L69" s="377">
        <f>COUNTIF('HC-CO'!L$14:L$57,"&gt;0")</f>
        <v>5</v>
      </c>
      <c r="M69" s="377" t="n">
        <f>COUNTIF('HC-CO'!M$14:M$57,"&gt;0")</f>
        <v>6</v>
      </c>
      <c r="N69" s="377" t="n">
        <f>COUNTIF('HC-CO'!N$14:N$57,"&gt;0")</f>
        <v>6</v>
      </c>
      <c r="O69" s="377" t="n">
        <f>COUNTIF('HC-CO'!O$14:O$57,"&gt;0")</f>
        <v>6</v>
      </c>
      <c r="P69" s="377" t="n">
        <f>COUNTIF('HC-CO'!P$14:P$57,"&gt;0")</f>
        <v>6</v>
      </c>
      <c r="Q69" s="377" t="n">
        <f>COUNTIF('HC-CO'!Q$14:Q$57,"&gt;0")</f>
        <v>6</v>
      </c>
      <c r="R69" s="377" t="n">
        <f>COUNTIF('HC-CO'!R$14:R$57,"&gt;0")</f>
        <v>6</v>
      </c>
      <c r="S69" s="377" t="n">
        <f>COUNTIF('HC-CO'!S$14:S$57,"&gt;0")</f>
        <v>6</v>
      </c>
      <c r="T69" s="377" t="n">
        <f>COUNTIF('HC-CO'!T$14:T$57,"&gt;0")</f>
        <v>6</v>
      </c>
      <c r="U69" s="377" t="n">
        <f>COUNTIF('HC-CO'!U$14:U$57,"&gt;0")</f>
        <v>6</v>
      </c>
      <c r="V69" s="377" t="n">
        <f>COUNTIF('HC-CO'!V$14:V$57,"&gt;0")</f>
        <v>6</v>
      </c>
      <c r="W69" s="377" t="n">
        <f>COUNTIF('HC-CO'!W$14:W$57,"&gt;0")</f>
        <v>6</v>
      </c>
      <c r="X69" s="377" t="n">
        <f>COUNTIF('HC-CO'!X$14:X$57,"&gt;0")</f>
        <v>6</v>
      </c>
      <c r="Z69" s="377" t="n">
        <f t="shared" si="14"/>
        <v>6</v>
      </c>
    </row>
    <row r="70" spans="2:26" x14ac:dyDescent="0.3">
      <c r="B70" s="378" t="inlineStr">
        <is>
          <t>Total Headcount — COO Total</t>
        </is>
      </c>
      <c r="C70" s="379"/>
      <c r="D70" s="379"/>
      <c r="I70" s="380">
        <f>SUM(I65:I69)</f>
        <v>44</v>
      </c>
      <c r="J70" s="380">
        <f t="shared" ref="J70:X70" si="15">SUM(J65:J69)</f>
        <v>45</v>
      </c>
      <c r="K70" s="380">
        <f t="shared" si="15"/>
        <v>45</v>
      </c>
      <c r="L70" s="380">
        <f t="shared" si="15"/>
        <v>46</v>
      </c>
      <c r="M70" s="380" t="n">
        <f t="shared" si="15"/>
        <v>47</v>
      </c>
      <c r="N70" s="380" t="n">
        <f t="shared" si="15"/>
        <v>47</v>
      </c>
      <c r="O70" s="380" t="n">
        <f t="shared" si="15"/>
        <v>47</v>
      </c>
      <c r="P70" s="380" t="n">
        <f t="shared" si="15"/>
        <v>47</v>
      </c>
      <c r="Q70" s="380" t="n">
        <f t="shared" si="15"/>
        <v>47</v>
      </c>
      <c r="R70" s="380" t="n">
        <f t="shared" si="15"/>
        <v>47</v>
      </c>
      <c r="S70" s="380" t="n">
        <f t="shared" si="15"/>
        <v>47</v>
      </c>
      <c r="T70" s="380" t="n">
        <f t="shared" si="15"/>
        <v>47</v>
      </c>
      <c r="U70" s="380" t="n">
        <f t="shared" si="15"/>
        <v>47</v>
      </c>
      <c r="V70" s="380" t="n">
        <f t="shared" si="15"/>
        <v>47</v>
      </c>
      <c r="W70" s="380" t="n">
        <f t="shared" si="15"/>
        <v>47</v>
      </c>
      <c r="X70" s="380" t="n">
        <f t="shared" si="15"/>
        <v>47</v>
      </c>
      <c r="Z70" s="380" t="n">
        <f t="shared" si="14"/>
        <v>47</v>
      </c>
    </row>
    <row r="72" spans="2:26" x14ac:dyDescent="0.3">
      <c r="B72" s="375" t="inlineStr">
        <is>
          <t>Headcount by P&amp;L Classification (#)</t>
        </is>
      </c>
    </row>
    <row r="73" spans="2:26" x14ac:dyDescent="0.3">
      <c r="B73" t="inlineStr">
        <is>
          <t>COGS</t>
        </is>
      </c>
      <c r="I73" s="377">
        <f>SUMIF($D$65:$D$69,$B73,I$65:I$69)</f>
        <v>25</v>
      </c>
      <c r="J73" s="377">
        <f t="shared" ref="J73:X74" si="16">SUMIF($D$65:$D$69,$B73,J$65:J$69)</f>
        <v>25</v>
      </c>
      <c r="K73" s="377">
        <f t="shared" si="16"/>
        <v>25</v>
      </c>
      <c r="L73" s="377">
        <f t="shared" si="16"/>
        <v>25</v>
      </c>
      <c r="M73" s="377">
        <f t="shared" si="16"/>
        <v>25</v>
      </c>
      <c r="N73" s="377">
        <f t="shared" si="16"/>
        <v>25</v>
      </c>
      <c r="O73" s="377">
        <f t="shared" si="16"/>
        <v>25</v>
      </c>
      <c r="P73" s="377">
        <f t="shared" si="16"/>
        <v>25</v>
      </c>
      <c r="Q73" s="377">
        <f t="shared" si="16"/>
        <v>25</v>
      </c>
      <c r="R73" s="377">
        <f t="shared" si="16"/>
        <v>25</v>
      </c>
      <c r="S73" s="377">
        <f t="shared" si="16"/>
        <v>25</v>
      </c>
      <c r="T73" s="377">
        <f t="shared" si="16"/>
        <v>25</v>
      </c>
      <c r="U73" s="377">
        <f t="shared" si="16"/>
        <v>25</v>
      </c>
      <c r="V73" s="377">
        <f t="shared" si="16"/>
        <v>25</v>
      </c>
      <c r="W73" s="377">
        <f t="shared" si="16"/>
        <v>25</v>
      </c>
      <c r="X73" s="377">
        <f t="shared" si="16"/>
        <v>25</v>
      </c>
      <c r="Z73" s="377">
        <f>X73</f>
        <v>25</v>
      </c>
    </row>
    <row r="74" spans="2:26" x14ac:dyDescent="0.3">
      <c r="B74" t="inlineStr">
        <is>
          <t>SG&amp;A</t>
        </is>
      </c>
      <c r="I74" s="377">
        <f>SUMIF($D$65:$D$69,$B74,I$65:I$69)</f>
        <v>19</v>
      </c>
      <c r="J74" s="377">
        <f t="shared" si="16"/>
        <v>20</v>
      </c>
      <c r="K74" s="377">
        <f t="shared" si="16"/>
        <v>20</v>
      </c>
      <c r="L74" s="377">
        <f t="shared" si="16"/>
        <v>21</v>
      </c>
      <c r="M74" s="377" t="n">
        <f t="shared" si="16"/>
        <v>22</v>
      </c>
      <c r="N74" s="377" t="n">
        <f t="shared" si="16"/>
        <v>22</v>
      </c>
      <c r="O74" s="377" t="n">
        <f t="shared" si="16"/>
        <v>22</v>
      </c>
      <c r="P74" s="377" t="n">
        <f t="shared" si="16"/>
        <v>22</v>
      </c>
      <c r="Q74" s="377" t="n">
        <f t="shared" si="16"/>
        <v>22</v>
      </c>
      <c r="R74" s="377" t="n">
        <f t="shared" si="16"/>
        <v>22</v>
      </c>
      <c r="S74" s="377" t="n">
        <f t="shared" si="16"/>
        <v>22</v>
      </c>
      <c r="T74" s="377" t="n">
        <f t="shared" si="16"/>
        <v>22</v>
      </c>
      <c r="U74" s="377" t="n">
        <f t="shared" si="16"/>
        <v>22</v>
      </c>
      <c r="V74" s="377" t="n">
        <f t="shared" si="16"/>
        <v>22</v>
      </c>
      <c r="W74" s="377" t="n">
        <f t="shared" si="16"/>
        <v>22</v>
      </c>
      <c r="X74" s="377" t="n">
        <f t="shared" si="16"/>
        <v>22</v>
      </c>
      <c r="Z74" s="377" t="n">
        <f>X74</f>
        <v>22</v>
      </c>
    </row>
    <row r="75" spans="2:26" x14ac:dyDescent="0.3">
      <c r="B75" s="378" t="inlineStr">
        <is>
          <t>Total Headcount — COO</t>
        </is>
      </c>
      <c r="I75" s="380">
        <f>SUM(I73:I74)</f>
        <v>44</v>
      </c>
      <c r="J75" s="380">
        <f t="shared" ref="J75:X75" si="17">SUM(J73:J74)</f>
        <v>45</v>
      </c>
      <c r="K75" s="380">
        <f t="shared" si="17"/>
        <v>45</v>
      </c>
      <c r="L75" s="380">
        <f t="shared" si="17"/>
        <v>46</v>
      </c>
      <c r="M75" s="380" t="n">
        <f t="shared" si="17"/>
        <v>47</v>
      </c>
      <c r="N75" s="380" t="n">
        <f t="shared" si="17"/>
        <v>47</v>
      </c>
      <c r="O75" s="380" t="n">
        <f t="shared" si="17"/>
        <v>47</v>
      </c>
      <c r="P75" s="380" t="n">
        <f t="shared" si="17"/>
        <v>47</v>
      </c>
      <c r="Q75" s="380" t="n">
        <f t="shared" si="17"/>
        <v>47</v>
      </c>
      <c r="R75" s="380" t="n">
        <f t="shared" si="17"/>
        <v>47</v>
      </c>
      <c r="S75" s="380" t="n">
        <f t="shared" si="17"/>
        <v>47</v>
      </c>
      <c r="T75" s="380" t="n">
        <f t="shared" si="17"/>
        <v>47</v>
      </c>
      <c r="U75" s="380" t="n">
        <f t="shared" si="17"/>
        <v>47</v>
      </c>
      <c r="V75" s="380" t="n">
        <f t="shared" si="17"/>
        <v>47</v>
      </c>
      <c r="W75" s="380" t="n">
        <f t="shared" si="17"/>
        <v>47</v>
      </c>
      <c r="X75" s="380" t="n">
        <f t="shared" si="17"/>
        <v>47</v>
      </c>
      <c r="Z75" s="380" t="n">
        <f>X75</f>
        <v>47</v>
      </c>
    </row>
    <row r="76" spans="2:26" x14ac:dyDescent="0.3">
      <c r="B76" s="381" t="inlineStr">
        <is>
          <t>Check: ties to Total Headcount above (should be zero)</t>
        </is>
      </c>
      <c r="I76" s="377">
        <f>I75-I70</f>
        <v>0</v>
      </c>
      <c r="J76" s="377">
        <f t="shared" ref="J76:X76" si="18">J75-J70</f>
        <v>0</v>
      </c>
      <c r="K76" s="377">
        <f t="shared" si="18"/>
        <v>0</v>
      </c>
      <c r="L76" s="377">
        <f t="shared" si="18"/>
        <v>0</v>
      </c>
      <c r="M76" s="377">
        <f t="shared" si="18"/>
        <v>0</v>
      </c>
      <c r="N76" s="377">
        <f t="shared" si="18"/>
        <v>0</v>
      </c>
      <c r="O76" s="377">
        <f t="shared" si="18"/>
        <v>0</v>
      </c>
      <c r="P76" s="377">
        <f t="shared" si="18"/>
        <v>0</v>
      </c>
      <c r="Q76" s="377">
        <f t="shared" si="18"/>
        <v>0</v>
      </c>
      <c r="R76" s="377">
        <f t="shared" si="18"/>
        <v>0</v>
      </c>
      <c r="S76" s="377">
        <f t="shared" si="18"/>
        <v>0</v>
      </c>
      <c r="T76" s="377">
        <f t="shared" si="18"/>
        <v>0</v>
      </c>
      <c r="U76" s="377">
        <f t="shared" si="18"/>
        <v>0</v>
      </c>
      <c r="V76" s="377">
        <f t="shared" si="18"/>
        <v>0</v>
      </c>
      <c r="W76" s="377">
        <f t="shared" si="18"/>
        <v>0</v>
      </c>
      <c r="X76" s="377">
        <f t="shared" si="18"/>
        <v>0</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2.63"/>
    <col customWidth="1" min="2" max="17" width="11.63"/>
    <col customWidth="1" min="18" max="19" width="13.63"/>
    <col customWidth="1" min="20" max="20" width="21.38"/>
    <col customWidth="1" min="21" max="21" width="10.75"/>
    <col customWidth="1" min="22" max="22" width="9.5"/>
    <col customWidth="1" min="23" max="23" width="12.63"/>
    <col customWidth="1" min="24" max="24" width="13.88"/>
    <col customWidth="1" min="25" max="25" width="10.75"/>
  </cols>
  <sheetData>
    <row r="1">
      <c r="A1" s="382" t="inlineStr">
        <is>
          <t>Logistics &amp; Warehouse Payroll – Production Ops (Sep-26 to Dec-27)</t>
        </is>
      </c>
      <c r="B1" s="383"/>
      <c r="C1" s="383"/>
      <c r="D1" s="383"/>
      <c r="E1" s="383"/>
      <c r="F1" s="383"/>
      <c r="G1" s="383"/>
      <c r="H1" s="383"/>
      <c r="I1" s="383"/>
      <c r="J1" s="383"/>
      <c r="K1" s="383"/>
      <c r="L1" s="383"/>
      <c r="M1" s="383"/>
      <c r="N1" s="383"/>
      <c r="O1" s="383"/>
      <c r="P1" s="383"/>
      <c r="Q1" s="383"/>
      <c r="R1" s="383"/>
      <c r="S1" s="383"/>
      <c r="T1" s="383"/>
      <c r="U1" s="383"/>
      <c r="V1" s="383"/>
      <c r="W1" s="383"/>
      <c r="X1" s="383"/>
      <c r="Y1" s="383"/>
    </row>
    <row r="2" ht="43.5" customHeight="1">
      <c r="A2" s="384" t="inlineStr">
        <is>
          <t>Warehouse and logistics team payroll that rolls up to Production Operations, sized from the Warehouse Team 2027 Pay Budget and the end-of-2027 warehouse org chart. Burden links to Fld Ops Payroll; raise and new-hire cost link to Prod Payroll. Yellow cells are inputs, green text links to other tabs. Assumptions are listed under Notes and Assumptions.</t>
        </is>
      </c>
      <c r="T2" s="384"/>
      <c r="U2" s="384"/>
      <c r="V2" s="384"/>
      <c r="W2" s="384"/>
      <c r="X2" s="384"/>
      <c r="Y2" s="384"/>
    </row>
    <row r="3">
      <c r="A3" s="383"/>
      <c r="B3" s="383"/>
      <c r="C3" s="383"/>
      <c r="D3" s="383"/>
      <c r="E3" s="383"/>
      <c r="F3" s="383"/>
      <c r="G3" s="383"/>
      <c r="H3" s="383"/>
      <c r="I3" s="383"/>
      <c r="J3" s="383"/>
      <c r="K3" s="383"/>
      <c r="L3" s="383"/>
      <c r="M3" s="383"/>
      <c r="N3" s="383"/>
      <c r="O3" s="383"/>
      <c r="P3" s="383"/>
      <c r="Q3" s="383"/>
      <c r="R3" s="383"/>
      <c r="S3" s="383"/>
      <c r="T3" s="383"/>
      <c r="U3" s="383"/>
      <c r="V3" s="383"/>
      <c r="W3" s="383"/>
      <c r="X3" s="383"/>
      <c r="Y3" s="383"/>
    </row>
    <row r="4">
      <c r="A4" s="385" t="inlineStr">
        <is>
          <t>INPUTS</t>
        </is>
      </c>
      <c r="B4" s="385" t="inlineStr">
        <is>
          <t>Value</t>
        </is>
      </c>
      <c r="C4" s="385" t="inlineStr">
        <is>
          <t>Source</t>
        </is>
      </c>
      <c r="D4" s="383"/>
      <c r="E4" s="383"/>
      <c r="F4" s="383"/>
      <c r="G4" s="383"/>
      <c r="H4" s="383"/>
      <c r="I4" s="383"/>
      <c r="J4" s="383"/>
      <c r="K4" s="383"/>
      <c r="L4" s="383"/>
      <c r="M4" s="383"/>
      <c r="N4" s="383"/>
      <c r="O4" s="383"/>
      <c r="P4" s="383"/>
      <c r="Q4" s="383"/>
      <c r="R4" s="383"/>
      <c r="S4" s="383"/>
      <c r="T4" s="383"/>
      <c r="U4" s="383"/>
      <c r="V4" s="383"/>
      <c r="W4" s="383"/>
      <c r="X4" s="383"/>
      <c r="Y4" s="383"/>
    </row>
    <row r="5">
      <c r="A5" s="386" t="inlineStr">
        <is>
          <t>Payroll taxes (% of salary)</t>
        </is>
      </c>
      <c r="B5" s="387" t="n">
        <f>'Fld Ops Payroll'!B7</f>
        <v>0.068</v>
      </c>
      <c r="C5" s="388" t="inlineStr">
        <is>
          <t>Fld Ops Payroll B7</t>
        </is>
      </c>
      <c r="D5" s="383"/>
      <c r="E5" s="383"/>
      <c r="F5" s="383"/>
      <c r="G5" s="383"/>
      <c r="H5" s="383"/>
      <c r="I5" s="383"/>
      <c r="J5" s="383"/>
      <c r="K5" s="383"/>
      <c r="L5" s="383"/>
      <c r="M5" s="383"/>
      <c r="N5" s="383"/>
      <c r="O5" s="383"/>
      <c r="P5" s="383"/>
      <c r="Q5" s="383"/>
      <c r="R5" s="383"/>
      <c r="S5" s="383"/>
      <c r="T5" s="383"/>
      <c r="U5" s="383"/>
      <c r="V5" s="383"/>
      <c r="W5" s="383"/>
      <c r="X5" s="383"/>
      <c r="Y5" s="383"/>
    </row>
    <row r="6">
      <c r="A6" s="386" t="inlineStr">
        <is>
          <t>Benefits (% of salary)</t>
        </is>
      </c>
      <c r="B6" s="387" t="n">
        <f>'Fld Ops Payroll'!B8</f>
        <v>0.164</v>
      </c>
      <c r="C6" s="388" t="inlineStr">
        <is>
          <t>Fld Ops Payroll B8</t>
        </is>
      </c>
      <c r="D6" s="383"/>
      <c r="E6" s="383"/>
      <c r="F6" s="383"/>
      <c r="G6" s="383"/>
      <c r="H6" s="383"/>
      <c r="I6" s="383"/>
      <c r="J6" s="383"/>
      <c r="K6" s="383"/>
      <c r="L6" s="383"/>
      <c r="M6" s="383"/>
      <c r="N6" s="383"/>
      <c r="O6" s="383"/>
      <c r="P6" s="383"/>
      <c r="Q6" s="383"/>
      <c r="R6" s="383"/>
      <c r="S6" s="383"/>
      <c r="T6" s="383"/>
      <c r="U6" s="383"/>
      <c r="V6" s="383"/>
      <c r="W6" s="383"/>
      <c r="X6" s="383"/>
      <c r="Y6" s="383"/>
    </row>
    <row r="7">
      <c r="A7" s="386" t="inlineStr">
        <is>
          <t>Annual raise (% of salary)</t>
        </is>
      </c>
      <c r="B7" s="387" t="n">
        <f>'Prod Payroll'!M5</f>
        <v>0.03</v>
      </c>
      <c r="C7" s="388" t="inlineStr">
        <is>
          <t>Prod Payroll M5</t>
        </is>
      </c>
      <c r="D7" s="383"/>
      <c r="E7" s="383"/>
      <c r="F7" s="383"/>
      <c r="G7" s="383"/>
      <c r="H7" s="383"/>
      <c r="I7" s="383"/>
      <c r="J7" s="383"/>
      <c r="K7" s="383"/>
      <c r="L7" s="383"/>
      <c r="M7" s="383"/>
      <c r="N7" s="383"/>
      <c r="O7" s="383"/>
      <c r="P7" s="383"/>
      <c r="Q7" s="383"/>
      <c r="R7" s="383"/>
      <c r="S7" s="383"/>
      <c r="T7" s="383"/>
      <c r="U7" s="383"/>
      <c r="V7" s="383"/>
      <c r="W7" s="383"/>
      <c r="X7" s="383"/>
      <c r="Y7" s="383"/>
    </row>
    <row r="8">
      <c r="A8" s="386" t="inlineStr">
        <is>
          <t>Raise effective month</t>
        </is>
      </c>
      <c r="B8" s="389" t="n">
        <f>'Prod Payroll'!M6</f>
        <v>46661</v>
      </c>
      <c r="C8" s="388" t="inlineStr">
        <is>
          <t>Prod Payroll M6</t>
        </is>
      </c>
      <c r="D8" s="383"/>
      <c r="E8" s="383"/>
      <c r="F8" s="383"/>
      <c r="G8" s="383"/>
      <c r="H8" s="383"/>
      <c r="I8" s="383"/>
      <c r="J8" s="383"/>
      <c r="K8" s="383"/>
      <c r="L8" s="383"/>
      <c r="M8" s="383"/>
      <c r="N8" s="383"/>
      <c r="O8" s="383"/>
      <c r="P8" s="383"/>
      <c r="Q8" s="383"/>
      <c r="R8" s="383"/>
      <c r="S8" s="383"/>
      <c r="T8" s="383"/>
      <c r="U8" s="383"/>
      <c r="V8" s="383"/>
      <c r="W8" s="383"/>
      <c r="X8" s="383"/>
      <c r="Y8" s="383"/>
    </row>
    <row r="9">
      <c r="A9" s="386" t="inlineStr">
        <is>
          <t>Raise eligibility – min months employed</t>
        </is>
      </c>
      <c r="B9" s="390" t="n">
        <f>'Prod Payroll'!M9</f>
        <v>6</v>
      </c>
      <c r="C9" s="388" t="inlineStr">
        <is>
          <t>Prod Payroll M9</t>
        </is>
      </c>
      <c r="D9" s="383"/>
      <c r="E9" s="383"/>
      <c r="F9" s="383"/>
      <c r="G9" s="383"/>
      <c r="H9" s="383"/>
      <c r="I9" s="383"/>
      <c r="J9" s="383"/>
      <c r="K9" s="383"/>
      <c r="L9" s="383"/>
      <c r="M9" s="383"/>
      <c r="N9" s="383"/>
      <c r="O9" s="383"/>
      <c r="P9" s="383"/>
      <c r="Q9" s="383"/>
      <c r="R9" s="383"/>
      <c r="S9" s="383"/>
      <c r="T9" s="383"/>
      <c r="U9" s="383"/>
      <c r="V9" s="383"/>
      <c r="W9" s="383"/>
      <c r="X9" s="383"/>
      <c r="Y9" s="383"/>
    </row>
    <row r="10">
      <c r="A10" s="386" t="inlineStr">
        <is>
          <t>New-hire cost ($ / hire)</t>
        </is>
      </c>
      <c r="B10" s="391" t="n">
        <f>'Prod Payroll'!M7</f>
        <v>1000</v>
      </c>
      <c r="C10" s="388" t="inlineStr">
        <is>
          <t>Prod Payroll M7 (production new-hire cost)</t>
        </is>
      </c>
      <c r="D10" s="383"/>
      <c r="E10" s="383"/>
      <c r="F10" s="383"/>
      <c r="G10" s="383"/>
      <c r="H10" s="383"/>
      <c r="I10" s="383"/>
      <c r="J10" s="383"/>
      <c r="K10" s="383"/>
      <c r="L10" s="383"/>
      <c r="M10" s="383"/>
      <c r="N10" s="383"/>
      <c r="O10" s="383"/>
      <c r="P10" s="383"/>
      <c r="Q10" s="383"/>
      <c r="R10" s="383"/>
      <c r="S10" s="383"/>
      <c r="T10" s="383"/>
      <c r="U10" s="383"/>
      <c r="V10" s="383"/>
      <c r="W10" s="383"/>
      <c r="X10" s="383"/>
      <c r="Y10" s="383"/>
    </row>
    <row r="11">
      <c r="A11" s="386" t="inlineStr">
        <is>
          <t>Paid hours per year, hourly roles</t>
        </is>
      </c>
      <c r="B11" s="392">
        <v>2080.0</v>
      </c>
      <c r="C11" s="388" t="inlineStr">
        <is>
          <t>Warehouse Team 2027 Pay Budget, Assumptions tab</t>
        </is>
      </c>
      <c r="D11" s="383"/>
      <c r="E11" s="383"/>
      <c r="F11" s="383"/>
      <c r="G11" s="383"/>
      <c r="H11" s="383"/>
      <c r="I11" s="383"/>
      <c r="J11" s="383"/>
      <c r="K11" s="383"/>
      <c r="L11" s="383"/>
      <c r="M11" s="383"/>
      <c r="N11" s="383"/>
      <c r="O11" s="383"/>
      <c r="P11" s="383"/>
      <c r="Q11" s="383"/>
      <c r="R11" s="383"/>
      <c r="S11" s="383"/>
      <c r="T11" s="383"/>
      <c r="U11" s="383"/>
      <c r="V11" s="383"/>
      <c r="W11" s="383"/>
      <c r="X11" s="383"/>
      <c r="Y11" s="383"/>
    </row>
    <row r="12">
      <c r="A12" s="383"/>
      <c r="B12" s="383"/>
      <c r="C12" s="383"/>
      <c r="D12" s="383"/>
      <c r="E12" s="383"/>
      <c r="F12" s="383"/>
      <c r="G12" s="383"/>
      <c r="H12" s="383"/>
      <c r="I12" s="383"/>
      <c r="J12" s="383"/>
      <c r="K12" s="383"/>
      <c r="L12" s="383"/>
      <c r="M12" s="383"/>
      <c r="N12" s="383"/>
      <c r="O12" s="383"/>
      <c r="P12" s="383"/>
      <c r="Q12" s="383"/>
      <c r="R12" s="383"/>
      <c r="S12" s="383"/>
      <c r="T12" s="383"/>
      <c r="U12" s="383"/>
      <c r="V12" s="383"/>
      <c r="W12" s="383"/>
      <c r="X12" s="383"/>
      <c r="Y12" s="383"/>
    </row>
    <row r="13" ht="27.0" customHeight="1">
      <c r="A13" s="385" t="inlineStr">
        <is>
          <t>HEADCOUNT BY SEAT (#)</t>
        </is>
      </c>
      <c r="B13" s="393" t="n">
        <f>DeploySum!B53</f>
        <v>46295</v>
      </c>
      <c r="C13" s="393" t="n">
        <f>DeploySum!C53</f>
        <v>46326</v>
      </c>
      <c r="D13" s="393" t="n">
        <f>DeploySum!D53</f>
        <v>46356</v>
      </c>
      <c r="E13" s="393" t="n">
        <f>DeploySum!E53</f>
        <v>46387</v>
      </c>
      <c r="F13" s="393" t="n">
        <f>DeploySum!F53</f>
        <v>46418</v>
      </c>
      <c r="G13" s="393" t="n">
        <f>DeploySum!G53</f>
        <v>46446</v>
      </c>
      <c r="H13" s="393" t="n">
        <f>DeploySum!H53</f>
        <v>46477</v>
      </c>
      <c r="I13" s="393" t="n">
        <f>DeploySum!I53</f>
        <v>46507</v>
      </c>
      <c r="J13" s="393" t="n">
        <f>DeploySum!J53</f>
        <v>46538</v>
      </c>
      <c r="K13" s="393" t="n">
        <f>DeploySum!K53</f>
        <v>46568</v>
      </c>
      <c r="L13" s="393" t="n">
        <f>DeploySum!L53</f>
        <v>46599</v>
      </c>
      <c r="M13" s="393" t="n">
        <f>DeploySum!M53</f>
        <v>46630</v>
      </c>
      <c r="N13" s="393" t="n">
        <f>DeploySum!N53</f>
        <v>46660</v>
      </c>
      <c r="O13" s="393" t="n">
        <f>DeploySum!O53</f>
        <v>46691</v>
      </c>
      <c r="P13" s="393" t="n">
        <f>DeploySum!P53</f>
        <v>46721</v>
      </c>
      <c r="Q13" s="393" t="n">
        <f>DeploySum!Q53</f>
        <v>46752</v>
      </c>
      <c r="R13" s="394" t="inlineStr">
        <is>
          <t>Sep–Dec 2026</t>
        </is>
      </c>
      <c r="S13" s="394" t="inlineStr">
        <is>
          <t>FY2027</t>
        </is>
      </c>
      <c r="T13" s="395" t="inlineStr">
        <is>
          <t>Team</t>
        </is>
      </c>
      <c r="U13" s="395" t="inlineStr">
        <is>
          <t>Start month</t>
        </is>
      </c>
      <c r="V13" s="395" t="inlineStr">
        <is>
          <t>Pay type</t>
        </is>
      </c>
      <c r="W13" s="395" t="inlineStr">
        <is>
          <t>Rate ($/hr or $/yr)</t>
        </is>
      </c>
      <c r="X13" s="395" t="inlineStr">
        <is>
          <t>Annualized base ($)</t>
        </is>
      </c>
      <c r="Y13" s="395" t="inlineStr">
        <is>
          <t>Raise-eligible</t>
        </is>
      </c>
    </row>
    <row r="14">
      <c r="A14" s="396" t="inlineStr">
        <is>
          <t>LOG-01 Logistics Manager (William Welser)</t>
        </is>
      </c>
      <c r="B14" s="397" t="n">
        <f t="shared" ref="B14:Q14" si="1">IF(OR($U14="",B$13&gt;=$U14),1,0)</f>
        <v>1</v>
      </c>
      <c r="C14" s="397" t="n">
        <f t="shared" si="1"/>
        <v>1</v>
      </c>
      <c r="D14" s="397" t="n">
        <f t="shared" si="1"/>
        <v>1</v>
      </c>
      <c r="E14" s="397" t="n">
        <f t="shared" si="1"/>
        <v>1</v>
      </c>
      <c r="F14" s="397" t="n">
        <f t="shared" si="1"/>
        <v>1</v>
      </c>
      <c r="G14" s="397" t="n">
        <f t="shared" si="1"/>
        <v>1</v>
      </c>
      <c r="H14" s="397" t="n">
        <f t="shared" si="1"/>
        <v>1</v>
      </c>
      <c r="I14" s="397" t="n">
        <f t="shared" si="1"/>
        <v>1</v>
      </c>
      <c r="J14" s="397" t="n">
        <f t="shared" si="1"/>
        <v>1</v>
      </c>
      <c r="K14" s="397" t="n">
        <f t="shared" si="1"/>
        <v>1</v>
      </c>
      <c r="L14" s="397" t="n">
        <f t="shared" si="1"/>
        <v>1</v>
      </c>
      <c r="M14" s="397" t="n">
        <f t="shared" si="1"/>
        <v>1</v>
      </c>
      <c r="N14" s="397" t="n">
        <f t="shared" si="1"/>
        <v>1</v>
      </c>
      <c r="O14" s="397" t="n">
        <f t="shared" si="1"/>
        <v>1</v>
      </c>
      <c r="P14" s="397" t="n">
        <f t="shared" si="1"/>
        <v>1</v>
      </c>
      <c r="Q14" s="397" t="n">
        <f t="shared" si="1"/>
        <v>1</v>
      </c>
      <c r="R14" s="398" t="n">
        <f t="shared" ref="R14:R23" si="3">AVERAGE(B14:E14)</f>
        <v>1</v>
      </c>
      <c r="S14" s="398" t="n">
        <f t="shared" ref="S14:S23" si="4">AVERAGE(F14:Q14)</f>
        <v>1</v>
      </c>
      <c r="T14" s="399" t="inlineStr">
        <is>
          <t>Central Operations</t>
        </is>
      </c>
      <c r="U14" s="400"/>
      <c r="V14" s="401" t="inlineStr">
        <is>
          <t>Salary</t>
        </is>
      </c>
      <c r="W14" s="402">
        <v>120000.0</v>
      </c>
      <c r="X14" s="403" t="n">
        <f t="shared" ref="X14:X22" si="5">IF(V14="Hourly",W14*$B$11,W14)</f>
        <v>120000</v>
      </c>
      <c r="Y14" s="404" t="n">
        <f t="shared" ref="Y14:Y22" si="6">IF(OR(U14="",U14&lt;=EDATE($B$8,-$B$9)),1,0)</f>
        <v>1</v>
      </c>
    </row>
    <row r="15">
      <c r="A15" s="386" t="inlineStr">
        <is>
          <t>INV-01 Inventory Control Specialist</t>
        </is>
      </c>
      <c r="B15" s="397" t="n">
        <f t="shared" ref="B15:Q15" si="2">IF(OR($U15="",B$13&gt;=$U15),1,0)</f>
        <v>0</v>
      </c>
      <c r="C15" s="397" t="n">
        <f t="shared" si="2"/>
        <v>0</v>
      </c>
      <c r="D15" s="397" t="n">
        <f t="shared" si="2"/>
        <v>0</v>
      </c>
      <c r="E15" s="397" t="n">
        <f t="shared" si="2"/>
        <v>0</v>
      </c>
      <c r="F15" s="397" t="n">
        <f t="shared" si="2"/>
        <v>0</v>
      </c>
      <c r="G15" s="397" t="n">
        <f t="shared" si="2"/>
        <v>1</v>
      </c>
      <c r="H15" s="397" t="n">
        <f t="shared" si="2"/>
        <v>1</v>
      </c>
      <c r="I15" s="397" t="n">
        <f t="shared" si="2"/>
        <v>1</v>
      </c>
      <c r="J15" s="397" t="n">
        <f t="shared" si="2"/>
        <v>1</v>
      </c>
      <c r="K15" s="397" t="n">
        <f t="shared" si="2"/>
        <v>1</v>
      </c>
      <c r="L15" s="397" t="n">
        <f t="shared" si="2"/>
        <v>1</v>
      </c>
      <c r="M15" s="397" t="n">
        <f t="shared" si="2"/>
        <v>1</v>
      </c>
      <c r="N15" s="397" t="n">
        <f t="shared" si="2"/>
        <v>1</v>
      </c>
      <c r="O15" s="397" t="n">
        <f t="shared" si="2"/>
        <v>1</v>
      </c>
      <c r="P15" s="397" t="n">
        <f t="shared" si="2"/>
        <v>1</v>
      </c>
      <c r="Q15" s="397" t="n">
        <f t="shared" si="2"/>
        <v>1</v>
      </c>
      <c r="R15" s="398" t="n">
        <f t="shared" si="3"/>
        <v>0</v>
      </c>
      <c r="S15" s="398" t="n">
        <f t="shared" si="4"/>
        <v>0.916666666666667</v>
      </c>
      <c r="T15" s="399" t="inlineStr">
        <is>
          <t>Inventory control</t>
        </is>
      </c>
      <c r="U15" s="405">
        <v>46419.0</v>
      </c>
      <c r="V15" s="401" t="inlineStr">
        <is>
          <t>Salary</t>
        </is>
      </c>
      <c r="W15" s="402">
        <v>48000.0</v>
      </c>
      <c r="X15" s="403" t="n">
        <f t="shared" si="5"/>
        <v>48000</v>
      </c>
      <c r="Y15" s="404" t="n">
        <f t="shared" si="6"/>
        <v>1</v>
      </c>
    </row>
    <row r="16">
      <c r="A16" s="386" t="inlineStr">
        <is>
          <t>TL-01 Material Handling Team Lead</t>
        </is>
      </c>
      <c r="B16" s="397" t="n">
        <f t="shared" ref="B16:Q16" si="7">IF(OR($U16="",B$13&gt;=$U16),1,0)</f>
        <v>0</v>
      </c>
      <c r="C16" s="397" t="n">
        <f t="shared" si="7"/>
        <v>0</v>
      </c>
      <c r="D16" s="397" t="n">
        <f t="shared" si="7"/>
        <v>0</v>
      </c>
      <c r="E16" s="397" t="n">
        <f t="shared" si="7"/>
        <v>1</v>
      </c>
      <c r="F16" s="397" t="n">
        <f t="shared" si="7"/>
        <v>1</v>
      </c>
      <c r="G16" s="397" t="n">
        <f t="shared" si="7"/>
        <v>1</v>
      </c>
      <c r="H16" s="397" t="n">
        <f t="shared" si="7"/>
        <v>1</v>
      </c>
      <c r="I16" s="397" t="n">
        <f t="shared" si="7"/>
        <v>1</v>
      </c>
      <c r="J16" s="397" t="n">
        <f t="shared" si="7"/>
        <v>1</v>
      </c>
      <c r="K16" s="397" t="n">
        <f t="shared" si="7"/>
        <v>1</v>
      </c>
      <c r="L16" s="397" t="n">
        <f t="shared" si="7"/>
        <v>1</v>
      </c>
      <c r="M16" s="397" t="n">
        <f t="shared" si="7"/>
        <v>1</v>
      </c>
      <c r="N16" s="397" t="n">
        <f t="shared" si="7"/>
        <v>1</v>
      </c>
      <c r="O16" s="397" t="n">
        <f t="shared" si="7"/>
        <v>1</v>
      </c>
      <c r="P16" s="397" t="n">
        <f t="shared" si="7"/>
        <v>1</v>
      </c>
      <c r="Q16" s="397" t="n">
        <f t="shared" si="7"/>
        <v>1</v>
      </c>
      <c r="R16" s="398" t="n">
        <f t="shared" si="3"/>
        <v>0.25</v>
      </c>
      <c r="S16" s="398" t="n">
        <f t="shared" si="4"/>
        <v>1</v>
      </c>
      <c r="T16" s="399" t="inlineStr">
        <is>
          <t>Receiving &amp; putaway</t>
        </is>
      </c>
      <c r="U16" s="405">
        <v>46357.0</v>
      </c>
      <c r="V16" s="401" t="inlineStr">
        <is>
          <t>Hourly</t>
        </is>
      </c>
      <c r="W16" s="406">
        <v>25.0</v>
      </c>
      <c r="X16" s="403" t="n">
        <f t="shared" si="5"/>
        <v>52000</v>
      </c>
      <c r="Y16" s="404" t="n">
        <f t="shared" si="6"/>
        <v>1</v>
      </c>
    </row>
    <row r="17">
      <c r="A17" s="386" t="inlineStr">
        <is>
          <t>TL-02 Material Handling Team Lead</t>
        </is>
      </c>
      <c r="B17" s="397" t="n">
        <f t="shared" ref="B17:Q17" si="8">IF(OR($U17="",B$13&gt;=$U17),1,0)</f>
        <v>0</v>
      </c>
      <c r="C17" s="397" t="n">
        <f t="shared" si="8"/>
        <v>0</v>
      </c>
      <c r="D17" s="397" t="n">
        <f t="shared" si="8"/>
        <v>0</v>
      </c>
      <c r="E17" s="397" t="n">
        <f t="shared" si="8"/>
        <v>0</v>
      </c>
      <c r="F17" s="397" t="n">
        <f t="shared" si="8"/>
        <v>0</v>
      </c>
      <c r="G17" s="397" t="n">
        <f t="shared" si="8"/>
        <v>0</v>
      </c>
      <c r="H17" s="397" t="n">
        <f t="shared" si="8"/>
        <v>0</v>
      </c>
      <c r="I17" s="397" t="n">
        <f t="shared" si="8"/>
        <v>0</v>
      </c>
      <c r="J17" s="397" t="n">
        <f t="shared" si="8"/>
        <v>0</v>
      </c>
      <c r="K17" s="397" t="n">
        <f t="shared" si="8"/>
        <v>0</v>
      </c>
      <c r="L17" s="397" t="n">
        <f t="shared" si="8"/>
        <v>1</v>
      </c>
      <c r="M17" s="397" t="n">
        <f t="shared" si="8"/>
        <v>1</v>
      </c>
      <c r="N17" s="397" t="n">
        <f t="shared" si="8"/>
        <v>1</v>
      </c>
      <c r="O17" s="397" t="n">
        <f t="shared" si="8"/>
        <v>1</v>
      </c>
      <c r="P17" s="397" t="n">
        <f t="shared" si="8"/>
        <v>1</v>
      </c>
      <c r="Q17" s="397" t="n">
        <f t="shared" si="8"/>
        <v>1</v>
      </c>
      <c r="R17" s="398" t="n">
        <f t="shared" si="3"/>
        <v>0</v>
      </c>
      <c r="S17" s="398" t="n">
        <f t="shared" si="4"/>
        <v>0.5</v>
      </c>
      <c r="T17" s="399" t="inlineStr">
        <is>
          <t>Kitting &amp; line replenishment</t>
        </is>
      </c>
      <c r="U17" s="405">
        <v>46569.0</v>
      </c>
      <c r="V17" s="401" t="inlineStr">
        <is>
          <t>Hourly</t>
        </is>
      </c>
      <c r="W17" s="406">
        <v>25.0</v>
      </c>
      <c r="X17" s="403" t="n">
        <f t="shared" si="5"/>
        <v>52000</v>
      </c>
      <c r="Y17" s="404" t="n">
        <f t="shared" si="6"/>
        <v>0</v>
      </c>
    </row>
    <row r="18">
      <c r="A18" s="386" t="inlineStr">
        <is>
          <t>MH-01 Material Handler (Austin Steed)</t>
        </is>
      </c>
      <c r="B18" s="397" t="n">
        <f t="shared" ref="B18:Q18" si="9">IF(OR($U18="",B$13&gt;=$U18),1,0)</f>
        <v>1</v>
      </c>
      <c r="C18" s="397" t="n">
        <f t="shared" si="9"/>
        <v>1</v>
      </c>
      <c r="D18" s="397" t="n">
        <f t="shared" si="9"/>
        <v>1</v>
      </c>
      <c r="E18" s="397" t="n">
        <f t="shared" si="9"/>
        <v>1</v>
      </c>
      <c r="F18" s="397" t="n">
        <f t="shared" si="9"/>
        <v>1</v>
      </c>
      <c r="G18" s="397" t="n">
        <f t="shared" si="9"/>
        <v>1</v>
      </c>
      <c r="H18" s="397" t="n">
        <f t="shared" si="9"/>
        <v>1</v>
      </c>
      <c r="I18" s="397" t="n">
        <f t="shared" si="9"/>
        <v>1</v>
      </c>
      <c r="J18" s="397" t="n">
        <f t="shared" si="9"/>
        <v>1</v>
      </c>
      <c r="K18" s="397" t="n">
        <f t="shared" si="9"/>
        <v>1</v>
      </c>
      <c r="L18" s="397" t="n">
        <f t="shared" si="9"/>
        <v>1</v>
      </c>
      <c r="M18" s="397" t="n">
        <f t="shared" si="9"/>
        <v>1</v>
      </c>
      <c r="N18" s="397" t="n">
        <f t="shared" si="9"/>
        <v>1</v>
      </c>
      <c r="O18" s="397" t="n">
        <f t="shared" si="9"/>
        <v>1</v>
      </c>
      <c r="P18" s="397" t="n">
        <f t="shared" si="9"/>
        <v>1</v>
      </c>
      <c r="Q18" s="397" t="n">
        <f t="shared" si="9"/>
        <v>1</v>
      </c>
      <c r="R18" s="398" t="n">
        <f t="shared" si="3"/>
        <v>1</v>
      </c>
      <c r="S18" s="398" t="n">
        <f t="shared" si="4"/>
        <v>1</v>
      </c>
      <c r="T18" s="399" t="inlineStr">
        <is>
          <t>Receiving &amp; putaway</t>
        </is>
      </c>
      <c r="U18" s="400"/>
      <c r="V18" s="401" t="inlineStr">
        <is>
          <t>Hourly</t>
        </is>
      </c>
      <c r="W18" s="406">
        <v>24.0</v>
      </c>
      <c r="X18" s="403" t="n">
        <f t="shared" si="5"/>
        <v>49920</v>
      </c>
      <c r="Y18" s="404" t="n">
        <f t="shared" si="6"/>
        <v>1</v>
      </c>
    </row>
    <row r="19">
      <c r="A19" s="386" t="inlineStr">
        <is>
          <t>MH-02 Material Handler (backfill for Servando Flores)</t>
        </is>
      </c>
      <c r="B19" s="397" t="n">
        <f t="shared" ref="B19:Q19" si="10">IF(OR($U19="",B$13&gt;=$U19),1,0)</f>
        <v>0</v>
      </c>
      <c r="C19" s="397" t="n">
        <f t="shared" si="10"/>
        <v>1</v>
      </c>
      <c r="D19" s="397" t="n">
        <f t="shared" si="10"/>
        <v>1</v>
      </c>
      <c r="E19" s="397" t="n">
        <f t="shared" si="10"/>
        <v>1</v>
      </c>
      <c r="F19" s="397" t="n">
        <f t="shared" si="10"/>
        <v>1</v>
      </c>
      <c r="G19" s="397" t="n">
        <f t="shared" si="10"/>
        <v>1</v>
      </c>
      <c r="H19" s="397" t="n">
        <f t="shared" si="10"/>
        <v>1</v>
      </c>
      <c r="I19" s="397" t="n">
        <f t="shared" si="10"/>
        <v>1</v>
      </c>
      <c r="J19" s="397" t="n">
        <f t="shared" si="10"/>
        <v>1</v>
      </c>
      <c r="K19" s="397" t="n">
        <f t="shared" si="10"/>
        <v>1</v>
      </c>
      <c r="L19" s="397" t="n">
        <f t="shared" si="10"/>
        <v>1</v>
      </c>
      <c r="M19" s="397" t="n">
        <f t="shared" si="10"/>
        <v>1</v>
      </c>
      <c r="N19" s="397" t="n">
        <f t="shared" si="10"/>
        <v>1</v>
      </c>
      <c r="O19" s="397" t="n">
        <f t="shared" si="10"/>
        <v>1</v>
      </c>
      <c r="P19" s="397" t="n">
        <f t="shared" si="10"/>
        <v>1</v>
      </c>
      <c r="Q19" s="397" t="n">
        <f t="shared" si="10"/>
        <v>1</v>
      </c>
      <c r="R19" s="398" t="n">
        <f t="shared" si="3"/>
        <v>0.75</v>
      </c>
      <c r="S19" s="398" t="n">
        <f t="shared" si="4"/>
        <v>1</v>
      </c>
      <c r="T19" s="399" t="inlineStr">
        <is>
          <t>Receiving &amp; putaway</t>
        </is>
      </c>
      <c r="U19" s="405">
        <v>46296.0</v>
      </c>
      <c r="V19" s="401" t="inlineStr">
        <is>
          <t>Hourly</t>
        </is>
      </c>
      <c r="W19" s="407" t="n">
        <f t="shared" ref="W19:W22" si="12">$W$18</f>
        <v>24</v>
      </c>
      <c r="X19" s="403" t="n">
        <f t="shared" si="5"/>
        <v>49920</v>
      </c>
      <c r="Y19" s="404" t="n">
        <f t="shared" si="6"/>
        <v>1</v>
      </c>
    </row>
    <row r="20">
      <c r="A20" s="386" t="inlineStr">
        <is>
          <t>MH-06 Material Handler</t>
        </is>
      </c>
      <c r="B20" s="397" t="n">
        <f t="shared" ref="B20:Q20" si="11">IF(OR($U20="",B$13&gt;=$U20),1,0)</f>
        <v>0</v>
      </c>
      <c r="C20" s="397" t="n">
        <f t="shared" si="11"/>
        <v>0</v>
      </c>
      <c r="D20" s="397" t="n">
        <f t="shared" si="11"/>
        <v>0</v>
      </c>
      <c r="E20" s="397" t="n">
        <f t="shared" si="11"/>
        <v>0</v>
      </c>
      <c r="F20" s="397" t="n">
        <f t="shared" si="11"/>
        <v>0</v>
      </c>
      <c r="G20" s="397" t="n">
        <f t="shared" si="11"/>
        <v>0</v>
      </c>
      <c r="H20" s="397" t="n">
        <f t="shared" si="11"/>
        <v>0</v>
      </c>
      <c r="I20" s="397" t="n">
        <f t="shared" si="11"/>
        <v>0</v>
      </c>
      <c r="J20" s="397" t="n">
        <f t="shared" si="11"/>
        <v>0</v>
      </c>
      <c r="K20" s="397" t="n">
        <f t="shared" si="11"/>
        <v>0</v>
      </c>
      <c r="L20" s="397" t="n">
        <f t="shared" si="11"/>
        <v>1</v>
      </c>
      <c r="M20" s="397" t="n">
        <f t="shared" si="11"/>
        <v>1</v>
      </c>
      <c r="N20" s="397" t="n">
        <f t="shared" si="11"/>
        <v>1</v>
      </c>
      <c r="O20" s="397" t="n">
        <f t="shared" si="11"/>
        <v>1</v>
      </c>
      <c r="P20" s="397" t="n">
        <f t="shared" si="11"/>
        <v>1</v>
      </c>
      <c r="Q20" s="397" t="n">
        <f t="shared" si="11"/>
        <v>1</v>
      </c>
      <c r="R20" s="398" t="n">
        <f t="shared" si="3"/>
        <v>0</v>
      </c>
      <c r="S20" s="398" t="n">
        <f t="shared" si="4"/>
        <v>0.5</v>
      </c>
      <c r="T20" s="399" t="inlineStr">
        <is>
          <t>Receiving &amp; putaway</t>
        </is>
      </c>
      <c r="U20" s="405">
        <v>46569.0</v>
      </c>
      <c r="V20" s="401" t="inlineStr">
        <is>
          <t>Hourly</t>
        </is>
      </c>
      <c r="W20" s="407" t="n">
        <f t="shared" si="12"/>
        <v>24</v>
      </c>
      <c r="X20" s="403" t="n">
        <f t="shared" si="5"/>
        <v>49920</v>
      </c>
      <c r="Y20" s="404" t="n">
        <f t="shared" si="6"/>
        <v>0</v>
      </c>
    </row>
    <row r="21">
      <c r="A21" s="386" t="inlineStr">
        <is>
          <t>MH-03 Material Handler</t>
        </is>
      </c>
      <c r="B21" s="397" t="n">
        <f t="shared" ref="B21:Q21" si="13">IF(OR($U21="",B$13&gt;=$U21),1,0)</f>
        <v>0</v>
      </c>
      <c r="C21" s="397" t="n">
        <f t="shared" si="13"/>
        <v>0</v>
      </c>
      <c r="D21" s="397" t="n">
        <f t="shared" si="13"/>
        <v>0</v>
      </c>
      <c r="E21" s="397" t="n">
        <f t="shared" si="13"/>
        <v>0</v>
      </c>
      <c r="F21" s="397" t="n">
        <f t="shared" si="13"/>
        <v>0</v>
      </c>
      <c r="G21" s="397" t="n">
        <f t="shared" si="13"/>
        <v>0</v>
      </c>
      <c r="H21" s="397" t="n">
        <f t="shared" si="13"/>
        <v>1</v>
      </c>
      <c r="I21" s="397" t="n">
        <f t="shared" si="13"/>
        <v>1</v>
      </c>
      <c r="J21" s="397" t="n">
        <f t="shared" si="13"/>
        <v>1</v>
      </c>
      <c r="K21" s="397" t="n">
        <f t="shared" si="13"/>
        <v>1</v>
      </c>
      <c r="L21" s="397" t="n">
        <f t="shared" si="13"/>
        <v>1</v>
      </c>
      <c r="M21" s="397" t="n">
        <f t="shared" si="13"/>
        <v>1</v>
      </c>
      <c r="N21" s="397" t="n">
        <f t="shared" si="13"/>
        <v>1</v>
      </c>
      <c r="O21" s="397" t="n">
        <f t="shared" si="13"/>
        <v>1</v>
      </c>
      <c r="P21" s="397" t="n">
        <f t="shared" si="13"/>
        <v>1</v>
      </c>
      <c r="Q21" s="397" t="n">
        <f t="shared" si="13"/>
        <v>1</v>
      </c>
      <c r="R21" s="398" t="n">
        <f t="shared" si="3"/>
        <v>0</v>
      </c>
      <c r="S21" s="398" t="n">
        <f t="shared" si="4"/>
        <v>0.833333333333333</v>
      </c>
      <c r="T21" s="399" t="inlineStr">
        <is>
          <t>Kitting &amp; line replenishment</t>
        </is>
      </c>
      <c r="U21" s="405">
        <v>46447.0</v>
      </c>
      <c r="V21" s="401" t="inlineStr">
        <is>
          <t>Hourly</t>
        </is>
      </c>
      <c r="W21" s="407" t="n">
        <f t="shared" si="12"/>
        <v>24</v>
      </c>
      <c r="X21" s="403" t="n">
        <f t="shared" si="5"/>
        <v>49920</v>
      </c>
      <c r="Y21" s="404" t="n">
        <f t="shared" si="6"/>
        <v>1</v>
      </c>
    </row>
    <row r="22">
      <c r="A22" s="386" t="inlineStr">
        <is>
          <t>MH-04 Material Handler</t>
        </is>
      </c>
      <c r="B22" s="397" t="n">
        <f t="shared" ref="B22:Q22" si="14">IF(OR($U22="",B$13&gt;=$U22),1,0)</f>
        <v>0</v>
      </c>
      <c r="C22" s="397" t="n">
        <f t="shared" si="14"/>
        <v>0</v>
      </c>
      <c r="D22" s="397" t="n">
        <f t="shared" si="14"/>
        <v>0</v>
      </c>
      <c r="E22" s="397" t="n">
        <f t="shared" si="14"/>
        <v>0</v>
      </c>
      <c r="F22" s="397" t="n">
        <f t="shared" si="14"/>
        <v>0</v>
      </c>
      <c r="G22" s="397" t="n">
        <f t="shared" si="14"/>
        <v>0</v>
      </c>
      <c r="H22" s="397" t="n">
        <f t="shared" si="14"/>
        <v>0</v>
      </c>
      <c r="I22" s="397" t="n">
        <f t="shared" si="14"/>
        <v>0</v>
      </c>
      <c r="J22" s="397" t="n">
        <f t="shared" si="14"/>
        <v>0</v>
      </c>
      <c r="K22" s="397" t="n">
        <f t="shared" si="14"/>
        <v>1</v>
      </c>
      <c r="L22" s="397" t="n">
        <f t="shared" si="14"/>
        <v>1</v>
      </c>
      <c r="M22" s="397" t="n">
        <f t="shared" si="14"/>
        <v>1</v>
      </c>
      <c r="N22" s="397" t="n">
        <f t="shared" si="14"/>
        <v>1</v>
      </c>
      <c r="O22" s="397" t="n">
        <f t="shared" si="14"/>
        <v>1</v>
      </c>
      <c r="P22" s="397" t="n">
        <f t="shared" si="14"/>
        <v>1</v>
      </c>
      <c r="Q22" s="397" t="n">
        <f t="shared" si="14"/>
        <v>1</v>
      </c>
      <c r="R22" s="398" t="n">
        <f t="shared" si="3"/>
        <v>0</v>
      </c>
      <c r="S22" s="398" t="n">
        <f t="shared" si="4"/>
        <v>0.583333333333333</v>
      </c>
      <c r="T22" s="399" t="inlineStr">
        <is>
          <t>Kitting &amp; line replenishment</t>
        </is>
      </c>
      <c r="U22" s="405">
        <v>46539.0</v>
      </c>
      <c r="V22" s="401" t="inlineStr">
        <is>
          <t>Hourly</t>
        </is>
      </c>
      <c r="W22" s="407" t="n">
        <f t="shared" si="12"/>
        <v>24</v>
      </c>
      <c r="X22" s="403" t="n">
        <f t="shared" si="5"/>
        <v>49920</v>
      </c>
      <c r="Y22" s="404" t="n">
        <f t="shared" si="6"/>
        <v>0</v>
      </c>
    </row>
    <row r="23">
      <c r="A23" s="408" t="inlineStr">
        <is>
          <t>Total headcount</t>
        </is>
      </c>
      <c r="B23" s="409" t="n">
        <f t="shared" ref="B23:Q23" si="15">SUM(B14:B22)</f>
        <v>2</v>
      </c>
      <c r="C23" s="409" t="n">
        <f t="shared" si="15"/>
        <v>3</v>
      </c>
      <c r="D23" s="409" t="n">
        <f t="shared" si="15"/>
        <v>3</v>
      </c>
      <c r="E23" s="409" t="n">
        <f t="shared" si="15"/>
        <v>4</v>
      </c>
      <c r="F23" s="409" t="n">
        <f t="shared" si="15"/>
        <v>4</v>
      </c>
      <c r="G23" s="409" t="n">
        <f t="shared" si="15"/>
        <v>5</v>
      </c>
      <c r="H23" s="409" t="n">
        <f t="shared" si="15"/>
        <v>6</v>
      </c>
      <c r="I23" s="409" t="n">
        <f t="shared" si="15"/>
        <v>6</v>
      </c>
      <c r="J23" s="409" t="n">
        <f t="shared" si="15"/>
        <v>6</v>
      </c>
      <c r="K23" s="409" t="n">
        <f t="shared" si="15"/>
        <v>7</v>
      </c>
      <c r="L23" s="409" t="n">
        <f t="shared" si="15"/>
        <v>9</v>
      </c>
      <c r="M23" s="409" t="n">
        <f t="shared" si="15"/>
        <v>9</v>
      </c>
      <c r="N23" s="409" t="n">
        <f t="shared" si="15"/>
        <v>9</v>
      </c>
      <c r="O23" s="409" t="n">
        <f t="shared" si="15"/>
        <v>9</v>
      </c>
      <c r="P23" s="409" t="n">
        <f t="shared" si="15"/>
        <v>9</v>
      </c>
      <c r="Q23" s="409" t="n">
        <f t="shared" si="15"/>
        <v>9</v>
      </c>
      <c r="R23" s="410" t="n">
        <f t="shared" si="3"/>
        <v>3</v>
      </c>
      <c r="S23" s="410" t="n">
        <f t="shared" si="4"/>
        <v>7.33333333333333</v>
      </c>
      <c r="T23" s="398"/>
      <c r="U23" s="398"/>
      <c r="V23" s="398"/>
      <c r="W23" s="398"/>
      <c r="X23" s="398"/>
      <c r="Y23" s="398"/>
    </row>
    <row r="24">
      <c r="A24" s="386" t="inlineStr">
        <is>
          <t>New hires (#)</t>
        </is>
      </c>
      <c r="B24" s="397" t="n">
        <f t="shared" ref="B24:Q24" si="16">SUMPRODUCT(($U$14:$U$22&gt;EOMONTH(B$13,-1))*($U$14:$U$22&lt;=B$13))</f>
        <v>0</v>
      </c>
      <c r="C24" s="397" t="n">
        <f t="shared" si="16"/>
        <v>1</v>
      </c>
      <c r="D24" s="397" t="n">
        <f t="shared" si="16"/>
        <v>0</v>
      </c>
      <c r="E24" s="397" t="n">
        <f t="shared" si="16"/>
        <v>1</v>
      </c>
      <c r="F24" s="397" t="n">
        <f t="shared" si="16"/>
        <v>0</v>
      </c>
      <c r="G24" s="397" t="n">
        <f t="shared" si="16"/>
        <v>1</v>
      </c>
      <c r="H24" s="397" t="n">
        <f t="shared" si="16"/>
        <v>1</v>
      </c>
      <c r="I24" s="397" t="n">
        <f t="shared" si="16"/>
        <v>0</v>
      </c>
      <c r="J24" s="397" t="n">
        <f t="shared" si="16"/>
        <v>0</v>
      </c>
      <c r="K24" s="397" t="n">
        <f t="shared" si="16"/>
        <v>1</v>
      </c>
      <c r="L24" s="397" t="n">
        <f t="shared" si="16"/>
        <v>2</v>
      </c>
      <c r="M24" s="397" t="n">
        <f t="shared" si="16"/>
        <v>0</v>
      </c>
      <c r="N24" s="397" t="n">
        <f t="shared" si="16"/>
        <v>0</v>
      </c>
      <c r="O24" s="397" t="n">
        <f t="shared" si="16"/>
        <v>0</v>
      </c>
      <c r="P24" s="397" t="n">
        <f t="shared" si="16"/>
        <v>0</v>
      </c>
      <c r="Q24" s="397" t="n">
        <f t="shared" si="16"/>
        <v>0</v>
      </c>
      <c r="R24" s="411" t="n">
        <f>SUM(B24:E24)</f>
        <v>2</v>
      </c>
      <c r="S24" s="411" t="n">
        <f>SUM(F24:Q24)</f>
        <v>5</v>
      </c>
      <c r="T24" s="411"/>
      <c r="U24" s="411"/>
      <c r="V24" s="411"/>
      <c r="W24" s="411"/>
      <c r="X24" s="411"/>
      <c r="Y24" s="411"/>
    </row>
    <row r="25">
      <c r="A25" s="383"/>
      <c r="B25" s="397"/>
      <c r="C25" s="397"/>
      <c r="D25" s="397"/>
      <c r="E25" s="397"/>
      <c r="F25" s="397"/>
      <c r="G25" s="397"/>
      <c r="H25" s="397"/>
      <c r="I25" s="397"/>
      <c r="J25" s="397"/>
      <c r="K25" s="397"/>
      <c r="L25" s="397"/>
      <c r="M25" s="397"/>
      <c r="N25" s="397"/>
      <c r="O25" s="397"/>
      <c r="P25" s="397"/>
      <c r="Q25" s="397"/>
      <c r="R25" s="383"/>
      <c r="S25" s="383"/>
      <c r="T25" s="383"/>
      <c r="U25" s="383"/>
      <c r="V25" s="383"/>
      <c r="W25" s="383"/>
      <c r="X25" s="383"/>
      <c r="Y25" s="383"/>
    </row>
    <row r="26">
      <c r="A26" s="385" t="inlineStr">
        <is>
          <t>HEADCOUNT BY TEAM (#)</t>
        </is>
      </c>
      <c r="B26" s="393" t="n">
        <f>DeploySum!B53</f>
        <v>46295</v>
      </c>
      <c r="C26" s="393" t="n">
        <f>DeploySum!C53</f>
        <v>46326</v>
      </c>
      <c r="D26" s="393" t="n">
        <f>DeploySum!D53</f>
        <v>46356</v>
      </c>
      <c r="E26" s="393" t="n">
        <f>DeploySum!E53</f>
        <v>46387</v>
      </c>
      <c r="F26" s="393" t="n">
        <f>DeploySum!F53</f>
        <v>46418</v>
      </c>
      <c r="G26" s="393" t="n">
        <f>DeploySum!G53</f>
        <v>46446</v>
      </c>
      <c r="H26" s="393" t="n">
        <f>DeploySum!H53</f>
        <v>46477</v>
      </c>
      <c r="I26" s="393" t="n">
        <f>DeploySum!I53</f>
        <v>46507</v>
      </c>
      <c r="J26" s="393" t="n">
        <f>DeploySum!J53</f>
        <v>46538</v>
      </c>
      <c r="K26" s="393" t="n">
        <f>DeploySum!K53</f>
        <v>46568</v>
      </c>
      <c r="L26" s="393" t="n">
        <f>DeploySum!L53</f>
        <v>46599</v>
      </c>
      <c r="M26" s="393" t="n">
        <f>DeploySum!M53</f>
        <v>46630</v>
      </c>
      <c r="N26" s="393" t="n">
        <f>DeploySum!N53</f>
        <v>46660</v>
      </c>
      <c r="O26" s="393" t="n">
        <f>DeploySum!O53</f>
        <v>46691</v>
      </c>
      <c r="P26" s="393" t="n">
        <f>DeploySum!P53</f>
        <v>46721</v>
      </c>
      <c r="Q26" s="393" t="n">
        <f>DeploySum!Q53</f>
        <v>46752</v>
      </c>
      <c r="R26" s="394" t="inlineStr">
        <is>
          <t>Sep–Dec 2026</t>
        </is>
      </c>
      <c r="S26" s="394" t="inlineStr">
        <is>
          <t>FY2027</t>
        </is>
      </c>
      <c r="T26" s="394"/>
      <c r="U26" s="394"/>
      <c r="V26" s="394"/>
      <c r="W26" s="394"/>
      <c r="X26" s="394"/>
      <c r="Y26" s="394"/>
    </row>
    <row r="27">
      <c r="A27" s="386" t="inlineStr">
        <is>
          <t>Central Operations</t>
        </is>
      </c>
      <c r="B27" s="397" t="n">
        <f t="shared" ref="B27:Q27" si="17">SUMIF($T$14:$T$22,$A27,B$14:B$22)</f>
        <v>1</v>
      </c>
      <c r="C27" s="397" t="n">
        <f t="shared" si="17"/>
        <v>1</v>
      </c>
      <c r="D27" s="397" t="n">
        <f t="shared" si="17"/>
        <v>1</v>
      </c>
      <c r="E27" s="397" t="n">
        <f t="shared" si="17"/>
        <v>1</v>
      </c>
      <c r="F27" s="397" t="n">
        <f t="shared" si="17"/>
        <v>1</v>
      </c>
      <c r="G27" s="397" t="n">
        <f t="shared" si="17"/>
        <v>1</v>
      </c>
      <c r="H27" s="397" t="n">
        <f t="shared" si="17"/>
        <v>1</v>
      </c>
      <c r="I27" s="397" t="n">
        <f t="shared" si="17"/>
        <v>1</v>
      </c>
      <c r="J27" s="397" t="n">
        <f t="shared" si="17"/>
        <v>1</v>
      </c>
      <c r="K27" s="397" t="n">
        <f t="shared" si="17"/>
        <v>1</v>
      </c>
      <c r="L27" s="397" t="n">
        <f t="shared" si="17"/>
        <v>1</v>
      </c>
      <c r="M27" s="397" t="n">
        <f t="shared" si="17"/>
        <v>1</v>
      </c>
      <c r="N27" s="397" t="n">
        <f t="shared" si="17"/>
        <v>1</v>
      </c>
      <c r="O27" s="397" t="n">
        <f t="shared" si="17"/>
        <v>1</v>
      </c>
      <c r="P27" s="397" t="n">
        <f t="shared" si="17"/>
        <v>1</v>
      </c>
      <c r="Q27" s="397" t="n">
        <f t="shared" si="17"/>
        <v>1</v>
      </c>
      <c r="R27" s="398" t="n">
        <f t="shared" ref="R27:R31" si="19">AVERAGE(B27:E27)</f>
        <v>1</v>
      </c>
      <c r="S27" s="398" t="n">
        <f t="shared" ref="S27:S31" si="20">AVERAGE(F27:Q27)</f>
        <v>1</v>
      </c>
      <c r="T27" s="398"/>
      <c r="U27" s="398"/>
      <c r="V27" s="398"/>
      <c r="W27" s="398"/>
      <c r="X27" s="398"/>
      <c r="Y27" s="398"/>
    </row>
    <row r="28">
      <c r="A28" s="386" t="inlineStr">
        <is>
          <t>Inventory control</t>
        </is>
      </c>
      <c r="B28" s="397" t="n">
        <f t="shared" ref="B28:Q28" si="18">SUMIF($T$14:$T$22,$A28,B$14:B$22)</f>
        <v>0</v>
      </c>
      <c r="C28" s="397" t="n">
        <f t="shared" si="18"/>
        <v>0</v>
      </c>
      <c r="D28" s="397" t="n">
        <f t="shared" si="18"/>
        <v>0</v>
      </c>
      <c r="E28" s="397" t="n">
        <f t="shared" si="18"/>
        <v>0</v>
      </c>
      <c r="F28" s="397" t="n">
        <f t="shared" si="18"/>
        <v>0</v>
      </c>
      <c r="G28" s="397" t="n">
        <f t="shared" si="18"/>
        <v>1</v>
      </c>
      <c r="H28" s="397" t="n">
        <f t="shared" si="18"/>
        <v>1</v>
      </c>
      <c r="I28" s="397" t="n">
        <f t="shared" si="18"/>
        <v>1</v>
      </c>
      <c r="J28" s="397" t="n">
        <f t="shared" si="18"/>
        <v>1</v>
      </c>
      <c r="K28" s="397" t="n">
        <f t="shared" si="18"/>
        <v>1</v>
      </c>
      <c r="L28" s="397" t="n">
        <f t="shared" si="18"/>
        <v>1</v>
      </c>
      <c r="M28" s="397" t="n">
        <f t="shared" si="18"/>
        <v>1</v>
      </c>
      <c r="N28" s="397" t="n">
        <f t="shared" si="18"/>
        <v>1</v>
      </c>
      <c r="O28" s="397" t="n">
        <f t="shared" si="18"/>
        <v>1</v>
      </c>
      <c r="P28" s="397" t="n">
        <f t="shared" si="18"/>
        <v>1</v>
      </c>
      <c r="Q28" s="397" t="n">
        <f t="shared" si="18"/>
        <v>1</v>
      </c>
      <c r="R28" s="398" t="n">
        <f t="shared" si="19"/>
        <v>0</v>
      </c>
      <c r="S28" s="398" t="n">
        <f t="shared" si="20"/>
        <v>0.916666666666667</v>
      </c>
      <c r="T28" s="398"/>
      <c r="U28" s="398"/>
      <c r="V28" s="398"/>
      <c r="W28" s="398"/>
      <c r="X28" s="398"/>
      <c r="Y28" s="398"/>
    </row>
    <row r="29">
      <c r="A29" s="386" t="inlineStr">
        <is>
          <t>Receiving &amp; putaway</t>
        </is>
      </c>
      <c r="B29" s="397" t="n">
        <f t="shared" ref="B29:Q29" si="21">SUMIF($T$14:$T$22,$A29,B$14:B$22)</f>
        <v>1</v>
      </c>
      <c r="C29" s="397" t="n">
        <f t="shared" si="21"/>
        <v>2</v>
      </c>
      <c r="D29" s="397" t="n">
        <f t="shared" si="21"/>
        <v>2</v>
      </c>
      <c r="E29" s="397" t="n">
        <f t="shared" si="21"/>
        <v>3</v>
      </c>
      <c r="F29" s="397" t="n">
        <f t="shared" si="21"/>
        <v>3</v>
      </c>
      <c r="G29" s="397" t="n">
        <f t="shared" si="21"/>
        <v>3</v>
      </c>
      <c r="H29" s="397" t="n">
        <f t="shared" si="21"/>
        <v>3</v>
      </c>
      <c r="I29" s="397" t="n">
        <f t="shared" si="21"/>
        <v>3</v>
      </c>
      <c r="J29" s="397" t="n">
        <f t="shared" si="21"/>
        <v>3</v>
      </c>
      <c r="K29" s="397" t="n">
        <f t="shared" si="21"/>
        <v>3</v>
      </c>
      <c r="L29" s="397" t="n">
        <f t="shared" si="21"/>
        <v>4</v>
      </c>
      <c r="M29" s="397" t="n">
        <f t="shared" si="21"/>
        <v>4</v>
      </c>
      <c r="N29" s="397" t="n">
        <f t="shared" si="21"/>
        <v>4</v>
      </c>
      <c r="O29" s="397" t="n">
        <f t="shared" si="21"/>
        <v>4</v>
      </c>
      <c r="P29" s="397" t="n">
        <f t="shared" si="21"/>
        <v>4</v>
      </c>
      <c r="Q29" s="397" t="n">
        <f t="shared" si="21"/>
        <v>4</v>
      </c>
      <c r="R29" s="398" t="n">
        <f t="shared" si="19"/>
        <v>2</v>
      </c>
      <c r="S29" s="398" t="n">
        <f t="shared" si="20"/>
        <v>3.5</v>
      </c>
      <c r="T29" s="398"/>
      <c r="U29" s="398"/>
      <c r="V29" s="398"/>
      <c r="W29" s="398"/>
      <c r="X29" s="398"/>
      <c r="Y29" s="398"/>
    </row>
    <row r="30">
      <c r="A30" s="386" t="inlineStr">
        <is>
          <t>Kitting &amp; line replenishment</t>
        </is>
      </c>
      <c r="B30" s="397" t="n">
        <f t="shared" ref="B30:Q30" si="22">SUMIF($T$14:$T$22,$A30,B$14:B$22)</f>
        <v>0</v>
      </c>
      <c r="C30" s="397" t="n">
        <f t="shared" si="22"/>
        <v>0</v>
      </c>
      <c r="D30" s="397" t="n">
        <f t="shared" si="22"/>
        <v>0</v>
      </c>
      <c r="E30" s="397" t="n">
        <f t="shared" si="22"/>
        <v>0</v>
      </c>
      <c r="F30" s="397" t="n">
        <f t="shared" si="22"/>
        <v>0</v>
      </c>
      <c r="G30" s="397" t="n">
        <f t="shared" si="22"/>
        <v>0</v>
      </c>
      <c r="H30" s="397" t="n">
        <f t="shared" si="22"/>
        <v>1</v>
      </c>
      <c r="I30" s="397" t="n">
        <f t="shared" si="22"/>
        <v>1</v>
      </c>
      <c r="J30" s="397" t="n">
        <f t="shared" si="22"/>
        <v>1</v>
      </c>
      <c r="K30" s="397" t="n">
        <f t="shared" si="22"/>
        <v>2</v>
      </c>
      <c r="L30" s="397" t="n">
        <f t="shared" si="22"/>
        <v>3</v>
      </c>
      <c r="M30" s="397" t="n">
        <f t="shared" si="22"/>
        <v>3</v>
      </c>
      <c r="N30" s="397" t="n">
        <f t="shared" si="22"/>
        <v>3</v>
      </c>
      <c r="O30" s="397" t="n">
        <f t="shared" si="22"/>
        <v>3</v>
      </c>
      <c r="P30" s="397" t="n">
        <f t="shared" si="22"/>
        <v>3</v>
      </c>
      <c r="Q30" s="397" t="n">
        <f t="shared" si="22"/>
        <v>3</v>
      </c>
      <c r="R30" s="398" t="n">
        <f t="shared" si="19"/>
        <v>0</v>
      </c>
      <c r="S30" s="398" t="n">
        <f t="shared" si="20"/>
        <v>1.91666666666667</v>
      </c>
      <c r="T30" s="398"/>
      <c r="U30" s="398"/>
      <c r="V30" s="398"/>
      <c r="W30" s="398"/>
      <c r="X30" s="398"/>
      <c r="Y30" s="398"/>
    </row>
    <row r="31">
      <c r="A31" s="408" t="inlineStr">
        <is>
          <t>Total headcount</t>
        </is>
      </c>
      <c r="B31" s="409" t="n">
        <f t="shared" ref="B31:Q31" si="23">SUM(B27:B30)</f>
        <v>2</v>
      </c>
      <c r="C31" s="409" t="n">
        <f t="shared" si="23"/>
        <v>3</v>
      </c>
      <c r="D31" s="409" t="n">
        <f t="shared" si="23"/>
        <v>3</v>
      </c>
      <c r="E31" s="409" t="n">
        <f t="shared" si="23"/>
        <v>4</v>
      </c>
      <c r="F31" s="409" t="n">
        <f t="shared" si="23"/>
        <v>4</v>
      </c>
      <c r="G31" s="409" t="n">
        <f t="shared" si="23"/>
        <v>5</v>
      </c>
      <c r="H31" s="409" t="n">
        <f t="shared" si="23"/>
        <v>6</v>
      </c>
      <c r="I31" s="409" t="n">
        <f t="shared" si="23"/>
        <v>6</v>
      </c>
      <c r="J31" s="409" t="n">
        <f t="shared" si="23"/>
        <v>6</v>
      </c>
      <c r="K31" s="409" t="n">
        <f t="shared" si="23"/>
        <v>7</v>
      </c>
      <c r="L31" s="409" t="n">
        <f t="shared" si="23"/>
        <v>9</v>
      </c>
      <c r="M31" s="409" t="n">
        <f t="shared" si="23"/>
        <v>9</v>
      </c>
      <c r="N31" s="409" t="n">
        <f t="shared" si="23"/>
        <v>9</v>
      </c>
      <c r="O31" s="409" t="n">
        <f t="shared" si="23"/>
        <v>9</v>
      </c>
      <c r="P31" s="409" t="n">
        <f t="shared" si="23"/>
        <v>9</v>
      </c>
      <c r="Q31" s="409" t="n">
        <f t="shared" si="23"/>
        <v>9</v>
      </c>
      <c r="R31" s="410" t="n">
        <f t="shared" si="19"/>
        <v>3</v>
      </c>
      <c r="S31" s="410" t="n">
        <f t="shared" si="20"/>
        <v>7.33333333333333</v>
      </c>
      <c r="T31" s="398"/>
      <c r="U31" s="398"/>
      <c r="V31" s="398"/>
      <c r="W31" s="398"/>
      <c r="X31" s="398"/>
      <c r="Y31" s="398"/>
    </row>
    <row r="32">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row>
    <row r="33">
      <c r="A33" s="385" t="inlineStr">
        <is>
          <t>PAYROLL BY SEAT ($)</t>
        </is>
      </c>
      <c r="B33" s="393" t="n">
        <f>DeploySum!B53</f>
        <v>46295</v>
      </c>
      <c r="C33" s="393" t="n">
        <f>DeploySum!C53</f>
        <v>46326</v>
      </c>
      <c r="D33" s="393" t="n">
        <f>DeploySum!D53</f>
        <v>46356</v>
      </c>
      <c r="E33" s="393" t="n">
        <f>DeploySum!E53</f>
        <v>46387</v>
      </c>
      <c r="F33" s="393" t="n">
        <f>DeploySum!F53</f>
        <v>46418</v>
      </c>
      <c r="G33" s="393" t="n">
        <f>DeploySum!G53</f>
        <v>46446</v>
      </c>
      <c r="H33" s="393" t="n">
        <f>DeploySum!H53</f>
        <v>46477</v>
      </c>
      <c r="I33" s="393" t="n">
        <f>DeploySum!I53</f>
        <v>46507</v>
      </c>
      <c r="J33" s="393" t="n">
        <f>DeploySum!J53</f>
        <v>46538</v>
      </c>
      <c r="K33" s="393" t="n">
        <f>DeploySum!K53</f>
        <v>46568</v>
      </c>
      <c r="L33" s="393" t="n">
        <f>DeploySum!L53</f>
        <v>46599</v>
      </c>
      <c r="M33" s="393" t="n">
        <f>DeploySum!M53</f>
        <v>46630</v>
      </c>
      <c r="N33" s="393" t="n">
        <f>DeploySum!N53</f>
        <v>46660</v>
      </c>
      <c r="O33" s="393" t="n">
        <f>DeploySum!O53</f>
        <v>46691</v>
      </c>
      <c r="P33" s="393" t="n">
        <f>DeploySum!P53</f>
        <v>46721</v>
      </c>
      <c r="Q33" s="393" t="n">
        <f>DeploySum!Q53</f>
        <v>46752</v>
      </c>
      <c r="R33" s="394" t="inlineStr">
        <is>
          <t>Sep–Dec 2026</t>
        </is>
      </c>
      <c r="S33" s="394" t="inlineStr">
        <is>
          <t>FY2027</t>
        </is>
      </c>
      <c r="T33" s="394"/>
      <c r="U33" s="394"/>
      <c r="V33" s="394"/>
      <c r="W33" s="394"/>
      <c r="X33" s="394"/>
      <c r="Y33" s="394"/>
    </row>
    <row r="34">
      <c r="A34" s="383" t="str">
        <f t="shared" ref="A34:A42" si="25">$A14</f>
        <v>LOG-01 Logistics Manager (William Welser)</v>
      </c>
      <c r="B34" s="412" t="n">
        <f t="shared" ref="B34:Q34" si="24">B14*$X14/12*(1+IF(AND(B$33&gt;=$B$8,$Y14=1),$B$7,0))</f>
        <v>10000</v>
      </c>
      <c r="C34" s="412" t="n">
        <f t="shared" si="24"/>
        <v>10000</v>
      </c>
      <c r="D34" s="412" t="n">
        <f t="shared" si="24"/>
        <v>10000</v>
      </c>
      <c r="E34" s="412" t="n">
        <f t="shared" si="24"/>
        <v>10000</v>
      </c>
      <c r="F34" s="412" t="n">
        <f t="shared" si="24"/>
        <v>10000</v>
      </c>
      <c r="G34" s="412" t="n">
        <f t="shared" si="24"/>
        <v>10000</v>
      </c>
      <c r="H34" s="412" t="n">
        <f t="shared" si="24"/>
        <v>10000</v>
      </c>
      <c r="I34" s="412" t="n">
        <f t="shared" si="24"/>
        <v>10000</v>
      </c>
      <c r="J34" s="412" t="n">
        <f t="shared" si="24"/>
        <v>10000</v>
      </c>
      <c r="K34" s="412" t="n">
        <f t="shared" si="24"/>
        <v>10000</v>
      </c>
      <c r="L34" s="412" t="n">
        <f t="shared" si="24"/>
        <v>10000</v>
      </c>
      <c r="M34" s="412" t="n">
        <f t="shared" si="24"/>
        <v>10000</v>
      </c>
      <c r="N34" s="412" t="n">
        <f t="shared" si="24"/>
        <v>10000</v>
      </c>
      <c r="O34" s="412" t="n">
        <f t="shared" si="24"/>
        <v>10300</v>
      </c>
      <c r="P34" s="412" t="n">
        <f t="shared" si="24"/>
        <v>10300</v>
      </c>
      <c r="Q34" s="412" t="n">
        <f t="shared" si="24"/>
        <v>10300</v>
      </c>
      <c r="R34" s="413" t="n">
        <f t="shared" ref="R34:R47" si="27">SUM(B34:E34)</f>
        <v>40000</v>
      </c>
      <c r="S34" s="413" t="n">
        <f t="shared" ref="S34:S47" si="28">SUM(F34:Q34)</f>
        <v>120900</v>
      </c>
      <c r="T34" s="413"/>
      <c r="U34" s="413"/>
      <c r="V34" s="413"/>
      <c r="W34" s="413"/>
      <c r="X34" s="413"/>
      <c r="Y34" s="413"/>
    </row>
    <row r="35">
      <c r="A35" s="383" t="str">
        <f t="shared" si="25"/>
        <v>INV-01 Inventory Control Specialist</v>
      </c>
      <c r="B35" s="412" t="n">
        <f t="shared" ref="B35:Q35" si="26">B15*$X15/12*(1+IF(AND(B$33&gt;=$B$8,$Y15=1),$B$7,0))</f>
        <v>0</v>
      </c>
      <c r="C35" s="412" t="n">
        <f t="shared" si="26"/>
        <v>0</v>
      </c>
      <c r="D35" s="412" t="n">
        <f t="shared" si="26"/>
        <v>0</v>
      </c>
      <c r="E35" s="412" t="n">
        <f t="shared" si="26"/>
        <v>0</v>
      </c>
      <c r="F35" s="412" t="n">
        <f t="shared" si="26"/>
        <v>0</v>
      </c>
      <c r="G35" s="412" t="n">
        <f t="shared" si="26"/>
        <v>4000</v>
      </c>
      <c r="H35" s="412" t="n">
        <f t="shared" si="26"/>
        <v>4000</v>
      </c>
      <c r="I35" s="412" t="n">
        <f t="shared" si="26"/>
        <v>4000</v>
      </c>
      <c r="J35" s="412" t="n">
        <f t="shared" si="26"/>
        <v>4000</v>
      </c>
      <c r="K35" s="412" t="n">
        <f t="shared" si="26"/>
        <v>4000</v>
      </c>
      <c r="L35" s="412" t="n">
        <f t="shared" si="26"/>
        <v>4000</v>
      </c>
      <c r="M35" s="412" t="n">
        <f t="shared" si="26"/>
        <v>4000</v>
      </c>
      <c r="N35" s="412" t="n">
        <f t="shared" si="26"/>
        <v>4000</v>
      </c>
      <c r="O35" s="412" t="n">
        <f t="shared" si="26"/>
        <v>4120</v>
      </c>
      <c r="P35" s="412" t="n">
        <f t="shared" si="26"/>
        <v>4120</v>
      </c>
      <c r="Q35" s="412" t="n">
        <f t="shared" si="26"/>
        <v>4120</v>
      </c>
      <c r="R35" s="413" t="n">
        <f t="shared" si="27"/>
        <v>0</v>
      </c>
      <c r="S35" s="413" t="n">
        <f t="shared" si="28"/>
        <v>44360</v>
      </c>
      <c r="T35" s="413"/>
      <c r="U35" s="413"/>
      <c r="V35" s="413"/>
      <c r="W35" s="413"/>
      <c r="X35" s="413"/>
      <c r="Y35" s="413"/>
    </row>
    <row r="36">
      <c r="A36" s="383" t="str">
        <f t="shared" si="25"/>
        <v>TL-01 Material Handling Team Lead</v>
      </c>
      <c r="B36" s="412" t="n">
        <f t="shared" ref="B36:Q36" si="29">B16*$X16/12*(1+IF(AND(B$33&gt;=$B$8,$Y16=1),$B$7,0))</f>
        <v>0</v>
      </c>
      <c r="C36" s="412" t="n">
        <f t="shared" si="29"/>
        <v>0</v>
      </c>
      <c r="D36" s="412" t="n">
        <f t="shared" si="29"/>
        <v>0</v>
      </c>
      <c r="E36" s="412" t="n">
        <f t="shared" si="29"/>
        <v>4333.33333333333</v>
      </c>
      <c r="F36" s="412" t="n">
        <f t="shared" si="29"/>
        <v>4333.33333333333</v>
      </c>
      <c r="G36" s="412" t="n">
        <f t="shared" si="29"/>
        <v>4333.33333333333</v>
      </c>
      <c r="H36" s="412" t="n">
        <f t="shared" si="29"/>
        <v>4333.33333333333</v>
      </c>
      <c r="I36" s="412" t="n">
        <f t="shared" si="29"/>
        <v>4333.33333333333</v>
      </c>
      <c r="J36" s="412" t="n">
        <f t="shared" si="29"/>
        <v>4333.33333333333</v>
      </c>
      <c r="K36" s="412" t="n">
        <f t="shared" si="29"/>
        <v>4333.33333333333</v>
      </c>
      <c r="L36" s="412" t="n">
        <f t="shared" si="29"/>
        <v>4333.33333333333</v>
      </c>
      <c r="M36" s="412" t="n">
        <f t="shared" si="29"/>
        <v>4333.33333333333</v>
      </c>
      <c r="N36" s="412" t="n">
        <f t="shared" si="29"/>
        <v>4333.33333333333</v>
      </c>
      <c r="O36" s="412" t="n">
        <f t="shared" si="29"/>
        <v>4463.33333333333</v>
      </c>
      <c r="P36" s="412" t="n">
        <f t="shared" si="29"/>
        <v>4463.33333333333</v>
      </c>
      <c r="Q36" s="412" t="n">
        <f t="shared" si="29"/>
        <v>4463.33333333333</v>
      </c>
      <c r="R36" s="413" t="n">
        <f t="shared" si="27"/>
        <v>4333.33333333333</v>
      </c>
      <c r="S36" s="413" t="n">
        <f t="shared" si="28"/>
        <v>52390</v>
      </c>
      <c r="T36" s="413"/>
      <c r="U36" s="413"/>
      <c r="V36" s="413"/>
      <c r="W36" s="413"/>
      <c r="X36" s="413"/>
      <c r="Y36" s="413"/>
    </row>
    <row r="37">
      <c r="A37" s="383" t="str">
        <f t="shared" si="25"/>
        <v>TL-02 Material Handling Team Lead</v>
      </c>
      <c r="B37" s="412" t="n">
        <f t="shared" ref="B37:Q37" si="30">B17*$X17/12*(1+IF(AND(B$33&gt;=$B$8,$Y17=1),$B$7,0))</f>
        <v>0</v>
      </c>
      <c r="C37" s="412" t="n">
        <f t="shared" si="30"/>
        <v>0</v>
      </c>
      <c r="D37" s="412" t="n">
        <f t="shared" si="30"/>
        <v>0</v>
      </c>
      <c r="E37" s="412" t="n">
        <f t="shared" si="30"/>
        <v>0</v>
      </c>
      <c r="F37" s="412" t="n">
        <f t="shared" si="30"/>
        <v>0</v>
      </c>
      <c r="G37" s="412" t="n">
        <f t="shared" si="30"/>
        <v>0</v>
      </c>
      <c r="H37" s="412" t="n">
        <f t="shared" si="30"/>
        <v>0</v>
      </c>
      <c r="I37" s="412" t="n">
        <f t="shared" si="30"/>
        <v>0</v>
      </c>
      <c r="J37" s="412" t="n">
        <f t="shared" si="30"/>
        <v>0</v>
      </c>
      <c r="K37" s="412" t="n">
        <f t="shared" si="30"/>
        <v>0</v>
      </c>
      <c r="L37" s="412" t="n">
        <f t="shared" si="30"/>
        <v>4333.33333333333</v>
      </c>
      <c r="M37" s="412" t="n">
        <f t="shared" si="30"/>
        <v>4333.33333333333</v>
      </c>
      <c r="N37" s="412" t="n">
        <f t="shared" si="30"/>
        <v>4333.33333333333</v>
      </c>
      <c r="O37" s="412" t="n">
        <f t="shared" si="30"/>
        <v>4333.33333333333</v>
      </c>
      <c r="P37" s="412" t="n">
        <f t="shared" si="30"/>
        <v>4333.33333333333</v>
      </c>
      <c r="Q37" s="412" t="n">
        <f t="shared" si="30"/>
        <v>4333.33333333333</v>
      </c>
      <c r="R37" s="413" t="n">
        <f t="shared" si="27"/>
        <v>0</v>
      </c>
      <c r="S37" s="413" t="n">
        <f t="shared" si="28"/>
        <v>26000</v>
      </c>
      <c r="T37" s="413"/>
      <c r="U37" s="413"/>
      <c r="V37" s="413"/>
      <c r="W37" s="413"/>
      <c r="X37" s="413"/>
      <c r="Y37" s="413"/>
    </row>
    <row r="38">
      <c r="A38" s="383" t="str">
        <f t="shared" si="25"/>
        <v>MH-01 Material Handler (Austin Steed)</v>
      </c>
      <c r="B38" s="412" t="n">
        <f t="shared" ref="B38:Q38" si="31">B18*$X18/12*(1+IF(AND(B$33&gt;=$B$8,$Y18=1),$B$7,0))</f>
        <v>4160</v>
      </c>
      <c r="C38" s="412" t="n">
        <f t="shared" si="31"/>
        <v>4160</v>
      </c>
      <c r="D38" s="412" t="n">
        <f t="shared" si="31"/>
        <v>4160</v>
      </c>
      <c r="E38" s="412" t="n">
        <f t="shared" si="31"/>
        <v>4160</v>
      </c>
      <c r="F38" s="412" t="n">
        <f t="shared" si="31"/>
        <v>4160</v>
      </c>
      <c r="G38" s="412" t="n">
        <f t="shared" si="31"/>
        <v>4160</v>
      </c>
      <c r="H38" s="412" t="n">
        <f t="shared" si="31"/>
        <v>4160</v>
      </c>
      <c r="I38" s="412" t="n">
        <f t="shared" si="31"/>
        <v>4160</v>
      </c>
      <c r="J38" s="412" t="n">
        <f t="shared" si="31"/>
        <v>4160</v>
      </c>
      <c r="K38" s="412" t="n">
        <f t="shared" si="31"/>
        <v>4160</v>
      </c>
      <c r="L38" s="412" t="n">
        <f t="shared" si="31"/>
        <v>4160</v>
      </c>
      <c r="M38" s="412" t="n">
        <f t="shared" si="31"/>
        <v>4160</v>
      </c>
      <c r="N38" s="412" t="n">
        <f t="shared" si="31"/>
        <v>4160</v>
      </c>
      <c r="O38" s="412" t="n">
        <f t="shared" si="31"/>
        <v>4284.8</v>
      </c>
      <c r="P38" s="412" t="n">
        <f t="shared" si="31"/>
        <v>4284.8</v>
      </c>
      <c r="Q38" s="412" t="n">
        <f t="shared" si="31"/>
        <v>4284.8</v>
      </c>
      <c r="R38" s="413" t="n">
        <f t="shared" si="27"/>
        <v>16640</v>
      </c>
      <c r="S38" s="413" t="n">
        <f t="shared" si="28"/>
        <v>50294.4</v>
      </c>
      <c r="T38" s="413"/>
      <c r="U38" s="413"/>
      <c r="V38" s="413"/>
      <c r="W38" s="413"/>
      <c r="X38" s="413"/>
      <c r="Y38" s="413"/>
    </row>
    <row r="39">
      <c r="A39" s="383" t="str">
        <f t="shared" si="25"/>
        <v>MH-02 Material Handler (backfill for Servando Flores)</v>
      </c>
      <c r="B39" s="412" t="n">
        <f t="shared" ref="B39:Q39" si="32">B19*$X19/12*(1+IF(AND(B$33&gt;=$B$8,$Y19=1),$B$7,0))</f>
        <v>0</v>
      </c>
      <c r="C39" s="412" t="n">
        <f t="shared" si="32"/>
        <v>4160</v>
      </c>
      <c r="D39" s="412" t="n">
        <f t="shared" si="32"/>
        <v>4160</v>
      </c>
      <c r="E39" s="412" t="n">
        <f t="shared" si="32"/>
        <v>4160</v>
      </c>
      <c r="F39" s="412" t="n">
        <f t="shared" si="32"/>
        <v>4160</v>
      </c>
      <c r="G39" s="412" t="n">
        <f t="shared" si="32"/>
        <v>4160</v>
      </c>
      <c r="H39" s="412" t="n">
        <f t="shared" si="32"/>
        <v>4160</v>
      </c>
      <c r="I39" s="412" t="n">
        <f t="shared" si="32"/>
        <v>4160</v>
      </c>
      <c r="J39" s="412" t="n">
        <f t="shared" si="32"/>
        <v>4160</v>
      </c>
      <c r="K39" s="412" t="n">
        <f t="shared" si="32"/>
        <v>4160</v>
      </c>
      <c r="L39" s="412" t="n">
        <f t="shared" si="32"/>
        <v>4160</v>
      </c>
      <c r="M39" s="412" t="n">
        <f t="shared" si="32"/>
        <v>4160</v>
      </c>
      <c r="N39" s="412" t="n">
        <f t="shared" si="32"/>
        <v>4160</v>
      </c>
      <c r="O39" s="412" t="n">
        <f t="shared" si="32"/>
        <v>4284.8</v>
      </c>
      <c r="P39" s="412" t="n">
        <f t="shared" si="32"/>
        <v>4284.8</v>
      </c>
      <c r="Q39" s="412" t="n">
        <f t="shared" si="32"/>
        <v>4284.8</v>
      </c>
      <c r="R39" s="413" t="n">
        <f t="shared" si="27"/>
        <v>12480</v>
      </c>
      <c r="S39" s="413" t="n">
        <f t="shared" si="28"/>
        <v>50294.4</v>
      </c>
      <c r="T39" s="413"/>
      <c r="U39" s="413"/>
      <c r="V39" s="413"/>
      <c r="W39" s="413"/>
      <c r="X39" s="413"/>
      <c r="Y39" s="413"/>
    </row>
    <row r="40">
      <c r="A40" s="383" t="str">
        <f t="shared" si="25"/>
        <v>MH-06 Material Handler</v>
      </c>
      <c r="B40" s="412" t="n">
        <f t="shared" ref="B40:Q40" si="33">B20*$X20/12*(1+IF(AND(B$33&gt;=$B$8,$Y20=1),$B$7,0))</f>
        <v>0</v>
      </c>
      <c r="C40" s="412" t="n">
        <f t="shared" si="33"/>
        <v>0</v>
      </c>
      <c r="D40" s="412" t="n">
        <f t="shared" si="33"/>
        <v>0</v>
      </c>
      <c r="E40" s="412" t="n">
        <f t="shared" si="33"/>
        <v>0</v>
      </c>
      <c r="F40" s="412" t="n">
        <f t="shared" si="33"/>
        <v>0</v>
      </c>
      <c r="G40" s="412" t="n">
        <f t="shared" si="33"/>
        <v>0</v>
      </c>
      <c r="H40" s="412" t="n">
        <f t="shared" si="33"/>
        <v>0</v>
      </c>
      <c r="I40" s="412" t="n">
        <f t="shared" si="33"/>
        <v>0</v>
      </c>
      <c r="J40" s="412" t="n">
        <f t="shared" si="33"/>
        <v>0</v>
      </c>
      <c r="K40" s="412" t="n">
        <f t="shared" si="33"/>
        <v>0</v>
      </c>
      <c r="L40" s="412" t="n">
        <f t="shared" si="33"/>
        <v>4160</v>
      </c>
      <c r="M40" s="412" t="n">
        <f t="shared" si="33"/>
        <v>4160</v>
      </c>
      <c r="N40" s="412" t="n">
        <f t="shared" si="33"/>
        <v>4160</v>
      </c>
      <c r="O40" s="412" t="n">
        <f t="shared" si="33"/>
        <v>4160</v>
      </c>
      <c r="P40" s="412" t="n">
        <f t="shared" si="33"/>
        <v>4160</v>
      </c>
      <c r="Q40" s="412" t="n">
        <f t="shared" si="33"/>
        <v>4160</v>
      </c>
      <c r="R40" s="413" t="n">
        <f t="shared" si="27"/>
        <v>0</v>
      </c>
      <c r="S40" s="413" t="n">
        <f t="shared" si="28"/>
        <v>24960</v>
      </c>
      <c r="T40" s="413"/>
      <c r="U40" s="413"/>
      <c r="V40" s="413"/>
      <c r="W40" s="413"/>
      <c r="X40" s="413"/>
      <c r="Y40" s="413"/>
    </row>
    <row r="41">
      <c r="A41" s="383" t="str">
        <f t="shared" si="25"/>
        <v>MH-03 Material Handler</v>
      </c>
      <c r="B41" s="412" t="n">
        <f t="shared" ref="B41:Q41" si="34">B21*$X21/12*(1+IF(AND(B$33&gt;=$B$8,$Y21=1),$B$7,0))</f>
        <v>0</v>
      </c>
      <c r="C41" s="412" t="n">
        <f t="shared" si="34"/>
        <v>0</v>
      </c>
      <c r="D41" s="412" t="n">
        <f t="shared" si="34"/>
        <v>0</v>
      </c>
      <c r="E41" s="412" t="n">
        <f t="shared" si="34"/>
        <v>0</v>
      </c>
      <c r="F41" s="412" t="n">
        <f t="shared" si="34"/>
        <v>0</v>
      </c>
      <c r="G41" s="412" t="n">
        <f t="shared" si="34"/>
        <v>0</v>
      </c>
      <c r="H41" s="412" t="n">
        <f t="shared" si="34"/>
        <v>4160</v>
      </c>
      <c r="I41" s="412" t="n">
        <f t="shared" si="34"/>
        <v>4160</v>
      </c>
      <c r="J41" s="412" t="n">
        <f t="shared" si="34"/>
        <v>4160</v>
      </c>
      <c r="K41" s="412" t="n">
        <f t="shared" si="34"/>
        <v>4160</v>
      </c>
      <c r="L41" s="412" t="n">
        <f t="shared" si="34"/>
        <v>4160</v>
      </c>
      <c r="M41" s="412" t="n">
        <f t="shared" si="34"/>
        <v>4160</v>
      </c>
      <c r="N41" s="412" t="n">
        <f t="shared" si="34"/>
        <v>4160</v>
      </c>
      <c r="O41" s="412" t="n">
        <f t="shared" si="34"/>
        <v>4284.8</v>
      </c>
      <c r="P41" s="412" t="n">
        <f t="shared" si="34"/>
        <v>4284.8</v>
      </c>
      <c r="Q41" s="412" t="n">
        <f t="shared" si="34"/>
        <v>4284.8</v>
      </c>
      <c r="R41" s="413" t="n">
        <f t="shared" si="27"/>
        <v>0</v>
      </c>
      <c r="S41" s="413" t="n">
        <f t="shared" si="28"/>
        <v>41974.4</v>
      </c>
      <c r="T41" s="413"/>
      <c r="U41" s="413"/>
      <c r="V41" s="413"/>
      <c r="W41" s="413"/>
      <c r="X41" s="413"/>
      <c r="Y41" s="413"/>
    </row>
    <row r="42">
      <c r="A42" s="383" t="str">
        <f t="shared" si="25"/>
        <v>MH-04 Material Handler</v>
      </c>
      <c r="B42" s="412" t="n">
        <f t="shared" ref="B42:Q42" si="35">B22*$X22/12*(1+IF(AND(B$33&gt;=$B$8,$Y22=1),$B$7,0))</f>
        <v>0</v>
      </c>
      <c r="C42" s="412" t="n">
        <f t="shared" si="35"/>
        <v>0</v>
      </c>
      <c r="D42" s="412" t="n">
        <f t="shared" si="35"/>
        <v>0</v>
      </c>
      <c r="E42" s="412" t="n">
        <f t="shared" si="35"/>
        <v>0</v>
      </c>
      <c r="F42" s="412" t="n">
        <f t="shared" si="35"/>
        <v>0</v>
      </c>
      <c r="G42" s="412" t="n">
        <f t="shared" si="35"/>
        <v>0</v>
      </c>
      <c r="H42" s="412" t="n">
        <f t="shared" si="35"/>
        <v>0</v>
      </c>
      <c r="I42" s="412" t="n">
        <f t="shared" si="35"/>
        <v>0</v>
      </c>
      <c r="J42" s="412" t="n">
        <f t="shared" si="35"/>
        <v>0</v>
      </c>
      <c r="K42" s="412" t="n">
        <f t="shared" si="35"/>
        <v>4160</v>
      </c>
      <c r="L42" s="412" t="n">
        <f t="shared" si="35"/>
        <v>4160</v>
      </c>
      <c r="M42" s="412" t="n">
        <f t="shared" si="35"/>
        <v>4160</v>
      </c>
      <c r="N42" s="412" t="n">
        <f t="shared" si="35"/>
        <v>4160</v>
      </c>
      <c r="O42" s="412" t="n">
        <f t="shared" si="35"/>
        <v>4160</v>
      </c>
      <c r="P42" s="412" t="n">
        <f t="shared" si="35"/>
        <v>4160</v>
      </c>
      <c r="Q42" s="412" t="n">
        <f t="shared" si="35"/>
        <v>4160</v>
      </c>
      <c r="R42" s="413" t="n">
        <f t="shared" si="27"/>
        <v>0</v>
      </c>
      <c r="S42" s="413" t="n">
        <f t="shared" si="28"/>
        <v>29120</v>
      </c>
      <c r="T42" s="413"/>
      <c r="U42" s="413"/>
      <c r="V42" s="413"/>
      <c r="W42" s="413"/>
      <c r="X42" s="413"/>
      <c r="Y42" s="413"/>
    </row>
    <row r="43">
      <c r="A43" s="414" t="inlineStr">
        <is>
          <t>Base salaries</t>
        </is>
      </c>
      <c r="B43" s="415" t="n">
        <f t="shared" ref="B43:Q43" si="36">SUM(B34:B42)</f>
        <v>14160</v>
      </c>
      <c r="C43" s="415" t="n">
        <f t="shared" si="36"/>
        <v>18320</v>
      </c>
      <c r="D43" s="415" t="n">
        <f t="shared" si="36"/>
        <v>18320</v>
      </c>
      <c r="E43" s="415" t="n">
        <f t="shared" si="36"/>
        <v>22653.3333333333</v>
      </c>
      <c r="F43" s="415" t="n">
        <f t="shared" si="36"/>
        <v>22653.3333333333</v>
      </c>
      <c r="G43" s="415" t="n">
        <f t="shared" si="36"/>
        <v>26653.3333333333</v>
      </c>
      <c r="H43" s="415" t="n">
        <f t="shared" si="36"/>
        <v>30813.3333333333</v>
      </c>
      <c r="I43" s="415" t="n">
        <f t="shared" si="36"/>
        <v>30813.3333333333</v>
      </c>
      <c r="J43" s="415" t="n">
        <f t="shared" si="36"/>
        <v>30813.3333333333</v>
      </c>
      <c r="K43" s="415" t="n">
        <f t="shared" si="36"/>
        <v>34973.3333333333</v>
      </c>
      <c r="L43" s="415" t="n">
        <f t="shared" si="36"/>
        <v>43466.6666666667</v>
      </c>
      <c r="M43" s="415" t="n">
        <f t="shared" si="36"/>
        <v>43466.6666666667</v>
      </c>
      <c r="N43" s="415" t="n">
        <f t="shared" si="36"/>
        <v>43466.6666666667</v>
      </c>
      <c r="O43" s="415" t="n">
        <f t="shared" si="36"/>
        <v>44391.0666666667</v>
      </c>
      <c r="P43" s="415" t="n">
        <f t="shared" si="36"/>
        <v>44391.0666666667</v>
      </c>
      <c r="Q43" s="415" t="n">
        <f t="shared" si="36"/>
        <v>44391.0666666667</v>
      </c>
      <c r="R43" s="416" t="n">
        <f t="shared" si="27"/>
        <v>73453.3333333333</v>
      </c>
      <c r="S43" s="416" t="n">
        <f t="shared" si="28"/>
        <v>440293.2</v>
      </c>
      <c r="T43" s="413"/>
      <c r="U43" s="413"/>
      <c r="V43" s="413"/>
      <c r="W43" s="413"/>
      <c r="X43" s="413"/>
      <c r="Y43" s="413"/>
    </row>
    <row r="44">
      <c r="A44" s="386" t="inlineStr">
        <is>
          <t>Payroll taxes</t>
        </is>
      </c>
      <c r="B44" s="412" t="n">
        <f t="shared" ref="B44:Q44" si="37">B43*$B$5</f>
        <v>962.88</v>
      </c>
      <c r="C44" s="412" t="n">
        <f t="shared" si="37"/>
        <v>1245.76</v>
      </c>
      <c r="D44" s="412" t="n">
        <f t="shared" si="37"/>
        <v>1245.76</v>
      </c>
      <c r="E44" s="412" t="n">
        <f t="shared" si="37"/>
        <v>1540.42666666667</v>
      </c>
      <c r="F44" s="412" t="n">
        <f t="shared" si="37"/>
        <v>1540.42666666667</v>
      </c>
      <c r="G44" s="412" t="n">
        <f t="shared" si="37"/>
        <v>1812.42666666667</v>
      </c>
      <c r="H44" s="412" t="n">
        <f t="shared" si="37"/>
        <v>2095.30666666667</v>
      </c>
      <c r="I44" s="412" t="n">
        <f t="shared" si="37"/>
        <v>2095.30666666667</v>
      </c>
      <c r="J44" s="412" t="n">
        <f t="shared" si="37"/>
        <v>2095.30666666667</v>
      </c>
      <c r="K44" s="412" t="n">
        <f t="shared" si="37"/>
        <v>2378.18666666667</v>
      </c>
      <c r="L44" s="412" t="n">
        <f t="shared" si="37"/>
        <v>2955.73333333333</v>
      </c>
      <c r="M44" s="412" t="n">
        <f t="shared" si="37"/>
        <v>2955.73333333333</v>
      </c>
      <c r="N44" s="412" t="n">
        <f t="shared" si="37"/>
        <v>2955.73333333333</v>
      </c>
      <c r="O44" s="412" t="n">
        <f t="shared" si="37"/>
        <v>3018.59253333333</v>
      </c>
      <c r="P44" s="412" t="n">
        <f t="shared" si="37"/>
        <v>3018.59253333333</v>
      </c>
      <c r="Q44" s="412" t="n">
        <f t="shared" si="37"/>
        <v>3018.59253333333</v>
      </c>
      <c r="R44" s="413" t="n">
        <f t="shared" si="27"/>
        <v>4994.82666666667</v>
      </c>
      <c r="S44" s="413" t="n">
        <f t="shared" si="28"/>
        <v>29939.9376</v>
      </c>
      <c r="T44" s="413"/>
      <c r="U44" s="413"/>
      <c r="V44" s="413"/>
      <c r="W44" s="413"/>
      <c r="X44" s="413"/>
      <c r="Y44" s="413"/>
    </row>
    <row r="45">
      <c r="A45" s="386" t="inlineStr">
        <is>
          <t>Benefits</t>
        </is>
      </c>
      <c r="B45" s="412" t="n">
        <f t="shared" ref="B45:Q45" si="38">B43*$B$6</f>
        <v>2322.24</v>
      </c>
      <c r="C45" s="412" t="n">
        <f t="shared" si="38"/>
        <v>3004.48</v>
      </c>
      <c r="D45" s="412" t="n">
        <f t="shared" si="38"/>
        <v>3004.48</v>
      </c>
      <c r="E45" s="412" t="n">
        <f t="shared" si="38"/>
        <v>3715.14666666667</v>
      </c>
      <c r="F45" s="412" t="n">
        <f t="shared" si="38"/>
        <v>3715.14666666667</v>
      </c>
      <c r="G45" s="412" t="n">
        <f t="shared" si="38"/>
        <v>4371.14666666667</v>
      </c>
      <c r="H45" s="412" t="n">
        <f t="shared" si="38"/>
        <v>5053.38666666667</v>
      </c>
      <c r="I45" s="412" t="n">
        <f t="shared" si="38"/>
        <v>5053.38666666667</v>
      </c>
      <c r="J45" s="412" t="n">
        <f t="shared" si="38"/>
        <v>5053.38666666667</v>
      </c>
      <c r="K45" s="412" t="n">
        <f t="shared" si="38"/>
        <v>5735.62666666667</v>
      </c>
      <c r="L45" s="412" t="n">
        <f t="shared" si="38"/>
        <v>7128.53333333333</v>
      </c>
      <c r="M45" s="412" t="n">
        <f t="shared" si="38"/>
        <v>7128.53333333333</v>
      </c>
      <c r="N45" s="412" t="n">
        <f t="shared" si="38"/>
        <v>7128.53333333333</v>
      </c>
      <c r="O45" s="412" t="n">
        <f t="shared" si="38"/>
        <v>7280.13493333333</v>
      </c>
      <c r="P45" s="412" t="n">
        <f t="shared" si="38"/>
        <v>7280.13493333333</v>
      </c>
      <c r="Q45" s="412" t="n">
        <f t="shared" si="38"/>
        <v>7280.13493333333</v>
      </c>
      <c r="R45" s="413" t="n">
        <f t="shared" si="27"/>
        <v>12046.3466666667</v>
      </c>
      <c r="S45" s="413" t="n">
        <f t="shared" si="28"/>
        <v>72208.0848</v>
      </c>
      <c r="T45" s="413"/>
      <c r="U45" s="413"/>
      <c r="V45" s="413"/>
      <c r="W45" s="413"/>
      <c r="X45" s="413"/>
      <c r="Y45" s="413"/>
    </row>
    <row r="46">
      <c r="A46" s="386" t="inlineStr">
        <is>
          <t>New-hire cost</t>
        </is>
      </c>
      <c r="B46" s="412" t="n">
        <f t="shared" ref="B46:Q46" si="39">SUMPRODUCT(($U$14:$U$22&gt;EOMONTH(B$33,-1))*($U$14:$U$22&lt;=B$33))*$B$10</f>
        <v>0</v>
      </c>
      <c r="C46" s="412" t="n">
        <f t="shared" si="39"/>
        <v>1000</v>
      </c>
      <c r="D46" s="412" t="n">
        <f t="shared" si="39"/>
        <v>0</v>
      </c>
      <c r="E46" s="412" t="n">
        <f t="shared" si="39"/>
        <v>1000</v>
      </c>
      <c r="F46" s="412" t="n">
        <f t="shared" si="39"/>
        <v>0</v>
      </c>
      <c r="G46" s="412" t="n">
        <f t="shared" si="39"/>
        <v>1000</v>
      </c>
      <c r="H46" s="412" t="n">
        <f t="shared" si="39"/>
        <v>1000</v>
      </c>
      <c r="I46" s="412" t="n">
        <f t="shared" si="39"/>
        <v>0</v>
      </c>
      <c r="J46" s="412" t="n">
        <f t="shared" si="39"/>
        <v>0</v>
      </c>
      <c r="K46" s="412" t="n">
        <f t="shared" si="39"/>
        <v>1000</v>
      </c>
      <c r="L46" s="412" t="n">
        <f t="shared" si="39"/>
        <v>2000</v>
      </c>
      <c r="M46" s="412" t="n">
        <f t="shared" si="39"/>
        <v>0</v>
      </c>
      <c r="N46" s="412" t="n">
        <f t="shared" si="39"/>
        <v>0</v>
      </c>
      <c r="O46" s="412" t="n">
        <f t="shared" si="39"/>
        <v>0</v>
      </c>
      <c r="P46" s="412" t="n">
        <f t="shared" si="39"/>
        <v>0</v>
      </c>
      <c r="Q46" s="412" t="n">
        <f t="shared" si="39"/>
        <v>0</v>
      </c>
      <c r="R46" s="413" t="n">
        <f t="shared" si="27"/>
        <v>2000</v>
      </c>
      <c r="S46" s="413" t="n">
        <f t="shared" si="28"/>
        <v>5000</v>
      </c>
      <c r="T46" s="413"/>
      <c r="U46" s="413"/>
      <c r="V46" s="413"/>
      <c r="W46" s="413"/>
      <c r="X46" s="413"/>
      <c r="Y46" s="413"/>
    </row>
    <row r="47">
      <c r="A47" s="408" t="inlineStr">
        <is>
          <t>Total logistics &amp; warehouse payroll</t>
        </is>
      </c>
      <c r="B47" s="417" t="n">
        <f t="shared" ref="B47:Q47" si="40">SUM(B43:B46)</f>
        <v>17445.12</v>
      </c>
      <c r="C47" s="417" t="n">
        <f t="shared" si="40"/>
        <v>23570.24</v>
      </c>
      <c r="D47" s="417" t="n">
        <f t="shared" si="40"/>
        <v>22570.24</v>
      </c>
      <c r="E47" s="417" t="n">
        <f t="shared" si="40"/>
        <v>28908.9066666667</v>
      </c>
      <c r="F47" s="417" t="n">
        <f t="shared" si="40"/>
        <v>27908.9066666667</v>
      </c>
      <c r="G47" s="417" t="n">
        <f t="shared" si="40"/>
        <v>33836.9066666667</v>
      </c>
      <c r="H47" s="417" t="n">
        <f t="shared" si="40"/>
        <v>38962.0266666667</v>
      </c>
      <c r="I47" s="417" t="n">
        <f t="shared" si="40"/>
        <v>37962.0266666667</v>
      </c>
      <c r="J47" s="417" t="n">
        <f t="shared" si="40"/>
        <v>37962.0266666667</v>
      </c>
      <c r="K47" s="417" t="n">
        <f t="shared" si="40"/>
        <v>44087.1466666667</v>
      </c>
      <c r="L47" s="417" t="n">
        <f t="shared" si="40"/>
        <v>55550.9333333333</v>
      </c>
      <c r="M47" s="417" t="n">
        <f t="shared" si="40"/>
        <v>53550.9333333333</v>
      </c>
      <c r="N47" s="417" t="n">
        <f t="shared" si="40"/>
        <v>53550.9333333333</v>
      </c>
      <c r="O47" s="417" t="n">
        <f t="shared" si="40"/>
        <v>54689.7941333333</v>
      </c>
      <c r="P47" s="417" t="n">
        <f t="shared" si="40"/>
        <v>54689.7941333333</v>
      </c>
      <c r="Q47" s="417" t="n">
        <f t="shared" si="40"/>
        <v>54689.7941333333</v>
      </c>
      <c r="R47" s="418" t="n">
        <f t="shared" si="27"/>
        <v>92494.5066666667</v>
      </c>
      <c r="S47" s="418" t="n">
        <f t="shared" si="28"/>
        <v>547441.2224</v>
      </c>
      <c r="T47" s="413"/>
      <c r="U47" s="413"/>
      <c r="V47" s="413"/>
      <c r="W47" s="413"/>
      <c r="X47" s="413"/>
      <c r="Y47" s="413"/>
    </row>
    <row r="48">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row>
    <row r="49">
      <c r="A49" s="385" t="inlineStr">
        <is>
          <t>ROLL-UP TO PRODUCTION OPS</t>
        </is>
      </c>
      <c r="B49" s="393" t="n">
        <f>DeploySum!B53</f>
        <v>46295</v>
      </c>
      <c r="C49" s="393" t="n">
        <f>DeploySum!C53</f>
        <v>46326</v>
      </c>
      <c r="D49" s="393" t="n">
        <f>DeploySum!D53</f>
        <v>46356</v>
      </c>
      <c r="E49" s="393" t="n">
        <f>DeploySum!E53</f>
        <v>46387</v>
      </c>
      <c r="F49" s="393" t="n">
        <f>DeploySum!F53</f>
        <v>46418</v>
      </c>
      <c r="G49" s="393" t="n">
        <f>DeploySum!G53</f>
        <v>46446</v>
      </c>
      <c r="H49" s="393" t="n">
        <f>DeploySum!H53</f>
        <v>46477</v>
      </c>
      <c r="I49" s="393" t="n">
        <f>DeploySum!I53</f>
        <v>46507</v>
      </c>
      <c r="J49" s="393" t="n">
        <f>DeploySum!J53</f>
        <v>46538</v>
      </c>
      <c r="K49" s="393" t="n">
        <f>DeploySum!K53</f>
        <v>46568</v>
      </c>
      <c r="L49" s="393" t="n">
        <f>DeploySum!L53</f>
        <v>46599</v>
      </c>
      <c r="M49" s="393" t="n">
        <f>DeploySum!M53</f>
        <v>46630</v>
      </c>
      <c r="N49" s="393" t="n">
        <f>DeploySum!N53</f>
        <v>46660</v>
      </c>
      <c r="O49" s="393" t="n">
        <f>DeploySum!O53</f>
        <v>46691</v>
      </c>
      <c r="P49" s="393" t="n">
        <f>DeploySum!P53</f>
        <v>46721</v>
      </c>
      <c r="Q49" s="393" t="n">
        <f>DeploySum!Q53</f>
        <v>46752</v>
      </c>
      <c r="R49" s="394" t="inlineStr">
        <is>
          <t>Sep–Dec 2026</t>
        </is>
      </c>
      <c r="S49" s="394" t="inlineStr">
        <is>
          <t>FY2027</t>
        </is>
      </c>
      <c r="T49" s="394"/>
      <c r="U49" s="394"/>
      <c r="V49" s="394"/>
      <c r="W49" s="394"/>
      <c r="X49" s="394"/>
      <c r="Y49" s="394"/>
    </row>
    <row r="50">
      <c r="A50" s="419" t="inlineStr">
        <is>
          <t>Headcount (end of period)</t>
        </is>
      </c>
      <c r="B50" s="420" t="n">
        <f t="shared" ref="B50:Q50" si="41">B23</f>
        <v>2</v>
      </c>
      <c r="C50" s="420" t="n">
        <f t="shared" si="41"/>
        <v>3</v>
      </c>
      <c r="D50" s="420" t="n">
        <f t="shared" si="41"/>
        <v>3</v>
      </c>
      <c r="E50" s="420" t="n">
        <f t="shared" si="41"/>
        <v>4</v>
      </c>
      <c r="F50" s="420" t="n">
        <f t="shared" si="41"/>
        <v>4</v>
      </c>
      <c r="G50" s="420" t="n">
        <f t="shared" si="41"/>
        <v>5</v>
      </c>
      <c r="H50" s="420" t="n">
        <f t="shared" si="41"/>
        <v>6</v>
      </c>
      <c r="I50" s="420" t="n">
        <f t="shared" si="41"/>
        <v>6</v>
      </c>
      <c r="J50" s="420" t="n">
        <f t="shared" si="41"/>
        <v>6</v>
      </c>
      <c r="K50" s="420" t="n">
        <f t="shared" si="41"/>
        <v>7</v>
      </c>
      <c r="L50" s="420" t="n">
        <f t="shared" si="41"/>
        <v>9</v>
      </c>
      <c r="M50" s="420" t="n">
        <f t="shared" si="41"/>
        <v>9</v>
      </c>
      <c r="N50" s="420" t="n">
        <f t="shared" si="41"/>
        <v>9</v>
      </c>
      <c r="O50" s="420" t="n">
        <f t="shared" si="41"/>
        <v>9</v>
      </c>
      <c r="P50" s="420" t="n">
        <f t="shared" si="41"/>
        <v>9</v>
      </c>
      <c r="Q50" s="420" t="n">
        <f t="shared" si="41"/>
        <v>9</v>
      </c>
      <c r="R50" s="411" t="n">
        <f>E50</f>
        <v>4</v>
      </c>
      <c r="S50" s="411" t="n">
        <f>Q50</f>
        <v>9</v>
      </c>
      <c r="T50" s="411"/>
      <c r="U50" s="411"/>
      <c r="V50" s="411"/>
      <c r="W50" s="411"/>
      <c r="X50" s="411"/>
      <c r="Y50" s="411"/>
    </row>
    <row r="51">
      <c r="A51" s="421" t="inlineStr">
        <is>
          <t>Logistics &amp; warehouse payroll ($)</t>
        </is>
      </c>
      <c r="B51" s="422" t="n">
        <f t="shared" ref="B51:Q51" si="42">B47</f>
        <v>17445.12</v>
      </c>
      <c r="C51" s="422" t="n">
        <f t="shared" si="42"/>
        <v>23570.24</v>
      </c>
      <c r="D51" s="422" t="n">
        <f t="shared" si="42"/>
        <v>22570.24</v>
      </c>
      <c r="E51" s="422" t="n">
        <f t="shared" si="42"/>
        <v>28908.9066666667</v>
      </c>
      <c r="F51" s="422" t="n">
        <f t="shared" si="42"/>
        <v>27908.9066666667</v>
      </c>
      <c r="G51" s="422" t="n">
        <f t="shared" si="42"/>
        <v>33836.9066666667</v>
      </c>
      <c r="H51" s="422" t="n">
        <f t="shared" si="42"/>
        <v>38962.0266666667</v>
      </c>
      <c r="I51" s="422" t="n">
        <f t="shared" si="42"/>
        <v>37962.0266666667</v>
      </c>
      <c r="J51" s="422" t="n">
        <f t="shared" si="42"/>
        <v>37962.0266666667</v>
      </c>
      <c r="K51" s="422" t="n">
        <f t="shared" si="42"/>
        <v>44087.1466666667</v>
      </c>
      <c r="L51" s="422" t="n">
        <f t="shared" si="42"/>
        <v>55550.9333333333</v>
      </c>
      <c r="M51" s="422" t="n">
        <f t="shared" si="42"/>
        <v>53550.9333333333</v>
      </c>
      <c r="N51" s="422" t="n">
        <f t="shared" si="42"/>
        <v>53550.9333333333</v>
      </c>
      <c r="O51" s="422" t="n">
        <f t="shared" si="42"/>
        <v>54689.7941333333</v>
      </c>
      <c r="P51" s="422" t="n">
        <f t="shared" si="42"/>
        <v>54689.7941333333</v>
      </c>
      <c r="Q51" s="422" t="n">
        <f t="shared" si="42"/>
        <v>54689.7941333333</v>
      </c>
      <c r="R51" s="413" t="n">
        <f>SUM(B51:E51)</f>
        <v>92494.5066666667</v>
      </c>
      <c r="S51" s="413" t="n">
        <f>SUM(F51:Q51)</f>
        <v>547441.2224</v>
      </c>
      <c r="T51" s="413"/>
      <c r="U51" s="413"/>
      <c r="V51" s="413"/>
      <c r="W51" s="413"/>
      <c r="X51" s="413"/>
      <c r="Y51" s="413"/>
    </row>
    <row r="52" ht="15.75" customHeight="1">
      <c r="A52" s="383"/>
      <c r="B52" s="383"/>
      <c r="C52" s="383"/>
      <c r="D52" s="383"/>
      <c r="E52" s="383"/>
      <c r="F52" s="383"/>
      <c r="G52" s="383"/>
      <c r="H52" s="383"/>
      <c r="I52" s="383"/>
      <c r="J52" s="383"/>
      <c r="K52" s="383"/>
      <c r="L52" s="383"/>
      <c r="M52" s="383"/>
      <c r="N52" s="383"/>
      <c r="O52" s="383"/>
      <c r="P52" s="383"/>
      <c r="Q52" s="383"/>
      <c r="R52" s="383"/>
      <c r="S52" s="383"/>
      <c r="T52" s="383"/>
      <c r="U52" s="383"/>
      <c r="V52" s="383"/>
      <c r="W52" s="383"/>
      <c r="X52" s="383"/>
      <c r="Y52" s="383"/>
    </row>
    <row r="53" ht="15.75" customHeight="1">
      <c r="A53" s="385" t="inlineStr">
        <is>
          <t>CHECKS</t>
        </is>
      </c>
      <c r="B53" s="385" t="inlineStr">
        <is>
          <t>Value</t>
        </is>
      </c>
      <c r="C53" s="383"/>
      <c r="D53" s="383"/>
      <c r="E53" s="383"/>
      <c r="F53" s="383"/>
      <c r="G53" s="383"/>
      <c r="H53" s="383"/>
      <c r="I53" s="383"/>
      <c r="J53" s="383"/>
      <c r="K53" s="383"/>
      <c r="L53" s="383"/>
      <c r="M53" s="383"/>
      <c r="N53" s="383"/>
      <c r="O53" s="383"/>
      <c r="P53" s="383"/>
      <c r="Q53" s="383"/>
      <c r="R53" s="383"/>
      <c r="S53" s="383"/>
      <c r="T53" s="383"/>
      <c r="U53" s="383"/>
      <c r="V53" s="383"/>
      <c r="W53" s="383"/>
      <c r="X53" s="383"/>
      <c r="Y53" s="383"/>
    </row>
    <row r="54" ht="15.75" customHeight="1">
      <c r="A54" s="386" t="inlineStr">
        <is>
          <t>FY2027 base pay, all 11 seats, per Warehouse Team 2027 Pay Budget</t>
        </is>
      </c>
      <c r="B54" s="423">
        <v>538520.0</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row>
    <row r="55" ht="15.75" customHeight="1">
      <c r="A55" s="386" t="inlineStr">
        <is>
          <t>Less: LOG-02 Rebecca Tien (budgeted in Fld Ops Payroll)</t>
        </is>
      </c>
      <c r="B55" s="423">
        <v>-75000.0</v>
      </c>
      <c r="C55" s="383"/>
      <c r="D55" s="383"/>
      <c r="E55" s="383"/>
      <c r="F55" s="383"/>
      <c r="G55" s="383"/>
      <c r="H55" s="383"/>
      <c r="I55" s="383"/>
      <c r="J55" s="383"/>
      <c r="K55" s="383"/>
      <c r="L55" s="383"/>
      <c r="M55" s="383"/>
      <c r="N55" s="383"/>
      <c r="O55" s="383"/>
      <c r="P55" s="383"/>
      <c r="Q55" s="383"/>
      <c r="R55" s="383"/>
      <c r="S55" s="383"/>
      <c r="T55" s="383"/>
      <c r="U55" s="383"/>
      <c r="V55" s="383"/>
      <c r="W55" s="383"/>
      <c r="X55" s="383"/>
      <c r="Y55" s="383"/>
    </row>
    <row r="56" ht="15.75" customHeight="1">
      <c r="A56" s="386" t="inlineStr">
        <is>
          <t>Less: MH-05 Material Handler, logistics support (counted on the FO tab)</t>
        </is>
      </c>
      <c r="B56" s="423">
        <v>-38133.3333333333</v>
      </c>
      <c r="C56" s="383"/>
      <c r="D56" s="383"/>
      <c r="E56" s="383"/>
      <c r="F56" s="383"/>
      <c r="G56" s="383"/>
      <c r="H56" s="383"/>
      <c r="I56" s="383"/>
      <c r="J56" s="383"/>
      <c r="K56" s="383"/>
      <c r="L56" s="383"/>
      <c r="M56" s="383"/>
      <c r="N56" s="383"/>
      <c r="O56" s="383"/>
      <c r="P56" s="383"/>
      <c r="Q56" s="383"/>
      <c r="R56" s="383"/>
      <c r="S56" s="383"/>
      <c r="T56" s="383"/>
      <c r="U56" s="383"/>
      <c r="V56" s="383"/>
      <c r="W56" s="383"/>
      <c r="X56" s="383"/>
      <c r="Y56" s="383"/>
    </row>
    <row r="57" ht="15.75" customHeight="1">
      <c r="A57" s="386" t="inlineStr">
        <is>
          <t>Material Handler rate in warehouse budget ($ / hour)</t>
        </is>
      </c>
      <c r="B57" s="424">
        <v>22.0</v>
      </c>
      <c r="C57" s="383"/>
      <c r="D57" s="383"/>
      <c r="E57" s="383"/>
      <c r="F57" s="383"/>
      <c r="G57" s="383"/>
      <c r="H57" s="383"/>
      <c r="I57" s="383"/>
      <c r="J57" s="383"/>
      <c r="K57" s="383"/>
      <c r="L57" s="383"/>
      <c r="M57" s="383"/>
      <c r="N57" s="383"/>
      <c r="O57" s="383"/>
      <c r="P57" s="383"/>
      <c r="Q57" s="383"/>
      <c r="R57" s="383"/>
      <c r="S57" s="383"/>
      <c r="T57" s="383"/>
      <c r="U57" s="383"/>
      <c r="V57" s="383"/>
      <c r="W57" s="383"/>
      <c r="X57" s="383"/>
      <c r="Y57" s="383"/>
    </row>
    <row r="58" ht="15.75" customHeight="1">
      <c r="A58" s="386" t="inlineStr">
        <is>
          <t>Add: Material Handler rate aligned to Austin (MH-02, MH-03, MH-04, MH-06)</t>
        </is>
      </c>
      <c r="B58" s="425" t="n">
        <f>SUMPRODUCT(W19:W22-B57,S19:S22)*B11</f>
        <v>12133.3333333333</v>
      </c>
      <c r="C58" s="383"/>
      <c r="D58" s="383"/>
      <c r="E58" s="383"/>
      <c r="F58" s="383"/>
      <c r="G58" s="383"/>
      <c r="H58" s="383"/>
      <c r="I58" s="383"/>
      <c r="J58" s="383"/>
      <c r="K58" s="383"/>
      <c r="L58" s="383"/>
      <c r="M58" s="383"/>
      <c r="N58" s="383"/>
      <c r="O58" s="383"/>
      <c r="P58" s="383"/>
      <c r="Q58" s="383"/>
      <c r="R58" s="383"/>
      <c r="S58" s="383"/>
      <c r="T58" s="383"/>
      <c r="U58" s="383"/>
      <c r="V58" s="383"/>
      <c r="W58" s="383"/>
      <c r="X58" s="383"/>
      <c r="Y58" s="383"/>
    </row>
    <row r="59" ht="15.75" customHeight="1">
      <c r="A59" s="386" t="inlineStr">
        <is>
          <t>FY2027 base pay on this tab, before raise</t>
        </is>
      </c>
      <c r="B59" s="425" t="n">
        <f>SUMPRODUCT(X14:X22,S14:S22)</f>
        <v>437520</v>
      </c>
      <c r="C59" s="383"/>
      <c r="D59" s="383"/>
      <c r="E59" s="383"/>
      <c r="F59" s="383"/>
      <c r="G59" s="383"/>
      <c r="H59" s="383"/>
      <c r="I59" s="383"/>
      <c r="J59" s="383"/>
      <c r="K59" s="383"/>
      <c r="L59" s="383"/>
      <c r="M59" s="383"/>
      <c r="N59" s="383"/>
      <c r="O59" s="383"/>
      <c r="P59" s="383"/>
      <c r="Q59" s="383"/>
      <c r="R59" s="383"/>
      <c r="S59" s="383"/>
      <c r="T59" s="383"/>
      <c r="U59" s="383"/>
      <c r="V59" s="383"/>
      <c r="W59" s="383"/>
      <c r="X59" s="383"/>
      <c r="Y59" s="383"/>
    </row>
    <row r="60" ht="15.75" customHeight="1">
      <c r="A60" s="408" t="inlineStr">
        <is>
          <t>Difference (should be 0)</t>
        </is>
      </c>
      <c r="B60" s="426" t="n">
        <f>B59-(B54+B55+B56+B58)</f>
        <v>0</v>
      </c>
      <c r="C60" s="383"/>
      <c r="D60" s="383"/>
      <c r="E60" s="383"/>
      <c r="F60" s="383"/>
      <c r="G60" s="383"/>
      <c r="H60" s="383"/>
      <c r="I60" s="383"/>
      <c r="J60" s="383"/>
      <c r="K60" s="383"/>
      <c r="L60" s="383"/>
      <c r="M60" s="383"/>
      <c r="N60" s="383"/>
      <c r="O60" s="383"/>
      <c r="P60" s="383"/>
      <c r="Q60" s="383"/>
      <c r="R60" s="383"/>
      <c r="S60" s="383"/>
      <c r="T60" s="383"/>
      <c r="U60" s="383"/>
      <c r="V60" s="383"/>
      <c r="W60" s="383"/>
      <c r="X60" s="383"/>
      <c r="Y60" s="383"/>
    </row>
    <row r="61" ht="15.75" customHeight="1">
      <c r="A61" s="383"/>
      <c r="B61" s="383"/>
      <c r="C61" s="383"/>
      <c r="D61" s="383"/>
      <c r="E61" s="383"/>
      <c r="F61" s="383"/>
      <c r="G61" s="383"/>
      <c r="H61" s="383"/>
      <c r="I61" s="383"/>
      <c r="J61" s="383"/>
      <c r="K61" s="383"/>
      <c r="L61" s="383"/>
      <c r="M61" s="383"/>
      <c r="N61" s="383"/>
      <c r="O61" s="383"/>
      <c r="P61" s="383"/>
      <c r="Q61" s="383"/>
      <c r="R61" s="383"/>
      <c r="S61" s="383"/>
      <c r="T61" s="383"/>
      <c r="U61" s="383"/>
      <c r="V61" s="383"/>
      <c r="W61" s="383"/>
      <c r="X61" s="383"/>
      <c r="Y61" s="383"/>
    </row>
    <row r="62" ht="15.75" customHeight="1">
      <c r="A62" s="385" t="inlineStr">
        <is>
          <t>NOTES AND ASSUMPTIONS</t>
        </is>
      </c>
      <c r="B62" s="427"/>
      <c r="C62" s="427"/>
      <c r="D62" s="427"/>
      <c r="E62" s="427"/>
      <c r="F62" s="427"/>
      <c r="G62" s="427"/>
      <c r="H62" s="427"/>
      <c r="I62" s="427"/>
      <c r="J62" s="427"/>
      <c r="K62" s="427"/>
      <c r="L62" s="427"/>
      <c r="M62" s="427"/>
      <c r="N62" s="427"/>
      <c r="O62" s="427"/>
      <c r="P62" s="427"/>
      <c r="Q62" s="427"/>
      <c r="R62" s="427"/>
      <c r="S62" s="427"/>
      <c r="T62" s="383"/>
      <c r="U62" s="383"/>
      <c r="V62" s="383"/>
      <c r="W62" s="383"/>
      <c r="X62" s="383"/>
      <c r="Y62" s="383"/>
    </row>
    <row r="63" ht="15.75" customHeight="1">
      <c r="A63" s="428" t="inlineStr">
        <is>
          <t>Sources and classification</t>
        </is>
      </c>
      <c r="B63" s="383"/>
      <c r="C63" s="383"/>
      <c r="D63" s="383"/>
      <c r="E63" s="383"/>
      <c r="F63" s="383"/>
      <c r="G63" s="383"/>
      <c r="H63" s="383"/>
      <c r="I63" s="383"/>
      <c r="J63" s="383"/>
      <c r="K63" s="383"/>
      <c r="L63" s="383"/>
      <c r="M63" s="383"/>
      <c r="N63" s="383"/>
      <c r="O63" s="383"/>
      <c r="P63" s="383"/>
      <c r="Q63" s="383"/>
      <c r="R63" s="383"/>
      <c r="S63" s="383"/>
      <c r="T63" s="383"/>
      <c r="U63" s="383"/>
      <c r="V63" s="383"/>
      <c r="W63" s="383"/>
      <c r="X63" s="383"/>
      <c r="Y63" s="383"/>
    </row>
    <row r="64" ht="27.0" customHeight="1">
      <c r="A64" s="429" t="inlineStr">
        <is>
          <t>1. Sources: Warehouse Team 2027 Pay Budget (Headcount 2027 tab) and the Warehouse Team Org Chart (end-of-2027 view), both read Oct 7, 2026. Seat inputs (team, start month, pay type, rate) sit in columns T to Y of the headcount table.</t>
        </is>
      </c>
      <c r="T64" s="383"/>
      <c r="U64" s="383"/>
      <c r="V64" s="383"/>
      <c r="W64" s="383"/>
      <c r="X64" s="383"/>
      <c r="Y64" s="383"/>
    </row>
    <row r="65" ht="27.0" customHeight="1">
      <c r="A65" s="429" t="inlineStr">
        <is>
          <t>2. William Welser (LOG-01, Logistics Manager) is classified as Central Operations.</t>
        </is>
      </c>
      <c r="T65" s="383"/>
      <c r="U65" s="383"/>
      <c r="V65" s="383"/>
      <c r="W65" s="383"/>
      <c r="X65" s="383"/>
      <c r="Y65" s="383"/>
    </row>
    <row r="66" ht="27.0" customHeight="1">
      <c r="A66" s="429" t="inlineStr">
        <is>
          <t>3. Rebecca Tien (Logistics Coordinator) moves under the Logistics Manager per the org chart but stays budgeted in Fld Ops Payroll (rows 76–80), so she is not on this tab. MH-05 (Material Handler, logistics support for Rebecca, Mar-27) is counted on the FO tab and is not on this tab.</t>
        </is>
      </c>
      <c r="T66" s="383"/>
      <c r="U66" s="383"/>
      <c r="V66" s="383"/>
      <c r="W66" s="383"/>
      <c r="X66" s="383"/>
      <c r="Y66" s="383"/>
    </row>
    <row r="67" ht="27.0" customHeight="1">
      <c r="A67" s="429" t="inlineStr">
        <is>
          <t>4. Pay: MH-02, MH-03, MH-04 and MH-06 are set to Austin Steed's rate (MH-01, W18), so a change to his rate flows through. Burden uses Fld Ops Payroll rates (6.8% taxes, 16.4% benefits); the warehouse budget had none. Raise (3% from Oct-27 for staff employed 6+ months) and new-hire cost ($1,000) link to Prod Payroll. Seats with no start month are on payroll for the whole period.</t>
        </is>
      </c>
      <c r="T67" s="383"/>
      <c r="U67" s="383"/>
      <c r="V67" s="383"/>
      <c r="W67" s="383"/>
      <c r="X67" s="383"/>
      <c r="Y67" s="383"/>
    </row>
    <row r="68" ht="15.75" customHeight="1">
      <c r="A68" s="430" t="inlineStr">
        <is>
          <t>Staffing model (org chart)</t>
        </is>
      </c>
      <c r="B68" s="431"/>
      <c r="C68" s="431"/>
      <c r="D68" s="431"/>
      <c r="E68" s="431"/>
      <c r="F68" s="431"/>
      <c r="G68" s="431"/>
      <c r="H68" s="431"/>
      <c r="I68" s="431"/>
      <c r="J68" s="431"/>
      <c r="K68" s="431"/>
      <c r="L68" s="431"/>
      <c r="M68" s="431"/>
      <c r="N68" s="431"/>
      <c r="O68" s="431"/>
      <c r="P68" s="431"/>
      <c r="Q68" s="431"/>
      <c r="R68" s="431"/>
      <c r="S68" s="431"/>
      <c r="T68" s="383"/>
      <c r="U68" s="383"/>
      <c r="V68" s="383"/>
      <c r="W68" s="383"/>
      <c r="X68" s="383"/>
      <c r="Y68" s="383"/>
    </row>
    <row r="69" ht="27.0" customHeight="1">
      <c r="A69" s="429" t="inlineStr">
        <is>
          <t>5. Single shift. Handler need is sized in two lanes. Receiving and putaway: projected POs per week ÷ 50 POs per handler a week. Kitting and line replenishment: SlipLift build subassemblies per week ÷ subassemblies one handler kits a week (400, placeholder); Team Lead time on the floor (80%) counts toward this lane.</t>
        </is>
      </c>
      <c r="T69" s="383"/>
      <c r="U69" s="383"/>
      <c r="V69" s="383"/>
      <c r="W69" s="383"/>
      <c r="X69" s="383"/>
      <c r="Y69" s="383"/>
    </row>
    <row r="70" ht="27.0" customHeight="1">
      <c r="A70" s="429" t="inlineStr">
        <is>
          <t>6. Receiving baseline: 46.4 POs and 56.1 receipts a week from about 25 vendors (NetSuite item receipts, average of Aug 10 to Oct 4, 2026), supporting 6 SlipLifts a month. The 2027 projection scales POs by SlipLifts going live over the next three months at 30% of SlipLift growth, on the view that most growth goes into larger orders from the same vendors.</t>
        </is>
      </c>
      <c r="T70" s="383"/>
      <c r="U70" s="383"/>
      <c r="V70" s="383"/>
      <c r="W70" s="383"/>
      <c r="X70" s="383"/>
      <c r="Y70" s="383"/>
    </row>
    <row r="71" ht="27.0" customHeight="1">
      <c r="A71" s="429" t="inlineStr">
        <is>
          <t>7. Kitting forecast: every SlipLift MBOM item (108350-R01, NetSuite report Sep 16, 2026) with supply type Build at the Production Warehouse, nested subassemblies included: 75 Build lines, 67 part numbers. Units = subassemblies per SlipLift × SlipLifts going live. Not counted: 32 phantom mounting kits and SlipTrays (not in the MBOM). Kitting starts when MH-03 joins in Mar-27; MH-01 and MH-02 cover it until then.</t>
        </is>
      </c>
      <c r="T71" s="383"/>
      <c r="U71" s="383"/>
      <c r="V71" s="383"/>
      <c r="W71" s="383"/>
      <c r="X71" s="383"/>
      <c r="Y71" s="383"/>
    </row>
    <row r="72" ht="27.0" customHeight="1">
      <c r="A72" s="429" t="inlineStr">
        <is>
          <t>8. Volume: FY2027 forecast of 67 deployments, 250 SlipLifts (4.8 a week) and 1,036 SlipTrays (19.9 a week); Q4 2026 of 4 deployments, 18 SlipLifts and 67 SlipTrays (deployment split from Will Welser, Oct 2026; 4.33 weeks per month). March 2027 has no go-lives and April ramps from 0 to 5 deployments a month.</t>
        </is>
      </c>
      <c r="T72" s="383"/>
      <c r="U72" s="383"/>
      <c r="V72" s="383"/>
      <c r="W72" s="383"/>
      <c r="X72" s="383"/>
      <c r="Y72" s="383"/>
    </row>
    <row r="73" ht="27.0" customHeight="1">
      <c r="A73" s="429" t="inlineStr">
        <is>
          <t>9. Leadership ratios: one Team Lead per four handlers, and a Warehouse Supervisor (SUP-01) at three or more leads, so no Supervisor is budgeted in 2027. TL-01 reports to the Logistics Manager until a Supervisor is hired. INV-01 reports to the Logistics Manager outside the floor chain so counts stay independent of the people moving stock.</t>
        </is>
      </c>
      <c r="T73" s="383"/>
      <c r="U73" s="383"/>
      <c r="V73" s="383"/>
      <c r="W73" s="383"/>
      <c r="X73" s="383"/>
      <c r="Y73" s="383"/>
    </row>
    <row r="74" ht="27.0" customHeight="1">
      <c r="A74" s="429" t="inlineStr">
        <is>
          <t>10. Hiring sequence: MH-02 backfill (Oct-26, replaces Servando Flores); TL-01 (Dec-26); INV-01 (Feb-27, priority hire for cycle counts, NetSuite inventory accuracy and quarantine); MH-03 (Mar-27, trained in the March pause before April go-lives); MH-04 (Jun-27, as go-lives reach 6 a month); TL-02 and MH-06 (Jul-27 in the pay budget; the org chart ties both to volume). Hire-by month is the month before the seat is needed, plus recruiting lead time.</t>
        </is>
      </c>
      <c r="T74" s="383"/>
      <c r="U74" s="383"/>
      <c r="V74" s="383"/>
      <c r="W74" s="383"/>
      <c r="X74" s="383"/>
      <c r="Y74" s="383"/>
    </row>
    <row r="75" ht="27.0" customHeight="1">
      <c r="A75" s="429" t="inlineStr">
        <is>
          <t>11. Cross-training: every Material Handler is cross-trained on all floor functions and cycle counts and keeps a primary area, so one shift can cover absences.</t>
        </is>
      </c>
      <c r="T75" s="383"/>
      <c r="U75" s="383"/>
      <c r="V75" s="383"/>
      <c r="W75" s="383"/>
      <c r="X75" s="383"/>
      <c r="Y75" s="383"/>
    </row>
    <row r="76" ht="27.0" customHeight="1">
      <c r="A76" s="429" t="inlineStr">
        <is>
          <t>12. Timing: TL-01 (Dec-26) and the MH-02 backfill (Oct-26) also land in the Sep–Dec 2026 forecast.</t>
        </is>
      </c>
      <c r="T76" s="383"/>
      <c r="U76" s="383"/>
      <c r="V76" s="383"/>
      <c r="W76" s="383"/>
      <c r="X76" s="383"/>
      <c r="Y76" s="383"/>
    </row>
    <row r="77" ht="15.75" customHeight="1">
      <c r="A77" s="383"/>
      <c r="B77" s="383"/>
      <c r="C77" s="383"/>
      <c r="D77" s="383"/>
      <c r="E77" s="383"/>
      <c r="F77" s="383"/>
      <c r="G77" s="383"/>
      <c r="H77" s="383"/>
      <c r="I77" s="383"/>
      <c r="J77" s="383"/>
      <c r="K77" s="383"/>
      <c r="L77" s="383"/>
      <c r="M77" s="383"/>
      <c r="N77" s="383"/>
      <c r="O77" s="383"/>
      <c r="P77" s="383"/>
      <c r="Q77" s="383"/>
      <c r="R77" s="383"/>
      <c r="S77" s="383"/>
      <c r="T77" s="383"/>
      <c r="U77" s="383"/>
      <c r="V77" s="383"/>
      <c r="W77" s="383"/>
      <c r="X77" s="383"/>
      <c r="Y77" s="383"/>
    </row>
    <row r="78" ht="15.75" customHeight="1">
      <c r="A78" s="383"/>
      <c r="B78" s="383"/>
      <c r="C78" s="383"/>
      <c r="D78" s="383"/>
      <c r="E78" s="383"/>
      <c r="F78" s="383"/>
      <c r="G78" s="383"/>
      <c r="H78" s="383"/>
      <c r="I78" s="383"/>
      <c r="J78" s="383"/>
      <c r="K78" s="383"/>
      <c r="L78" s="383"/>
      <c r="M78" s="383"/>
      <c r="N78" s="383"/>
      <c r="O78" s="383"/>
      <c r="P78" s="383"/>
      <c r="Q78" s="383"/>
      <c r="R78" s="383"/>
      <c r="S78" s="383"/>
      <c r="T78" s="383"/>
      <c r="U78" s="383"/>
      <c r="V78" s="383"/>
      <c r="W78" s="383"/>
      <c r="X78" s="383"/>
      <c r="Y78" s="383"/>
    </row>
    <row r="79" ht="15.75" customHeight="1">
      <c r="A79" s="383"/>
      <c r="B79" s="383"/>
      <c r="C79" s="383"/>
      <c r="D79" s="383"/>
      <c r="E79" s="383"/>
      <c r="F79" s="383"/>
      <c r="G79" s="383"/>
      <c r="H79" s="383"/>
      <c r="I79" s="383"/>
      <c r="J79" s="383"/>
      <c r="K79" s="383"/>
      <c r="L79" s="383"/>
      <c r="M79" s="383"/>
      <c r="N79" s="383"/>
      <c r="O79" s="383"/>
      <c r="P79" s="383"/>
      <c r="Q79" s="383"/>
      <c r="R79" s="383"/>
      <c r="S79" s="383"/>
      <c r="T79" s="383"/>
      <c r="U79" s="383"/>
      <c r="V79" s="383"/>
      <c r="W79" s="383"/>
      <c r="X79" s="383"/>
      <c r="Y79" s="383"/>
    </row>
    <row r="80" ht="15.75" customHeight="1">
      <c r="A80" s="383"/>
      <c r="B80" s="383"/>
      <c r="C80" s="383"/>
      <c r="D80" s="383"/>
      <c r="E80" s="383"/>
      <c r="F80" s="383"/>
      <c r="G80" s="383"/>
      <c r="H80" s="383"/>
      <c r="I80" s="383"/>
      <c r="J80" s="383"/>
      <c r="K80" s="383"/>
      <c r="L80" s="383"/>
      <c r="M80" s="383"/>
      <c r="N80" s="383"/>
      <c r="O80" s="383"/>
      <c r="P80" s="383"/>
      <c r="Q80" s="383"/>
      <c r="R80" s="383"/>
      <c r="S80" s="383"/>
      <c r="T80" s="383"/>
      <c r="U80" s="383"/>
      <c r="V80" s="383"/>
      <c r="W80" s="383"/>
      <c r="X80" s="383"/>
      <c r="Y80" s="383"/>
    </row>
    <row r="81" ht="15.75" customHeight="1">
      <c r="A81" s="383"/>
      <c r="B81" s="383"/>
      <c r="C81" s="383"/>
      <c r="D81" s="383"/>
      <c r="E81" s="383"/>
      <c r="F81" s="383"/>
      <c r="G81" s="383"/>
      <c r="H81" s="383"/>
      <c r="I81" s="383"/>
      <c r="J81" s="383"/>
      <c r="K81" s="383"/>
      <c r="L81" s="383"/>
      <c r="M81" s="383"/>
      <c r="N81" s="383"/>
      <c r="O81" s="383"/>
      <c r="P81" s="383"/>
      <c r="Q81" s="383"/>
      <c r="R81" s="383"/>
      <c r="S81" s="383"/>
      <c r="T81" s="383"/>
      <c r="U81" s="383"/>
      <c r="V81" s="383"/>
      <c r="W81" s="383"/>
      <c r="X81" s="383"/>
      <c r="Y81" s="383"/>
    </row>
    <row r="82" ht="15.75" customHeight="1">
      <c r="A82" s="383"/>
      <c r="B82" s="383"/>
      <c r="C82" s="383"/>
      <c r="D82" s="383"/>
      <c r="E82" s="383"/>
      <c r="F82" s="383"/>
      <c r="G82" s="383"/>
      <c r="H82" s="383"/>
      <c r="I82" s="383"/>
      <c r="J82" s="383"/>
      <c r="K82" s="383"/>
      <c r="L82" s="383"/>
      <c r="M82" s="383"/>
      <c r="N82" s="383"/>
      <c r="O82" s="383"/>
      <c r="P82" s="383"/>
      <c r="Q82" s="383"/>
      <c r="R82" s="383"/>
      <c r="S82" s="383"/>
      <c r="T82" s="383"/>
      <c r="U82" s="383"/>
      <c r="V82" s="383"/>
      <c r="W82" s="383"/>
      <c r="X82" s="383"/>
      <c r="Y82" s="383"/>
    </row>
    <row r="83" ht="15.75" customHeight="1">
      <c r="A83" s="383"/>
      <c r="B83" s="383"/>
      <c r="C83" s="383"/>
      <c r="D83" s="383"/>
      <c r="E83" s="383"/>
      <c r="F83" s="383"/>
      <c r="G83" s="383"/>
      <c r="H83" s="383"/>
      <c r="I83" s="383"/>
      <c r="J83" s="383"/>
      <c r="K83" s="383"/>
      <c r="L83" s="383"/>
      <c r="M83" s="383"/>
      <c r="N83" s="383"/>
      <c r="O83" s="383"/>
      <c r="P83" s="383"/>
      <c r="Q83" s="383"/>
      <c r="R83" s="383"/>
      <c r="S83" s="383"/>
      <c r="T83" s="383"/>
      <c r="U83" s="383"/>
      <c r="V83" s="383"/>
      <c r="W83" s="383"/>
      <c r="X83" s="383"/>
      <c r="Y83" s="383"/>
    </row>
    <row r="84" ht="15.75" customHeight="1">
      <c r="A84" s="383"/>
      <c r="B84" s="383"/>
      <c r="C84" s="383"/>
      <c r="D84" s="383"/>
      <c r="E84" s="383"/>
      <c r="F84" s="383"/>
      <c r="G84" s="383"/>
      <c r="H84" s="383"/>
      <c r="I84" s="383"/>
      <c r="J84" s="383"/>
      <c r="K84" s="383"/>
      <c r="L84" s="383"/>
      <c r="M84" s="383"/>
      <c r="N84" s="383"/>
      <c r="O84" s="383"/>
      <c r="P84" s="383"/>
      <c r="Q84" s="383"/>
      <c r="R84" s="383"/>
      <c r="S84" s="383"/>
      <c r="T84" s="383"/>
      <c r="U84" s="383"/>
      <c r="V84" s="383"/>
      <c r="W84" s="383"/>
      <c r="X84" s="383"/>
      <c r="Y84" s="383"/>
    </row>
    <row r="85" ht="15.75" customHeight="1">
      <c r="A85" s="383"/>
      <c r="B85" s="383"/>
      <c r="C85" s="383"/>
      <c r="D85" s="383"/>
      <c r="E85" s="383"/>
      <c r="F85" s="383"/>
      <c r="G85" s="383"/>
      <c r="H85" s="383"/>
      <c r="I85" s="383"/>
      <c r="J85" s="383"/>
      <c r="K85" s="383"/>
      <c r="L85" s="383"/>
      <c r="M85" s="383"/>
      <c r="N85" s="383"/>
      <c r="O85" s="383"/>
      <c r="P85" s="383"/>
      <c r="Q85" s="383"/>
      <c r="R85" s="383"/>
      <c r="S85" s="383"/>
      <c r="T85" s="383"/>
      <c r="U85" s="383"/>
      <c r="V85" s="383"/>
      <c r="W85" s="383"/>
      <c r="X85" s="383"/>
      <c r="Y85" s="383"/>
    </row>
    <row r="86" ht="15.75" customHeight="1">
      <c r="A86" s="383"/>
      <c r="B86" s="383"/>
      <c r="C86" s="383"/>
      <c r="D86" s="383"/>
      <c r="E86" s="383"/>
      <c r="F86" s="383"/>
      <c r="G86" s="383"/>
      <c r="H86" s="383"/>
      <c r="I86" s="383"/>
      <c r="J86" s="383"/>
      <c r="K86" s="383"/>
      <c r="L86" s="383"/>
      <c r="M86" s="383"/>
      <c r="N86" s="383"/>
      <c r="O86" s="383"/>
      <c r="P86" s="383"/>
      <c r="Q86" s="383"/>
      <c r="R86" s="383"/>
      <c r="S86" s="383"/>
      <c r="T86" s="383"/>
      <c r="U86" s="383"/>
      <c r="V86" s="383"/>
      <c r="W86" s="383"/>
      <c r="X86" s="383"/>
      <c r="Y86" s="383"/>
    </row>
    <row r="87" ht="15.75" customHeight="1">
      <c r="A87" s="383"/>
      <c r="B87" s="383"/>
      <c r="C87" s="383"/>
      <c r="D87" s="383"/>
      <c r="E87" s="383"/>
      <c r="F87" s="383"/>
      <c r="G87" s="383"/>
      <c r="H87" s="383"/>
      <c r="I87" s="383"/>
      <c r="J87" s="383"/>
      <c r="K87" s="383"/>
      <c r="L87" s="383"/>
      <c r="M87" s="383"/>
      <c r="N87" s="383"/>
      <c r="O87" s="383"/>
      <c r="P87" s="383"/>
      <c r="Q87" s="383"/>
      <c r="R87" s="383"/>
      <c r="S87" s="383"/>
      <c r="T87" s="383"/>
      <c r="U87" s="383"/>
      <c r="V87" s="383"/>
      <c r="W87" s="383"/>
      <c r="X87" s="383"/>
      <c r="Y87" s="383"/>
    </row>
  </sheetData>
  <mergeCells count="13">
    <mergeCell ref="A71:S71"/>
    <mergeCell ref="A72:S72"/>
    <mergeCell ref="A73:S73"/>
    <mergeCell ref="A74:S74"/>
    <mergeCell ref="A75:S75"/>
    <mergeCell ref="A76:S76"/>
    <mergeCell ref="A2:S2"/>
    <mergeCell ref="A64:S64"/>
    <mergeCell ref="A65:S65"/>
    <mergeCell ref="A66:S66"/>
    <mergeCell ref="A67:S67"/>
    <mergeCell ref="A69:S69"/>
    <mergeCell ref="A70:S70"/>
  </mergeCells>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